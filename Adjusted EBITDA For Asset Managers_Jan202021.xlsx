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ttps://spgl-my.sharepoint.com/personal/derek_ding_spglobal_com/Documents/_Home/DEREK/S&amp;P Work/C&amp;G Model Governance Feb 2017/RS-FIN-GLB-R-000465 Adjusted EBITDA For Asset Managers/Dec 2020 new password/"/>
    </mc:Choice>
  </mc:AlternateContent>
  <xr:revisionPtr revIDLastSave="34" documentId="13_ncr:1_{F2B7B50D-6B6F-4A4C-8344-0C96C3B79C23}" xr6:coauthVersionLast="47" xr6:coauthVersionMax="47" xr10:uidLastSave="{27826338-005F-457E-8B95-756A920E39CA}"/>
  <bookViews>
    <workbookView xWindow="-110" yWindow="-110" windowWidth="19420" windowHeight="10300" firstSheet="1" activeTab="1" xr2:uid="{00000000-000D-0000-FFFF-FFFF00000000}"/>
  </bookViews>
  <sheets>
    <sheet name="Changes Log" sheetId="1" state="hidden" r:id="rId1"/>
    <sheet name="Model" sheetId="2" r:id="rId2"/>
  </sheets>
  <definedNames>
    <definedName name="CIQWBGuid" hidden="1">"PE Spreads Master_Apollo Only_03_12_2013_v2.xls"</definedName>
    <definedName name="Delinked" hidden="1">"Y"</definedName>
    <definedName name="EntityComboCacheDate" hidden="1">39099</definedName>
    <definedName name="EntityComboCacheTestDate" hidden="1">39099</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CAPEX_BR" hidden="1">"c111"</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URRENCY_GAIN_BR" hidden="1">"c236"</definedName>
    <definedName name="IQ_CURRENT_PORT_DEBT_BR" hidden="1">"c1567"</definedName>
    <definedName name="IQ_DA_BR" hidden="1">"c248"</definedName>
    <definedName name="IQ_DA_CF_BR" hidden="1">"c251"</definedName>
    <definedName name="IQ_DA_SUPPL_BR" hidden="1">"c260"</definedName>
    <definedName name="IQ_DA_SUPPL_CF_BR" hidden="1">"c263"</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XTRA_ACC_ITEMS_BR" hidden="1">"c412"</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MONTH" hidden="1">120000</definedName>
    <definedName name="IQ_MERGER_BR" hidden="1">"c715"</definedName>
    <definedName name="IQ_MERGER_RESTRUCTURE_BR" hidden="1">"c721"</definedName>
    <definedName name="IQ_MINORITY_INTEREST_BR" hidden="1">"c729"</definedName>
    <definedName name="IQ_MTD" hidden="1">800000</definedName>
    <definedName name="IQ_NAMES_REVISION_DATE_" localSheetId="1" hidden="1">41383.729375</definedName>
    <definedName name="IQ_NAMES_REVISION_DATE_" hidden="1">42558.519224537</definedName>
    <definedName name="IQ_NET_DEBT_ISSUED_BR" hidden="1">"c753"</definedName>
    <definedName name="IQ_NET_INT_INC_BR" hidden="1">"c765"</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YTDMONTH" hidden="1">130000</definedName>
    <definedName name="Z_0FAFB626_D5B6_488A_9D5C_6E1557D4FBEF_.wvu.Cols" localSheetId="1" hidden="1">Model!#REF!,Model!#REF!,Model!#REF!,Model!#REF!,Model!#REF!</definedName>
    <definedName name="Z_0FAFB626_D5B6_488A_9D5C_6E1557D4FBEF_.wvu.PrintArea" localSheetId="1" hidden="1">Model!$A:$C</definedName>
    <definedName name="Z_7AECF48A_74CD_4096_9644_D0E1D6BA48CE_.wvu.PrintArea" localSheetId="1" hidden="1">Model!$A:$C</definedName>
    <definedName name="Z_D9285E61_6DDF_4E31_B801_B5D748789932_.wvu.Cols" localSheetId="1" hidden="1">Model!#REF!,Model!#REF!,Model!#REF!,Model!#REF!,Model!#REF!</definedName>
    <definedName name="Z_D9285E61_6DDF_4E31_B801_B5D748789932_.wvu.PrintArea" localSheetId="1" hidden="1">Model!$A:$C</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C187" i="2" l="1"/>
  <c r="AC186" i="2"/>
  <c r="AC184" i="2"/>
  <c r="AC183" i="2"/>
  <c r="AC181" i="2"/>
  <c r="AC180" i="2"/>
  <c r="K27" i="2" l="1"/>
  <c r="O169" i="2" s="1"/>
  <c r="M27" i="2"/>
  <c r="Q169" i="2" s="1"/>
  <c r="L27" i="2"/>
  <c r="P169" i="2" s="1"/>
  <c r="J27" i="2"/>
  <c r="N169" i="2" s="1"/>
  <c r="I27" i="2"/>
  <c r="M169" i="2" s="1"/>
  <c r="H27" i="2"/>
  <c r="L169" i="2" s="1"/>
  <c r="G27" i="2"/>
  <c r="K169" i="2" s="1"/>
  <c r="F27" i="2"/>
  <c r="J169" i="2" s="1"/>
  <c r="E27" i="2"/>
  <c r="I169" i="2" s="1"/>
  <c r="D27" i="2"/>
  <c r="M24" i="2"/>
  <c r="L24" i="2"/>
  <c r="K24" i="2"/>
  <c r="J24" i="2"/>
  <c r="I24" i="2"/>
  <c r="H24" i="2"/>
  <c r="G24" i="2"/>
  <c r="F24" i="2"/>
  <c r="E24" i="2"/>
  <c r="D24" i="2"/>
  <c r="D21" i="2"/>
  <c r="E21" i="2"/>
  <c r="F21" i="2"/>
  <c r="G21" i="2"/>
  <c r="H21" i="2"/>
  <c r="I21" i="2"/>
  <c r="J21" i="2"/>
  <c r="K21" i="2"/>
  <c r="O101" i="2" s="1"/>
  <c r="L21" i="2"/>
  <c r="M21" i="2"/>
  <c r="D17" i="2"/>
  <c r="M251" i="2"/>
  <c r="L251" i="2"/>
  <c r="K251" i="2"/>
  <c r="J251" i="2"/>
  <c r="I251" i="2"/>
  <c r="H251" i="2"/>
  <c r="G251" i="2"/>
  <c r="F251" i="2"/>
  <c r="E251" i="2"/>
  <c r="D251" i="2"/>
  <c r="M248" i="2"/>
  <c r="L248" i="2"/>
  <c r="K248" i="2"/>
  <c r="J248" i="2"/>
  <c r="I248" i="2"/>
  <c r="H248" i="2"/>
  <c r="G248" i="2"/>
  <c r="F248" i="2"/>
  <c r="E248" i="2"/>
  <c r="D248" i="2"/>
  <c r="H169" i="2" l="1"/>
  <c r="D31" i="2"/>
  <c r="J100" i="2"/>
  <c r="N101" i="2"/>
  <c r="L100" i="2"/>
  <c r="Q101" i="2"/>
  <c r="H100" i="2"/>
  <c r="N27" i="2"/>
  <c r="M100" i="2"/>
  <c r="P101" i="2"/>
  <c r="I100" i="2"/>
  <c r="K100" i="2"/>
  <c r="M249" i="2"/>
  <c r="L249" i="2"/>
  <c r="K249" i="2"/>
  <c r="J249" i="2"/>
  <c r="I249" i="2"/>
  <c r="H249" i="2"/>
  <c r="G249" i="2"/>
  <c r="F249" i="2"/>
  <c r="E249" i="2"/>
  <c r="D249" i="2"/>
  <c r="O27" i="2" l="1"/>
  <c r="AD37" i="2"/>
  <c r="AC37" i="2"/>
  <c r="AD36" i="2"/>
  <c r="AC36" i="2"/>
  <c r="AD35" i="2"/>
  <c r="AC35" i="2"/>
  <c r="AD34" i="2"/>
  <c r="AC34" i="2"/>
  <c r="P27" i="2" l="1"/>
  <c r="R123" i="2"/>
  <c r="Q123" i="2"/>
  <c r="P123" i="2"/>
  <c r="O123" i="2"/>
  <c r="N123" i="2"/>
  <c r="M123" i="2"/>
  <c r="L123" i="2"/>
  <c r="K123" i="2"/>
  <c r="J123" i="2"/>
  <c r="I123" i="2"/>
  <c r="H123" i="2"/>
  <c r="G123" i="2"/>
  <c r="F123" i="2"/>
  <c r="E123" i="2"/>
  <c r="D123" i="2"/>
  <c r="Q27" i="2" l="1"/>
  <c r="R57" i="2"/>
  <c r="Q57" i="2"/>
  <c r="P57" i="2"/>
  <c r="O57" i="2"/>
  <c r="N57" i="2"/>
  <c r="F57" i="2"/>
  <c r="E57" i="2"/>
  <c r="D57" i="2"/>
  <c r="I57" i="2"/>
  <c r="H57" i="2"/>
  <c r="G57" i="2"/>
  <c r="M57" i="2"/>
  <c r="L57" i="2"/>
  <c r="K57" i="2"/>
  <c r="J57" i="2"/>
  <c r="R27" i="2" l="1"/>
  <c r="R157" i="2"/>
  <c r="Q157" i="2"/>
  <c r="P157" i="2"/>
  <c r="O157" i="2"/>
  <c r="N157" i="2"/>
  <c r="M157" i="2"/>
  <c r="F17" i="2"/>
  <c r="F212" i="2" s="1"/>
  <c r="E17" i="2"/>
  <c r="E31" i="2" s="1"/>
  <c r="D77" i="2"/>
  <c r="F254" i="2"/>
  <c r="E254" i="2"/>
  <c r="D254" i="2"/>
  <c r="F253" i="2"/>
  <c r="E253" i="2"/>
  <c r="D253" i="2"/>
  <c r="F252" i="2"/>
  <c r="E252" i="2"/>
  <c r="D252" i="2"/>
  <c r="F250" i="2"/>
  <c r="E250" i="2"/>
  <c r="D250" i="2"/>
  <c r="F245" i="2"/>
  <c r="E245" i="2"/>
  <c r="D245" i="2"/>
  <c r="F242" i="2"/>
  <c r="E242" i="2"/>
  <c r="D242" i="2"/>
  <c r="F214" i="2"/>
  <c r="E214" i="2"/>
  <c r="D214" i="2"/>
  <c r="F211" i="2"/>
  <c r="F210" i="2"/>
  <c r="E210" i="2"/>
  <c r="D210" i="2"/>
  <c r="F209" i="2"/>
  <c r="E209" i="2"/>
  <c r="D209" i="2"/>
  <c r="F208" i="2"/>
  <c r="E208" i="2"/>
  <c r="D208" i="2"/>
  <c r="F207" i="2"/>
  <c r="E207" i="2"/>
  <c r="D207" i="2"/>
  <c r="F206" i="2"/>
  <c r="E206" i="2"/>
  <c r="D206" i="2"/>
  <c r="F205" i="2"/>
  <c r="E205" i="2"/>
  <c r="D205" i="2"/>
  <c r="F204" i="2"/>
  <c r="E204" i="2"/>
  <c r="D204" i="2"/>
  <c r="F203" i="2"/>
  <c r="E203" i="2"/>
  <c r="D203" i="2"/>
  <c r="F200" i="2"/>
  <c r="E200" i="2"/>
  <c r="G199" i="2"/>
  <c r="F199" i="2"/>
  <c r="E199" i="2"/>
  <c r="G198" i="2"/>
  <c r="F198" i="2"/>
  <c r="E198" i="2"/>
  <c r="G197" i="2"/>
  <c r="F197" i="2"/>
  <c r="E197" i="2"/>
  <c r="G196" i="2"/>
  <c r="F196" i="2"/>
  <c r="E196" i="2"/>
  <c r="G195" i="2"/>
  <c r="F195" i="2"/>
  <c r="E195" i="2"/>
  <c r="G194" i="2"/>
  <c r="F194" i="2"/>
  <c r="E194" i="2"/>
  <c r="F182" i="2"/>
  <c r="F185" i="2" s="1"/>
  <c r="F188" i="2" s="1"/>
  <c r="E182" i="2"/>
  <c r="E185" i="2" s="1"/>
  <c r="E188" i="2" s="1"/>
  <c r="D182" i="2"/>
  <c r="D185" i="2" s="1"/>
  <c r="D188" i="2" s="1"/>
  <c r="F165" i="2"/>
  <c r="E165" i="2"/>
  <c r="D165" i="2"/>
  <c r="F161" i="2"/>
  <c r="E161" i="2"/>
  <c r="D161" i="2"/>
  <c r="F135" i="2"/>
  <c r="E135" i="2"/>
  <c r="D135" i="2"/>
  <c r="F127" i="2"/>
  <c r="E127" i="2"/>
  <c r="D127" i="2"/>
  <c r="F126" i="2"/>
  <c r="E126" i="2"/>
  <c r="D126" i="2"/>
  <c r="F122" i="2"/>
  <c r="F124" i="2" s="1"/>
  <c r="F136" i="2" s="1"/>
  <c r="E122" i="2"/>
  <c r="E124" i="2" s="1"/>
  <c r="E136" i="2" s="1"/>
  <c r="D122" i="2"/>
  <c r="D124" i="2" s="1"/>
  <c r="D136" i="2" s="1"/>
  <c r="F114" i="2"/>
  <c r="E114" i="2"/>
  <c r="E116" i="2" s="1"/>
  <c r="E120" i="2" s="1"/>
  <c r="E255" i="2" s="1"/>
  <c r="D114" i="2"/>
  <c r="D116" i="2" s="1"/>
  <c r="D120" i="2" s="1"/>
  <c r="D255" i="2" s="1"/>
  <c r="F110" i="2"/>
  <c r="E110" i="2"/>
  <c r="D110" i="2"/>
  <c r="F109" i="2"/>
  <c r="E109" i="2"/>
  <c r="D109" i="2"/>
  <c r="F108" i="2"/>
  <c r="E108" i="2"/>
  <c r="D108" i="2"/>
  <c r="F107" i="2"/>
  <c r="E107" i="2"/>
  <c r="D107" i="2"/>
  <c r="F104" i="2"/>
  <c r="E104" i="2"/>
  <c r="D104" i="2"/>
  <c r="F103" i="2"/>
  <c r="E103" i="2"/>
  <c r="D103" i="2"/>
  <c r="F92" i="2"/>
  <c r="E92" i="2"/>
  <c r="D92" i="2"/>
  <c r="F91" i="2"/>
  <c r="E91" i="2"/>
  <c r="D91" i="2"/>
  <c r="F90" i="2"/>
  <c r="E90" i="2"/>
  <c r="D90" i="2"/>
  <c r="F89" i="2"/>
  <c r="E89" i="2"/>
  <c r="D89" i="2"/>
  <c r="F88" i="2"/>
  <c r="E88" i="2"/>
  <c r="D88" i="2"/>
  <c r="F87" i="2"/>
  <c r="E87" i="2"/>
  <c r="D87" i="2"/>
  <c r="F83" i="2"/>
  <c r="E83" i="2"/>
  <c r="D83" i="2"/>
  <c r="F82" i="2"/>
  <c r="E82" i="2"/>
  <c r="D82" i="2"/>
  <c r="F81" i="2"/>
  <c r="E81" i="2"/>
  <c r="D81" i="2"/>
  <c r="F79" i="2"/>
  <c r="E79" i="2"/>
  <c r="D79" i="2"/>
  <c r="F78" i="2"/>
  <c r="E78" i="2"/>
  <c r="D78" i="2"/>
  <c r="E112" i="2" l="1"/>
  <c r="E132" i="2" s="1"/>
  <c r="F112" i="2"/>
  <c r="F132" i="2" s="1"/>
  <c r="D112" i="2"/>
  <c r="E212" i="2"/>
  <c r="E105" i="2"/>
  <c r="E77" i="2"/>
  <c r="E211" i="2"/>
  <c r="D105" i="2"/>
  <c r="D211" i="2"/>
  <c r="E243" i="2"/>
  <c r="D212" i="2"/>
  <c r="F31" i="2"/>
  <c r="F33" i="2" s="1"/>
  <c r="F116" i="2"/>
  <c r="F120" i="2" s="1"/>
  <c r="F77" i="2"/>
  <c r="F84" i="2" s="1"/>
  <c r="D137" i="2"/>
  <c r="F243" i="2"/>
  <c r="D128" i="2"/>
  <c r="D129" i="2" s="1"/>
  <c r="E192" i="2"/>
  <c r="E193" i="2"/>
  <c r="F192" i="2"/>
  <c r="F193" i="2"/>
  <c r="E128" i="2"/>
  <c r="E129" i="2" s="1"/>
  <c r="E131" i="2" s="1"/>
  <c r="E33" i="2"/>
  <c r="E86" i="2"/>
  <c r="E93" i="2" s="1"/>
  <c r="E213" i="2"/>
  <c r="D246" i="2"/>
  <c r="F105" i="2"/>
  <c r="E246" i="2"/>
  <c r="F246" i="2"/>
  <c r="D84" i="2"/>
  <c r="D162" i="2" s="1"/>
  <c r="D163" i="2" s="1"/>
  <c r="D132" i="2"/>
  <c r="F137" i="2"/>
  <c r="E84" i="2"/>
  <c r="E137" i="2"/>
  <c r="F128" i="2" l="1"/>
  <c r="F129" i="2" s="1"/>
  <c r="F255" i="2"/>
  <c r="F213" i="2"/>
  <c r="F86" i="2"/>
  <c r="F93" i="2" s="1"/>
  <c r="F166" i="2" s="1"/>
  <c r="F167" i="2" s="1"/>
  <c r="E133" i="2"/>
  <c r="F140" i="2"/>
  <c r="F150" i="2"/>
  <c r="F139" i="2"/>
  <c r="E140" i="2"/>
  <c r="E150" i="2"/>
  <c r="E139" i="2"/>
  <c r="E153" i="2"/>
  <c r="E142" i="2"/>
  <c r="F38" i="2"/>
  <c r="E38" i="2"/>
  <c r="D140" i="2"/>
  <c r="D150" i="2"/>
  <c r="D139" i="2"/>
  <c r="E143" i="2"/>
  <c r="E166" i="2"/>
  <c r="E167" i="2" s="1"/>
  <c r="E154" i="2"/>
  <c r="D86" i="2"/>
  <c r="D93" i="2" s="1"/>
  <c r="D33" i="2"/>
  <c r="D213" i="2"/>
  <c r="E151" i="2"/>
  <c r="D131" i="2"/>
  <c r="D133" i="2" s="1"/>
  <c r="D151" i="2"/>
  <c r="F131" i="2"/>
  <c r="F133" i="2" s="1"/>
  <c r="F151" i="2"/>
  <c r="E162" i="2"/>
  <c r="E163" i="2" s="1"/>
  <c r="F162" i="2"/>
  <c r="F163" i="2" s="1"/>
  <c r="R135" i="2"/>
  <c r="Q135" i="2"/>
  <c r="P135" i="2"/>
  <c r="R127" i="2"/>
  <c r="Q127" i="2"/>
  <c r="P127" i="2"/>
  <c r="R126" i="2"/>
  <c r="Q126" i="2"/>
  <c r="P126" i="2"/>
  <c r="R122" i="2"/>
  <c r="R124" i="2" s="1"/>
  <c r="R136" i="2" s="1"/>
  <c r="Q122" i="2"/>
  <c r="Q124" i="2" s="1"/>
  <c r="Q136" i="2" s="1"/>
  <c r="P122" i="2"/>
  <c r="P124" i="2" s="1"/>
  <c r="P136" i="2" s="1"/>
  <c r="R114" i="2"/>
  <c r="Q114" i="2"/>
  <c r="Q116" i="2" s="1"/>
  <c r="Q120" i="2" s="1"/>
  <c r="Q255" i="2" s="1"/>
  <c r="P114" i="2"/>
  <c r="P116" i="2" s="1"/>
  <c r="P120" i="2" s="1"/>
  <c r="P255" i="2" s="1"/>
  <c r="R110" i="2"/>
  <c r="Q110" i="2"/>
  <c r="P110" i="2"/>
  <c r="R109" i="2"/>
  <c r="Q109" i="2"/>
  <c r="P109" i="2"/>
  <c r="R108" i="2"/>
  <c r="Q108" i="2"/>
  <c r="P108" i="2"/>
  <c r="R107" i="2"/>
  <c r="Q107" i="2"/>
  <c r="P107" i="2"/>
  <c r="R104" i="2"/>
  <c r="Q104" i="2"/>
  <c r="P104" i="2"/>
  <c r="R103" i="2"/>
  <c r="Q103" i="2"/>
  <c r="P103" i="2"/>
  <c r="R92" i="2"/>
  <c r="Q92" i="2"/>
  <c r="P92" i="2"/>
  <c r="R91" i="2"/>
  <c r="Q91" i="2"/>
  <c r="P91" i="2"/>
  <c r="R88" i="2"/>
  <c r="Q88" i="2"/>
  <c r="P88" i="2"/>
  <c r="R83" i="2"/>
  <c r="Q83" i="2"/>
  <c r="P83" i="2"/>
  <c r="R82" i="2"/>
  <c r="Q82" i="2"/>
  <c r="P82" i="2"/>
  <c r="R79" i="2"/>
  <c r="Q79" i="2"/>
  <c r="P79" i="2"/>
  <c r="R5" i="2"/>
  <c r="Q5" i="2"/>
  <c r="P5" i="2"/>
  <c r="R250" i="2"/>
  <c r="Q250" i="2"/>
  <c r="P250" i="2"/>
  <c r="R112" i="2" l="1"/>
  <c r="P112" i="2"/>
  <c r="P132" i="2" s="1"/>
  <c r="Q112" i="2"/>
  <c r="F143" i="2"/>
  <c r="F153" i="2"/>
  <c r="F154" i="2"/>
  <c r="F142" i="2"/>
  <c r="D38" i="2"/>
  <c r="Q132" i="2"/>
  <c r="R137" i="2"/>
  <c r="D154" i="2"/>
  <c r="D153" i="2"/>
  <c r="D142" i="2"/>
  <c r="R116" i="2"/>
  <c r="R120" i="2" s="1"/>
  <c r="R255" i="2" s="1"/>
  <c r="Q105" i="2"/>
  <c r="D143" i="2"/>
  <c r="D166" i="2"/>
  <c r="D167" i="2" s="1"/>
  <c r="R132" i="2"/>
  <c r="P105" i="2"/>
  <c r="Q137" i="2"/>
  <c r="P128" i="2"/>
  <c r="P129" i="2" s="1"/>
  <c r="P131" i="2" s="1"/>
  <c r="R105" i="2"/>
  <c r="Q128" i="2"/>
  <c r="Q129" i="2" s="1"/>
  <c r="Q131" i="2" s="1"/>
  <c r="P137" i="2"/>
  <c r="G214" i="2"/>
  <c r="G17" i="2"/>
  <c r="G210" i="2"/>
  <c r="G209" i="2"/>
  <c r="G208" i="2"/>
  <c r="G207" i="2"/>
  <c r="G206" i="2"/>
  <c r="G205" i="2"/>
  <c r="G204" i="2"/>
  <c r="G203" i="2"/>
  <c r="M114" i="2"/>
  <c r="M116" i="2" s="1"/>
  <c r="M120" i="2" s="1"/>
  <c r="L114" i="2"/>
  <c r="K114" i="2"/>
  <c r="J114" i="2"/>
  <c r="J116" i="2" s="1"/>
  <c r="J120" i="2" s="1"/>
  <c r="J255" i="2" s="1"/>
  <c r="I114" i="2"/>
  <c r="I116" i="2" s="1"/>
  <c r="I120" i="2" s="1"/>
  <c r="I255" i="2" s="1"/>
  <c r="H114" i="2"/>
  <c r="H116" i="2" s="1"/>
  <c r="H120" i="2" s="1"/>
  <c r="H255" i="2" s="1"/>
  <c r="G114" i="2"/>
  <c r="G116" i="2" s="1"/>
  <c r="G120" i="2" s="1"/>
  <c r="G255" i="2" s="1"/>
  <c r="M182" i="2"/>
  <c r="M185" i="2" s="1"/>
  <c r="M188" i="2" s="1"/>
  <c r="N188" i="2" s="1"/>
  <c r="O188" i="2" s="1"/>
  <c r="P188" i="2" s="1"/>
  <c r="Q188" i="2" s="1"/>
  <c r="R188" i="2" s="1"/>
  <c r="O5" i="2"/>
  <c r="N6" i="2"/>
  <c r="O6" i="2" s="1"/>
  <c r="P6" i="2" s="1"/>
  <c r="N7" i="2"/>
  <c r="N9" i="2"/>
  <c r="O9" i="2" s="1"/>
  <c r="P9" i="2" s="1"/>
  <c r="Q9" i="2" s="1"/>
  <c r="R9" i="2" s="1"/>
  <c r="N10" i="2"/>
  <c r="O10" i="2" s="1"/>
  <c r="P10" i="2" s="1"/>
  <c r="Q10" i="2" s="1"/>
  <c r="R10" i="2" s="1"/>
  <c r="N5" i="2"/>
  <c r="M254" i="2"/>
  <c r="L254" i="2"/>
  <c r="K254" i="2"/>
  <c r="J254" i="2"/>
  <c r="I254" i="2"/>
  <c r="H254" i="2"/>
  <c r="G254" i="2"/>
  <c r="M253" i="2"/>
  <c r="L253" i="2"/>
  <c r="K253" i="2"/>
  <c r="J253" i="2"/>
  <c r="I253" i="2"/>
  <c r="H253" i="2"/>
  <c r="G253" i="2"/>
  <c r="M252" i="2"/>
  <c r="L252" i="2"/>
  <c r="K252" i="2"/>
  <c r="J252" i="2"/>
  <c r="I252" i="2"/>
  <c r="H252" i="2"/>
  <c r="G252" i="2"/>
  <c r="O250" i="2"/>
  <c r="N250" i="2"/>
  <c r="M250" i="2"/>
  <c r="L250" i="2"/>
  <c r="K250" i="2"/>
  <c r="J250" i="2"/>
  <c r="I250" i="2"/>
  <c r="H250" i="2"/>
  <c r="G250" i="2"/>
  <c r="N19" i="2"/>
  <c r="N22" i="2"/>
  <c r="R169" i="2" s="1"/>
  <c r="M245" i="2"/>
  <c r="L245" i="2"/>
  <c r="K245" i="2"/>
  <c r="J245" i="2"/>
  <c r="J165" i="2"/>
  <c r="I245" i="2"/>
  <c r="H245" i="2"/>
  <c r="G245" i="2"/>
  <c r="AC239" i="2"/>
  <c r="AD5" i="2"/>
  <c r="AD203" i="2" s="1"/>
  <c r="AD6" i="2"/>
  <c r="AD7" i="2"/>
  <c r="AD8" i="2"/>
  <c r="AD9" i="2"/>
  <c r="AD10" i="2"/>
  <c r="AC65" i="2"/>
  <c r="AC5" i="2"/>
  <c r="AC6" i="2"/>
  <c r="AC7" i="2"/>
  <c r="AC8" i="2"/>
  <c r="AC9" i="2"/>
  <c r="AC10" i="2"/>
  <c r="AA214" i="2"/>
  <c r="Z214" i="2"/>
  <c r="Y214" i="2"/>
  <c r="X214" i="2"/>
  <c r="W214" i="2"/>
  <c r="V214" i="2"/>
  <c r="U214" i="2"/>
  <c r="T214" i="2"/>
  <c r="M214" i="2"/>
  <c r="L214" i="2"/>
  <c r="K214" i="2"/>
  <c r="J214" i="2"/>
  <c r="I214" i="2"/>
  <c r="H214" i="2"/>
  <c r="W27" i="2"/>
  <c r="W24" i="2"/>
  <c r="W21" i="2"/>
  <c r="W17" i="2"/>
  <c r="W77" i="2" s="1"/>
  <c r="X27" i="2"/>
  <c r="X24" i="2"/>
  <c r="X21" i="2"/>
  <c r="X17" i="2"/>
  <c r="Y27" i="2"/>
  <c r="Y24" i="2"/>
  <c r="Y21" i="2"/>
  <c r="Y17" i="2"/>
  <c r="Z27" i="2"/>
  <c r="Z24" i="2"/>
  <c r="Z21" i="2"/>
  <c r="Z17" i="2"/>
  <c r="Z77" i="2" s="1"/>
  <c r="AC66" i="2"/>
  <c r="AA27" i="2"/>
  <c r="AA24" i="2"/>
  <c r="AA21" i="2"/>
  <c r="AA17" i="2"/>
  <c r="AA77" i="2" s="1"/>
  <c r="V27" i="2"/>
  <c r="V24" i="2"/>
  <c r="V21" i="2"/>
  <c r="V17" i="2"/>
  <c r="U27" i="2"/>
  <c r="U24" i="2"/>
  <c r="U21" i="2"/>
  <c r="U17" i="2"/>
  <c r="U77" i="2" s="1"/>
  <c r="T27" i="2"/>
  <c r="T24" i="2"/>
  <c r="T21" i="2"/>
  <c r="T17" i="2"/>
  <c r="T77" i="2" s="1"/>
  <c r="M17" i="2"/>
  <c r="M77" i="2" s="1"/>
  <c r="L17" i="2"/>
  <c r="L77" i="2" s="1"/>
  <c r="K17" i="2"/>
  <c r="J17" i="2"/>
  <c r="J77" i="2" s="1"/>
  <c r="I17" i="2"/>
  <c r="I77" i="2" s="1"/>
  <c r="H17" i="2"/>
  <c r="H77" i="2" s="1"/>
  <c r="AD30" i="2"/>
  <c r="AD28" i="2"/>
  <c r="AD29" i="2"/>
  <c r="AD89" i="2" s="1"/>
  <c r="AC30" i="2"/>
  <c r="AC28" i="2"/>
  <c r="AC29" i="2"/>
  <c r="AC89" i="2" s="1"/>
  <c r="AD23" i="2"/>
  <c r="AD22" i="2"/>
  <c r="AC23" i="2"/>
  <c r="AC22" i="2"/>
  <c r="AA210" i="2"/>
  <c r="Z210" i="2"/>
  <c r="Y210" i="2"/>
  <c r="X210" i="2"/>
  <c r="W210" i="2"/>
  <c r="V210" i="2"/>
  <c r="U210" i="2"/>
  <c r="T210" i="2"/>
  <c r="M210" i="2"/>
  <c r="L210" i="2"/>
  <c r="K210" i="2"/>
  <c r="J210" i="2"/>
  <c r="I210" i="2"/>
  <c r="H210" i="2"/>
  <c r="AD20" i="2"/>
  <c r="AD19" i="2"/>
  <c r="AC20" i="2"/>
  <c r="AC19" i="2"/>
  <c r="AA209" i="2"/>
  <c r="Z209" i="2"/>
  <c r="Y209" i="2"/>
  <c r="X209" i="2"/>
  <c r="W209" i="2"/>
  <c r="V209" i="2"/>
  <c r="U209" i="2"/>
  <c r="T209" i="2"/>
  <c r="M209" i="2"/>
  <c r="L209" i="2"/>
  <c r="K209" i="2"/>
  <c r="J209" i="2"/>
  <c r="I209" i="2"/>
  <c r="H209" i="2"/>
  <c r="AD15" i="2"/>
  <c r="AC15" i="2"/>
  <c r="AA208" i="2"/>
  <c r="Z208" i="2"/>
  <c r="Y208" i="2"/>
  <c r="X208" i="2"/>
  <c r="W208" i="2"/>
  <c r="V208" i="2"/>
  <c r="U208" i="2"/>
  <c r="T208" i="2"/>
  <c r="M208" i="2"/>
  <c r="L208" i="2"/>
  <c r="K208" i="2"/>
  <c r="J208" i="2"/>
  <c r="I208" i="2"/>
  <c r="H208" i="2"/>
  <c r="AD14" i="2"/>
  <c r="AC14" i="2"/>
  <c r="AC90" i="2" s="1"/>
  <c r="AA207" i="2"/>
  <c r="Z207" i="2"/>
  <c r="Y207" i="2"/>
  <c r="X207" i="2"/>
  <c r="W207" i="2"/>
  <c r="V207" i="2"/>
  <c r="U207" i="2"/>
  <c r="T207" i="2"/>
  <c r="M207" i="2"/>
  <c r="L207" i="2"/>
  <c r="K207" i="2"/>
  <c r="J207" i="2"/>
  <c r="I207" i="2"/>
  <c r="H207" i="2"/>
  <c r="AD13" i="2"/>
  <c r="AD87" i="2" s="1"/>
  <c r="AC13" i="2"/>
  <c r="AC78" i="2" s="1"/>
  <c r="AA206" i="2"/>
  <c r="Z206" i="2"/>
  <c r="Y206" i="2"/>
  <c r="X206" i="2"/>
  <c r="W206" i="2"/>
  <c r="V206" i="2"/>
  <c r="U206" i="2"/>
  <c r="T206" i="2"/>
  <c r="M206" i="2"/>
  <c r="L206" i="2"/>
  <c r="K206" i="2"/>
  <c r="J206" i="2"/>
  <c r="I206" i="2"/>
  <c r="H206" i="2"/>
  <c r="AD12" i="2"/>
  <c r="AC12" i="2"/>
  <c r="AA205" i="2"/>
  <c r="Z205" i="2"/>
  <c r="Y205" i="2"/>
  <c r="X205" i="2"/>
  <c r="W205" i="2"/>
  <c r="V205" i="2"/>
  <c r="U205" i="2"/>
  <c r="T205" i="2"/>
  <c r="M205" i="2"/>
  <c r="L205" i="2"/>
  <c r="K205" i="2"/>
  <c r="J205" i="2"/>
  <c r="I205" i="2"/>
  <c r="H205" i="2"/>
  <c r="AA204" i="2"/>
  <c r="Z204" i="2"/>
  <c r="Y204" i="2"/>
  <c r="X204" i="2"/>
  <c r="W204" i="2"/>
  <c r="V204" i="2"/>
  <c r="U204" i="2"/>
  <c r="T204" i="2"/>
  <c r="M204" i="2"/>
  <c r="L204" i="2"/>
  <c r="K204" i="2"/>
  <c r="J204" i="2"/>
  <c r="I204" i="2"/>
  <c r="H204" i="2"/>
  <c r="AD180" i="2"/>
  <c r="AD181" i="2"/>
  <c r="AD183" i="2"/>
  <c r="AD184" i="2"/>
  <c r="AD186" i="2"/>
  <c r="AD187" i="2"/>
  <c r="V182" i="2"/>
  <c r="V185" i="2" s="1"/>
  <c r="V188" i="2" s="1"/>
  <c r="AD179" i="2"/>
  <c r="AC179" i="2"/>
  <c r="AA203" i="2"/>
  <c r="Z203" i="2"/>
  <c r="Y203" i="2"/>
  <c r="W182" i="2"/>
  <c r="W185" i="2" s="1"/>
  <c r="W188" i="2" s="1"/>
  <c r="X182" i="2"/>
  <c r="X185" i="2" s="1"/>
  <c r="X188" i="2" s="1"/>
  <c r="X203" i="2"/>
  <c r="W203" i="2"/>
  <c r="U182" i="2"/>
  <c r="U185" i="2" s="1"/>
  <c r="U188" i="2" s="1"/>
  <c r="V203" i="2"/>
  <c r="T182" i="2"/>
  <c r="T185" i="2" s="1"/>
  <c r="T188" i="2" s="1"/>
  <c r="U203" i="2"/>
  <c r="T203" i="2"/>
  <c r="L182" i="2"/>
  <c r="L185" i="2" s="1"/>
  <c r="L188" i="2" s="1"/>
  <c r="M203" i="2"/>
  <c r="K182" i="2"/>
  <c r="K185" i="2" s="1"/>
  <c r="K188" i="2" s="1"/>
  <c r="L203" i="2"/>
  <c r="J182" i="2"/>
  <c r="J185" i="2" s="1"/>
  <c r="J188" i="2" s="1"/>
  <c r="K203" i="2"/>
  <c r="I182" i="2"/>
  <c r="I185" i="2" s="1"/>
  <c r="I188" i="2" s="1"/>
  <c r="J203" i="2"/>
  <c r="H182" i="2"/>
  <c r="H185" i="2" s="1"/>
  <c r="H188" i="2" s="1"/>
  <c r="I203" i="2"/>
  <c r="H203" i="2"/>
  <c r="L200" i="2"/>
  <c r="M199" i="2"/>
  <c r="L199" i="2"/>
  <c r="K199" i="2"/>
  <c r="J199" i="2"/>
  <c r="I199" i="2"/>
  <c r="H199" i="2"/>
  <c r="M198" i="2"/>
  <c r="L198" i="2"/>
  <c r="K198" i="2"/>
  <c r="J198" i="2"/>
  <c r="I198" i="2"/>
  <c r="H198" i="2"/>
  <c r="M197" i="2"/>
  <c r="L197" i="2"/>
  <c r="K197" i="2"/>
  <c r="J197" i="2"/>
  <c r="I197" i="2"/>
  <c r="H197" i="2"/>
  <c r="M196" i="2"/>
  <c r="L196" i="2"/>
  <c r="K196" i="2"/>
  <c r="J196" i="2"/>
  <c r="I196" i="2"/>
  <c r="H196" i="2"/>
  <c r="M195" i="2"/>
  <c r="L195" i="2"/>
  <c r="K195" i="2"/>
  <c r="J195" i="2"/>
  <c r="I195" i="2"/>
  <c r="H195" i="2"/>
  <c r="M194" i="2"/>
  <c r="L194" i="2"/>
  <c r="K194" i="2"/>
  <c r="J194" i="2"/>
  <c r="I194" i="2"/>
  <c r="H194" i="2"/>
  <c r="G182" i="2"/>
  <c r="G185" i="2" s="1"/>
  <c r="G188" i="2" s="1"/>
  <c r="AA182" i="2"/>
  <c r="AA185" i="2" s="1"/>
  <c r="AA188" i="2" s="1"/>
  <c r="Z182" i="2"/>
  <c r="Z185" i="2" s="1"/>
  <c r="Z188" i="2" s="1"/>
  <c r="Y182" i="2"/>
  <c r="Y185" i="2" s="1"/>
  <c r="Y188" i="2" s="1"/>
  <c r="M87" i="2"/>
  <c r="M88" i="2"/>
  <c r="M89" i="2"/>
  <c r="M90" i="2"/>
  <c r="M91" i="2"/>
  <c r="M92" i="2"/>
  <c r="L87" i="2"/>
  <c r="L88" i="2"/>
  <c r="L89" i="2"/>
  <c r="L90" i="2"/>
  <c r="L91" i="2"/>
  <c r="L92" i="2"/>
  <c r="K87" i="2"/>
  <c r="K88" i="2"/>
  <c r="K89" i="2"/>
  <c r="K90" i="2"/>
  <c r="K91" i="2"/>
  <c r="K92" i="2"/>
  <c r="J87" i="2"/>
  <c r="J88" i="2"/>
  <c r="J89" i="2"/>
  <c r="J90" i="2"/>
  <c r="J91" i="2"/>
  <c r="J92" i="2"/>
  <c r="I87" i="2"/>
  <c r="I88" i="2"/>
  <c r="I89" i="2"/>
  <c r="I90" i="2"/>
  <c r="I91" i="2"/>
  <c r="I92" i="2"/>
  <c r="H87" i="2"/>
  <c r="H88" i="2"/>
  <c r="H89" i="2"/>
  <c r="H90" i="2"/>
  <c r="H91" i="2"/>
  <c r="H92" i="2"/>
  <c r="G87" i="2"/>
  <c r="G88" i="2"/>
  <c r="G89" i="2"/>
  <c r="G90" i="2"/>
  <c r="G91" i="2"/>
  <c r="G92" i="2"/>
  <c r="M78" i="2"/>
  <c r="M79" i="2"/>
  <c r="M81" i="2"/>
  <c r="M82" i="2"/>
  <c r="M83" i="2"/>
  <c r="M161" i="2"/>
  <c r="L78" i="2"/>
  <c r="L79" i="2"/>
  <c r="L81" i="2"/>
  <c r="L82" i="2"/>
  <c r="L83" i="2"/>
  <c r="L161" i="2"/>
  <c r="K77" i="2"/>
  <c r="K78" i="2"/>
  <c r="K79" i="2"/>
  <c r="K81" i="2"/>
  <c r="K82" i="2"/>
  <c r="K83" i="2"/>
  <c r="K161" i="2"/>
  <c r="J78" i="2"/>
  <c r="J79" i="2"/>
  <c r="J81" i="2"/>
  <c r="J82" i="2"/>
  <c r="J83" i="2"/>
  <c r="J161" i="2"/>
  <c r="I78" i="2"/>
  <c r="I79" i="2"/>
  <c r="I81" i="2"/>
  <c r="I82" i="2"/>
  <c r="I83" i="2"/>
  <c r="I161" i="2"/>
  <c r="H78" i="2"/>
  <c r="H79" i="2"/>
  <c r="H81" i="2"/>
  <c r="H82" i="2"/>
  <c r="H83" i="2"/>
  <c r="H161" i="2"/>
  <c r="G78" i="2"/>
  <c r="G79" i="2"/>
  <c r="G81" i="2"/>
  <c r="G82" i="2"/>
  <c r="G83" i="2"/>
  <c r="G161" i="2"/>
  <c r="M126" i="2"/>
  <c r="M127" i="2"/>
  <c r="L126" i="2"/>
  <c r="L127" i="2"/>
  <c r="K126" i="2"/>
  <c r="K127" i="2"/>
  <c r="J126" i="2"/>
  <c r="J127" i="2"/>
  <c r="I126" i="2"/>
  <c r="I127" i="2"/>
  <c r="H126" i="2"/>
  <c r="H127" i="2"/>
  <c r="G126" i="2"/>
  <c r="G127" i="2"/>
  <c r="M103" i="2"/>
  <c r="M104" i="2"/>
  <c r="L103" i="2"/>
  <c r="L104" i="2"/>
  <c r="K103" i="2"/>
  <c r="K104" i="2"/>
  <c r="J103" i="2"/>
  <c r="J104" i="2"/>
  <c r="I103" i="2"/>
  <c r="I104" i="2"/>
  <c r="H103" i="2"/>
  <c r="H104" i="2"/>
  <c r="G103" i="2"/>
  <c r="G104" i="2"/>
  <c r="O135" i="2"/>
  <c r="N135" i="2"/>
  <c r="M135" i="2"/>
  <c r="M122" i="2"/>
  <c r="M124" i="2" s="1"/>
  <c r="M136" i="2" s="1"/>
  <c r="L135" i="2"/>
  <c r="L122" i="2"/>
  <c r="L124" i="2" s="1"/>
  <c r="L136" i="2" s="1"/>
  <c r="K135" i="2"/>
  <c r="K122" i="2"/>
  <c r="K124" i="2" s="1"/>
  <c r="K136" i="2" s="1"/>
  <c r="J135" i="2"/>
  <c r="J122" i="2"/>
  <c r="J124" i="2" s="1"/>
  <c r="J136" i="2" s="1"/>
  <c r="I135" i="2"/>
  <c r="I122" i="2"/>
  <c r="I124" i="2" s="1"/>
  <c r="I136" i="2" s="1"/>
  <c r="H135" i="2"/>
  <c r="H122" i="2"/>
  <c r="H124" i="2" s="1"/>
  <c r="H136" i="2" s="1"/>
  <c r="G135" i="2"/>
  <c r="G122" i="2"/>
  <c r="G124" i="2" s="1"/>
  <c r="G136" i="2" s="1"/>
  <c r="M107" i="2"/>
  <c r="M108" i="2"/>
  <c r="M109" i="2"/>
  <c r="M110" i="2"/>
  <c r="L107" i="2"/>
  <c r="L112" i="2" s="1"/>
  <c r="L108" i="2"/>
  <c r="L109" i="2"/>
  <c r="L110" i="2"/>
  <c r="K107" i="2"/>
  <c r="K108" i="2"/>
  <c r="K109" i="2"/>
  <c r="K110" i="2"/>
  <c r="J107" i="2"/>
  <c r="J108" i="2"/>
  <c r="J109" i="2"/>
  <c r="J110" i="2"/>
  <c r="I107" i="2"/>
  <c r="I112" i="2" s="1"/>
  <c r="I108" i="2"/>
  <c r="I109" i="2"/>
  <c r="I110" i="2"/>
  <c r="H107" i="2"/>
  <c r="H108" i="2"/>
  <c r="H109" i="2"/>
  <c r="H110" i="2"/>
  <c r="G107" i="2"/>
  <c r="G108" i="2"/>
  <c r="G109" i="2"/>
  <c r="G110" i="2"/>
  <c r="O127" i="2"/>
  <c r="N127" i="2"/>
  <c r="O110" i="2"/>
  <c r="N110" i="2"/>
  <c r="O109" i="2"/>
  <c r="N109" i="2"/>
  <c r="O108" i="2"/>
  <c r="N108" i="2"/>
  <c r="O104" i="2"/>
  <c r="N104" i="2"/>
  <c r="AD11" i="2"/>
  <c r="AD88" i="2" s="1"/>
  <c r="AD16" i="2"/>
  <c r="AD73" i="2"/>
  <c r="AD92" i="2" s="1"/>
  <c r="AC11" i="2"/>
  <c r="AC88" i="2" s="1"/>
  <c r="AC16" i="2"/>
  <c r="AC92" i="2"/>
  <c r="AA87" i="2"/>
  <c r="AA88" i="2"/>
  <c r="AA89" i="2"/>
  <c r="AA90" i="2"/>
  <c r="AA91" i="2"/>
  <c r="AA92" i="2"/>
  <c r="Z87" i="2"/>
  <c r="Z88" i="2"/>
  <c r="Z89" i="2"/>
  <c r="Z90" i="2"/>
  <c r="Z91" i="2"/>
  <c r="Z92" i="2"/>
  <c r="Y87" i="2"/>
  <c r="Y88" i="2"/>
  <c r="Y89" i="2"/>
  <c r="Y90" i="2"/>
  <c r="Y91" i="2"/>
  <c r="Y92" i="2"/>
  <c r="X87" i="2"/>
  <c r="X88" i="2"/>
  <c r="X89" i="2"/>
  <c r="X90" i="2"/>
  <c r="X91" i="2"/>
  <c r="X92" i="2"/>
  <c r="W87" i="2"/>
  <c r="W88" i="2"/>
  <c r="W89" i="2"/>
  <c r="W90" i="2"/>
  <c r="W91" i="2"/>
  <c r="W92" i="2"/>
  <c r="V87" i="2"/>
  <c r="V88" i="2"/>
  <c r="V89" i="2"/>
  <c r="V90" i="2"/>
  <c r="V91" i="2"/>
  <c r="V92" i="2"/>
  <c r="U87" i="2"/>
  <c r="U88" i="2"/>
  <c r="U89" i="2"/>
  <c r="U90" i="2"/>
  <c r="U91" i="2"/>
  <c r="U92" i="2"/>
  <c r="T87" i="2"/>
  <c r="T88" i="2"/>
  <c r="T89" i="2"/>
  <c r="T90" i="2"/>
  <c r="T91" i="2"/>
  <c r="T92" i="2"/>
  <c r="O92" i="2"/>
  <c r="N92" i="2"/>
  <c r="O91" i="2"/>
  <c r="N91" i="2"/>
  <c r="AC83" i="2"/>
  <c r="AA78" i="2"/>
  <c r="AA79" i="2"/>
  <c r="AA81" i="2"/>
  <c r="AA82" i="2"/>
  <c r="AA83" i="2"/>
  <c r="Z78" i="2"/>
  <c r="Z79" i="2"/>
  <c r="Z81" i="2"/>
  <c r="Z82" i="2"/>
  <c r="Z83" i="2"/>
  <c r="Y77" i="2"/>
  <c r="Y78" i="2"/>
  <c r="Y79" i="2"/>
  <c r="Y81" i="2"/>
  <c r="Y82" i="2"/>
  <c r="Y83" i="2"/>
  <c r="X78" i="2"/>
  <c r="X79" i="2"/>
  <c r="X81" i="2"/>
  <c r="X82" i="2"/>
  <c r="X83" i="2"/>
  <c r="W78" i="2"/>
  <c r="W79" i="2"/>
  <c r="W81" i="2"/>
  <c r="W82" i="2"/>
  <c r="W83" i="2"/>
  <c r="V78" i="2"/>
  <c r="V79" i="2"/>
  <c r="V81" i="2"/>
  <c r="V82" i="2"/>
  <c r="V83" i="2"/>
  <c r="U78" i="2"/>
  <c r="U79" i="2"/>
  <c r="U81" i="2"/>
  <c r="U82" i="2"/>
  <c r="U83" i="2"/>
  <c r="T78" i="2"/>
  <c r="T79" i="2"/>
  <c r="T81" i="2"/>
  <c r="T82" i="2"/>
  <c r="T83" i="2"/>
  <c r="O83" i="2"/>
  <c r="N83" i="2"/>
  <c r="O82" i="2"/>
  <c r="N82" i="2"/>
  <c r="AD72" i="2"/>
  <c r="AD71" i="2"/>
  <c r="AC68" i="2"/>
  <c r="AC67" i="2"/>
  <c r="AC62" i="2"/>
  <c r="AC61" i="2"/>
  <c r="AC60" i="2"/>
  <c r="AC57" i="2"/>
  <c r="AC49" i="2"/>
  <c r="AC48" i="2"/>
  <c r="AC47" i="2"/>
  <c r="AC46" i="2"/>
  <c r="AC45" i="2"/>
  <c r="AC44" i="2"/>
  <c r="AC43" i="2"/>
  <c r="AC42" i="2"/>
  <c r="AD32" i="2"/>
  <c r="AC32" i="2"/>
  <c r="AD26" i="2"/>
  <c r="AC26" i="2"/>
  <c r="AD25" i="2"/>
  <c r="AC25" i="2"/>
  <c r="N3" i="2"/>
  <c r="O3" i="2" s="1"/>
  <c r="P3" i="2" s="1"/>
  <c r="Q3" i="2" s="1"/>
  <c r="R3" i="2" s="1"/>
  <c r="L3" i="2"/>
  <c r="K3" i="2" s="1"/>
  <c r="J3" i="2" s="1"/>
  <c r="I3" i="2" s="1"/>
  <c r="H3" i="2" s="1"/>
  <c r="G3" i="2" s="1"/>
  <c r="F3" i="2" s="1"/>
  <c r="E3" i="2" s="1"/>
  <c r="D3" i="2"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N114" i="2"/>
  <c r="O114" i="2"/>
  <c r="N107" i="2"/>
  <c r="O107" i="2"/>
  <c r="N122" i="2"/>
  <c r="N124" i="2" s="1"/>
  <c r="N136" i="2" s="1"/>
  <c r="O122" i="2"/>
  <c r="O124" i="2" s="1"/>
  <c r="O136" i="2" s="1"/>
  <c r="N126" i="2"/>
  <c r="O126" i="2"/>
  <c r="N79" i="2"/>
  <c r="O79" i="2"/>
  <c r="N88" i="2"/>
  <c r="O88" i="2"/>
  <c r="N103" i="2"/>
  <c r="O103" i="2"/>
  <c r="N112" i="2" l="1"/>
  <c r="AD83" i="2"/>
  <c r="G112" i="2"/>
  <c r="J112" i="2"/>
  <c r="M112" i="2"/>
  <c r="H112" i="2"/>
  <c r="K112" i="2"/>
  <c r="I137" i="2"/>
  <c r="AC27" i="2"/>
  <c r="AC203" i="2"/>
  <c r="O112" i="2"/>
  <c r="O132" i="2" s="1"/>
  <c r="N23" i="2"/>
  <c r="N24" i="2" s="1"/>
  <c r="Q133" i="2"/>
  <c r="V211" i="2"/>
  <c r="N105" i="2"/>
  <c r="T211" i="2"/>
  <c r="U212" i="2"/>
  <c r="AD24" i="2"/>
  <c r="W212" i="2"/>
  <c r="M128" i="2"/>
  <c r="M129" i="2" s="1"/>
  <c r="M255" i="2"/>
  <c r="M165" i="2"/>
  <c r="O7" i="2"/>
  <c r="P7" i="2" s="1"/>
  <c r="Q7" i="2" s="1"/>
  <c r="R7" i="2" s="1"/>
  <c r="N20" i="2"/>
  <c r="N21" i="2" s="1"/>
  <c r="O105" i="2"/>
  <c r="R128" i="2"/>
  <c r="R129" i="2" s="1"/>
  <c r="R131" i="2" s="1"/>
  <c r="R133" i="2" s="1"/>
  <c r="J101" i="2"/>
  <c r="J170" i="2" s="1"/>
  <c r="J171" i="2" s="1"/>
  <c r="U84" i="2"/>
  <c r="H105" i="2"/>
  <c r="J105" i="2"/>
  <c r="T212" i="2"/>
  <c r="U211" i="2"/>
  <c r="V212" i="2"/>
  <c r="Z212" i="2"/>
  <c r="N137" i="2"/>
  <c r="V77" i="2"/>
  <c r="G105" i="2"/>
  <c r="I105" i="2"/>
  <c r="AC182" i="2"/>
  <c r="AC185" i="2" s="1"/>
  <c r="AC188" i="2" s="1"/>
  <c r="AD27" i="2"/>
  <c r="Z31" i="2"/>
  <c r="Z33" i="2" s="1"/>
  <c r="Z38" i="2" s="1"/>
  <c r="AC24" i="2"/>
  <c r="L116" i="2"/>
  <c r="L120" i="2" s="1"/>
  <c r="V84" i="2"/>
  <c r="Y84" i="2"/>
  <c r="K105" i="2"/>
  <c r="AD182" i="2"/>
  <c r="AD185" i="2" s="1"/>
  <c r="AD188" i="2" s="1"/>
  <c r="AD17" i="2"/>
  <c r="K165" i="2"/>
  <c r="N116" i="2"/>
  <c r="N120" i="2" s="1"/>
  <c r="I193" i="2"/>
  <c r="O116" i="2"/>
  <c r="O120" i="2" s="1"/>
  <c r="T84" i="2"/>
  <c r="T31" i="2"/>
  <c r="T213" i="2" s="1"/>
  <c r="U31" i="2"/>
  <c r="U86" i="2" s="1"/>
  <c r="U93" i="2" s="1"/>
  <c r="V31" i="2"/>
  <c r="V213" i="2" s="1"/>
  <c r="L165" i="2"/>
  <c r="K116" i="2"/>
  <c r="K120" i="2" s="1"/>
  <c r="K255" i="2" s="1"/>
  <c r="G193" i="2"/>
  <c r="G192" i="2"/>
  <c r="Z84" i="2"/>
  <c r="Z211" i="2"/>
  <c r="W31" i="2"/>
  <c r="W86" i="2" s="1"/>
  <c r="W93" i="2" s="1"/>
  <c r="J242" i="2"/>
  <c r="J246" i="2" s="1"/>
  <c r="O19" i="2"/>
  <c r="G132" i="2"/>
  <c r="J192" i="2"/>
  <c r="AA84" i="2"/>
  <c r="W84" i="2"/>
  <c r="H211" i="2"/>
  <c r="H200" i="2"/>
  <c r="G200" i="2"/>
  <c r="H137" i="2"/>
  <c r="AC81" i="2"/>
  <c r="AD91" i="2"/>
  <c r="AD210" i="2"/>
  <c r="AD205" i="2"/>
  <c r="AD206" i="2"/>
  <c r="AD207" i="2"/>
  <c r="AD208" i="2"/>
  <c r="AD209" i="2"/>
  <c r="AC210" i="2"/>
  <c r="AD214" i="2"/>
  <c r="AD79" i="2"/>
  <c r="AD78" i="2"/>
  <c r="AC91" i="2"/>
  <c r="AD90" i="2"/>
  <c r="AD82" i="2"/>
  <c r="AC205" i="2"/>
  <c r="AC206" i="2"/>
  <c r="AC207" i="2"/>
  <c r="AC208" i="2"/>
  <c r="AC209" i="2"/>
  <c r="AC204" i="2"/>
  <c r="AD204" i="2"/>
  <c r="AC79" i="2"/>
  <c r="AD81" i="2"/>
  <c r="AC87" i="2"/>
  <c r="AC214" i="2"/>
  <c r="AC82" i="2"/>
  <c r="O22" i="2"/>
  <c r="P133" i="2"/>
  <c r="N132" i="2"/>
  <c r="J128" i="2"/>
  <c r="J129" i="2" s="1"/>
  <c r="K137" i="2"/>
  <c r="M137" i="2"/>
  <c r="J137" i="2"/>
  <c r="J31" i="2"/>
  <c r="J33" i="2" s="1"/>
  <c r="G165" i="2"/>
  <c r="M212" i="2"/>
  <c r="J211" i="2"/>
  <c r="J212" i="2"/>
  <c r="G31" i="2"/>
  <c r="G213" i="2" s="1"/>
  <c r="M211" i="2"/>
  <c r="L105" i="2"/>
  <c r="I31" i="2"/>
  <c r="I86" i="2" s="1"/>
  <c r="I93" i="2" s="1"/>
  <c r="Q6" i="2"/>
  <c r="L84" i="2"/>
  <c r="O137" i="2"/>
  <c r="H128" i="2"/>
  <c r="H129" i="2" s="1"/>
  <c r="I128" i="2"/>
  <c r="I129" i="2" s="1"/>
  <c r="H193" i="2"/>
  <c r="H192" i="2"/>
  <c r="H84" i="2"/>
  <c r="I132" i="2"/>
  <c r="K84" i="2"/>
  <c r="W211" i="2"/>
  <c r="M31" i="2"/>
  <c r="M213" i="2" s="1"/>
  <c r="G242" i="2"/>
  <c r="G211" i="2"/>
  <c r="K132" i="2"/>
  <c r="L137" i="2"/>
  <c r="M105" i="2"/>
  <c r="G77" i="2"/>
  <c r="G84" i="2" s="1"/>
  <c r="M242" i="2"/>
  <c r="M246" i="2" s="1"/>
  <c r="J84" i="2"/>
  <c r="M132" i="2"/>
  <c r="Z213" i="2"/>
  <c r="G212" i="2"/>
  <c r="G137" i="2"/>
  <c r="G128" i="2"/>
  <c r="G129" i="2" s="1"/>
  <c r="H132" i="2"/>
  <c r="J132" i="2"/>
  <c r="L132" i="2"/>
  <c r="K212" i="2"/>
  <c r="K211" i="2"/>
  <c r="H242" i="2"/>
  <c r="H246" i="2" s="1"/>
  <c r="H31" i="2"/>
  <c r="H165" i="2"/>
  <c r="H212" i="2"/>
  <c r="I192" i="2"/>
  <c r="J193" i="2"/>
  <c r="K193" i="2"/>
  <c r="K192" i="2"/>
  <c r="L193" i="2"/>
  <c r="M193" i="2"/>
  <c r="L192" i="2"/>
  <c r="AD77" i="2"/>
  <c r="X212" i="2"/>
  <c r="X211" i="2"/>
  <c r="L242" i="2"/>
  <c r="L246" i="2" s="1"/>
  <c r="L31" i="2"/>
  <c r="M200" i="2"/>
  <c r="O8" i="2"/>
  <c r="O15" i="2" s="1"/>
  <c r="I84" i="2"/>
  <c r="L211" i="2"/>
  <c r="AC17" i="2"/>
  <c r="AA31" i="2"/>
  <c r="AD21" i="2"/>
  <c r="AD211" i="2" s="1"/>
  <c r="AC21" i="2"/>
  <c r="Y212" i="2"/>
  <c r="Y211" i="2"/>
  <c r="Y31" i="2"/>
  <c r="X31" i="2"/>
  <c r="I242" i="2"/>
  <c r="I246" i="2" s="1"/>
  <c r="J200" i="2"/>
  <c r="I165" i="2"/>
  <c r="I212" i="2"/>
  <c r="I211" i="2"/>
  <c r="I200" i="2"/>
  <c r="AA212" i="2"/>
  <c r="AA211" i="2"/>
  <c r="W33" i="2"/>
  <c r="W38" i="2" s="1"/>
  <c r="X77" i="2"/>
  <c r="X84" i="2" s="1"/>
  <c r="M84" i="2"/>
  <c r="L212" i="2"/>
  <c r="K242" i="2"/>
  <c r="K200" i="2"/>
  <c r="K31" i="2"/>
  <c r="M192" i="2"/>
  <c r="N8" i="2"/>
  <c r="P8" i="2" l="1"/>
  <c r="P13" i="2" s="1"/>
  <c r="P249" i="2" s="1"/>
  <c r="R101" i="2"/>
  <c r="V86" i="2"/>
  <c r="V93" i="2" s="1"/>
  <c r="V33" i="2"/>
  <c r="U213" i="2"/>
  <c r="N100" i="2"/>
  <c r="T86" i="2"/>
  <c r="T93" i="2" s="1"/>
  <c r="O128" i="2"/>
  <c r="O129" i="2" s="1"/>
  <c r="O255" i="2"/>
  <c r="N128" i="2"/>
  <c r="N129" i="2" s="1"/>
  <c r="N131" i="2" s="1"/>
  <c r="N255" i="2"/>
  <c r="K128" i="2"/>
  <c r="K129" i="2" s="1"/>
  <c r="K151" i="2" s="1"/>
  <c r="L128" i="2"/>
  <c r="L129" i="2" s="1"/>
  <c r="L255" i="2"/>
  <c r="J145" i="2"/>
  <c r="P22" i="2"/>
  <c r="Q22" i="2" s="1"/>
  <c r="R22" i="2" s="1"/>
  <c r="P19" i="2"/>
  <c r="Q19" i="2" s="1"/>
  <c r="K243" i="2"/>
  <c r="O20" i="2"/>
  <c r="O21" i="2" s="1"/>
  <c r="Z86" i="2"/>
  <c r="Z93" i="2" s="1"/>
  <c r="U33" i="2"/>
  <c r="W213" i="2"/>
  <c r="T33" i="2"/>
  <c r="T38" i="2" s="1"/>
  <c r="M150" i="2"/>
  <c r="M139" i="2"/>
  <c r="J150" i="2"/>
  <c r="J139" i="2"/>
  <c r="V38" i="2"/>
  <c r="I150" i="2"/>
  <c r="I139" i="2"/>
  <c r="G150" i="2"/>
  <c r="G139" i="2"/>
  <c r="K150" i="2"/>
  <c r="K139" i="2"/>
  <c r="L150" i="2"/>
  <c r="L139" i="2"/>
  <c r="I153" i="2"/>
  <c r="I142" i="2"/>
  <c r="J38" i="2"/>
  <c r="J213" i="2"/>
  <c r="H150" i="2"/>
  <c r="H139" i="2"/>
  <c r="J86" i="2"/>
  <c r="J93" i="2" s="1"/>
  <c r="J143" i="2" s="1"/>
  <c r="U38" i="2"/>
  <c r="M140" i="2"/>
  <c r="G246" i="2"/>
  <c r="G243" i="2"/>
  <c r="L162" i="2"/>
  <c r="L163" i="2" s="1"/>
  <c r="L140" i="2"/>
  <c r="I143" i="2"/>
  <c r="I99" i="2"/>
  <c r="I101" i="2" s="1"/>
  <c r="I170" i="2" s="1"/>
  <c r="I171" i="2" s="1"/>
  <c r="H162" i="2"/>
  <c r="H163" i="2" s="1"/>
  <c r="H140" i="2"/>
  <c r="I140" i="2"/>
  <c r="J140" i="2"/>
  <c r="G140" i="2"/>
  <c r="K162" i="2"/>
  <c r="K163" i="2" s="1"/>
  <c r="K140" i="2"/>
  <c r="I154" i="2"/>
  <c r="I151" i="2"/>
  <c r="I131" i="2"/>
  <c r="I133" i="2" s="1"/>
  <c r="H131" i="2"/>
  <c r="H133" i="2" s="1"/>
  <c r="H151" i="2"/>
  <c r="G151" i="2"/>
  <c r="J156" i="2"/>
  <c r="J151" i="2"/>
  <c r="L151" i="2"/>
  <c r="M131" i="2"/>
  <c r="M133" i="2" s="1"/>
  <c r="M151" i="2"/>
  <c r="AD84" i="2"/>
  <c r="O23" i="2"/>
  <c r="O24" i="2" s="1"/>
  <c r="O100" i="2" s="1"/>
  <c r="P161" i="2"/>
  <c r="P12" i="2"/>
  <c r="N133" i="2"/>
  <c r="L131" i="2"/>
  <c r="L133" i="2" s="1"/>
  <c r="G33" i="2"/>
  <c r="G86" i="2"/>
  <c r="G93" i="2" s="1"/>
  <c r="I213" i="2"/>
  <c r="I33" i="2"/>
  <c r="M86" i="2"/>
  <c r="M93" i="2" s="1"/>
  <c r="M166" i="2" s="1"/>
  <c r="M167" i="2" s="1"/>
  <c r="P78" i="2"/>
  <c r="P87" i="2"/>
  <c r="P14" i="2"/>
  <c r="P248" i="2" s="1"/>
  <c r="P65" i="2"/>
  <c r="P253" i="2" s="1"/>
  <c r="R6" i="2"/>
  <c r="Q8" i="2"/>
  <c r="Q13" i="2" s="1"/>
  <c r="Q249" i="2" s="1"/>
  <c r="P15" i="2"/>
  <c r="O161" i="2"/>
  <c r="O165" i="2"/>
  <c r="O131" i="2"/>
  <c r="O133" i="2" s="1"/>
  <c r="O13" i="2"/>
  <c r="M33" i="2"/>
  <c r="J162" i="2"/>
  <c r="J163" i="2" s="1"/>
  <c r="O14" i="2"/>
  <c r="O248" i="2" s="1"/>
  <c r="O12" i="2"/>
  <c r="H243" i="2"/>
  <c r="N65" i="2"/>
  <c r="N253" i="2" s="1"/>
  <c r="N161" i="2"/>
  <c r="N165" i="2"/>
  <c r="Y33" i="2"/>
  <c r="Y213" i="2"/>
  <c r="Y86" i="2"/>
  <c r="Y93" i="2" s="1"/>
  <c r="AC212" i="2"/>
  <c r="AC211" i="2"/>
  <c r="AC77" i="2"/>
  <c r="AC84" i="2" s="1"/>
  <c r="G162" i="2"/>
  <c r="G163" i="2" s="1"/>
  <c r="N13" i="2"/>
  <c r="N249" i="2" s="1"/>
  <c r="N15" i="2"/>
  <c r="AA213" i="2"/>
  <c r="AA33" i="2"/>
  <c r="AA86" i="2"/>
  <c r="AA93" i="2" s="1"/>
  <c r="I162" i="2"/>
  <c r="I163" i="2" s="1"/>
  <c r="O242" i="2"/>
  <c r="O65" i="2"/>
  <c r="O253" i="2" s="1"/>
  <c r="L33" i="2"/>
  <c r="L213" i="2"/>
  <c r="L86" i="2"/>
  <c r="L93" i="2" s="1"/>
  <c r="G131" i="2"/>
  <c r="G133" i="2" s="1"/>
  <c r="K246" i="2"/>
  <c r="I166" i="2"/>
  <c r="I167" i="2" s="1"/>
  <c r="N12" i="2"/>
  <c r="N242" i="2"/>
  <c r="N243" i="2" s="1"/>
  <c r="K213" i="2"/>
  <c r="K33" i="2"/>
  <c r="K86" i="2"/>
  <c r="K93" i="2" s="1"/>
  <c r="AD31" i="2"/>
  <c r="J243" i="2"/>
  <c r="I243" i="2"/>
  <c r="L243" i="2"/>
  <c r="M243" i="2"/>
  <c r="AD212" i="2"/>
  <c r="N14" i="2"/>
  <c r="N248" i="2" s="1"/>
  <c r="M162" i="2"/>
  <c r="M163" i="2" s="1"/>
  <c r="X213" i="2"/>
  <c r="AC31" i="2"/>
  <c r="X33" i="2"/>
  <c r="X38" i="2" s="1"/>
  <c r="X86" i="2"/>
  <c r="X93" i="2" s="1"/>
  <c r="J131" i="2"/>
  <c r="J133" i="2" s="1"/>
  <c r="H33" i="2"/>
  <c r="H213" i="2"/>
  <c r="H86" i="2"/>
  <c r="H93" i="2" s="1"/>
  <c r="K131" i="2" l="1"/>
  <c r="K133" i="2" s="1"/>
  <c r="I156" i="2"/>
  <c r="I145" i="2"/>
  <c r="P242" i="2"/>
  <c r="P243" i="2" s="1"/>
  <c r="R19" i="2"/>
  <c r="R20" i="2" s="1"/>
  <c r="Q20" i="2"/>
  <c r="Q21" i="2" s="1"/>
  <c r="Q23" i="2"/>
  <c r="Q24" i="2" s="1"/>
  <c r="R23" i="2"/>
  <c r="R24" i="2" s="1"/>
  <c r="P23" i="2"/>
  <c r="P24" i="2" s="1"/>
  <c r="J154" i="2"/>
  <c r="M99" i="2"/>
  <c r="M101" i="2" s="1"/>
  <c r="M156" i="2" s="1"/>
  <c r="M158" i="2" s="1"/>
  <c r="P20" i="2"/>
  <c r="P21" i="2" s="1"/>
  <c r="O87" i="2"/>
  <c r="O249" i="2"/>
  <c r="O90" i="2"/>
  <c r="P165" i="2"/>
  <c r="H38" i="2"/>
  <c r="AA38" i="2"/>
  <c r="M38" i="2"/>
  <c r="I38" i="2"/>
  <c r="G154" i="2"/>
  <c r="G153" i="2"/>
  <c r="G142" i="2"/>
  <c r="J153" i="2"/>
  <c r="J142" i="2"/>
  <c r="K154" i="2"/>
  <c r="K153" i="2"/>
  <c r="K142" i="2"/>
  <c r="L153" i="2"/>
  <c r="L142" i="2"/>
  <c r="G38" i="2"/>
  <c r="J166" i="2"/>
  <c r="J167" i="2" s="1"/>
  <c r="Q242" i="2"/>
  <c r="H154" i="2"/>
  <c r="H153" i="2"/>
  <c r="H142" i="2"/>
  <c r="K38" i="2"/>
  <c r="L38" i="2"/>
  <c r="Y38" i="2"/>
  <c r="AD38" i="2" s="1"/>
  <c r="M153" i="2"/>
  <c r="M142" i="2"/>
  <c r="J99" i="2"/>
  <c r="L143" i="2"/>
  <c r="H143" i="2"/>
  <c r="H99" i="2"/>
  <c r="H101" i="2" s="1"/>
  <c r="M143" i="2"/>
  <c r="M154" i="2"/>
  <c r="L154" i="2"/>
  <c r="K143" i="2"/>
  <c r="G166" i="2"/>
  <c r="G167" i="2" s="1"/>
  <c r="G143" i="2"/>
  <c r="O78" i="2"/>
  <c r="Q78" i="2"/>
  <c r="Q87" i="2"/>
  <c r="R8" i="2"/>
  <c r="R65" i="2" s="1"/>
  <c r="R253" i="2" s="1"/>
  <c r="Q15" i="2"/>
  <c r="Q161" i="2"/>
  <c r="P17" i="2"/>
  <c r="Q12" i="2"/>
  <c r="Q65" i="2"/>
  <c r="Q253" i="2" s="1"/>
  <c r="P90" i="2"/>
  <c r="P81" i="2"/>
  <c r="Q14" i="2"/>
  <c r="Q248" i="2" s="1"/>
  <c r="O245" i="2"/>
  <c r="O246" i="2" s="1"/>
  <c r="O17" i="2"/>
  <c r="O81" i="2"/>
  <c r="K166" i="2"/>
  <c r="K167" i="2" s="1"/>
  <c r="K99" i="2"/>
  <c r="K101" i="2" s="1"/>
  <c r="K156" i="2" s="1"/>
  <c r="N245" i="2"/>
  <c r="N246" i="2" s="1"/>
  <c r="AC33" i="2"/>
  <c r="H166" i="2"/>
  <c r="H167" i="2" s="1"/>
  <c r="N81" i="2"/>
  <c r="N90" i="2"/>
  <c r="AD33" i="2"/>
  <c r="N87" i="2"/>
  <c r="N78" i="2"/>
  <c r="N17" i="2"/>
  <c r="AC213" i="2"/>
  <c r="AC86" i="2"/>
  <c r="AC93" i="2" s="1"/>
  <c r="AD213" i="2"/>
  <c r="AD86" i="2"/>
  <c r="AD93" i="2" s="1"/>
  <c r="L99" i="2"/>
  <c r="L101" i="2" s="1"/>
  <c r="L156" i="2" s="1"/>
  <c r="L166" i="2"/>
  <c r="L167" i="2" s="1"/>
  <c r="O243" i="2"/>
  <c r="Q100" i="2" l="1"/>
  <c r="P100" i="2"/>
  <c r="Q243" i="2"/>
  <c r="P245" i="2"/>
  <c r="P246" i="2" s="1"/>
  <c r="R21" i="2"/>
  <c r="R100" i="2" s="1"/>
  <c r="M170" i="2"/>
  <c r="M171" i="2" s="1"/>
  <c r="M173" i="2" s="1"/>
  <c r="M145" i="2"/>
  <c r="M147" i="2" s="1"/>
  <c r="H170" i="2"/>
  <c r="H171" i="2" s="1"/>
  <c r="H145" i="2"/>
  <c r="H156" i="2"/>
  <c r="AC38" i="2"/>
  <c r="Q165" i="2"/>
  <c r="Q245" i="2"/>
  <c r="Q246" i="2" s="1"/>
  <c r="L170" i="2"/>
  <c r="L171" i="2" s="1"/>
  <c r="L145" i="2"/>
  <c r="K170" i="2"/>
  <c r="K171" i="2" s="1"/>
  <c r="K145" i="2"/>
  <c r="Q90" i="2"/>
  <c r="Q81" i="2"/>
  <c r="P77" i="2"/>
  <c r="P84" i="2" s="1"/>
  <c r="P29" i="2"/>
  <c r="P251" i="2" s="1"/>
  <c r="R14" i="2"/>
  <c r="R248" i="2" s="1"/>
  <c r="R13" i="2"/>
  <c r="R249" i="2" s="1"/>
  <c r="R12" i="2"/>
  <c r="R15" i="2"/>
  <c r="Q17" i="2"/>
  <c r="R161" i="2"/>
  <c r="O77" i="2"/>
  <c r="O84" i="2" s="1"/>
  <c r="O29" i="2"/>
  <c r="O251" i="2" s="1"/>
  <c r="N77" i="2"/>
  <c r="N84" i="2" s="1"/>
  <c r="N29" i="2"/>
  <c r="N251" i="2" s="1"/>
  <c r="N30" i="2" l="1"/>
  <c r="N252" i="2" s="1"/>
  <c r="O30" i="2"/>
  <c r="O252" i="2" s="1"/>
  <c r="P30" i="2"/>
  <c r="P252" i="2" s="1"/>
  <c r="R165" i="2"/>
  <c r="R242" i="2"/>
  <c r="R243" i="2" s="1"/>
  <c r="O150" i="2"/>
  <c r="O139" i="2"/>
  <c r="N150" i="2"/>
  <c r="N139" i="2"/>
  <c r="P150" i="2"/>
  <c r="P139" i="2"/>
  <c r="P151" i="2"/>
  <c r="P140" i="2"/>
  <c r="O140" i="2"/>
  <c r="O151" i="2"/>
  <c r="N140" i="2"/>
  <c r="N151" i="2"/>
  <c r="R17" i="2"/>
  <c r="R29" i="2" s="1"/>
  <c r="R251" i="2" s="1"/>
  <c r="P162" i="2"/>
  <c r="P163" i="2" s="1"/>
  <c r="R90" i="2"/>
  <c r="R81" i="2"/>
  <c r="R245" i="2"/>
  <c r="Q77" i="2"/>
  <c r="Q84" i="2" s="1"/>
  <c r="Q29" i="2"/>
  <c r="Q251" i="2" s="1"/>
  <c r="R87" i="2"/>
  <c r="R78" i="2"/>
  <c r="P89" i="2"/>
  <c r="O162" i="2"/>
  <c r="O163" i="2" s="1"/>
  <c r="O89" i="2"/>
  <c r="N89" i="2"/>
  <c r="N162" i="2"/>
  <c r="N163" i="2" s="1"/>
  <c r="N31" i="2" l="1"/>
  <c r="P31" i="2"/>
  <c r="O31" i="2"/>
  <c r="Q30" i="2"/>
  <c r="Q252" i="2" s="1"/>
  <c r="R246" i="2"/>
  <c r="R77" i="2"/>
  <c r="R84" i="2" s="1"/>
  <c r="Q150" i="2"/>
  <c r="Q139" i="2"/>
  <c r="Q151" i="2"/>
  <c r="Q140" i="2"/>
  <c r="R30" i="2"/>
  <c r="R31" i="2" s="1"/>
  <c r="Q162" i="2"/>
  <c r="Q163" i="2" s="1"/>
  <c r="Q89" i="2"/>
  <c r="R89" i="2"/>
  <c r="O33" i="2"/>
  <c r="R86" i="2" l="1"/>
  <c r="R66" i="2"/>
  <c r="O86" i="2"/>
  <c r="O93" i="2" s="1"/>
  <c r="O153" i="2" s="1"/>
  <c r="O66" i="2"/>
  <c r="O254" i="2" s="1"/>
  <c r="P33" i="2"/>
  <c r="P66" i="2"/>
  <c r="N86" i="2"/>
  <c r="N93" i="2" s="1"/>
  <c r="N153" i="2" s="1"/>
  <c r="N66" i="2"/>
  <c r="N33" i="2"/>
  <c r="P86" i="2"/>
  <c r="P93" i="2" s="1"/>
  <c r="P154" i="2" s="1"/>
  <c r="Q31" i="2"/>
  <c r="R150" i="2"/>
  <c r="R139" i="2"/>
  <c r="R151" i="2"/>
  <c r="R140" i="2"/>
  <c r="O154" i="2"/>
  <c r="R33" i="2"/>
  <c r="R254" i="2" s="1"/>
  <c r="R252" i="2"/>
  <c r="R93" i="2"/>
  <c r="R162" i="2"/>
  <c r="R163" i="2" s="1"/>
  <c r="N99" i="2"/>
  <c r="N156" i="2" s="1"/>
  <c r="N158" i="2" s="1"/>
  <c r="O166" i="2" l="1"/>
  <c r="O167" i="2" s="1"/>
  <c r="N154" i="2"/>
  <c r="P254" i="2"/>
  <c r="Q86" i="2"/>
  <c r="Q93" i="2" s="1"/>
  <c r="Q143" i="2" s="1"/>
  <c r="Q66" i="2"/>
  <c r="N166" i="2"/>
  <c r="N167" i="2" s="1"/>
  <c r="O99" i="2"/>
  <c r="O156" i="2" s="1"/>
  <c r="O158" i="2" s="1"/>
  <c r="O143" i="2"/>
  <c r="N142" i="2"/>
  <c r="O142" i="2"/>
  <c r="N254" i="2"/>
  <c r="N143" i="2"/>
  <c r="Q33" i="2"/>
  <c r="P142" i="2"/>
  <c r="P99" i="2"/>
  <c r="P156" i="2" s="1"/>
  <c r="P158" i="2" s="1"/>
  <c r="P153" i="2"/>
  <c r="P166" i="2"/>
  <c r="P167" i="2" s="1"/>
  <c r="P143" i="2"/>
  <c r="R153" i="2"/>
  <c r="R142" i="2"/>
  <c r="Q153" i="2"/>
  <c r="Q142" i="2"/>
  <c r="R143" i="2"/>
  <c r="R154" i="2"/>
  <c r="Q154" i="2"/>
  <c r="P145" i="2"/>
  <c r="P147" i="2" s="1"/>
  <c r="O170" i="2"/>
  <c r="O171" i="2" s="1"/>
  <c r="O173" i="2" s="1"/>
  <c r="O145" i="2"/>
  <c r="O147" i="2" s="1"/>
  <c r="N170" i="2"/>
  <c r="N171" i="2" s="1"/>
  <c r="N173" i="2" s="1"/>
  <c r="N145" i="2"/>
  <c r="N147" i="2" s="1"/>
  <c r="Q166" i="2"/>
  <c r="Q167" i="2" s="1"/>
  <c r="Q99" i="2"/>
  <c r="Q156" i="2" s="1"/>
  <c r="Q158" i="2" s="1"/>
  <c r="R166" i="2"/>
  <c r="R167" i="2" s="1"/>
  <c r="R99" i="2"/>
  <c r="R156" i="2" s="1"/>
  <c r="R158" i="2" s="1"/>
  <c r="Q254" i="2" l="1"/>
  <c r="P170" i="2"/>
  <c r="P171" i="2" s="1"/>
  <c r="P173" i="2" s="1"/>
  <c r="R170" i="2"/>
  <c r="R171" i="2" s="1"/>
  <c r="R173" i="2" s="1"/>
  <c r="R145" i="2"/>
  <c r="R147" i="2" s="1"/>
  <c r="Q170" i="2"/>
  <c r="Q171" i="2" s="1"/>
  <c r="Q173" i="2" s="1"/>
  <c r="Q145" i="2"/>
  <c r="Q147" i="2" s="1"/>
  <c r="R148" i="2" l="1"/>
  <c r="R159" i="2"/>
  <c r="R17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clayton_montgomery</author>
    <author>Montgomery, Clayton</author>
  </authors>
  <commentList>
    <comment ref="A1" authorId="0" shapeId="0" xr:uid="{00000000-0006-0000-0100-000001000000}">
      <text>
        <r>
          <rPr>
            <b/>
            <sz val="9"/>
            <color indexed="81"/>
            <rFont val="Tahoma"/>
            <family val="2"/>
          </rPr>
          <t>clayton_montgomery:</t>
        </r>
        <r>
          <rPr>
            <sz val="9"/>
            <color indexed="81"/>
            <rFont val="Tahoma"/>
            <family val="2"/>
          </rPr>
          <t xml:space="preserve">
Do not lock</t>
        </r>
      </text>
    </comment>
    <comment ref="A2" authorId="0" shapeId="0" xr:uid="{00000000-0006-0000-0100-000002000000}">
      <text>
        <r>
          <rPr>
            <b/>
            <sz val="9"/>
            <color indexed="81"/>
            <rFont val="Tahoma"/>
            <family val="2"/>
          </rPr>
          <t>clayton_montgomery:</t>
        </r>
        <r>
          <rPr>
            <sz val="9"/>
            <color indexed="81"/>
            <rFont val="Tahoma"/>
            <family val="2"/>
          </rPr>
          <t xml:space="preserve">
Do not lock</t>
        </r>
      </text>
    </comment>
    <comment ref="X2" authorId="0" shapeId="0" xr:uid="{00000000-0006-0000-0100-000003000000}">
      <text>
        <r>
          <rPr>
            <b/>
            <sz val="9"/>
            <color indexed="81"/>
            <rFont val="Tahoma"/>
            <family val="2"/>
          </rPr>
          <t>clayton_montgomery:</t>
        </r>
        <r>
          <rPr>
            <sz val="9"/>
            <color indexed="81"/>
            <rFont val="Tahoma"/>
            <family val="2"/>
          </rPr>
          <t xml:space="preserve">
does not change
do not delete</t>
        </r>
      </text>
    </comment>
    <comment ref="Y2" authorId="0" shapeId="0" xr:uid="{00000000-0006-0000-0100-000004000000}">
      <text>
        <r>
          <rPr>
            <b/>
            <sz val="9"/>
            <color indexed="81"/>
            <rFont val="Tahoma"/>
            <family val="2"/>
          </rPr>
          <t>clayton_montgomery:</t>
        </r>
        <r>
          <rPr>
            <sz val="9"/>
            <color indexed="81"/>
            <rFont val="Tahoma"/>
            <family val="2"/>
          </rPr>
          <t xml:space="preserve">
does not change
do not delete</t>
        </r>
      </text>
    </comment>
    <comment ref="Z2" authorId="0" shapeId="0" xr:uid="{00000000-0006-0000-0100-000005000000}">
      <text>
        <r>
          <rPr>
            <b/>
            <sz val="9"/>
            <color indexed="81"/>
            <rFont val="Tahoma"/>
            <family val="2"/>
          </rPr>
          <t>clayton_montgomery:</t>
        </r>
        <r>
          <rPr>
            <sz val="9"/>
            <color indexed="81"/>
            <rFont val="Tahoma"/>
            <family val="2"/>
          </rPr>
          <t xml:space="preserve">
does not change
do not delete</t>
        </r>
      </text>
    </comment>
    <comment ref="AA2" authorId="0" shapeId="0" xr:uid="{00000000-0006-0000-0100-000006000000}">
      <text>
        <r>
          <rPr>
            <b/>
            <sz val="9"/>
            <color indexed="81"/>
            <rFont val="Tahoma"/>
            <family val="2"/>
          </rPr>
          <t>clayton_montgomery:</t>
        </r>
        <r>
          <rPr>
            <sz val="9"/>
            <color indexed="81"/>
            <rFont val="Tahoma"/>
            <family val="2"/>
          </rPr>
          <t xml:space="preserve">
does not change
do not delete</t>
        </r>
      </text>
    </comment>
    <comment ref="A3" authorId="0" shapeId="0" xr:uid="{00000000-0006-0000-0100-000007000000}">
      <text>
        <r>
          <rPr>
            <b/>
            <sz val="9"/>
            <color indexed="81"/>
            <rFont val="Tahoma"/>
            <family val="2"/>
          </rPr>
          <t>clayton_montgomery:</t>
        </r>
        <r>
          <rPr>
            <sz val="9"/>
            <color indexed="81"/>
            <rFont val="Tahoma"/>
            <family val="2"/>
          </rPr>
          <t xml:space="preserve">
Do not lock</t>
        </r>
      </text>
    </comment>
    <comment ref="M3" authorId="0" shapeId="0" xr:uid="{00000000-0006-0000-0100-000008000000}">
      <text>
        <r>
          <rPr>
            <b/>
            <sz val="9"/>
            <color indexed="81"/>
            <rFont val="Tahoma"/>
            <family val="2"/>
          </rPr>
          <t>clayton_montgomery:</t>
        </r>
        <r>
          <rPr>
            <sz val="9"/>
            <color indexed="81"/>
            <rFont val="Tahoma"/>
            <family val="2"/>
          </rPr>
          <t xml:space="preserve">
Enter last historical year here</t>
        </r>
      </text>
    </comment>
    <comment ref="N11" authorId="1" shapeId="0" xr:uid="{00000000-0006-0000-0100-000009000000}">
      <text>
        <r>
          <rPr>
            <b/>
            <sz val="9"/>
            <color indexed="81"/>
            <rFont val="Tahoma"/>
            <family val="2"/>
          </rPr>
          <t>Montgomery, Clayton:</t>
        </r>
        <r>
          <rPr>
            <sz val="9"/>
            <color indexed="81"/>
            <rFont val="Tahoma"/>
            <family val="2"/>
          </rPr>
          <t xml:space="preserve">
Link to ESP</t>
        </r>
      </text>
    </comment>
    <comment ref="O11" authorId="1" shapeId="0" xr:uid="{00000000-0006-0000-0100-00000A000000}">
      <text>
        <r>
          <rPr>
            <b/>
            <sz val="9"/>
            <color indexed="81"/>
            <rFont val="Tahoma"/>
            <family val="2"/>
          </rPr>
          <t>Montgomery, Clayton:</t>
        </r>
        <r>
          <rPr>
            <sz val="9"/>
            <color indexed="81"/>
            <rFont val="Tahoma"/>
            <family val="2"/>
          </rPr>
          <t xml:space="preserve">
Link to ESP</t>
        </r>
      </text>
    </comment>
    <comment ref="P11" authorId="1" shapeId="0" xr:uid="{00000000-0006-0000-0100-00000B000000}">
      <text>
        <r>
          <rPr>
            <b/>
            <sz val="9"/>
            <color indexed="81"/>
            <rFont val="Tahoma"/>
            <family val="2"/>
          </rPr>
          <t>Montgomery, Clayton:</t>
        </r>
        <r>
          <rPr>
            <sz val="9"/>
            <color indexed="81"/>
            <rFont val="Tahoma"/>
            <family val="2"/>
          </rPr>
          <t xml:space="preserve">
Link to ESP</t>
        </r>
      </text>
    </comment>
    <comment ref="Q11" authorId="1" shapeId="0" xr:uid="{00000000-0006-0000-0100-00000C000000}">
      <text>
        <r>
          <rPr>
            <b/>
            <sz val="9"/>
            <color indexed="81"/>
            <rFont val="Tahoma"/>
            <family val="2"/>
          </rPr>
          <t>Montgomery, Clayton:</t>
        </r>
        <r>
          <rPr>
            <sz val="9"/>
            <color indexed="81"/>
            <rFont val="Tahoma"/>
            <family val="2"/>
          </rPr>
          <t xml:space="preserve">
Link to ESP</t>
        </r>
      </text>
    </comment>
    <comment ref="R11" authorId="1" shapeId="0" xr:uid="{00000000-0006-0000-0100-00000D000000}">
      <text>
        <r>
          <rPr>
            <b/>
            <sz val="9"/>
            <color indexed="81"/>
            <rFont val="Tahoma"/>
            <family val="2"/>
          </rPr>
          <t>Montgomery, Clayton:</t>
        </r>
        <r>
          <rPr>
            <sz val="9"/>
            <color indexed="81"/>
            <rFont val="Tahoma"/>
            <family val="2"/>
          </rPr>
          <t xml:space="preserve">
Link to ESP</t>
        </r>
      </text>
    </comment>
    <comment ref="B19" authorId="0" shapeId="0" xr:uid="{00000000-0006-0000-0100-00000E000000}">
      <text>
        <r>
          <rPr>
            <b/>
            <sz val="9"/>
            <color indexed="81"/>
            <rFont val="Tahoma"/>
            <family val="2"/>
          </rPr>
          <t>clayton_montgomery:</t>
        </r>
        <r>
          <rPr>
            <sz val="9"/>
            <color indexed="81"/>
            <rFont val="Tahoma"/>
            <family val="2"/>
          </rPr>
          <t xml:space="preserve">
please input zeros if empty</t>
        </r>
      </text>
    </comment>
    <comment ref="B20" authorId="0" shapeId="0" xr:uid="{00000000-0006-0000-0100-00000F000000}">
      <text>
        <r>
          <rPr>
            <b/>
            <sz val="9"/>
            <color indexed="81"/>
            <rFont val="Tahoma"/>
            <family val="2"/>
          </rPr>
          <t>clayton_montgomery:</t>
        </r>
        <r>
          <rPr>
            <sz val="9"/>
            <color indexed="81"/>
            <rFont val="Tahoma"/>
            <family val="2"/>
          </rPr>
          <t xml:space="preserve">
please input zeros if empty</t>
        </r>
      </text>
    </comment>
    <comment ref="B22" authorId="0" shapeId="0" xr:uid="{00000000-0006-0000-0100-000010000000}">
      <text>
        <r>
          <rPr>
            <b/>
            <sz val="9"/>
            <color indexed="81"/>
            <rFont val="Tahoma"/>
            <family val="2"/>
          </rPr>
          <t>clayton_montgomery:</t>
        </r>
        <r>
          <rPr>
            <sz val="9"/>
            <color indexed="81"/>
            <rFont val="Tahoma"/>
            <family val="2"/>
          </rPr>
          <t xml:space="preserve">
please input zeros if empty</t>
        </r>
      </text>
    </comment>
    <comment ref="B23" authorId="0" shapeId="0" xr:uid="{00000000-0006-0000-0100-000011000000}">
      <text>
        <r>
          <rPr>
            <b/>
            <sz val="9"/>
            <color indexed="81"/>
            <rFont val="Tahoma"/>
            <family val="2"/>
          </rPr>
          <t>clayton_montgomery:</t>
        </r>
        <r>
          <rPr>
            <sz val="9"/>
            <color indexed="81"/>
            <rFont val="Tahoma"/>
            <family val="2"/>
          </rPr>
          <t xml:space="preserve">
please input zeros if empty</t>
        </r>
      </text>
    </comment>
    <comment ref="B25" authorId="0" shapeId="0" xr:uid="{00000000-0006-0000-0100-000012000000}">
      <text>
        <r>
          <rPr>
            <b/>
            <sz val="9"/>
            <color indexed="81"/>
            <rFont val="Tahoma"/>
            <family val="2"/>
          </rPr>
          <t>clayton_montgomery:</t>
        </r>
        <r>
          <rPr>
            <sz val="9"/>
            <color indexed="81"/>
            <rFont val="Tahoma"/>
            <family val="2"/>
          </rPr>
          <t xml:space="preserve">
please input zeros if empty</t>
        </r>
      </text>
    </comment>
    <comment ref="B26" authorId="0" shapeId="0" xr:uid="{00000000-0006-0000-0100-000013000000}">
      <text>
        <r>
          <rPr>
            <b/>
            <sz val="9"/>
            <color indexed="81"/>
            <rFont val="Tahoma"/>
            <family val="2"/>
          </rPr>
          <t>clayton_montgomery:</t>
        </r>
        <r>
          <rPr>
            <sz val="9"/>
            <color indexed="81"/>
            <rFont val="Tahoma"/>
            <family val="2"/>
          </rPr>
          <t xml:space="preserve">
please input zeros if empty</t>
        </r>
      </text>
    </comment>
    <comment ref="N42" authorId="1" shapeId="0" xr:uid="{00000000-0006-0000-0100-000014000000}">
      <text>
        <r>
          <rPr>
            <b/>
            <sz val="9"/>
            <color indexed="81"/>
            <rFont val="Tahoma"/>
            <family val="2"/>
          </rPr>
          <t>Montgomery, Clayton:</t>
        </r>
        <r>
          <rPr>
            <sz val="9"/>
            <color indexed="81"/>
            <rFont val="Tahoma"/>
            <family val="2"/>
          </rPr>
          <t xml:space="preserve">
Link to ESP</t>
        </r>
      </text>
    </comment>
    <comment ref="O42" authorId="1" shapeId="0" xr:uid="{00000000-0006-0000-0100-000015000000}">
      <text>
        <r>
          <rPr>
            <b/>
            <sz val="9"/>
            <color indexed="81"/>
            <rFont val="Tahoma"/>
            <family val="2"/>
          </rPr>
          <t>Montgomery, Clayton:</t>
        </r>
        <r>
          <rPr>
            <sz val="9"/>
            <color indexed="81"/>
            <rFont val="Tahoma"/>
            <family val="2"/>
          </rPr>
          <t xml:space="preserve">
Link to ESP</t>
        </r>
      </text>
    </comment>
    <comment ref="P42" authorId="1" shapeId="0" xr:uid="{00000000-0006-0000-0100-000016000000}">
      <text>
        <r>
          <rPr>
            <b/>
            <sz val="9"/>
            <color indexed="81"/>
            <rFont val="Tahoma"/>
            <family val="2"/>
          </rPr>
          <t>Montgomery, Clayton:</t>
        </r>
        <r>
          <rPr>
            <sz val="9"/>
            <color indexed="81"/>
            <rFont val="Tahoma"/>
            <family val="2"/>
          </rPr>
          <t xml:space="preserve">
Link to ESP</t>
        </r>
      </text>
    </comment>
    <comment ref="Q42" authorId="1" shapeId="0" xr:uid="{00000000-0006-0000-0100-000017000000}">
      <text>
        <r>
          <rPr>
            <b/>
            <sz val="9"/>
            <color indexed="81"/>
            <rFont val="Tahoma"/>
            <family val="2"/>
          </rPr>
          <t>Montgomery, Clayton:</t>
        </r>
        <r>
          <rPr>
            <sz val="9"/>
            <color indexed="81"/>
            <rFont val="Tahoma"/>
            <family val="2"/>
          </rPr>
          <t xml:space="preserve">
Link to ESP</t>
        </r>
      </text>
    </comment>
    <comment ref="R42" authorId="1" shapeId="0" xr:uid="{00000000-0006-0000-0100-000018000000}">
      <text>
        <r>
          <rPr>
            <b/>
            <sz val="9"/>
            <color indexed="81"/>
            <rFont val="Tahoma"/>
            <family val="2"/>
          </rPr>
          <t>Montgomery, Clayton:</t>
        </r>
        <r>
          <rPr>
            <sz val="9"/>
            <color indexed="81"/>
            <rFont val="Tahoma"/>
            <family val="2"/>
          </rPr>
          <t xml:space="preserve">
Link to ESP</t>
        </r>
      </text>
    </comment>
    <comment ref="N43" authorId="1" shapeId="0" xr:uid="{00000000-0006-0000-0100-000019000000}">
      <text>
        <r>
          <rPr>
            <b/>
            <sz val="9"/>
            <color indexed="81"/>
            <rFont val="Tahoma"/>
            <family val="2"/>
          </rPr>
          <t>Montgomery, Clayton:</t>
        </r>
        <r>
          <rPr>
            <sz val="9"/>
            <color indexed="81"/>
            <rFont val="Tahoma"/>
            <family val="2"/>
          </rPr>
          <t xml:space="preserve">
Link to ESP</t>
        </r>
      </text>
    </comment>
    <comment ref="O43" authorId="1" shapeId="0" xr:uid="{00000000-0006-0000-0100-00001A000000}">
      <text>
        <r>
          <rPr>
            <b/>
            <sz val="9"/>
            <color indexed="81"/>
            <rFont val="Tahoma"/>
            <family val="2"/>
          </rPr>
          <t>Montgomery, Clayton:</t>
        </r>
        <r>
          <rPr>
            <sz val="9"/>
            <color indexed="81"/>
            <rFont val="Tahoma"/>
            <family val="2"/>
          </rPr>
          <t xml:space="preserve">
Link to ESP</t>
        </r>
      </text>
    </comment>
    <comment ref="P43" authorId="1" shapeId="0" xr:uid="{00000000-0006-0000-0100-00001B000000}">
      <text>
        <r>
          <rPr>
            <b/>
            <sz val="9"/>
            <color indexed="81"/>
            <rFont val="Tahoma"/>
            <family val="2"/>
          </rPr>
          <t>Montgomery, Clayton:</t>
        </r>
        <r>
          <rPr>
            <sz val="9"/>
            <color indexed="81"/>
            <rFont val="Tahoma"/>
            <family val="2"/>
          </rPr>
          <t xml:space="preserve">
Link to ESP</t>
        </r>
      </text>
    </comment>
    <comment ref="Q43" authorId="1" shapeId="0" xr:uid="{00000000-0006-0000-0100-00001C000000}">
      <text>
        <r>
          <rPr>
            <b/>
            <sz val="9"/>
            <color indexed="81"/>
            <rFont val="Tahoma"/>
            <family val="2"/>
          </rPr>
          <t>Montgomery, Clayton:</t>
        </r>
        <r>
          <rPr>
            <sz val="9"/>
            <color indexed="81"/>
            <rFont val="Tahoma"/>
            <family val="2"/>
          </rPr>
          <t xml:space="preserve">
Link to ESP</t>
        </r>
      </text>
    </comment>
    <comment ref="R43" authorId="1" shapeId="0" xr:uid="{00000000-0006-0000-0100-00001D000000}">
      <text>
        <r>
          <rPr>
            <b/>
            <sz val="9"/>
            <color indexed="81"/>
            <rFont val="Tahoma"/>
            <family val="2"/>
          </rPr>
          <t>Montgomery, Clayton:</t>
        </r>
        <r>
          <rPr>
            <sz val="9"/>
            <color indexed="81"/>
            <rFont val="Tahoma"/>
            <family val="2"/>
          </rPr>
          <t xml:space="preserve">
Link to ESP</t>
        </r>
      </text>
    </comment>
    <comment ref="N52" authorId="0" shapeId="0" xr:uid="{00000000-0006-0000-0100-00001E000000}">
      <text>
        <r>
          <rPr>
            <b/>
            <sz val="9"/>
            <color indexed="81"/>
            <rFont val="Tahoma"/>
            <family val="2"/>
          </rPr>
          <t>clayton_montgomery:</t>
        </r>
        <r>
          <rPr>
            <sz val="9"/>
            <color indexed="81"/>
            <rFont val="Tahoma"/>
            <family val="2"/>
          </rPr>
          <t xml:space="preserve">
input</t>
        </r>
      </text>
    </comment>
    <comment ref="O52" authorId="0" shapeId="0" xr:uid="{00000000-0006-0000-0100-00001F000000}">
      <text>
        <r>
          <rPr>
            <b/>
            <sz val="9"/>
            <color indexed="81"/>
            <rFont val="Tahoma"/>
            <family val="2"/>
          </rPr>
          <t>clayton_montgomery:</t>
        </r>
        <r>
          <rPr>
            <sz val="9"/>
            <color indexed="81"/>
            <rFont val="Tahoma"/>
            <family val="2"/>
          </rPr>
          <t xml:space="preserve">
input</t>
        </r>
      </text>
    </comment>
    <comment ref="P52" authorId="0" shapeId="0" xr:uid="{00000000-0006-0000-0100-000020000000}">
      <text>
        <r>
          <rPr>
            <b/>
            <sz val="9"/>
            <color indexed="81"/>
            <rFont val="Tahoma"/>
            <family val="2"/>
          </rPr>
          <t>clayton_montgomery:</t>
        </r>
        <r>
          <rPr>
            <sz val="9"/>
            <color indexed="81"/>
            <rFont val="Tahoma"/>
            <family val="2"/>
          </rPr>
          <t xml:space="preserve">
input</t>
        </r>
      </text>
    </comment>
    <comment ref="Q52" authorId="0" shapeId="0" xr:uid="{00000000-0006-0000-0100-000021000000}">
      <text>
        <r>
          <rPr>
            <b/>
            <sz val="9"/>
            <color indexed="81"/>
            <rFont val="Tahoma"/>
            <family val="2"/>
          </rPr>
          <t>clayton_montgomery:</t>
        </r>
        <r>
          <rPr>
            <sz val="9"/>
            <color indexed="81"/>
            <rFont val="Tahoma"/>
            <family val="2"/>
          </rPr>
          <t xml:space="preserve">
input</t>
        </r>
      </text>
    </comment>
    <comment ref="R52" authorId="0" shapeId="0" xr:uid="{00000000-0006-0000-0100-000022000000}">
      <text>
        <r>
          <rPr>
            <b/>
            <sz val="9"/>
            <color indexed="81"/>
            <rFont val="Tahoma"/>
            <family val="2"/>
          </rPr>
          <t>clayton_montgomery:</t>
        </r>
        <r>
          <rPr>
            <sz val="9"/>
            <color indexed="81"/>
            <rFont val="Tahoma"/>
            <family val="2"/>
          </rPr>
          <t xml:space="preserve">
input</t>
        </r>
      </text>
    </comment>
    <comment ref="N53" authorId="0" shapeId="0" xr:uid="{00000000-0006-0000-0100-000023000000}">
      <text>
        <r>
          <rPr>
            <b/>
            <sz val="9"/>
            <color indexed="81"/>
            <rFont val="Tahoma"/>
            <family val="2"/>
          </rPr>
          <t>clayton_montgomery:</t>
        </r>
        <r>
          <rPr>
            <sz val="9"/>
            <color indexed="81"/>
            <rFont val="Tahoma"/>
            <family val="2"/>
          </rPr>
          <t xml:space="preserve">
input</t>
        </r>
      </text>
    </comment>
    <comment ref="O53" authorId="0" shapeId="0" xr:uid="{00000000-0006-0000-0100-000024000000}">
      <text>
        <r>
          <rPr>
            <b/>
            <sz val="9"/>
            <color indexed="81"/>
            <rFont val="Tahoma"/>
            <family val="2"/>
          </rPr>
          <t>clayton_montgomery:</t>
        </r>
        <r>
          <rPr>
            <sz val="9"/>
            <color indexed="81"/>
            <rFont val="Tahoma"/>
            <family val="2"/>
          </rPr>
          <t xml:space="preserve">
input</t>
        </r>
      </text>
    </comment>
    <comment ref="P53" authorId="0" shapeId="0" xr:uid="{00000000-0006-0000-0100-000025000000}">
      <text>
        <r>
          <rPr>
            <b/>
            <sz val="9"/>
            <color indexed="81"/>
            <rFont val="Tahoma"/>
            <family val="2"/>
          </rPr>
          <t>clayton_montgomery:</t>
        </r>
        <r>
          <rPr>
            <sz val="9"/>
            <color indexed="81"/>
            <rFont val="Tahoma"/>
            <family val="2"/>
          </rPr>
          <t xml:space="preserve">
input</t>
        </r>
      </text>
    </comment>
    <comment ref="Q53" authorId="0" shapeId="0" xr:uid="{00000000-0006-0000-0100-000026000000}">
      <text>
        <r>
          <rPr>
            <b/>
            <sz val="9"/>
            <color indexed="81"/>
            <rFont val="Tahoma"/>
            <family val="2"/>
          </rPr>
          <t>clayton_montgomery:</t>
        </r>
        <r>
          <rPr>
            <sz val="9"/>
            <color indexed="81"/>
            <rFont val="Tahoma"/>
            <family val="2"/>
          </rPr>
          <t xml:space="preserve">
input</t>
        </r>
      </text>
    </comment>
    <comment ref="R53" authorId="0" shapeId="0" xr:uid="{00000000-0006-0000-0100-000027000000}">
      <text>
        <r>
          <rPr>
            <b/>
            <sz val="9"/>
            <color indexed="81"/>
            <rFont val="Tahoma"/>
            <family val="2"/>
          </rPr>
          <t>clayton_montgomery:</t>
        </r>
        <r>
          <rPr>
            <sz val="9"/>
            <color indexed="81"/>
            <rFont val="Tahoma"/>
            <family val="2"/>
          </rPr>
          <t xml:space="preserve">
input</t>
        </r>
      </text>
    </comment>
    <comment ref="N54" authorId="0" shapeId="0" xr:uid="{00000000-0006-0000-0100-000028000000}">
      <text>
        <r>
          <rPr>
            <b/>
            <sz val="9"/>
            <color indexed="81"/>
            <rFont val="Tahoma"/>
            <family val="2"/>
          </rPr>
          <t>clayton_montgomery:</t>
        </r>
        <r>
          <rPr>
            <sz val="9"/>
            <color indexed="81"/>
            <rFont val="Tahoma"/>
            <family val="2"/>
          </rPr>
          <t xml:space="preserve">
input</t>
        </r>
      </text>
    </comment>
    <comment ref="O54" authorId="0" shapeId="0" xr:uid="{00000000-0006-0000-0100-000029000000}">
      <text>
        <r>
          <rPr>
            <b/>
            <sz val="9"/>
            <color indexed="81"/>
            <rFont val="Tahoma"/>
            <family val="2"/>
          </rPr>
          <t>clayton_montgomery:</t>
        </r>
        <r>
          <rPr>
            <sz val="9"/>
            <color indexed="81"/>
            <rFont val="Tahoma"/>
            <family val="2"/>
          </rPr>
          <t xml:space="preserve">
input</t>
        </r>
      </text>
    </comment>
    <comment ref="P54" authorId="0" shapeId="0" xr:uid="{00000000-0006-0000-0100-00002A000000}">
      <text>
        <r>
          <rPr>
            <b/>
            <sz val="9"/>
            <color indexed="81"/>
            <rFont val="Tahoma"/>
            <family val="2"/>
          </rPr>
          <t>clayton_montgomery:</t>
        </r>
        <r>
          <rPr>
            <sz val="9"/>
            <color indexed="81"/>
            <rFont val="Tahoma"/>
            <family val="2"/>
          </rPr>
          <t xml:space="preserve">
input</t>
        </r>
      </text>
    </comment>
    <comment ref="Q54" authorId="0" shapeId="0" xr:uid="{00000000-0006-0000-0100-00002B000000}">
      <text>
        <r>
          <rPr>
            <b/>
            <sz val="9"/>
            <color indexed="81"/>
            <rFont val="Tahoma"/>
            <family val="2"/>
          </rPr>
          <t>clayton_montgomery:</t>
        </r>
        <r>
          <rPr>
            <sz val="9"/>
            <color indexed="81"/>
            <rFont val="Tahoma"/>
            <family val="2"/>
          </rPr>
          <t xml:space="preserve">
input</t>
        </r>
      </text>
    </comment>
    <comment ref="R54" authorId="0" shapeId="0" xr:uid="{00000000-0006-0000-0100-00002C000000}">
      <text>
        <r>
          <rPr>
            <b/>
            <sz val="9"/>
            <color indexed="81"/>
            <rFont val="Tahoma"/>
            <family val="2"/>
          </rPr>
          <t>clayton_montgomery:</t>
        </r>
        <r>
          <rPr>
            <sz val="9"/>
            <color indexed="81"/>
            <rFont val="Tahoma"/>
            <family val="2"/>
          </rPr>
          <t xml:space="preserve">
input</t>
        </r>
      </text>
    </comment>
    <comment ref="N55" authorId="0" shapeId="0" xr:uid="{00000000-0006-0000-0100-00002D000000}">
      <text>
        <r>
          <rPr>
            <b/>
            <sz val="9"/>
            <color indexed="81"/>
            <rFont val="Tahoma"/>
            <family val="2"/>
          </rPr>
          <t>clayton_montgomery:</t>
        </r>
        <r>
          <rPr>
            <sz val="9"/>
            <color indexed="81"/>
            <rFont val="Tahoma"/>
            <family val="2"/>
          </rPr>
          <t xml:space="preserve">
input</t>
        </r>
      </text>
    </comment>
    <comment ref="O55" authorId="0" shapeId="0" xr:uid="{00000000-0006-0000-0100-00002E000000}">
      <text>
        <r>
          <rPr>
            <b/>
            <sz val="9"/>
            <color indexed="81"/>
            <rFont val="Tahoma"/>
            <family val="2"/>
          </rPr>
          <t>clayton_montgomery:</t>
        </r>
        <r>
          <rPr>
            <sz val="9"/>
            <color indexed="81"/>
            <rFont val="Tahoma"/>
            <family val="2"/>
          </rPr>
          <t xml:space="preserve">
input</t>
        </r>
      </text>
    </comment>
    <comment ref="P55" authorId="0" shapeId="0" xr:uid="{00000000-0006-0000-0100-00002F000000}">
      <text>
        <r>
          <rPr>
            <b/>
            <sz val="9"/>
            <color indexed="81"/>
            <rFont val="Tahoma"/>
            <family val="2"/>
          </rPr>
          <t>clayton_montgomery:</t>
        </r>
        <r>
          <rPr>
            <sz val="9"/>
            <color indexed="81"/>
            <rFont val="Tahoma"/>
            <family val="2"/>
          </rPr>
          <t xml:space="preserve">
input</t>
        </r>
      </text>
    </comment>
    <comment ref="Q55" authorId="0" shapeId="0" xr:uid="{00000000-0006-0000-0100-000030000000}">
      <text>
        <r>
          <rPr>
            <b/>
            <sz val="9"/>
            <color indexed="81"/>
            <rFont val="Tahoma"/>
            <family val="2"/>
          </rPr>
          <t>clayton_montgomery:</t>
        </r>
        <r>
          <rPr>
            <sz val="9"/>
            <color indexed="81"/>
            <rFont val="Tahoma"/>
            <family val="2"/>
          </rPr>
          <t xml:space="preserve">
input</t>
        </r>
      </text>
    </comment>
    <comment ref="R55" authorId="0" shapeId="0" xr:uid="{00000000-0006-0000-0100-000031000000}">
      <text>
        <r>
          <rPr>
            <b/>
            <sz val="9"/>
            <color indexed="81"/>
            <rFont val="Tahoma"/>
            <family val="2"/>
          </rPr>
          <t>clayton_montgomery:</t>
        </r>
        <r>
          <rPr>
            <sz val="9"/>
            <color indexed="81"/>
            <rFont val="Tahoma"/>
            <family val="2"/>
          </rPr>
          <t xml:space="preserve">
input</t>
        </r>
      </text>
    </comment>
    <comment ref="N56" authorId="0" shapeId="0" xr:uid="{00000000-0006-0000-0100-000032000000}">
      <text>
        <r>
          <rPr>
            <b/>
            <sz val="9"/>
            <color indexed="81"/>
            <rFont val="Tahoma"/>
            <family val="2"/>
          </rPr>
          <t>clayton_montgomery:</t>
        </r>
        <r>
          <rPr>
            <sz val="9"/>
            <color indexed="81"/>
            <rFont val="Tahoma"/>
            <family val="2"/>
          </rPr>
          <t xml:space="preserve">
input</t>
        </r>
      </text>
    </comment>
    <comment ref="O56" authorId="0" shapeId="0" xr:uid="{00000000-0006-0000-0100-000033000000}">
      <text>
        <r>
          <rPr>
            <b/>
            <sz val="9"/>
            <color indexed="81"/>
            <rFont val="Tahoma"/>
            <family val="2"/>
          </rPr>
          <t>clayton_montgomery:</t>
        </r>
        <r>
          <rPr>
            <sz val="9"/>
            <color indexed="81"/>
            <rFont val="Tahoma"/>
            <family val="2"/>
          </rPr>
          <t xml:space="preserve">
input</t>
        </r>
      </text>
    </comment>
    <comment ref="P56" authorId="0" shapeId="0" xr:uid="{00000000-0006-0000-0100-000034000000}">
      <text>
        <r>
          <rPr>
            <b/>
            <sz val="9"/>
            <color indexed="81"/>
            <rFont val="Tahoma"/>
            <family val="2"/>
          </rPr>
          <t>clayton_montgomery:</t>
        </r>
        <r>
          <rPr>
            <sz val="9"/>
            <color indexed="81"/>
            <rFont val="Tahoma"/>
            <family val="2"/>
          </rPr>
          <t xml:space="preserve">
input</t>
        </r>
      </text>
    </comment>
    <comment ref="Q56" authorId="0" shapeId="0" xr:uid="{00000000-0006-0000-0100-000035000000}">
      <text>
        <r>
          <rPr>
            <b/>
            <sz val="9"/>
            <color indexed="81"/>
            <rFont val="Tahoma"/>
            <family val="2"/>
          </rPr>
          <t>clayton_montgomery:</t>
        </r>
        <r>
          <rPr>
            <sz val="9"/>
            <color indexed="81"/>
            <rFont val="Tahoma"/>
            <family val="2"/>
          </rPr>
          <t xml:space="preserve">
input</t>
        </r>
      </text>
    </comment>
    <comment ref="R56" authorId="0" shapeId="0" xr:uid="{00000000-0006-0000-0100-000036000000}">
      <text>
        <r>
          <rPr>
            <b/>
            <sz val="9"/>
            <color indexed="81"/>
            <rFont val="Tahoma"/>
            <family val="2"/>
          </rPr>
          <t>clayton_montgomery:</t>
        </r>
        <r>
          <rPr>
            <sz val="9"/>
            <color indexed="81"/>
            <rFont val="Tahoma"/>
            <family val="2"/>
          </rPr>
          <t xml:space="preserve">
input</t>
        </r>
      </text>
    </comment>
    <comment ref="D57" authorId="0" shapeId="0" xr:uid="{00000000-0006-0000-0100-000037000000}">
      <text>
        <r>
          <rPr>
            <b/>
            <sz val="9"/>
            <color indexed="81"/>
            <rFont val="Tahoma"/>
            <family val="2"/>
          </rPr>
          <t>clayton_montgomery:</t>
        </r>
        <r>
          <rPr>
            <sz val="9"/>
            <color indexed="81"/>
            <rFont val="Tahoma"/>
            <family val="2"/>
          </rPr>
          <t xml:space="preserve">
this is a formula</t>
        </r>
      </text>
    </comment>
    <comment ref="E57" authorId="0" shapeId="0" xr:uid="{00000000-0006-0000-0100-000038000000}">
      <text>
        <r>
          <rPr>
            <b/>
            <sz val="9"/>
            <color indexed="81"/>
            <rFont val="Tahoma"/>
            <family val="2"/>
          </rPr>
          <t>clayton_montgomery:</t>
        </r>
        <r>
          <rPr>
            <sz val="9"/>
            <color indexed="81"/>
            <rFont val="Tahoma"/>
            <family val="2"/>
          </rPr>
          <t xml:space="preserve">
this is a formula</t>
        </r>
      </text>
    </comment>
    <comment ref="F57" authorId="0" shapeId="0" xr:uid="{00000000-0006-0000-0100-000039000000}">
      <text>
        <r>
          <rPr>
            <b/>
            <sz val="9"/>
            <color indexed="81"/>
            <rFont val="Tahoma"/>
            <family val="2"/>
          </rPr>
          <t>clayton_montgomery:</t>
        </r>
        <r>
          <rPr>
            <sz val="9"/>
            <color indexed="81"/>
            <rFont val="Tahoma"/>
            <family val="2"/>
          </rPr>
          <t xml:space="preserve">
this is a formula</t>
        </r>
      </text>
    </comment>
    <comment ref="G57" authorId="0" shapeId="0" xr:uid="{00000000-0006-0000-0100-00003A000000}">
      <text>
        <r>
          <rPr>
            <b/>
            <sz val="9"/>
            <color indexed="81"/>
            <rFont val="Tahoma"/>
            <family val="2"/>
          </rPr>
          <t>clayton_montgomery:</t>
        </r>
        <r>
          <rPr>
            <sz val="9"/>
            <color indexed="81"/>
            <rFont val="Tahoma"/>
            <family val="2"/>
          </rPr>
          <t xml:space="preserve">
this is a formula</t>
        </r>
      </text>
    </comment>
    <comment ref="H57" authorId="0" shapeId="0" xr:uid="{00000000-0006-0000-0100-00003B000000}">
      <text>
        <r>
          <rPr>
            <b/>
            <sz val="9"/>
            <color indexed="81"/>
            <rFont val="Tahoma"/>
            <family val="2"/>
          </rPr>
          <t>clayton_montgomery:</t>
        </r>
        <r>
          <rPr>
            <sz val="9"/>
            <color indexed="81"/>
            <rFont val="Tahoma"/>
            <family val="2"/>
          </rPr>
          <t xml:space="preserve">
this is a formula</t>
        </r>
      </text>
    </comment>
    <comment ref="I57" authorId="0" shapeId="0" xr:uid="{00000000-0006-0000-0100-00003C000000}">
      <text>
        <r>
          <rPr>
            <b/>
            <sz val="9"/>
            <color indexed="81"/>
            <rFont val="Tahoma"/>
            <family val="2"/>
          </rPr>
          <t>clayton_montgomery:</t>
        </r>
        <r>
          <rPr>
            <sz val="9"/>
            <color indexed="81"/>
            <rFont val="Tahoma"/>
            <family val="2"/>
          </rPr>
          <t xml:space="preserve">
this is a formula</t>
        </r>
      </text>
    </comment>
    <comment ref="J57" authorId="0" shapeId="0" xr:uid="{00000000-0006-0000-0100-00003D000000}">
      <text>
        <r>
          <rPr>
            <b/>
            <sz val="9"/>
            <color indexed="81"/>
            <rFont val="Tahoma"/>
            <family val="2"/>
          </rPr>
          <t>clayton_montgomery:</t>
        </r>
        <r>
          <rPr>
            <sz val="9"/>
            <color indexed="81"/>
            <rFont val="Tahoma"/>
            <family val="2"/>
          </rPr>
          <t xml:space="preserve">
this is a formula</t>
        </r>
      </text>
    </comment>
    <comment ref="K57" authorId="0" shapeId="0" xr:uid="{00000000-0006-0000-0100-00003E000000}">
      <text>
        <r>
          <rPr>
            <b/>
            <sz val="9"/>
            <color indexed="81"/>
            <rFont val="Tahoma"/>
            <family val="2"/>
          </rPr>
          <t>clayton_montgomery:</t>
        </r>
        <r>
          <rPr>
            <sz val="9"/>
            <color indexed="81"/>
            <rFont val="Tahoma"/>
            <family val="2"/>
          </rPr>
          <t xml:space="preserve">
this is a formula</t>
        </r>
      </text>
    </comment>
    <comment ref="L57" authorId="0" shapeId="0" xr:uid="{00000000-0006-0000-0100-00003F000000}">
      <text>
        <r>
          <rPr>
            <b/>
            <sz val="9"/>
            <color indexed="81"/>
            <rFont val="Tahoma"/>
            <family val="2"/>
          </rPr>
          <t>clayton_montgomery:</t>
        </r>
        <r>
          <rPr>
            <sz val="9"/>
            <color indexed="81"/>
            <rFont val="Tahoma"/>
            <family val="2"/>
          </rPr>
          <t xml:space="preserve">
this is a formula</t>
        </r>
      </text>
    </comment>
    <comment ref="M57" authorId="0" shapeId="0" xr:uid="{00000000-0006-0000-0100-000040000000}">
      <text>
        <r>
          <rPr>
            <b/>
            <sz val="9"/>
            <color indexed="81"/>
            <rFont val="Tahoma"/>
            <family val="2"/>
          </rPr>
          <t>clayton_montgomery:</t>
        </r>
        <r>
          <rPr>
            <sz val="9"/>
            <color indexed="81"/>
            <rFont val="Tahoma"/>
            <family val="2"/>
          </rPr>
          <t xml:space="preserve">
this is a formula</t>
        </r>
      </text>
    </comment>
    <comment ref="N57" authorId="0" shapeId="0" xr:uid="{00000000-0006-0000-0100-000041000000}">
      <text>
        <r>
          <rPr>
            <b/>
            <sz val="9"/>
            <color indexed="81"/>
            <rFont val="Tahoma"/>
            <family val="2"/>
          </rPr>
          <t>clayton_montgomery:</t>
        </r>
        <r>
          <rPr>
            <sz val="9"/>
            <color indexed="81"/>
            <rFont val="Tahoma"/>
            <family val="2"/>
          </rPr>
          <t xml:space="preserve">
this is a formula</t>
        </r>
      </text>
    </comment>
    <comment ref="O57" authorId="0" shapeId="0" xr:uid="{00000000-0006-0000-0100-000042000000}">
      <text>
        <r>
          <rPr>
            <b/>
            <sz val="9"/>
            <color indexed="81"/>
            <rFont val="Tahoma"/>
            <family val="2"/>
          </rPr>
          <t>clayton_montgomery:</t>
        </r>
        <r>
          <rPr>
            <sz val="9"/>
            <color indexed="81"/>
            <rFont val="Tahoma"/>
            <family val="2"/>
          </rPr>
          <t xml:space="preserve">
this is a formula</t>
        </r>
      </text>
    </comment>
    <comment ref="P57" authorId="0" shapeId="0" xr:uid="{00000000-0006-0000-0100-000043000000}">
      <text>
        <r>
          <rPr>
            <b/>
            <sz val="9"/>
            <color indexed="81"/>
            <rFont val="Tahoma"/>
            <family val="2"/>
          </rPr>
          <t>clayton_montgomery:</t>
        </r>
        <r>
          <rPr>
            <sz val="9"/>
            <color indexed="81"/>
            <rFont val="Tahoma"/>
            <family val="2"/>
          </rPr>
          <t xml:space="preserve">
this is a formula</t>
        </r>
      </text>
    </comment>
    <comment ref="Q57" authorId="0" shapeId="0" xr:uid="{00000000-0006-0000-0100-000044000000}">
      <text>
        <r>
          <rPr>
            <b/>
            <sz val="9"/>
            <color indexed="81"/>
            <rFont val="Tahoma"/>
            <family val="2"/>
          </rPr>
          <t>clayton_montgomery:</t>
        </r>
        <r>
          <rPr>
            <sz val="9"/>
            <color indexed="81"/>
            <rFont val="Tahoma"/>
            <family val="2"/>
          </rPr>
          <t xml:space="preserve">
this is a formula</t>
        </r>
      </text>
    </comment>
    <comment ref="R57" authorId="0" shapeId="0" xr:uid="{00000000-0006-0000-0100-000045000000}">
      <text>
        <r>
          <rPr>
            <b/>
            <sz val="9"/>
            <color indexed="81"/>
            <rFont val="Tahoma"/>
            <family val="2"/>
          </rPr>
          <t>clayton_montgomery:</t>
        </r>
        <r>
          <rPr>
            <sz val="9"/>
            <color indexed="81"/>
            <rFont val="Tahoma"/>
            <family val="2"/>
          </rPr>
          <t xml:space="preserve">
this is a formula</t>
        </r>
      </text>
    </comment>
    <comment ref="N60" authorId="1" shapeId="0" xr:uid="{00000000-0006-0000-0100-000046000000}">
      <text>
        <r>
          <rPr>
            <b/>
            <sz val="9"/>
            <color indexed="81"/>
            <rFont val="Tahoma"/>
            <family val="2"/>
          </rPr>
          <t>Montgomery, Clayton:</t>
        </r>
        <r>
          <rPr>
            <sz val="9"/>
            <color indexed="81"/>
            <rFont val="Tahoma"/>
            <family val="2"/>
          </rPr>
          <t xml:space="preserve">
Link to ESP</t>
        </r>
      </text>
    </comment>
    <comment ref="O60" authorId="1" shapeId="0" xr:uid="{00000000-0006-0000-0100-000047000000}">
      <text>
        <r>
          <rPr>
            <b/>
            <sz val="9"/>
            <color indexed="81"/>
            <rFont val="Tahoma"/>
            <family val="2"/>
          </rPr>
          <t>Montgomery, Clayton:</t>
        </r>
        <r>
          <rPr>
            <sz val="9"/>
            <color indexed="81"/>
            <rFont val="Tahoma"/>
            <family val="2"/>
          </rPr>
          <t xml:space="preserve">
Link to ESP</t>
        </r>
      </text>
    </comment>
    <comment ref="P60" authorId="1" shapeId="0" xr:uid="{00000000-0006-0000-0100-000048000000}">
      <text>
        <r>
          <rPr>
            <b/>
            <sz val="9"/>
            <color indexed="81"/>
            <rFont val="Tahoma"/>
            <family val="2"/>
          </rPr>
          <t>Montgomery, Clayton:</t>
        </r>
        <r>
          <rPr>
            <sz val="9"/>
            <color indexed="81"/>
            <rFont val="Tahoma"/>
            <family val="2"/>
          </rPr>
          <t xml:space="preserve">
Link to ESP</t>
        </r>
      </text>
    </comment>
    <comment ref="Q60" authorId="1" shapeId="0" xr:uid="{00000000-0006-0000-0100-000049000000}">
      <text>
        <r>
          <rPr>
            <b/>
            <sz val="9"/>
            <color indexed="81"/>
            <rFont val="Tahoma"/>
            <family val="2"/>
          </rPr>
          <t>Montgomery, Clayton:</t>
        </r>
        <r>
          <rPr>
            <sz val="9"/>
            <color indexed="81"/>
            <rFont val="Tahoma"/>
            <family val="2"/>
          </rPr>
          <t xml:space="preserve">
Link to ESP</t>
        </r>
      </text>
    </comment>
    <comment ref="R60" authorId="1" shapeId="0" xr:uid="{00000000-0006-0000-0100-00004A000000}">
      <text>
        <r>
          <rPr>
            <b/>
            <sz val="9"/>
            <color indexed="81"/>
            <rFont val="Tahoma"/>
            <family val="2"/>
          </rPr>
          <t>Montgomery, Clayton:</t>
        </r>
        <r>
          <rPr>
            <sz val="9"/>
            <color indexed="81"/>
            <rFont val="Tahoma"/>
            <family val="2"/>
          </rPr>
          <t xml:space="preserve">
Link to ESP</t>
        </r>
      </text>
    </comment>
    <comment ref="N61" authorId="0" shapeId="0" xr:uid="{00000000-0006-0000-0100-00004B000000}">
      <text>
        <r>
          <rPr>
            <b/>
            <sz val="9"/>
            <color indexed="81"/>
            <rFont val="Tahoma"/>
            <family val="2"/>
          </rPr>
          <t>clayton_montgomery:</t>
        </r>
        <r>
          <rPr>
            <sz val="9"/>
            <color indexed="81"/>
            <rFont val="Tahoma"/>
            <family val="2"/>
          </rPr>
          <t xml:space="preserve">
Input</t>
        </r>
      </text>
    </comment>
    <comment ref="O61" authorId="0" shapeId="0" xr:uid="{00000000-0006-0000-0100-00004C000000}">
      <text>
        <r>
          <rPr>
            <b/>
            <sz val="9"/>
            <color indexed="81"/>
            <rFont val="Tahoma"/>
            <family val="2"/>
          </rPr>
          <t>clayton_montgomery:</t>
        </r>
        <r>
          <rPr>
            <sz val="9"/>
            <color indexed="81"/>
            <rFont val="Tahoma"/>
            <family val="2"/>
          </rPr>
          <t xml:space="preserve">
Input</t>
        </r>
      </text>
    </comment>
    <comment ref="P61" authorId="0" shapeId="0" xr:uid="{00000000-0006-0000-0100-00004D000000}">
      <text>
        <r>
          <rPr>
            <b/>
            <sz val="9"/>
            <color indexed="81"/>
            <rFont val="Tahoma"/>
            <family val="2"/>
          </rPr>
          <t>clayton_montgomery:</t>
        </r>
        <r>
          <rPr>
            <sz val="9"/>
            <color indexed="81"/>
            <rFont val="Tahoma"/>
            <family val="2"/>
          </rPr>
          <t xml:space="preserve">
Input</t>
        </r>
      </text>
    </comment>
    <comment ref="Q61" authorId="0" shapeId="0" xr:uid="{00000000-0006-0000-0100-00004E000000}">
      <text>
        <r>
          <rPr>
            <b/>
            <sz val="9"/>
            <color indexed="81"/>
            <rFont val="Tahoma"/>
            <family val="2"/>
          </rPr>
          <t>clayton_montgomery:</t>
        </r>
        <r>
          <rPr>
            <sz val="9"/>
            <color indexed="81"/>
            <rFont val="Tahoma"/>
            <family val="2"/>
          </rPr>
          <t xml:space="preserve">
Input</t>
        </r>
      </text>
    </comment>
    <comment ref="R61" authorId="0" shapeId="0" xr:uid="{00000000-0006-0000-0100-00004F000000}">
      <text>
        <r>
          <rPr>
            <b/>
            <sz val="9"/>
            <color indexed="81"/>
            <rFont val="Tahoma"/>
            <family val="2"/>
          </rPr>
          <t>clayton_montgomery:</t>
        </r>
        <r>
          <rPr>
            <sz val="9"/>
            <color indexed="81"/>
            <rFont val="Tahoma"/>
            <family val="2"/>
          </rPr>
          <t xml:space="preserve">
Input</t>
        </r>
      </text>
    </comment>
    <comment ref="N62" authorId="0" shapeId="0" xr:uid="{00000000-0006-0000-0100-000050000000}">
      <text>
        <r>
          <rPr>
            <b/>
            <sz val="9"/>
            <color indexed="81"/>
            <rFont val="Tahoma"/>
            <family val="2"/>
          </rPr>
          <t>clayton_montgomery:</t>
        </r>
        <r>
          <rPr>
            <sz val="9"/>
            <color indexed="81"/>
            <rFont val="Tahoma"/>
            <family val="2"/>
          </rPr>
          <t xml:space="preserve">
Input</t>
        </r>
      </text>
    </comment>
    <comment ref="O62" authorId="0" shapeId="0" xr:uid="{00000000-0006-0000-0100-000051000000}">
      <text>
        <r>
          <rPr>
            <b/>
            <sz val="9"/>
            <color indexed="81"/>
            <rFont val="Tahoma"/>
            <family val="2"/>
          </rPr>
          <t>clayton_montgomery:</t>
        </r>
        <r>
          <rPr>
            <sz val="9"/>
            <color indexed="81"/>
            <rFont val="Tahoma"/>
            <family val="2"/>
          </rPr>
          <t xml:space="preserve">
Input</t>
        </r>
      </text>
    </comment>
    <comment ref="P62" authorId="0" shapeId="0" xr:uid="{00000000-0006-0000-0100-000052000000}">
      <text>
        <r>
          <rPr>
            <b/>
            <sz val="9"/>
            <color indexed="81"/>
            <rFont val="Tahoma"/>
            <family val="2"/>
          </rPr>
          <t>clayton_montgomery:</t>
        </r>
        <r>
          <rPr>
            <sz val="9"/>
            <color indexed="81"/>
            <rFont val="Tahoma"/>
            <family val="2"/>
          </rPr>
          <t xml:space="preserve">
Input</t>
        </r>
      </text>
    </comment>
    <comment ref="Q62" authorId="0" shapeId="0" xr:uid="{00000000-0006-0000-0100-000053000000}">
      <text>
        <r>
          <rPr>
            <b/>
            <sz val="9"/>
            <color indexed="81"/>
            <rFont val="Tahoma"/>
            <family val="2"/>
          </rPr>
          <t>clayton_montgomery:</t>
        </r>
        <r>
          <rPr>
            <sz val="9"/>
            <color indexed="81"/>
            <rFont val="Tahoma"/>
            <family val="2"/>
          </rPr>
          <t xml:space="preserve">
Input</t>
        </r>
      </text>
    </comment>
    <comment ref="R62" authorId="0" shapeId="0" xr:uid="{00000000-0006-0000-0100-000054000000}">
      <text>
        <r>
          <rPr>
            <b/>
            <sz val="9"/>
            <color indexed="81"/>
            <rFont val="Tahoma"/>
            <family val="2"/>
          </rPr>
          <t>clayton_montgomery:</t>
        </r>
        <r>
          <rPr>
            <sz val="9"/>
            <color indexed="81"/>
            <rFont val="Tahoma"/>
            <family val="2"/>
          </rPr>
          <t xml:space="preserve">
Input</t>
        </r>
      </text>
    </comment>
    <comment ref="M71" authorId="0" shapeId="0" xr:uid="{00000000-0006-0000-0100-000055000000}">
      <text>
        <r>
          <rPr>
            <b/>
            <sz val="9"/>
            <color indexed="81"/>
            <rFont val="Tahoma"/>
            <family val="2"/>
          </rPr>
          <t>clayton_montgomery:</t>
        </r>
        <r>
          <rPr>
            <sz val="9"/>
            <color indexed="81"/>
            <rFont val="Tahoma"/>
            <family val="2"/>
          </rPr>
          <t xml:space="preserve">
input comes from Arrow Basic</t>
        </r>
      </text>
    </comment>
    <comment ref="N71" authorId="1" shapeId="0" xr:uid="{00000000-0006-0000-0100-000056000000}">
      <text>
        <r>
          <rPr>
            <b/>
            <sz val="9"/>
            <color indexed="81"/>
            <rFont val="Tahoma"/>
            <family val="2"/>
          </rPr>
          <t>Montgomery, Clayton:</t>
        </r>
        <r>
          <rPr>
            <sz val="9"/>
            <color indexed="81"/>
            <rFont val="Tahoma"/>
            <family val="2"/>
          </rPr>
          <t xml:space="preserve">
Link to ESP</t>
        </r>
      </text>
    </comment>
    <comment ref="O71" authorId="1" shapeId="0" xr:uid="{00000000-0006-0000-0100-000057000000}">
      <text>
        <r>
          <rPr>
            <b/>
            <sz val="9"/>
            <color indexed="81"/>
            <rFont val="Tahoma"/>
            <family val="2"/>
          </rPr>
          <t>Montgomery, Clayton:</t>
        </r>
        <r>
          <rPr>
            <sz val="9"/>
            <color indexed="81"/>
            <rFont val="Tahoma"/>
            <family val="2"/>
          </rPr>
          <t xml:space="preserve">
Link to ESP</t>
        </r>
      </text>
    </comment>
    <comment ref="P71" authorId="1" shapeId="0" xr:uid="{00000000-0006-0000-0100-000058000000}">
      <text>
        <r>
          <rPr>
            <b/>
            <sz val="9"/>
            <color indexed="81"/>
            <rFont val="Tahoma"/>
            <family val="2"/>
          </rPr>
          <t>Montgomery, Clayton:</t>
        </r>
        <r>
          <rPr>
            <sz val="9"/>
            <color indexed="81"/>
            <rFont val="Tahoma"/>
            <family val="2"/>
          </rPr>
          <t xml:space="preserve">
Link to ESP</t>
        </r>
      </text>
    </comment>
    <comment ref="Q71" authorId="1" shapeId="0" xr:uid="{00000000-0006-0000-0100-000059000000}">
      <text>
        <r>
          <rPr>
            <b/>
            <sz val="9"/>
            <color indexed="81"/>
            <rFont val="Tahoma"/>
            <family val="2"/>
          </rPr>
          <t>Montgomery, Clayton:</t>
        </r>
        <r>
          <rPr>
            <sz val="9"/>
            <color indexed="81"/>
            <rFont val="Tahoma"/>
            <family val="2"/>
          </rPr>
          <t xml:space="preserve">
Link to ESP</t>
        </r>
      </text>
    </comment>
    <comment ref="R71" authorId="1" shapeId="0" xr:uid="{00000000-0006-0000-0100-00005A000000}">
      <text>
        <r>
          <rPr>
            <b/>
            <sz val="9"/>
            <color indexed="81"/>
            <rFont val="Tahoma"/>
            <family val="2"/>
          </rPr>
          <t>Montgomery, Clayton:</t>
        </r>
        <r>
          <rPr>
            <sz val="9"/>
            <color indexed="81"/>
            <rFont val="Tahoma"/>
            <family val="2"/>
          </rPr>
          <t xml:space="preserve">
Link to ESP</t>
        </r>
      </text>
    </comment>
    <comment ref="AD71" authorId="0" shapeId="0" xr:uid="{00000000-0006-0000-0100-00005B000000}">
      <text>
        <r>
          <rPr>
            <b/>
            <sz val="9"/>
            <color indexed="81"/>
            <rFont val="Tahoma"/>
            <family val="2"/>
          </rPr>
          <t>clayton_montgomery:</t>
        </r>
        <r>
          <rPr>
            <sz val="9"/>
            <color indexed="81"/>
            <rFont val="Tahoma"/>
            <family val="2"/>
          </rPr>
          <t xml:space="preserve">
always equal to annual value</t>
        </r>
      </text>
    </comment>
    <comment ref="M72" authorId="0" shapeId="0" xr:uid="{00000000-0006-0000-0100-00005C000000}">
      <text>
        <r>
          <rPr>
            <b/>
            <sz val="9"/>
            <color indexed="81"/>
            <rFont val="Tahoma"/>
            <family val="2"/>
          </rPr>
          <t>clayton_montgomery:</t>
        </r>
        <r>
          <rPr>
            <sz val="9"/>
            <color indexed="81"/>
            <rFont val="Tahoma"/>
            <family val="2"/>
          </rPr>
          <t xml:space="preserve">
input comes from Arrow Basic</t>
        </r>
      </text>
    </comment>
    <comment ref="N72" authorId="1" shapeId="0" xr:uid="{00000000-0006-0000-0100-00005D000000}">
      <text>
        <r>
          <rPr>
            <b/>
            <sz val="9"/>
            <color indexed="81"/>
            <rFont val="Tahoma"/>
            <family val="2"/>
          </rPr>
          <t>Montgomery, Clayton:</t>
        </r>
        <r>
          <rPr>
            <sz val="9"/>
            <color indexed="81"/>
            <rFont val="Tahoma"/>
            <family val="2"/>
          </rPr>
          <t xml:space="preserve">
Link to ESP</t>
        </r>
      </text>
    </comment>
    <comment ref="O72" authorId="1" shapeId="0" xr:uid="{00000000-0006-0000-0100-00005E000000}">
      <text>
        <r>
          <rPr>
            <b/>
            <sz val="9"/>
            <color indexed="81"/>
            <rFont val="Tahoma"/>
            <family val="2"/>
          </rPr>
          <t>Montgomery, Clayton:</t>
        </r>
        <r>
          <rPr>
            <sz val="9"/>
            <color indexed="81"/>
            <rFont val="Tahoma"/>
            <family val="2"/>
          </rPr>
          <t xml:space="preserve">
Link to ESP</t>
        </r>
      </text>
    </comment>
    <comment ref="P72" authorId="1" shapeId="0" xr:uid="{00000000-0006-0000-0100-00005F000000}">
      <text>
        <r>
          <rPr>
            <b/>
            <sz val="9"/>
            <color indexed="81"/>
            <rFont val="Tahoma"/>
            <family val="2"/>
          </rPr>
          <t>Montgomery, Clayton:</t>
        </r>
        <r>
          <rPr>
            <sz val="9"/>
            <color indexed="81"/>
            <rFont val="Tahoma"/>
            <family val="2"/>
          </rPr>
          <t xml:space="preserve">
Link to ESP</t>
        </r>
      </text>
    </comment>
    <comment ref="Q72" authorId="1" shapeId="0" xr:uid="{00000000-0006-0000-0100-000060000000}">
      <text>
        <r>
          <rPr>
            <b/>
            <sz val="9"/>
            <color indexed="81"/>
            <rFont val="Tahoma"/>
            <family val="2"/>
          </rPr>
          <t>Montgomery, Clayton:</t>
        </r>
        <r>
          <rPr>
            <sz val="9"/>
            <color indexed="81"/>
            <rFont val="Tahoma"/>
            <family val="2"/>
          </rPr>
          <t xml:space="preserve">
Link to ESP</t>
        </r>
      </text>
    </comment>
    <comment ref="R72" authorId="1" shapeId="0" xr:uid="{00000000-0006-0000-0100-000061000000}">
      <text>
        <r>
          <rPr>
            <b/>
            <sz val="9"/>
            <color indexed="81"/>
            <rFont val="Tahoma"/>
            <family val="2"/>
          </rPr>
          <t>Montgomery, Clayton:</t>
        </r>
        <r>
          <rPr>
            <sz val="9"/>
            <color indexed="81"/>
            <rFont val="Tahoma"/>
            <family val="2"/>
          </rPr>
          <t xml:space="preserve">
Link to ESP</t>
        </r>
      </text>
    </comment>
    <comment ref="AD72" authorId="0" shapeId="0" xr:uid="{00000000-0006-0000-0100-000062000000}">
      <text>
        <r>
          <rPr>
            <b/>
            <sz val="9"/>
            <color indexed="81"/>
            <rFont val="Tahoma"/>
            <family val="2"/>
          </rPr>
          <t>clayton_montgomery:</t>
        </r>
        <r>
          <rPr>
            <sz val="9"/>
            <color indexed="81"/>
            <rFont val="Tahoma"/>
            <family val="2"/>
          </rPr>
          <t xml:space="preserve">
always equal to annual value</t>
        </r>
      </text>
    </comment>
    <comment ref="M73" authorId="0" shapeId="0" xr:uid="{00000000-0006-0000-0100-000063000000}">
      <text>
        <r>
          <rPr>
            <b/>
            <sz val="9"/>
            <color indexed="81"/>
            <rFont val="Tahoma"/>
            <family val="2"/>
          </rPr>
          <t>clayton_montgomery:</t>
        </r>
        <r>
          <rPr>
            <sz val="9"/>
            <color indexed="81"/>
            <rFont val="Tahoma"/>
            <family val="2"/>
          </rPr>
          <t xml:space="preserve">
input comes from Arrow Basic</t>
        </r>
      </text>
    </comment>
    <comment ref="N73" authorId="1" shapeId="0" xr:uid="{00000000-0006-0000-0100-000064000000}">
      <text>
        <r>
          <rPr>
            <b/>
            <sz val="9"/>
            <color indexed="81"/>
            <rFont val="Tahoma"/>
            <family val="2"/>
          </rPr>
          <t>Montgomery, Clayton:</t>
        </r>
        <r>
          <rPr>
            <sz val="9"/>
            <color indexed="81"/>
            <rFont val="Tahoma"/>
            <family val="2"/>
          </rPr>
          <t xml:space="preserve">
Link to ESP</t>
        </r>
      </text>
    </comment>
    <comment ref="O73" authorId="1" shapeId="0" xr:uid="{00000000-0006-0000-0100-000065000000}">
      <text>
        <r>
          <rPr>
            <b/>
            <sz val="9"/>
            <color indexed="81"/>
            <rFont val="Tahoma"/>
            <family val="2"/>
          </rPr>
          <t>Montgomery, Clayton:</t>
        </r>
        <r>
          <rPr>
            <sz val="9"/>
            <color indexed="81"/>
            <rFont val="Tahoma"/>
            <family val="2"/>
          </rPr>
          <t xml:space="preserve">
Link to ESP</t>
        </r>
      </text>
    </comment>
    <comment ref="P73" authorId="1" shapeId="0" xr:uid="{00000000-0006-0000-0100-000066000000}">
      <text>
        <r>
          <rPr>
            <b/>
            <sz val="9"/>
            <color indexed="81"/>
            <rFont val="Tahoma"/>
            <family val="2"/>
          </rPr>
          <t>Montgomery, Clayton:</t>
        </r>
        <r>
          <rPr>
            <sz val="9"/>
            <color indexed="81"/>
            <rFont val="Tahoma"/>
            <family val="2"/>
          </rPr>
          <t xml:space="preserve">
Link to ESP</t>
        </r>
      </text>
    </comment>
    <comment ref="Q73" authorId="1" shapeId="0" xr:uid="{00000000-0006-0000-0100-000067000000}">
      <text>
        <r>
          <rPr>
            <b/>
            <sz val="9"/>
            <color indexed="81"/>
            <rFont val="Tahoma"/>
            <family val="2"/>
          </rPr>
          <t>Montgomery, Clayton:</t>
        </r>
        <r>
          <rPr>
            <sz val="9"/>
            <color indexed="81"/>
            <rFont val="Tahoma"/>
            <family val="2"/>
          </rPr>
          <t xml:space="preserve">
Link to ESP</t>
        </r>
      </text>
    </comment>
    <comment ref="R73" authorId="1" shapeId="0" xr:uid="{00000000-0006-0000-0100-000068000000}">
      <text>
        <r>
          <rPr>
            <b/>
            <sz val="9"/>
            <color indexed="81"/>
            <rFont val="Tahoma"/>
            <family val="2"/>
          </rPr>
          <t>Montgomery, Clayton:</t>
        </r>
        <r>
          <rPr>
            <sz val="9"/>
            <color indexed="81"/>
            <rFont val="Tahoma"/>
            <family val="2"/>
          </rPr>
          <t xml:space="preserve">
Link to ESP</t>
        </r>
      </text>
    </comment>
    <comment ref="AD73" authorId="0" shapeId="0" xr:uid="{00000000-0006-0000-0100-000069000000}">
      <text>
        <r>
          <rPr>
            <b/>
            <sz val="9"/>
            <color indexed="81"/>
            <rFont val="Tahoma"/>
            <family val="2"/>
          </rPr>
          <t>clayton_montgomery:</t>
        </r>
        <r>
          <rPr>
            <sz val="9"/>
            <color indexed="81"/>
            <rFont val="Tahoma"/>
            <family val="2"/>
          </rPr>
          <t xml:space="preserve">
always equal to annual value</t>
        </r>
      </text>
    </comment>
    <comment ref="H101" authorId="1" shapeId="0" xr:uid="{00000000-0006-0000-0100-00006A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I101" authorId="1" shapeId="0" xr:uid="{00000000-0006-0000-0100-00006B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J101" authorId="1" shapeId="0" xr:uid="{00000000-0006-0000-0100-00006C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K101" authorId="1" shapeId="0" xr:uid="{00000000-0006-0000-0100-00006D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L101" authorId="1" shapeId="0" xr:uid="{00000000-0006-0000-0100-00006E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N101" authorId="1" shapeId="0" xr:uid="{00000000-0006-0000-0100-00006F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O101" authorId="1" shapeId="0" xr:uid="{00000000-0006-0000-0100-000070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P101" authorId="1" shapeId="0" xr:uid="{00000000-0006-0000-0100-000071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Q101" authorId="1" shapeId="0" xr:uid="{00000000-0006-0000-0100-000072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R101" authorId="1" shapeId="0" xr:uid="{00000000-0006-0000-0100-000073000000}">
      <text>
        <r>
          <rPr>
            <b/>
            <sz val="9"/>
            <color indexed="81"/>
            <rFont val="Tahoma"/>
            <family val="2"/>
          </rPr>
          <t>Montgomery, Clayton:</t>
        </r>
        <r>
          <rPr>
            <sz val="9"/>
            <color indexed="81"/>
            <rFont val="Tahoma"/>
            <family val="2"/>
          </rPr>
          <t xml:space="preserve">
A dash here shows that we have incomplete 5 year average data.  If there is a number, a 5 year average calculation is able to be done.</t>
        </r>
      </text>
    </comment>
    <comment ref="M146" authorId="0" shapeId="0" xr:uid="{00000000-0006-0000-0100-000074000000}">
      <text>
        <r>
          <rPr>
            <b/>
            <sz val="9"/>
            <color indexed="81"/>
            <rFont val="Tahoma"/>
            <family val="2"/>
          </rPr>
          <t>clayton_montgomery:</t>
        </r>
        <r>
          <rPr>
            <sz val="9"/>
            <color indexed="81"/>
            <rFont val="Tahoma"/>
            <family val="2"/>
          </rPr>
          <t xml:space="preserve">
input</t>
        </r>
      </text>
    </comment>
    <comment ref="N146" authorId="0" shapeId="0" xr:uid="{00000000-0006-0000-0100-000075000000}">
      <text>
        <r>
          <rPr>
            <b/>
            <sz val="9"/>
            <color indexed="81"/>
            <rFont val="Tahoma"/>
            <family val="2"/>
          </rPr>
          <t>clayton_montgomery:</t>
        </r>
        <r>
          <rPr>
            <sz val="9"/>
            <color indexed="81"/>
            <rFont val="Tahoma"/>
            <family val="2"/>
          </rPr>
          <t xml:space="preserve">
input</t>
        </r>
      </text>
    </comment>
    <comment ref="O146" authorId="0" shapeId="0" xr:uid="{00000000-0006-0000-0100-000076000000}">
      <text>
        <r>
          <rPr>
            <b/>
            <sz val="9"/>
            <color indexed="81"/>
            <rFont val="Tahoma"/>
            <family val="2"/>
          </rPr>
          <t>clayton_montgomery:</t>
        </r>
        <r>
          <rPr>
            <sz val="9"/>
            <color indexed="81"/>
            <rFont val="Tahoma"/>
            <family val="2"/>
          </rPr>
          <t xml:space="preserve">
input</t>
        </r>
      </text>
    </comment>
    <comment ref="P146" authorId="0" shapeId="0" xr:uid="{00000000-0006-0000-0100-000077000000}">
      <text>
        <r>
          <rPr>
            <b/>
            <sz val="9"/>
            <color indexed="81"/>
            <rFont val="Tahoma"/>
            <family val="2"/>
          </rPr>
          <t>clayton_montgomery:</t>
        </r>
        <r>
          <rPr>
            <sz val="9"/>
            <color indexed="81"/>
            <rFont val="Tahoma"/>
            <family val="2"/>
          </rPr>
          <t xml:space="preserve">
input</t>
        </r>
      </text>
    </comment>
    <comment ref="Q146" authorId="0" shapeId="0" xr:uid="{00000000-0006-0000-0100-000078000000}">
      <text>
        <r>
          <rPr>
            <b/>
            <sz val="9"/>
            <color indexed="81"/>
            <rFont val="Tahoma"/>
            <family val="2"/>
          </rPr>
          <t>clayton_montgomery:</t>
        </r>
        <r>
          <rPr>
            <sz val="9"/>
            <color indexed="81"/>
            <rFont val="Tahoma"/>
            <family val="2"/>
          </rPr>
          <t xml:space="preserve">
input</t>
        </r>
      </text>
    </comment>
    <comment ref="R146" authorId="0" shapeId="0" xr:uid="{00000000-0006-0000-0100-000079000000}">
      <text>
        <r>
          <rPr>
            <b/>
            <sz val="9"/>
            <color indexed="81"/>
            <rFont val="Tahoma"/>
            <family val="2"/>
          </rPr>
          <t>clayton_montgomery:</t>
        </r>
        <r>
          <rPr>
            <sz val="9"/>
            <color indexed="81"/>
            <rFont val="Tahoma"/>
            <family val="2"/>
          </rPr>
          <t xml:space="preserve">
input</t>
        </r>
      </text>
    </comment>
    <comment ref="M172" authorId="0" shapeId="0" xr:uid="{00000000-0006-0000-0100-00007A000000}">
      <text>
        <r>
          <rPr>
            <b/>
            <sz val="9"/>
            <color indexed="81"/>
            <rFont val="Tahoma"/>
            <family val="2"/>
          </rPr>
          <t>clayton_montgomery:</t>
        </r>
        <r>
          <rPr>
            <sz val="9"/>
            <color indexed="81"/>
            <rFont val="Tahoma"/>
            <family val="2"/>
          </rPr>
          <t xml:space="preserve">
input</t>
        </r>
      </text>
    </comment>
    <comment ref="N172" authorId="0" shapeId="0" xr:uid="{00000000-0006-0000-0100-00007B000000}">
      <text>
        <r>
          <rPr>
            <b/>
            <sz val="9"/>
            <color indexed="81"/>
            <rFont val="Tahoma"/>
            <family val="2"/>
          </rPr>
          <t>clayton_montgomery:</t>
        </r>
        <r>
          <rPr>
            <sz val="9"/>
            <color indexed="81"/>
            <rFont val="Tahoma"/>
            <family val="2"/>
          </rPr>
          <t xml:space="preserve">
input</t>
        </r>
      </text>
    </comment>
    <comment ref="O172" authorId="0" shapeId="0" xr:uid="{00000000-0006-0000-0100-00007C000000}">
      <text>
        <r>
          <rPr>
            <b/>
            <sz val="9"/>
            <color indexed="81"/>
            <rFont val="Tahoma"/>
            <family val="2"/>
          </rPr>
          <t>clayton_montgomery:</t>
        </r>
        <r>
          <rPr>
            <sz val="9"/>
            <color indexed="81"/>
            <rFont val="Tahoma"/>
            <family val="2"/>
          </rPr>
          <t xml:space="preserve">
input</t>
        </r>
      </text>
    </comment>
    <comment ref="P172" authorId="0" shapeId="0" xr:uid="{00000000-0006-0000-0100-00007D000000}">
      <text>
        <r>
          <rPr>
            <b/>
            <sz val="9"/>
            <color indexed="81"/>
            <rFont val="Tahoma"/>
            <family val="2"/>
          </rPr>
          <t>clayton_montgomery:</t>
        </r>
        <r>
          <rPr>
            <sz val="9"/>
            <color indexed="81"/>
            <rFont val="Tahoma"/>
            <family val="2"/>
          </rPr>
          <t xml:space="preserve">
input</t>
        </r>
      </text>
    </comment>
    <comment ref="Q172" authorId="0" shapeId="0" xr:uid="{00000000-0006-0000-0100-00007E000000}">
      <text>
        <r>
          <rPr>
            <b/>
            <sz val="9"/>
            <color indexed="81"/>
            <rFont val="Tahoma"/>
            <family val="2"/>
          </rPr>
          <t>clayton_montgomery:</t>
        </r>
        <r>
          <rPr>
            <sz val="9"/>
            <color indexed="81"/>
            <rFont val="Tahoma"/>
            <family val="2"/>
          </rPr>
          <t xml:space="preserve">
input</t>
        </r>
      </text>
    </comment>
    <comment ref="R172" authorId="0" shapeId="0" xr:uid="{00000000-0006-0000-0100-00007F000000}">
      <text>
        <r>
          <rPr>
            <b/>
            <sz val="9"/>
            <color indexed="81"/>
            <rFont val="Tahoma"/>
            <family val="2"/>
          </rPr>
          <t>clayton_montgomery:</t>
        </r>
        <r>
          <rPr>
            <sz val="9"/>
            <color indexed="81"/>
            <rFont val="Tahoma"/>
            <family val="2"/>
          </rPr>
          <t xml:space="preserve">
input</t>
        </r>
      </text>
    </comment>
    <comment ref="AC239" authorId="0" shapeId="0" xr:uid="{00000000-0006-0000-0100-000080000000}">
      <text>
        <r>
          <rPr>
            <b/>
            <sz val="9"/>
            <color indexed="81"/>
            <rFont val="Tahoma"/>
            <family val="2"/>
          </rPr>
          <t>clayton_montgomery:</t>
        </r>
        <r>
          <rPr>
            <sz val="9"/>
            <color indexed="81"/>
            <rFont val="Tahoma"/>
            <family val="2"/>
          </rPr>
          <t xml:space="preserve">
Changes based on drop down box in cell X2</t>
        </r>
      </text>
    </comment>
    <comment ref="AD239" authorId="0" shapeId="0" xr:uid="{00000000-0006-0000-0100-000081000000}">
      <text>
        <r>
          <rPr>
            <b/>
            <sz val="9"/>
            <color indexed="81"/>
            <rFont val="Tahoma"/>
            <family val="2"/>
          </rPr>
          <t>clayton_montgomery:</t>
        </r>
        <r>
          <rPr>
            <sz val="9"/>
            <color indexed="81"/>
            <rFont val="Tahoma"/>
            <family val="2"/>
          </rPr>
          <t xml:space="preserve">
Always 4</t>
        </r>
      </text>
    </comment>
  </commentList>
</comments>
</file>

<file path=xl/sharedStrings.xml><?xml version="1.0" encoding="utf-8"?>
<sst xmlns="http://schemas.openxmlformats.org/spreadsheetml/2006/main" count="809" uniqueCount="592">
  <si>
    <t>Change Description</t>
  </si>
  <si>
    <t>Cell(s) Changed</t>
  </si>
  <si>
    <t>Original Formula</t>
  </si>
  <si>
    <t>New Formula</t>
  </si>
  <si>
    <t>Multiplicative formula replaced by "if-then" formula</t>
  </si>
  <si>
    <t>K5</t>
  </si>
  <si>
    <t>=K163*K177</t>
  </si>
  <si>
    <t>=IF(K195="",K164*K178,K195)</t>
  </si>
  <si>
    <t>K6</t>
  </si>
  <si>
    <t>=J6*(1+K168)</t>
  </si>
  <si>
    <t>=IF(K196="",J6*(1+K169),K196)</t>
  </si>
  <si>
    <t>K7</t>
  </si>
  <si>
    <t>=J7*(1+K169)</t>
  </si>
  <si>
    <t>=IF(K197="",J7*(1+K170),K197)</t>
  </si>
  <si>
    <t>Sum replaced by "if-then" formula</t>
  </si>
  <si>
    <t>K8</t>
  </si>
  <si>
    <t>=SUM(K6:K7)*-K178</t>
  </si>
  <si>
    <t>=IF(K205="",SUM(K6:K7)*-K179,K205)</t>
  </si>
  <si>
    <t>K9</t>
  </si>
  <si>
    <t>=J9*(1+K170)</t>
  </si>
  <si>
    <t>=IF(K198="",J9*(1+K171),K198)</t>
  </si>
  <si>
    <t>K10</t>
  </si>
  <si>
    <t>=J10*(1+K171)</t>
  </si>
  <si>
    <t>=IF(K199="",J10*(1+K172),K199)</t>
  </si>
  <si>
    <t>K12</t>
  </si>
  <si>
    <t>=SUM(K5:K10)*-K179</t>
  </si>
  <si>
    <t>=IF(K206="",SUM(K5:K10)*-K180,K206)</t>
  </si>
  <si>
    <t>K13</t>
  </si>
  <si>
    <t>=SUM(K5:K10)*-K180</t>
  </si>
  <si>
    <t>=IF(K207="",SUM(K5:K10)*-K181,K207)</t>
  </si>
  <si>
    <t>K14</t>
  </si>
  <si>
    <t>=SUM(K5:K10)*-K181</t>
  </si>
  <si>
    <t>=IF(K208="",SUM(K5:K10)*-K182,K208)</t>
  </si>
  <si>
    <t>K15</t>
  </si>
  <si>
    <t>=SUM(K5:K10)*-K182</t>
  </si>
  <si>
    <t>=IF(K209="",SUM(K5:K10)*-K183,K209)</t>
  </si>
  <si>
    <t>L5</t>
  </si>
  <si>
    <t>=L163*L177</t>
  </si>
  <si>
    <t>=IF(L195="",L164*L178,L195)</t>
  </si>
  <si>
    <t>L6</t>
  </si>
  <si>
    <t>=K6*(1+L168)</t>
  </si>
  <si>
    <t>=IF(L196="",K6*(1+L169),L196)</t>
  </si>
  <si>
    <t>L7</t>
  </si>
  <si>
    <t>=K7*(1+L169)</t>
  </si>
  <si>
    <t>=IF(L197="",K7*(1+L170),L197)</t>
  </si>
  <si>
    <t>L8</t>
  </si>
  <si>
    <t>=SUM(L6:L7)*-L178</t>
  </si>
  <si>
    <t>=IF(L205="",SUM(L6:L7)*-L179,L205)</t>
  </si>
  <si>
    <t>L9</t>
  </si>
  <si>
    <t>=K9*(1+L170)</t>
  </si>
  <si>
    <t>=IF(L198="",K9*(1+L171),L198)</t>
  </si>
  <si>
    <t>L10</t>
  </si>
  <si>
    <t>=K10*(1+L171)</t>
  </si>
  <si>
    <t>=IF(L199="",K10*(1+L172),L199)</t>
  </si>
  <si>
    <t>L12</t>
  </si>
  <si>
    <t>=SUM(L5:L10)*-L179</t>
  </si>
  <si>
    <t>=IF(L206="",SUM(L5:L10)*-L180,L206)</t>
  </si>
  <si>
    <t>L13</t>
  </si>
  <si>
    <t>=SUM(L5:L10)*-L180</t>
  </si>
  <si>
    <t>=IF(L207="",SUM(L5:L10)*-L181,L207)</t>
  </si>
  <si>
    <t>L14</t>
  </si>
  <si>
    <t>=SUM(L5:L10)*-L181</t>
  </si>
  <si>
    <t>=IF(L208="",SUM(L5:L10)*-L182,L208)</t>
  </si>
  <si>
    <t>L15</t>
  </si>
  <si>
    <t>=SUM(L5:L10)*-L182</t>
  </si>
  <si>
    <t>=IF(L209="",SUM(L5:L10)*-L183,L209)</t>
  </si>
  <si>
    <t>K19</t>
  </si>
  <si>
    <t>=J19*(1+K172)</t>
  </si>
  <si>
    <t>=IF(K200="",J19*(1+K173),K200)</t>
  </si>
  <si>
    <t>K20</t>
  </si>
  <si>
    <t>=K19*-K183</t>
  </si>
  <si>
    <t>=IF(K210="",K19*-K184,K210)</t>
  </si>
  <si>
    <t>K22</t>
  </si>
  <si>
    <t>=J22*(1+K173)</t>
  </si>
  <si>
    <t>=IF(K201="",J22*(1+K174),K201)</t>
  </si>
  <si>
    <t>K23</t>
  </si>
  <si>
    <t>=K22*-K184</t>
  </si>
  <si>
    <t>=IF(K211="",K22*-K185,K211)</t>
  </si>
  <si>
    <t>K27</t>
  </si>
  <si>
    <t>=J27*(1+K174)</t>
  </si>
  <si>
    <t>=IF(K202="",J27*(1+K175),K202)</t>
  </si>
  <si>
    <t>K29</t>
  </si>
  <si>
    <t>=SUM(K17,K21,K24,K27,K28)*-K185</t>
  </si>
  <si>
    <t>=IF(K212="",SUM(K17,K21,K24,K27,K28)*-K186,K212)</t>
  </si>
  <si>
    <t>K30</t>
  </si>
  <si>
    <t>=SUM(K17,K21,K24,K27,K28,K29)*-K186</t>
  </si>
  <si>
    <t>=IF(K213="",SUM(K17,K21,K24,K27,K28,K29)*-K187,K213)</t>
  </si>
  <si>
    <t>L19</t>
  </si>
  <si>
    <t>=K19*(1+L172)</t>
  </si>
  <si>
    <t>=IF(L200="",K19*(1+L173),L200)</t>
  </si>
  <si>
    <t>L20</t>
  </si>
  <si>
    <t>=L19*-L183</t>
  </si>
  <si>
    <t>=IF(L210="",L19*-L184,L210)</t>
  </si>
  <si>
    <t>L22</t>
  </si>
  <si>
    <t>=K22*(1+L173)</t>
  </si>
  <si>
    <t>=IF(L201="",K22*(1+L174),L201)</t>
  </si>
  <si>
    <t>L23</t>
  </si>
  <si>
    <t>=L22*-L184</t>
  </si>
  <si>
    <t>=IF(L211="",L22*-L185,L211)</t>
  </si>
  <si>
    <t>L27</t>
  </si>
  <si>
    <t>=K27*(1+L174)</t>
  </si>
  <si>
    <t>=IF(L202="",K27*(1+L175),L202)</t>
  </si>
  <si>
    <t>L29</t>
  </si>
  <si>
    <t>=SUM(L17,L21,L24,L27,L28)*-L185</t>
  </si>
  <si>
    <t>=IF(L212="",SUM(L17,L21,L24,L27,L28)*-L186,L212)</t>
  </si>
  <si>
    <t>L30</t>
  </si>
  <si>
    <t>=SUM(L17,L21,L24,L27,L28,L29)*-L186</t>
  </si>
  <si>
    <t>=IF(L213="",SUM(L17,L21,L24,L27,L28,L29)*-L187,L213)</t>
  </si>
  <si>
    <t>Old formula changes to an "if-then" formula</t>
  </si>
  <si>
    <t>Different multiplier</t>
  </si>
  <si>
    <t>K50</t>
  </si>
  <si>
    <t>=SUM(K5:K10)*K189</t>
  </si>
  <si>
    <t>=SUM(K5:K10)*K190</t>
  </si>
  <si>
    <t>L50</t>
  </si>
  <si>
    <t>=SUM(L5:L10)*L189</t>
  </si>
  <si>
    <t>=SUM(L5:L10)*L190</t>
  </si>
  <si>
    <t>Different additives</t>
  </si>
  <si>
    <t>K51</t>
  </si>
  <si>
    <t>=K33*(K188+K187)</t>
  </si>
  <si>
    <t>=K33*(K189+K188)</t>
  </si>
  <si>
    <t>L51</t>
  </si>
  <si>
    <t>=L33*(L188+L187)</t>
  </si>
  <si>
    <t>=L33*(L189+L188)</t>
  </si>
  <si>
    <t>New formula created</t>
  </si>
  <si>
    <t>Q154</t>
  </si>
  <si>
    <t>(no formula)</t>
  </si>
  <si>
    <t>=P163</t>
  </si>
  <si>
    <t>S154</t>
  </si>
  <si>
    <t>=R163</t>
  </si>
  <si>
    <t>T154</t>
  </si>
  <si>
    <t>=S163</t>
  </si>
  <si>
    <t>U154</t>
  </si>
  <si>
    <t>=T163</t>
  </si>
  <si>
    <t>W5</t>
  </si>
  <si>
    <t>=SUM(R5:U5)</t>
  </si>
  <si>
    <t>=IF($X$2=1,SUM(R5),IF($X$2=2, SUM(R5:S5),IF($X$2=3,SUM(R5:T5),IF($X$2=4,SUM(R5:U5)))))</t>
  </si>
  <si>
    <t>W6</t>
  </si>
  <si>
    <t>=SUM(R6:U6)</t>
  </si>
  <si>
    <t>=IF($X$2=1,SUM(R6),IF($X$2=2, SUM(R6:S6),IF($X$2=3,SUM(R6:T6),IF($X$2=4,SUM(R6:U6)))))</t>
  </si>
  <si>
    <t>W7</t>
  </si>
  <si>
    <t>=SUM(R7:U7)</t>
  </si>
  <si>
    <t>=IF($X$2=1,SUM(R7),IF($X$2=2, SUM(R7:S7),IF($X$2=3,SUM(R7:T7),IF($X$2=4,SUM(R7:U7)))))</t>
  </si>
  <si>
    <t>W8</t>
  </si>
  <si>
    <t>=SUM(R8:U8)</t>
  </si>
  <si>
    <t>=IF($X$2=1,SUM(R8),IF($X$2=2, SUM(R8:S8),IF($X$2=3,SUM(R8:T8),IF($X$2=4,SUM(R8:U8)))))</t>
  </si>
  <si>
    <t>W9</t>
  </si>
  <si>
    <t>=SUM(R9:U9)</t>
  </si>
  <si>
    <t>=IF($X$2=1,SUM(R9),IF($X$2=2, SUM(R9:S9),IF($X$2=3,SUM(R9:T9),IF($X$2=4,SUM(R9:U9)))))</t>
  </si>
  <si>
    <t>W10</t>
  </si>
  <si>
    <t>=SUM(R10:U10)</t>
  </si>
  <si>
    <t>=IF($X$2=1,SUM(R10),IF($X$2=2, SUM(R10:S10),IF($X$2=3,SUM(R10:T10),IF($X$2=4,SUM(R10:U10)))))</t>
  </si>
  <si>
    <t>W11</t>
  </si>
  <si>
    <t>=SUM(R11:U11)</t>
  </si>
  <si>
    <t>=IF($X$2=1,SUM(R11),IF($X$2=2, SUM(R11:S11),IF($X$2=3,SUM(R11:T11),IF($X$2=4,SUM(R11:U11)))))</t>
  </si>
  <si>
    <t>W12</t>
  </si>
  <si>
    <t>=SUM(R12:U12)</t>
  </si>
  <si>
    <t>=IF($X$2=1,SUM(R12),IF($X$2=2, SUM(R12:S12),IF($X$2=3,SUM(R12:T12),IF($X$2=4,SUM(R12:U12)))))</t>
  </si>
  <si>
    <t>W13</t>
  </si>
  <si>
    <t>=SUM(R13:U13)</t>
  </si>
  <si>
    <t>=IF($X$2=1,SUM(R13),IF($X$2=2, SUM(R13:S13),IF($X$2=3,SUM(R13:T13),IF($X$2=4,SUM(R13:U13)))))</t>
  </si>
  <si>
    <t>W14</t>
  </si>
  <si>
    <t>=SUM(R14:U14)</t>
  </si>
  <si>
    <t>=IF($X$2=1,SUM(R14),IF($X$2=2, SUM(R14:S14),IF($X$2=3,SUM(R14:T14),IF($X$2=4,SUM(R14:U14)))))</t>
  </si>
  <si>
    <t>W15</t>
  </si>
  <si>
    <t>=SUM(R15:U15)</t>
  </si>
  <si>
    <t>=IF($X$2=1,SUM(R15),IF($X$2=2, SUM(R15:S15),IF($X$2=3,SUM(R15:T15),IF($X$2=4,SUM(R15:U15)))))</t>
  </si>
  <si>
    <t>W16</t>
  </si>
  <si>
    <t>=SUM(R16:U16)</t>
  </si>
  <si>
    <t>=IF($X$2=1,SUM(R16),IF($X$2=2, SUM(R16:S16),IF($X$2=3,SUM(R16:T16),IF($X$2=4,SUM(R16:U16)))))</t>
  </si>
  <si>
    <t>W17</t>
  </si>
  <si>
    <t>=SUM(R17:U17)</t>
  </si>
  <si>
    <t>=IF($X$2=1,SUM(R17),IF($X$2=2, SUM(R17:S17),IF($X$2=3,SUM(R17:T17),IF($X$2=4,SUM(R17:U17)))))</t>
  </si>
  <si>
    <t>X5</t>
  </si>
  <si>
    <t>=IF($X$2=1,SUM(O5:R5),IF($X$2=2,SUM(P5:S5),IF($X$2=3,SUM(Q5:T5),IF($X$2=4,SUM(R5:U5)))))</t>
  </si>
  <si>
    <t>X6</t>
  </si>
  <si>
    <t>=IF($X$2=1,SUM(O6:R6),IF($X$2=2,SUM(P6:S6),IF($X$2=3,SUM(Q6:T6),IF($X$2=4,SUM(R6:U6)))))</t>
  </si>
  <si>
    <t>X7</t>
  </si>
  <si>
    <t>=IF($X$2=1,SUM(O7:R7),IF($X$2=2,SUM(P7:S7),IF($X$2=3,SUM(Q7:T7),IF($X$2=4,SUM(R7:U7)))))</t>
  </si>
  <si>
    <t>X8</t>
  </si>
  <si>
    <t>=IF($X$2=1,SUM(O8:R8),IF($X$2=2,SUM(P8:S8),IF($X$2=3,SUM(Q8:T8),IF($X$2=4,SUM(R8:U8)))))</t>
  </si>
  <si>
    <t>X9</t>
  </si>
  <si>
    <t>=IF($X$2=1,SUM(O9:R9),IF($X$2=2,SUM(P9:S9),IF($X$2=3,SUM(Q9:T9),IF($X$2=4,SUM(R9:U9)))))</t>
  </si>
  <si>
    <t>X10</t>
  </si>
  <si>
    <t>=IF($X$2=1,SUM(O10:R10),IF($X$2=2,SUM(P10:S10),IF($X$2=3,SUM(Q10:T10),IF($X$2=4,SUM(R10:U10)))))</t>
  </si>
  <si>
    <t>X11</t>
  </si>
  <si>
    <t>=IF($X$2=1,SUM(O11:R11),IF($X$2=2,SUM(P11:S11),IF($X$2=3,SUM(Q11:T11),IF($X$2=4,SUM(R11:U11)))))</t>
  </si>
  <si>
    <t>X12</t>
  </si>
  <si>
    <t>=IF($X$2=1,SUM(O12:R12),IF($X$2=2,SUM(P12:S12),IF($X$2=3,SUM(Q12:T12),IF($X$2=4,SUM(R12:U12)))))</t>
  </si>
  <si>
    <t>X13</t>
  </si>
  <si>
    <t>=IF($X$2=1,SUM(O13:R13),IF($X$2=2,SUM(P13:S13),IF($X$2=3,SUM(Q13:T13),IF($X$2=4,SUM(R13:U13)))))</t>
  </si>
  <si>
    <t>X14</t>
  </si>
  <si>
    <t>=IF($X$2=1,SUM(O14:R14),IF($X$2=2,SUM(P14:S14),IF($X$2=3,SUM(Q14:T14),IF($X$2=4,SUM(R14:U14)))))</t>
  </si>
  <si>
    <t>X15</t>
  </si>
  <si>
    <t>=IF($X$2=1,SUM(O15:R15),IF($X$2=2,SUM(P15:S15),IF($X$2=3,SUM(Q15:T15),IF($X$2=4,SUM(R15:U15)))))</t>
  </si>
  <si>
    <t>X16</t>
  </si>
  <si>
    <t>=IF($X$2=1,SUM(O16:R16),IF($X$2=2,SUM(P16:S16),IF($X$2=3,SUM(Q16:T16),IF($X$2=4,SUM(R16:U16)))))</t>
  </si>
  <si>
    <t>X17</t>
  </si>
  <si>
    <t>=IF($X$2=1,SUM(O17:R17),IF($X$2=2,SUM(P17:S17),IF($X$2=3,SUM(Q17:T17),IF($X$2=4,SUM(R17:U17)))))</t>
  </si>
  <si>
    <t>W19</t>
  </si>
  <si>
    <t>=SUM(R19:U19)</t>
  </si>
  <si>
    <t>=IF($X$2=1,SUM(R19),IF($X$2=2, SUM(R19:S19),IF($X$2=3,SUM(R19:T19),IF($X$2=4,SUM(R19:U19)))))</t>
  </si>
  <si>
    <t>W20</t>
  </si>
  <si>
    <t>=SUM(R20:U20)</t>
  </si>
  <si>
    <t>=IF($X$2=1,SUM(R20),IF($X$2=2, SUM(R20:S20),IF($X$2=3,SUM(R20:T20),IF($X$2=4,SUM(R20:U20)))))</t>
  </si>
  <si>
    <t>W21</t>
  </si>
  <si>
    <t>=SUM(R21:U21)</t>
  </si>
  <si>
    <t>=IF($X$2=1,SUM(R21),IF($X$2=2, SUM(R21:S21),IF($X$2=3,SUM(R21:T21),IF($X$2=4,SUM(R21:U21)))))</t>
  </si>
  <si>
    <t>W22</t>
  </si>
  <si>
    <t>=SUM(R22:U22)</t>
  </si>
  <si>
    <t>=IF($X$2=1,SUM(R22),IF($X$2=2, SUM(R22:S22),IF($X$2=3,SUM(R22:T22),IF($X$2=4,SUM(R22:U22)))))</t>
  </si>
  <si>
    <t>W23</t>
  </si>
  <si>
    <t>=SUM(R23:U23)</t>
  </si>
  <si>
    <t>=IF($X$2=1,SUM(R23),IF($X$2=2, SUM(R23:S23),IF($X$2=3,SUM(R23:T23),IF($X$2=4,SUM(R23:U23)))))</t>
  </si>
  <si>
    <t>W24</t>
  </si>
  <si>
    <t>=SUM(R24:U24)</t>
  </si>
  <si>
    <t>=IF($X$2=1,SUM(R24),IF($X$2=2, SUM(R24:S24),IF($X$2=3,SUM(R24:T24),IF($X$2=4,SUM(R24:U24)))))</t>
  </si>
  <si>
    <t>W25</t>
  </si>
  <si>
    <t>=SUM(R25:U25)</t>
  </si>
  <si>
    <t>=IF($X$2=1,SUM(R25),IF($X$2=2, SUM(R25:S25),IF($X$2=3,SUM(R25:T25),IF($X$2=4,SUM(R25:U25)))))</t>
  </si>
  <si>
    <t>W26</t>
  </si>
  <si>
    <t>=SUM(R26:U26)</t>
  </si>
  <si>
    <t>=IF($X$2=1,SUM(R26),IF($X$2=2, SUM(R26:S26),IF($X$2=3,SUM(R26:T26),IF($X$2=4,SUM(R26:U26)))))</t>
  </si>
  <si>
    <t>W27</t>
  </si>
  <si>
    <t>=SUM(R27:U27)</t>
  </si>
  <si>
    <t>=IF($X$2=1,SUM(R27),IF($X$2=2, SUM(R27:S27),IF($X$2=3,SUM(R27:T27),IF($X$2=4,SUM(R27:U27)))))</t>
  </si>
  <si>
    <t>W28</t>
  </si>
  <si>
    <t>=SUM(R28:U28)</t>
  </si>
  <si>
    <t>=IF($X$2=1,SUM(R28),IF($X$2=2, SUM(R28:S28),IF($X$2=3,SUM(R28:T28),IF($X$2=4,SUM(R28:U28)))))</t>
  </si>
  <si>
    <t>W29</t>
  </si>
  <si>
    <t>=SUM(R29:U29)</t>
  </si>
  <si>
    <t>=IF($X$2=1,SUM(R29),IF($X$2=2, SUM(R29:S29),IF($X$2=3,SUM(R29:T29),IF($X$2=4,SUM(R29:U29)))))</t>
  </si>
  <si>
    <t>W30</t>
  </si>
  <si>
    <t>=SUM(R30:U30)</t>
  </si>
  <si>
    <t>=IF($X$2=1,SUM(R30),IF($X$2=2, SUM(R30:S30),IF($X$2=3,SUM(R30:T30),IF($X$2=4,SUM(R30:U30)))))</t>
  </si>
  <si>
    <t>W31</t>
  </si>
  <si>
    <t>=SUM(R31:U31)</t>
  </si>
  <si>
    <t>=IF($X$2=1,SUM(R31),IF($X$2=2, SUM(R31:S31),IF($X$2=3,SUM(R31:T31),IF($X$2=4,SUM(R31:U31)))))</t>
  </si>
  <si>
    <t>W32</t>
  </si>
  <si>
    <t>=SUM(R32:U32)</t>
  </si>
  <si>
    <t>=IF($X$2=1,SUM(R32),IF($X$2=2, SUM(R32:S32),IF($X$2=3,SUM(R32:T32),IF($X$2=4,SUM(R32:U32)))))</t>
  </si>
  <si>
    <t>W33</t>
  </si>
  <si>
    <t>=SUM(R33:U33)</t>
  </si>
  <si>
    <t>=IF($X$2=1,SUM(R33),IF($X$2=2, SUM(R33:S33),IF($X$2=3,SUM(R33:T33),IF($X$2=4,SUM(R33:U33)))))</t>
  </si>
  <si>
    <t>X19</t>
  </si>
  <si>
    <t>=IF($X$2=1,SUM(O19:R19),IF($X$2=2,SUM(P19:S19),IF($X$2=3,SUM(Q19:T19),IF($X$2=4,SUM(R19:U19)))))</t>
  </si>
  <si>
    <t>X20</t>
  </si>
  <si>
    <t>=IF($X$2=1,SUM(O20:R20),IF($X$2=2,SUM(P20:S20),IF($X$2=3,SUM(Q20:T20),IF($X$2=4,SUM(R20:U20)))))</t>
  </si>
  <si>
    <t>X21</t>
  </si>
  <si>
    <t>=IF($X$2=1,SUM(O21:R21),IF($X$2=2,SUM(P21:S21),IF($X$2=3,SUM(Q21:T21),IF($X$2=4,SUM(R21:U21)))))</t>
  </si>
  <si>
    <t>X22</t>
  </si>
  <si>
    <t>=IF($X$2=1,SUM(O22:R22),IF($X$2=2,SUM(P22:S22),IF($X$2=3,SUM(Q22:T22),IF($X$2=4,SUM(R22:U22)))))</t>
  </si>
  <si>
    <t>X23</t>
  </si>
  <si>
    <t>=IF($X$2=1,SUM(O23:R23),IF($X$2=2,SUM(P23:S23),IF($X$2=3,SUM(Q23:T23),IF($X$2=4,SUM(R23:U23)))))</t>
  </si>
  <si>
    <t>X24</t>
  </si>
  <si>
    <t>=IF($X$2=1,SUM(O24:R24),IF($X$2=2,SUM(P24:S24),IF($X$2=3,SUM(Q24:T24),IF($X$2=4,SUM(R24:U24)))))</t>
  </si>
  <si>
    <t>X25</t>
  </si>
  <si>
    <t>=IF($X$2=1,SUM(O25:R25),IF($X$2=2,SUM(P25:S25),IF($X$2=3,SUM(Q25:T25),IF($X$2=4,SUM(R25:U25)))))</t>
  </si>
  <si>
    <t>X26</t>
  </si>
  <si>
    <t>=IF($X$2=1,SUM(O26:R26),IF($X$2=2,SUM(P26:S26),IF($X$2=3,SUM(Q26:T26),IF($X$2=4,SUM(R26:U26)))))</t>
  </si>
  <si>
    <t>X27</t>
  </si>
  <si>
    <t>=IF($X$2=1,SUM(O27:R27),IF($X$2=2,SUM(P27:S27),IF($X$2=3,SUM(Q27:T27),IF($X$2=4,SUM(R27:U27)))))</t>
  </si>
  <si>
    <t>X28</t>
  </si>
  <si>
    <t>=IF($X$2=1,SUM(O28:R28),IF($X$2=2,SUM(P28:S28),IF($X$2=3,SUM(Q28:T28),IF($X$2=4,SUM(R28:U28)))))</t>
  </si>
  <si>
    <t>X29</t>
  </si>
  <si>
    <t>=IF($X$2=1,SUM(O29:R29),IF($X$2=2,SUM(P29:S29),IF($X$2=3,SUM(Q29:T29),IF($X$2=4,SUM(R29:U29)))))</t>
  </si>
  <si>
    <t>X30</t>
  </si>
  <si>
    <t>=IF($X$2=1,SUM(O30:R30),IF($X$2=2,SUM(P30:S30),IF($X$2=3,SUM(Q30:T30),IF($X$2=4,SUM(R30:U30)))))</t>
  </si>
  <si>
    <t>X31</t>
  </si>
  <si>
    <t>=IF($X$2=1,SUM(O31:R31),IF($X$2=2,SUM(P31:S31),IF($X$2=3,SUM(Q31:T31),IF($X$2=4,SUM(R31:U31)))))</t>
  </si>
  <si>
    <t>X32</t>
  </si>
  <si>
    <t>=IF($X$2=1,SUM(O32:R32),IF($X$2=2,SUM(P32:S32),IF($X$2=3,SUM(Q32:T32),IF($X$2=4,SUM(R32:U32)))))</t>
  </si>
  <si>
    <t>X33</t>
  </si>
  <si>
    <t>=IF($X$2=1,SUM(O33:R33),IF($X$2=2,SUM(P33:S33),IF($X$2=3,SUM(Q33:T33),IF($X$2=4,SUM(R33:U33)))))</t>
  </si>
  <si>
    <t>Cell reference replaced by "if-then" formula</t>
  </si>
  <si>
    <t>W36</t>
  </si>
  <si>
    <t>=U36</t>
  </si>
  <si>
    <t>=IF($X$2=1,R36,IF($X$2=2,S36,IF($X$2=3,T36,IF($X$2=4,U36))))</t>
  </si>
  <si>
    <t>W37</t>
  </si>
  <si>
    <t>=U37</t>
  </si>
  <si>
    <t>=IF($X$2=1,R37,IF($X$2=2,S37,IF($X$2=3,T37,IF($X$2=4,U37))))</t>
  </si>
  <si>
    <t>W38</t>
  </si>
  <si>
    <t>=U38</t>
  </si>
  <si>
    <t>=IF($X$2=1,R38,IF($X$2=2,S38,IF($X$2=3,T38,IF($X$2=4,U38))))</t>
  </si>
  <si>
    <t>W39</t>
  </si>
  <si>
    <t>=U39</t>
  </si>
  <si>
    <t>=IF($X$2=1,R39,IF($X$2=2,S39,IF($X$2=3,T39,IF($X$2=4,U39))))</t>
  </si>
  <si>
    <t>W40</t>
  </si>
  <si>
    <t>=U40</t>
  </si>
  <si>
    <t>=IF($X$2=1,R40,IF($X$2=2,S40,IF($X$2=3,T40,IF($X$2=4,U40))))</t>
  </si>
  <si>
    <t>W41</t>
  </si>
  <si>
    <t>=U41</t>
  </si>
  <si>
    <t>=IF($X$2=1,R41,IF($X$2=2,S41,IF($X$2=3,T41,IF($X$2=4,U41))))</t>
  </si>
  <si>
    <t>W42</t>
  </si>
  <si>
    <t>=U42</t>
  </si>
  <si>
    <t>=IF($X$2=1,R42,IF($X$2=2,S42,IF($X$2=3,T42,IF($X$2=4,U42))))</t>
  </si>
  <si>
    <t>W43</t>
  </si>
  <si>
    <t>=U43</t>
  </si>
  <si>
    <t>=IF($X$2=1,R43,IF($X$2=2,S43,IF($X$2=3,T43,IF($X$2=4,U43))))</t>
  </si>
  <si>
    <t>W44</t>
  </si>
  <si>
    <t>=U44</t>
  </si>
  <si>
    <t>=IF($X$2=1,R44,IF($X$2=2,S44,IF($X$2=3,T44,IF($X$2=4,U44))))</t>
  </si>
  <si>
    <t>W45</t>
  </si>
  <si>
    <t>=U45</t>
  </si>
  <si>
    <t>=IF($X$2=1,R45,IF($X$2=2,S45,IF($X$2=3,T45,IF($X$2=4,U45))))</t>
  </si>
  <si>
    <t>Manual entry replaced by formula</t>
  </si>
  <si>
    <t>W46</t>
  </si>
  <si>
    <t>=IF($X$2=1,R46,IF($X$2=2,S46,IF($X$2=3,T46,IF($X$2=4,U46))))</t>
  </si>
  <si>
    <t>W47</t>
  </si>
  <si>
    <t>=IF($X$2=1,R47,IF($X$2=2,S47,IF($X$2=3,T47,IF($X$2=4,U47))))</t>
  </si>
  <si>
    <t>W50</t>
  </si>
  <si>
    <t>=SUM(R50:U50)</t>
  </si>
  <si>
    <t>=IF($X$2=1,SUM(R50),IF($X$2=2, SUM(R50:S50),IF($X$2=3,SUM(R50:T50),IF($X$2=4,SUM(R50:U50)))))</t>
  </si>
  <si>
    <t>W51</t>
  </si>
  <si>
    <t>=SUM(R51:U51)</t>
  </si>
  <si>
    <t>=IF($X$2=1,SUM(R51),IF($X$2=2, SUM(R51:S51),IF($X$2=3,SUM(R51:T51),IF($X$2=4,SUM(R51:U51)))))</t>
  </si>
  <si>
    <t>W52</t>
  </si>
  <si>
    <t>=SUM(R52:U52)</t>
  </si>
  <si>
    <t>=IF($X$2=1,SUM(R52),IF($X$2=2, SUM(R52:S52),IF($X$2=3,SUM(R52:T52),IF($X$2=4,SUM(R52:U52)))))</t>
  </si>
  <si>
    <t>W53</t>
  </si>
  <si>
    <t>=SUM(R53:U53)</t>
  </si>
  <si>
    <t>=IF($X$2=1,SUM(R53),IF($X$2=2, SUM(R53:S53),IF($X$2=3,SUM(R53:T53),IF($X$2=4,SUM(R53:U53)))))</t>
  </si>
  <si>
    <t>Cell reference shift &amp; new cell reference</t>
  </si>
  <si>
    <t>W164</t>
  </si>
  <si>
    <t>=AVERAGE(U162,R153)</t>
  </si>
  <si>
    <t>=AVERAGE(W163,W154)</t>
  </si>
  <si>
    <t>X154</t>
  </si>
  <si>
    <t>=R153</t>
  </si>
  <si>
    <t>=IF($X$2=1,O154,IF($X$2=2,P154,IF($X$2=3,Q154,IF($X$2=4,R154))))</t>
  </si>
  <si>
    <t>X155</t>
  </si>
  <si>
    <t>=SUM(R154:U154)</t>
  </si>
  <si>
    <t>=IF($X$2=1,SUM(O155:R155),IF($X$2=2,SUM(P155:S155),IF($X$2=3,SUM(Q155:T155),IF($X$2=4,SUM(R155:U155)))))</t>
  </si>
  <si>
    <t>X156</t>
  </si>
  <si>
    <t>=SUM(R155:U155)</t>
  </si>
  <si>
    <t>=IF($X$2=1,SUM(O156:R156),IF($X$2=2,SUM(P156:S156),IF($X$2=3,SUM(Q156:T156),IF($X$2=4,SUM(R156:U156)))))</t>
  </si>
  <si>
    <t>New Summation formula</t>
  </si>
  <si>
    <t>X157</t>
  </si>
  <si>
    <t>=SUM(R156:U156)</t>
  </si>
  <si>
    <t>=SUM(X155:X156)</t>
  </si>
  <si>
    <t>X158</t>
  </si>
  <si>
    <t>=SUM(R157:U157)</t>
  </si>
  <si>
    <t>=IF($X$2=1,SUM(O158:R158),IF($X$2=2,SUM(P158:S158),IF($X$2=3,SUM(Q158:T158),IF($X$2=4,SUM(R158:U158)))))</t>
  </si>
  <si>
    <t>X159</t>
  </si>
  <si>
    <t>=SUM(R158:U158)</t>
  </si>
  <si>
    <t>=IF($X$2=1,SUM(O159:R159),IF($X$2=2,SUM(P159:S159),IF($X$2=3,SUM(Q159:T159),IF($X$2=4,SUM(R159:U159)))))</t>
  </si>
  <si>
    <t>X160</t>
  </si>
  <si>
    <t>=SUM(R159:U159)</t>
  </si>
  <si>
    <t>=SUM(X157:X159)</t>
  </si>
  <si>
    <t>X161</t>
  </si>
  <si>
    <t>=SUM(R160:U160)</t>
  </si>
  <si>
    <t>=IF($X$2=1,SUM(O161:R161),IF($X$2=2,SUM(P161:S161),IF($X$2=3,SUM(Q161:T161),IF($X$2=4,SUM(R161:U161)))))</t>
  </si>
  <si>
    <t>X162</t>
  </si>
  <si>
    <t>=SUM(R161:U161)</t>
  </si>
  <si>
    <t>=IF($X$2=1,SUM(O162:R162),IF($X$2=2,SUM(P162:S162),IF($X$2=3,SUM(Q162:T162),IF($X$2=4,SUM(R162:U162)))))</t>
  </si>
  <si>
    <t>New reference cell in formula</t>
  </si>
  <si>
    <t>X164</t>
  </si>
  <si>
    <t>=AVERAGE(U162,Q162)</t>
  </si>
  <si>
    <t>=AVERAGE(X163,X154)</t>
  </si>
  <si>
    <t>Annualization factor reference (Row 215 from Row 190)</t>
  </si>
  <si>
    <t>W178</t>
  </si>
  <si>
    <t>=IF(ISERROR((W5*W190)/W163),"-",(W5*W190)/W163)</t>
  </si>
  <si>
    <t>=IF(ISERROR((W5*W215)/W164),"-",(W5*W215)/W164)</t>
  </si>
  <si>
    <t>X178</t>
  </si>
  <si>
    <t>=IF(ISERROR((X5*X190)/X163),"-",(X5*X190)/X163)</t>
  </si>
  <si>
    <t>=IF(ISERROR((X5*X215)/X164),"-",(X5*X215)/X164)</t>
  </si>
  <si>
    <t>New formula for annualization factor</t>
  </si>
  <si>
    <t>=IF($X$2=1,4,IF($X$2=2,2,IF($X$2=3,4/3,IF($X$2=4,1))))</t>
  </si>
  <si>
    <t>Removed "Analysis &amp; Publishing" Section (just pure deletion)</t>
  </si>
  <si>
    <t>Rows 192 through 233</t>
  </si>
  <si>
    <t>Removed negative in formula</t>
  </si>
  <si>
    <t>Row 225</t>
  </si>
  <si>
    <t>Row 227</t>
  </si>
  <si>
    <t>Row 228</t>
  </si>
  <si>
    <t>Extended formula to column P, O, N from column Q</t>
  </si>
  <si>
    <t>Row 178</t>
  </si>
  <si>
    <t>Row 179</t>
  </si>
  <si>
    <t>Row 180</t>
  </si>
  <si>
    <t>Row 181</t>
  </si>
  <si>
    <t>Row 182</t>
  </si>
  <si>
    <t>Row 183</t>
  </si>
  <si>
    <t>Row 184</t>
  </si>
  <si>
    <t>Row 185</t>
  </si>
  <si>
    <t>Row 186</t>
  </si>
  <si>
    <t>Row 187</t>
  </si>
  <si>
    <t>Row 188</t>
  </si>
  <si>
    <t>Row 189</t>
  </si>
  <si>
    <t>Row 190</t>
  </si>
  <si>
    <t>Changed formula to reference input + 1</t>
  </si>
  <si>
    <t>K3</t>
  </si>
  <si>
    <t>=L3-1</t>
  </si>
  <si>
    <t>=J3+1</t>
  </si>
  <si>
    <t>Changed to formula from input</t>
  </si>
  <si>
    <t>L3</t>
  </si>
  <si>
    <t>=K3+1</t>
  </si>
  <si>
    <t>ANNUAL SPREADS</t>
  </si>
  <si>
    <t>QUARTERLY SPREADS</t>
  </si>
  <si>
    <t>YTD &amp; LTM</t>
  </si>
  <si>
    <t>Historical</t>
  </si>
  <si>
    <t>Projected</t>
  </si>
  <si>
    <r>
      <t xml:space="preserve">CHOOSE </t>
    </r>
    <r>
      <rPr>
        <b/>
        <sz val="14"/>
        <color rgb="FF0000FF"/>
        <rFont val="Arial"/>
        <family val="2"/>
      </rPr>
      <t>-&gt;</t>
    </r>
  </si>
  <si>
    <t>YTD</t>
  </si>
  <si>
    <t>LTM</t>
  </si>
  <si>
    <t>INCOME DATA</t>
  </si>
  <si>
    <t>Management Fees</t>
  </si>
  <si>
    <t>&lt;-DO NOT DELETE</t>
  </si>
  <si>
    <t>Transaction Fees</t>
  </si>
  <si>
    <t>Advisory Fees</t>
  </si>
  <si>
    <t>Offsets or Fee Credits</t>
  </si>
  <si>
    <t>Interest and Dividend Revenue</t>
  </si>
  <si>
    <t>Other Income</t>
  </si>
  <si>
    <t>Interest Expense</t>
  </si>
  <si>
    <t>Compensation Expense</t>
  </si>
  <si>
    <t>Equity Compensation</t>
  </si>
  <si>
    <t>Depreciation and Amortization</t>
  </si>
  <si>
    <t>Operating Expense (ex-D&amp;A)</t>
  </si>
  <si>
    <t>Non-Recurring / Excluded items</t>
  </si>
  <si>
    <t>Fee Related Earnings</t>
  </si>
  <si>
    <t>Realized Incentive Fees</t>
  </si>
  <si>
    <t>Realized Incentive Fee Compensation</t>
  </si>
  <si>
    <t>Net Realized Incentive Fees</t>
  </si>
  <si>
    <t>Realized Carried Interest</t>
  </si>
  <si>
    <t>Realized Carried Interest Compensation</t>
  </si>
  <si>
    <t>Net Realized Carried Interest</t>
  </si>
  <si>
    <t>Realized Investment Income</t>
  </si>
  <si>
    <t>Adjustments to Realized Investment Income</t>
  </si>
  <si>
    <t>Net Realized Investment Income</t>
  </si>
  <si>
    <t>Non-Recurring / Excluded Items</t>
  </si>
  <si>
    <t>Taxes</t>
  </si>
  <si>
    <t>Non-Controlling Interest</t>
  </si>
  <si>
    <t>Total Realized Earnings</t>
  </si>
  <si>
    <r>
      <t xml:space="preserve">Adjustments </t>
    </r>
    <r>
      <rPr>
        <b/>
        <u/>
        <sz val="10"/>
        <rFont val="Arial"/>
        <family val="2"/>
      </rPr>
      <t>(Input)</t>
    </r>
  </si>
  <si>
    <t>Company Distributable Earnings</t>
  </si>
  <si>
    <t>BALANCE SHEET DATA</t>
  </si>
  <si>
    <t>Cash and Equivalents</t>
  </si>
  <si>
    <t>Investment Portfolio</t>
  </si>
  <si>
    <t>Gross Accrued Performance Fees</t>
  </si>
  <si>
    <t>Net Accrued Performance Fees</t>
  </si>
  <si>
    <t>Goodwill + Intangibles</t>
  </si>
  <si>
    <t>Total Assets</t>
  </si>
  <si>
    <t>Total Debt</t>
  </si>
  <si>
    <t>Unrealized Gains / Losses</t>
  </si>
  <si>
    <t>Admissible Hybrids</t>
  </si>
  <si>
    <t>CASH FLOW STATEMENT DATA</t>
  </si>
  <si>
    <t>Capital Expenditures</t>
  </si>
  <si>
    <t>Distributions</t>
  </si>
  <si>
    <t>Share Buybacks</t>
  </si>
  <si>
    <t>Acquisitions</t>
  </si>
  <si>
    <t>OPERATING LEASE ADJUSTMENT DATA</t>
  </si>
  <si>
    <t>Operating Lease Adjustment to Debt</t>
  </si>
  <si>
    <t>Operating Lease Adjustment to Interest</t>
  </si>
  <si>
    <t>Operating Lease Adjustment to EBITDA</t>
  </si>
  <si>
    <t>CALCULATIONS</t>
  </si>
  <si>
    <t>Interest</t>
  </si>
  <si>
    <t>D &amp; A</t>
  </si>
  <si>
    <t>Non-Recurring /Excluded Items</t>
  </si>
  <si>
    <t>Operating Lease Adjustment</t>
  </si>
  <si>
    <t>Fee Related EBITDA</t>
  </si>
  <si>
    <t>Realized Earnings</t>
  </si>
  <si>
    <t>Realized EBITDA</t>
  </si>
  <si>
    <t>S&amp;P Adjusted EBITDA</t>
  </si>
  <si>
    <t>Total Interest Expense</t>
  </si>
  <si>
    <t>Adjusted Interest Expense</t>
  </si>
  <si>
    <t>Total Equity</t>
  </si>
  <si>
    <t>Less: Goodwill + Intangibles</t>
  </si>
  <si>
    <t>Less: Unrealized Gains / Losses</t>
  </si>
  <si>
    <t>Less: Equity in Finco or Structured Product</t>
  </si>
  <si>
    <t>Other Adjustments</t>
  </si>
  <si>
    <t>Adjusted Total Equity (ATE)</t>
  </si>
  <si>
    <t>Total Liquidity</t>
  </si>
  <si>
    <r>
      <t xml:space="preserve">Haircut (%) </t>
    </r>
    <r>
      <rPr>
        <b/>
        <u/>
        <sz val="10"/>
        <rFont val="Arial"/>
        <family val="2"/>
      </rPr>
      <t>(Input one or the other)</t>
    </r>
  </si>
  <si>
    <t>OR</t>
  </si>
  <si>
    <r>
      <t xml:space="preserve">Enter Exact Amount to Deduct As a </t>
    </r>
    <r>
      <rPr>
        <i/>
        <u/>
        <sz val="10"/>
        <rFont val="Arial"/>
        <family val="2"/>
      </rPr>
      <t>Negative</t>
    </r>
    <r>
      <rPr>
        <sz val="10"/>
        <rFont val="Arial"/>
        <family val="2"/>
      </rPr>
      <t xml:space="preserve"> </t>
    </r>
    <r>
      <rPr>
        <b/>
        <u/>
        <sz val="10"/>
        <rFont val="Arial"/>
        <family val="2"/>
      </rPr>
      <t>(Input one or the other)</t>
    </r>
  </si>
  <si>
    <t>Surplus Liquidity</t>
  </si>
  <si>
    <r>
      <t xml:space="preserve">Less: Any Adjustments (Cash Held Against Debt Etc) </t>
    </r>
    <r>
      <rPr>
        <b/>
        <u/>
        <sz val="10"/>
        <rFont val="Arial"/>
        <family val="2"/>
      </rPr>
      <t>(This is an input)</t>
    </r>
  </si>
  <si>
    <t>Total Funded Debt</t>
  </si>
  <si>
    <t>Operating Lease Debt</t>
  </si>
  <si>
    <t>Less: Surplus Liquidity</t>
  </si>
  <si>
    <t>Adjusted Debt</t>
  </si>
  <si>
    <t>Adjusted Total Equity</t>
  </si>
  <si>
    <t>Adjusted Debt / Adjusted Total Equity</t>
  </si>
  <si>
    <t>Investment Portfolio / Total Funded Debt</t>
  </si>
  <si>
    <t>S&amp;P Adjusted Interest Coverage (x) - Straight</t>
  </si>
  <si>
    <t>Weights</t>
  </si>
  <si>
    <t>Weighted Components</t>
  </si>
  <si>
    <t>S&amp;P Adjusted Interest Coverage (x) - Weighted</t>
  </si>
  <si>
    <t>S&amp;P Adjusted Leverage (x) - Straight</t>
  </si>
  <si>
    <t>S&amp;P Adjusted Leverage (x) - Weighted</t>
  </si>
  <si>
    <t>Fee Related Revenue</t>
  </si>
  <si>
    <t>Fee Related EBITDA Margin (%)</t>
  </si>
  <si>
    <t>Realized Revenue</t>
  </si>
  <si>
    <t>Realized EBITDA Margin (%)</t>
  </si>
  <si>
    <t>Adjusted Revenue (5 Year Average of Realized Inv. Income and Perf. Fees)</t>
  </si>
  <si>
    <t>S&amp;P Adjusted EBITDA Margin (%)</t>
  </si>
  <si>
    <t>S&amp;P Adjusted EBITDA Margin (%) - Weighted</t>
  </si>
  <si>
    <t>ADDITIONAL DATA AND FORECAST ASSUMPTIONS</t>
  </si>
  <si>
    <t>Fee Paying Assets Under Management (FPAUM)</t>
  </si>
  <si>
    <t>Beginning FPAUM (Input)</t>
  </si>
  <si>
    <t>Inflows</t>
  </si>
  <si>
    <t>Outflows (Redemptions)</t>
  </si>
  <si>
    <t>Net Inflows Before Distributions</t>
  </si>
  <si>
    <t>Other Non-Market Related Flows</t>
  </si>
  <si>
    <t>Net Inflows After Distributions</t>
  </si>
  <si>
    <t>Market Appreciation (Including Foreign Exchange)</t>
  </si>
  <si>
    <t>Ending FPAUM</t>
  </si>
  <si>
    <r>
      <t xml:space="preserve">Average FPAUM </t>
    </r>
    <r>
      <rPr>
        <b/>
        <u/>
        <sz val="10"/>
        <rFont val="Arial"/>
        <family val="2"/>
      </rPr>
      <t>(Input if given or Calculate if not given)</t>
    </r>
  </si>
  <si>
    <t>Revenue and Growth Metrics</t>
  </si>
  <si>
    <t>Assumptions</t>
  </si>
  <si>
    <t>Transaction Fee Growth</t>
  </si>
  <si>
    <t>Advisory Fee Growth</t>
  </si>
  <si>
    <t>Interest and Dividend Revenue Growth</t>
  </si>
  <si>
    <t>Other Income Growth</t>
  </si>
  <si>
    <t>Realized Incentive Fee Growth (Y/Y)</t>
  </si>
  <si>
    <t>Realized Carry Growth (Y/Y)</t>
  </si>
  <si>
    <t>Margin and Payout Metrics</t>
  </si>
  <si>
    <t>Management Fees / Average FPAUM</t>
  </si>
  <si>
    <t>Offsets as % of Transaction and Advisory Fees</t>
  </si>
  <si>
    <t>Compensation / Fee Revenues</t>
  </si>
  <si>
    <t>Share Based Compensation / Fee Revenues</t>
  </si>
  <si>
    <t>D&amp;A / Fee Revenues</t>
  </si>
  <si>
    <t>Operating Expense / Fee Revenues</t>
  </si>
  <si>
    <t>Realized Incentive Fee Payout</t>
  </si>
  <si>
    <t>Realized Carry Payout</t>
  </si>
  <si>
    <t>Taxes / Pre-Tax Realized Earnings</t>
  </si>
  <si>
    <t>Non-Controlling Interest / Pre-Non Controlling Realized Earnings</t>
  </si>
  <si>
    <t>Distributions / Realized Earnings</t>
  </si>
  <si>
    <t>CapEx / Fee Revenues</t>
  </si>
  <si>
    <r>
      <t xml:space="preserve">HARDCODE OVERRIDE ASSUMPTIONS (ONLY ENTER IF YOU WANT REGULAR ASSUMPTIONS TO BE OVERRIDEN, LEAVE </t>
    </r>
    <r>
      <rPr>
        <b/>
        <u/>
        <sz val="10"/>
        <rFont val="Arial"/>
        <family val="2"/>
      </rPr>
      <t>BLANK</t>
    </r>
    <r>
      <rPr>
        <b/>
        <sz val="10"/>
        <rFont val="Arial"/>
        <family val="2"/>
      </rPr>
      <t xml:space="preserve"> OTHERWISE)</t>
    </r>
  </si>
  <si>
    <t>Revenue and Income Items (All these items are entered in absolute numbers, not percentages)</t>
  </si>
  <si>
    <t>Interest and Dividends</t>
  </si>
  <si>
    <t>Realized Carry</t>
  </si>
  <si>
    <t>Expense Items (All these items are entered in absolute numbers, not percentages)</t>
  </si>
  <si>
    <t>Offsets</t>
  </si>
  <si>
    <t>Compensation</t>
  </si>
  <si>
    <t>Share Compensation</t>
  </si>
  <si>
    <t>D&amp;A</t>
  </si>
  <si>
    <t>Operating Expenses</t>
  </si>
  <si>
    <t>ANNUALIZATION FACTOR</t>
  </si>
  <si>
    <t>ARROW BASIC INPUT</t>
  </si>
  <si>
    <t>Total Revenues (ex-Non-Recurring)</t>
  </si>
  <si>
    <t>Growth (%)</t>
  </si>
  <si>
    <t>Expenses (ex-D&amp;A and Interest Expense and Non-Recurring)</t>
  </si>
  <si>
    <t>% of Revenues</t>
  </si>
  <si>
    <t>Equity Based Compensation</t>
  </si>
  <si>
    <t>Non-Recurring Items</t>
  </si>
  <si>
    <t>Minority Interest</t>
  </si>
  <si>
    <t>CapEx</t>
  </si>
  <si>
    <t>Effective Haircut on Cash</t>
  </si>
  <si>
    <t>(Row 245 -- in old model)</t>
  </si>
  <si>
    <t>W215 (W190 - in old model)</t>
  </si>
  <si>
    <t>Removed "interest expense" line item (just a pure deletion)</t>
  </si>
  <si>
    <t>Q1</t>
  </si>
  <si>
    <t>Q2</t>
  </si>
  <si>
    <t>Q3</t>
  </si>
  <si>
    <t>Q4</t>
  </si>
  <si>
    <t>Additional Historical</t>
  </si>
  <si>
    <t>Fee Related Interest Coverage (x) - Straight With Adjustments</t>
  </si>
  <si>
    <t>Fee Related Interest Coverage (x) - Straight W/O Adjustments</t>
  </si>
  <si>
    <t>Realized Interest Coverage (x) - Straight W/O Adjustments</t>
  </si>
  <si>
    <t>Realized Interest Coverage (x) - Straight With Adjustments</t>
  </si>
  <si>
    <t>Fee Related Leverage (x) - Straight W/O Adjustments</t>
  </si>
  <si>
    <t>Fee Related Leverage (x) - Straight With Adjustments</t>
  </si>
  <si>
    <t>Realized Leverage (x) - Straight W/O Adjustments</t>
  </si>
  <si>
    <t>Realized Leverage (x) - Straight With Adjustments</t>
  </si>
  <si>
    <t>ASSETS</t>
  </si>
  <si>
    <t>Earnouts</t>
  </si>
  <si>
    <t>Guarantees</t>
  </si>
  <si>
    <t>Capital Leases</t>
  </si>
  <si>
    <t>Loans and Notes</t>
  </si>
  <si>
    <t>Hybrids Counted as Debt</t>
  </si>
  <si>
    <t>Company Economic Net Income</t>
  </si>
  <si>
    <t>Net Unrealized Incentive Fees</t>
  </si>
  <si>
    <t>Net Unrealized Carried Interest</t>
  </si>
  <si>
    <t>Unrealized Investment Income</t>
  </si>
  <si>
    <t>EQUITY</t>
  </si>
  <si>
    <t>5 Year Average and Haircut Adjustment</t>
  </si>
  <si>
    <t>Haircut for Realized Investment Income</t>
  </si>
  <si>
    <t>Haircut for Net Realized Incentive Fees</t>
  </si>
  <si>
    <t>Haircut for Net Realized Carried Interest</t>
  </si>
  <si>
    <t>LIABILITIES AND ADJUSTMENTS</t>
  </si>
  <si>
    <t>Adjusted Liquidity</t>
  </si>
  <si>
    <t>Less: Any Adjustments (Cash Held Against Debt Etc)</t>
  </si>
  <si>
    <r>
      <t>TOTAL DEBT (ex-Operating Leases) (</t>
    </r>
    <r>
      <rPr>
        <b/>
        <u/>
        <sz val="10"/>
        <rFont val="Arial"/>
        <family val="2"/>
      </rPr>
      <t>FORMULA</t>
    </r>
    <r>
      <rPr>
        <b/>
        <sz val="10"/>
        <rFont val="Arial"/>
        <family val="2"/>
      </rPr>
      <t>)</t>
    </r>
  </si>
  <si>
    <r>
      <t xml:space="preserve">Other Liquid Securities </t>
    </r>
    <r>
      <rPr>
        <b/>
        <sz val="10"/>
        <rFont val="Arial"/>
        <family val="2"/>
      </rPr>
      <t>(Count as Liquidity)</t>
    </r>
  </si>
  <si>
    <r>
      <t xml:space="preserve">Non-Controlling Interest </t>
    </r>
    <r>
      <rPr>
        <b/>
        <sz val="10"/>
        <rFont val="Arial"/>
        <family val="2"/>
      </rPr>
      <t>(Do not enter if added back to EBITDA)</t>
    </r>
  </si>
  <si>
    <r>
      <t xml:space="preserve">Common Equity </t>
    </r>
    <r>
      <rPr>
        <b/>
        <sz val="10"/>
        <rFont val="Arial"/>
        <family val="2"/>
      </rPr>
      <t>(This is a total ex-hybrids number)</t>
    </r>
  </si>
  <si>
    <r>
      <t xml:space="preserve">FPAUM Growth Excluding Acquisitions </t>
    </r>
    <r>
      <rPr>
        <b/>
        <sz val="10"/>
        <rFont val="Arial"/>
        <family val="2"/>
      </rPr>
      <t>(Only Enter Assumption for One FPAUM Growth</t>
    </r>
    <r>
      <rPr>
        <b/>
        <u/>
        <sz val="10"/>
        <rFont val="Arial"/>
        <family val="2"/>
      </rPr>
      <t>)</t>
    </r>
  </si>
  <si>
    <r>
      <t xml:space="preserve">FPAUM Growth </t>
    </r>
    <r>
      <rPr>
        <b/>
        <sz val="10"/>
        <rFont val="Arial"/>
        <family val="2"/>
      </rPr>
      <t>(Only Enter Assumption for One FPAUM Growth)</t>
    </r>
  </si>
  <si>
    <r>
      <t xml:space="preserve">Equity in Finance Companies or Structured Vehicles </t>
    </r>
    <r>
      <rPr>
        <b/>
        <sz val="10"/>
        <rFont val="Arial"/>
        <family val="2"/>
      </rPr>
      <t>(Feeds into ATE Calc)</t>
    </r>
  </si>
  <si>
    <t>COMPANY NAME</t>
  </si>
  <si>
    <t xml:space="preserve">Primary Analyst: </t>
  </si>
  <si>
    <t xml:space="preserve">Backup Analyst: </t>
  </si>
  <si>
    <t>Net realized Investment Income</t>
  </si>
  <si>
    <t>Net realized Investment Income Growth (Y/Y)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</si>
</sst>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4" formatCode="_(&quot;$&quot;* #,##0.00_);_(&quot;$&quot;* \(#,##0.00\);_(&quot;$&quot;* &quot;-&quot;??_);_(@_)"/>
    <numFmt numFmtId="43" formatCode="_(* #,##0.00_);_(* \(#,##0.00\);_(* &quot;-&quot;??_);_(@_)"/>
    <numFmt numFmtId="164" formatCode="_(* #,##0_);_(* \(#,##0\);_(* &quot;-&quot;??_);_(@_)"/>
    <numFmt numFmtId="165" formatCode="#,##0.0_);\(#,##0.0\)"/>
    <numFmt numFmtId="166" formatCode="0.0%"/>
    <numFmt numFmtId="167" formatCode="#,##0.0_);\(#,##0.0\);@_)"/>
    <numFmt numFmtId="168" formatCode="#,##0.0_);\(#,##0.0\);&quot;-&quot;?_);@_)"/>
    <numFmt numFmtId="169" formatCode="&quot;$&quot;#,##0.0_);\(&quot;$&quot;#,##0.0\);@_)"/>
    <numFmt numFmtId="170" formatCode="&quot;$&quot;#,##0.0_);\(&quot;$&quot;#,##0.0\);&quot;-&quot;?_);@_)"/>
    <numFmt numFmtId="171" formatCode="0.0%;\-0.0%;@_)"/>
    <numFmt numFmtId="172" formatCode="0.0%;\-0.0%;&quot;-&quot;?_);@_)"/>
    <numFmt numFmtId="173" formatCode="&quot;n&quot;"/>
    <numFmt numFmtId="174" formatCode="&quot;$&quot;&quot; &quot;#,##0_);\(&quot;$&quot;&quot; &quot;#,##0\);\-_)"/>
    <numFmt numFmtId="175" formatCode="#,##0;\-#,##0;&quot;-&quot;"/>
    <numFmt numFmtId="176" formatCode="_-* #,##0.00_-;\-* #,##0.00_-;_-* &quot;-&quot;??_-;_-@_-"/>
    <numFmt numFmtId="177" formatCode="_-&quot;£&quot;* #,##0.00_-;\-&quot;£&quot;* #,##0.00_-;_-&quot;£&quot;* &quot;-&quot;??_-;_-@_-"/>
    <numFmt numFmtId="178" formatCode="&quot;$&quot;#,##0.0_);\(&quot;$&quot;#,##0.0\);&quot;- &quot;"/>
    <numFmt numFmtId="179" formatCode="\€\ #,##0.0_);\(\€\ #,##0.0\);@_)"/>
    <numFmt numFmtId="180" formatCode="\€\ #,##0.0_);\(\€\ #,##0.0\);&quot;-&quot;?_);@_)"/>
    <numFmt numFmtId="181" formatCode="#,##0.0\x;\-#,##0.0\x;&quot;-&quot;?_);@_)"/>
    <numFmt numFmtId="182" formatCode="#,##0.0_);[Red]\(#,##0.0\)"/>
    <numFmt numFmtId="183" formatCode="#,##0.00&quot;£&quot;_);\(#,##0.00&quot;£&quot;\)"/>
    <numFmt numFmtId="184" formatCode="#,##0_);\(#,##0\);&quot;- &quot;"/>
    <numFmt numFmtId="185" formatCode="mm/dd/yy"/>
    <numFmt numFmtId="186" formatCode="0.0"/>
  </numFmts>
  <fonts count="75" x14ac:knownFonts="1">
    <font>
      <sz val="10"/>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b/>
      <u val="singleAccounting"/>
      <sz val="10"/>
      <name val="Arial"/>
      <family val="2"/>
    </font>
    <font>
      <b/>
      <sz val="12"/>
      <name val="Arial"/>
      <family val="2"/>
    </font>
    <font>
      <b/>
      <sz val="10"/>
      <color rgb="FF0000FF"/>
      <name val="Arial"/>
      <family val="2"/>
    </font>
    <font>
      <b/>
      <sz val="14"/>
      <color rgb="FF0000FF"/>
      <name val="Arial"/>
      <family val="2"/>
    </font>
    <font>
      <b/>
      <sz val="12"/>
      <color rgb="FF0000FF"/>
      <name val="Arial"/>
      <family val="2"/>
    </font>
    <font>
      <sz val="10"/>
      <color rgb="FF0000FF"/>
      <name val="Arial"/>
      <family val="2"/>
    </font>
    <font>
      <b/>
      <sz val="10"/>
      <color rgb="FF008000"/>
      <name val="Arial"/>
      <family val="2"/>
    </font>
    <font>
      <b/>
      <u/>
      <sz val="10"/>
      <name val="Arial"/>
      <family val="2"/>
    </font>
    <font>
      <i/>
      <u/>
      <sz val="10"/>
      <name val="Arial"/>
      <family val="2"/>
    </font>
    <font>
      <b/>
      <sz val="9"/>
      <color indexed="81"/>
      <name val="Tahoma"/>
      <family val="2"/>
    </font>
    <font>
      <sz val="9"/>
      <color indexed="81"/>
      <name val="Tahoma"/>
      <family val="2"/>
    </font>
    <font>
      <sz val="10"/>
      <name val="Arial Narrow"/>
      <family val="2"/>
    </font>
    <font>
      <sz val="12"/>
      <name val="Times New Roman"/>
      <family val="1"/>
    </font>
    <font>
      <sz val="11"/>
      <color indexed="8"/>
      <name val="Calibri"/>
      <family val="2"/>
    </font>
    <font>
      <sz val="11"/>
      <color indexed="9"/>
      <name val="Calibri"/>
      <family val="2"/>
    </font>
    <font>
      <sz val="12"/>
      <color indexed="12"/>
      <name val="MS Sans Serif"/>
      <family val="2"/>
    </font>
    <font>
      <sz val="11"/>
      <color indexed="20"/>
      <name val="Calibri"/>
      <family val="2"/>
    </font>
    <font>
      <sz val="8"/>
      <name val="Wingdings"/>
      <charset val="2"/>
    </font>
    <font>
      <sz val="12"/>
      <color indexed="8"/>
      <name val="Times New Roman"/>
      <family val="1"/>
    </font>
    <font>
      <sz val="10"/>
      <color indexed="8"/>
      <name val="Arial"/>
      <family val="2"/>
    </font>
    <font>
      <b/>
      <sz val="11"/>
      <color indexed="52"/>
      <name val="Calibri"/>
      <family val="2"/>
    </font>
    <font>
      <sz val="10"/>
      <name val="Courier New"/>
      <family val="3"/>
    </font>
    <font>
      <b/>
      <sz val="11"/>
      <color indexed="9"/>
      <name val="Calibri"/>
      <family val="2"/>
    </font>
    <font>
      <sz val="9"/>
      <name val="Calibri"/>
      <family val="2"/>
    </font>
    <font>
      <sz val="10"/>
      <name val="Calibri"/>
      <family val="2"/>
    </font>
    <font>
      <sz val="10"/>
      <name val="MS Serif"/>
      <family val="1"/>
    </font>
    <font>
      <sz val="8"/>
      <color theme="1"/>
      <name val="Arial"/>
      <family val="2"/>
    </font>
    <font>
      <sz val="8"/>
      <color indexed="8"/>
      <name val="Arial"/>
      <family val="2"/>
    </font>
    <font>
      <sz val="10"/>
      <color indexed="16"/>
      <name val="MS Serif"/>
      <family val="1"/>
    </font>
    <font>
      <sz val="10"/>
      <color indexed="12"/>
      <name val="Arial Narrow"/>
      <family val="2"/>
    </font>
    <font>
      <i/>
      <sz val="11"/>
      <color indexed="23"/>
      <name val="Calibri"/>
      <family val="2"/>
    </font>
    <font>
      <sz val="11"/>
      <color indexed="17"/>
      <name val="Calibri"/>
      <family val="2"/>
    </font>
    <font>
      <sz val="8"/>
      <name val="Arial"/>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u/>
      <sz val="7"/>
      <color theme="10"/>
      <name val="Calibri"/>
      <family val="2"/>
    </font>
    <font>
      <sz val="11"/>
      <color indexed="62"/>
      <name val="Calibri"/>
      <family val="2"/>
    </font>
    <font>
      <sz val="12"/>
      <name val="MS Sans Serif"/>
      <family val="2"/>
    </font>
    <font>
      <sz val="8"/>
      <name val="Tahoma"/>
      <family val="2"/>
    </font>
    <font>
      <sz val="11"/>
      <color indexed="52"/>
      <name val="Calibri"/>
      <family val="2"/>
    </font>
    <font>
      <sz val="11"/>
      <color indexed="60"/>
      <name val="Calibri"/>
      <family val="2"/>
    </font>
    <font>
      <sz val="11"/>
      <color indexed="63"/>
      <name val="Calibri"/>
      <family val="2"/>
    </font>
    <font>
      <b/>
      <sz val="11"/>
      <color indexed="63"/>
      <name val="Calibri"/>
      <family val="2"/>
    </font>
    <font>
      <sz val="8"/>
      <name val="Helv"/>
    </font>
    <font>
      <b/>
      <sz val="8"/>
      <color indexed="8"/>
      <name val="Helv"/>
    </font>
    <font>
      <b/>
      <sz val="10"/>
      <name val="Courier New"/>
      <family val="3"/>
    </font>
    <font>
      <i/>
      <sz val="10"/>
      <name val="Courier New"/>
      <family val="3"/>
    </font>
    <font>
      <b/>
      <sz val="18"/>
      <color indexed="56"/>
      <name val="Cambria"/>
      <family val="2"/>
    </font>
    <font>
      <b/>
      <sz val="11"/>
      <color indexed="8"/>
      <name val="Calibri"/>
      <family val="2"/>
    </font>
    <font>
      <sz val="11"/>
      <color indexed="10"/>
      <name val="Calibri"/>
      <family val="2"/>
    </font>
    <font>
      <b/>
      <sz val="14"/>
      <name val="Arial"/>
      <family val="2"/>
    </font>
    <font>
      <sz val="14"/>
      <name val="Arial"/>
      <family val="2"/>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2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Horizontal">
        <fgColor indexed="55"/>
      </patternFill>
    </fill>
    <fill>
      <patternFill patternType="solid">
        <fgColor indexed="26"/>
        <bgColor indexed="64"/>
      </patternFill>
    </fill>
    <fill>
      <patternFill patternType="solid">
        <fgColor indexed="13"/>
        <bgColor indexed="64"/>
      </patternFill>
    </fill>
    <fill>
      <patternFill patternType="solid">
        <fgColor indexed="55"/>
        <bgColor indexed="64"/>
      </patternFill>
    </fill>
    <fill>
      <patternFill patternType="solid">
        <fgColor indexed="43"/>
      </patternFill>
    </fill>
    <fill>
      <patternFill patternType="solid">
        <fgColor indexed="26"/>
      </patternFill>
    </fill>
  </fills>
  <borders count="1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medium">
        <color indexed="64"/>
      </right>
      <top style="dashed">
        <color auto="1"/>
      </top>
      <bottom style="dashed">
        <color auto="1"/>
      </bottom>
      <diagonal/>
    </border>
    <border>
      <left style="medium">
        <color indexed="64"/>
      </left>
      <right/>
      <top style="dashed">
        <color indexed="64"/>
      </top>
      <bottom style="dashed">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22"/>
      </bottom>
      <diagonal/>
    </border>
    <border>
      <left/>
      <right/>
      <top/>
      <bottom style="thin">
        <color indexed="22"/>
      </bottom>
      <diagonal/>
    </border>
    <border>
      <left/>
      <right style="medium">
        <color indexed="22"/>
      </right>
      <top/>
      <bottom style="thin">
        <color indexed="22"/>
      </bottom>
      <diagonal/>
    </border>
    <border>
      <left/>
      <right style="medium">
        <color indexed="64"/>
      </right>
      <top/>
      <bottom style="thin">
        <color indexed="22"/>
      </bottom>
      <diagonal/>
    </border>
    <border>
      <left style="medium">
        <color indexed="64"/>
      </left>
      <right style="medium">
        <color indexed="22"/>
      </right>
      <top/>
      <bottom style="thin">
        <color indexed="22"/>
      </bottom>
      <diagonal/>
    </border>
    <border>
      <left style="medium">
        <color auto="1"/>
      </left>
      <right style="medium">
        <color auto="1"/>
      </right>
      <top style="medium">
        <color auto="1"/>
      </top>
      <bottom/>
      <diagonal/>
    </border>
    <border>
      <left style="medium">
        <color indexed="64"/>
      </left>
      <right/>
      <top style="thin">
        <color indexed="22"/>
      </top>
      <bottom style="thin">
        <color indexed="22"/>
      </bottom>
      <diagonal/>
    </border>
    <border>
      <left/>
      <right/>
      <top style="thin">
        <color indexed="22"/>
      </top>
      <bottom style="thin">
        <color indexed="22"/>
      </bottom>
      <diagonal/>
    </border>
    <border>
      <left/>
      <right style="medium">
        <color indexed="22"/>
      </right>
      <top style="thin">
        <color indexed="22"/>
      </top>
      <bottom style="thin">
        <color indexed="22"/>
      </bottom>
      <diagonal/>
    </border>
    <border>
      <left/>
      <right style="medium">
        <color indexed="64"/>
      </right>
      <top style="thin">
        <color indexed="22"/>
      </top>
      <bottom style="thin">
        <color indexed="22"/>
      </bottom>
      <diagonal/>
    </border>
    <border>
      <left style="medium">
        <color indexed="64"/>
      </left>
      <right style="medium">
        <color indexed="22"/>
      </right>
      <top style="thin">
        <color indexed="22"/>
      </top>
      <bottom style="thin">
        <color indexed="22"/>
      </bottom>
      <diagonal/>
    </border>
    <border>
      <left style="medium">
        <color auto="1"/>
      </left>
      <right style="medium">
        <color auto="1"/>
      </right>
      <top/>
      <bottom/>
      <diagonal/>
    </border>
    <border>
      <left/>
      <right style="medium">
        <color indexed="22"/>
      </right>
      <top style="thin">
        <color indexed="22"/>
      </top>
      <bottom/>
      <diagonal/>
    </border>
    <border>
      <left/>
      <right style="medium">
        <color indexed="64"/>
      </right>
      <top style="thin">
        <color indexed="22"/>
      </top>
      <bottom/>
      <diagonal/>
    </border>
    <border>
      <left style="dashed">
        <color auto="1"/>
      </left>
      <right style="medium">
        <color indexed="22"/>
      </right>
      <top style="dashed">
        <color auto="1"/>
      </top>
      <bottom style="dashed">
        <color auto="1"/>
      </bottom>
      <diagonal/>
    </border>
    <border>
      <left style="medium">
        <color indexed="22"/>
      </left>
      <right style="medium">
        <color auto="1"/>
      </right>
      <top style="dashed">
        <color auto="1"/>
      </top>
      <bottom style="dashed">
        <color auto="1"/>
      </bottom>
      <diagonal/>
    </border>
    <border>
      <left/>
      <right style="medium">
        <color auto="1"/>
      </right>
      <top style="thin">
        <color indexed="22"/>
      </top>
      <bottom style="thin">
        <color indexed="22"/>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22"/>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22"/>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22"/>
      </top>
      <bottom style="thin">
        <color indexed="64"/>
      </bottom>
      <diagonal/>
    </border>
    <border>
      <left/>
      <right/>
      <top style="thin">
        <color indexed="22"/>
      </top>
      <bottom style="thin">
        <color indexed="64"/>
      </bottom>
      <diagonal/>
    </border>
    <border>
      <left/>
      <right style="medium">
        <color indexed="22"/>
      </right>
      <top style="thin">
        <color indexed="22"/>
      </top>
      <bottom style="thin">
        <color indexed="64"/>
      </bottom>
      <diagonal/>
    </border>
    <border>
      <left/>
      <right style="medium">
        <color auto="1"/>
      </right>
      <top style="thin">
        <color indexed="22"/>
      </top>
      <bottom style="thin">
        <color indexed="64"/>
      </bottom>
      <diagonal/>
    </border>
    <border>
      <left style="medium">
        <color auto="1"/>
      </left>
      <right style="medium">
        <color indexed="22"/>
      </right>
      <top style="thin">
        <color indexed="22"/>
      </top>
      <bottom style="thin">
        <color indexed="64"/>
      </bottom>
      <diagonal/>
    </border>
    <border>
      <left style="dashed">
        <color auto="1"/>
      </left>
      <right style="medium">
        <color indexed="22"/>
      </right>
      <top style="thin">
        <color indexed="64"/>
      </top>
      <bottom style="thin">
        <color indexed="22"/>
      </bottom>
      <diagonal/>
    </border>
    <border>
      <left/>
      <right style="medium">
        <color indexed="64"/>
      </right>
      <top style="thin">
        <color indexed="64"/>
      </top>
      <bottom style="thin">
        <color indexed="22"/>
      </bottom>
      <diagonal/>
    </border>
    <border>
      <left/>
      <right style="medium">
        <color auto="1"/>
      </right>
      <top/>
      <bottom style="thin">
        <color indexed="22"/>
      </bottom>
      <diagonal/>
    </border>
    <border>
      <left style="dashed">
        <color auto="1"/>
      </left>
      <right style="medium">
        <color indexed="22"/>
      </right>
      <top style="thin">
        <color indexed="22"/>
      </top>
      <bottom style="dashed">
        <color auto="1"/>
      </bottom>
      <diagonal/>
    </border>
    <border>
      <left/>
      <right style="medium">
        <color indexed="64"/>
      </right>
      <top style="thin">
        <color indexed="22"/>
      </top>
      <bottom style="dashed">
        <color auto="1"/>
      </bottom>
      <diagonal/>
    </border>
    <border>
      <left style="dashed">
        <color auto="1"/>
      </left>
      <right style="medium">
        <color indexed="22"/>
      </right>
      <top style="dashed">
        <color auto="1"/>
      </top>
      <bottom/>
      <diagonal/>
    </border>
    <border>
      <left style="dashed">
        <color auto="1"/>
      </left>
      <right style="medium">
        <color indexed="22"/>
      </right>
      <top/>
      <bottom/>
      <diagonal/>
    </border>
    <border>
      <left style="dashed">
        <color auto="1"/>
      </left>
      <right style="medium">
        <color indexed="22"/>
      </right>
      <top/>
      <bottom style="dashed">
        <color auto="1"/>
      </bottom>
      <diagonal/>
    </border>
    <border>
      <left/>
      <right style="medium">
        <color indexed="64"/>
      </right>
      <top/>
      <bottom style="dashed">
        <color auto="1"/>
      </bottom>
      <diagonal/>
    </border>
    <border>
      <left style="medium">
        <color indexed="64"/>
      </left>
      <right/>
      <top/>
      <bottom style="thin">
        <color indexed="64"/>
      </bottom>
      <diagonal/>
    </border>
    <border>
      <left/>
      <right style="medium">
        <color auto="1"/>
      </right>
      <top/>
      <bottom style="thin">
        <color indexed="64"/>
      </bottom>
      <diagonal/>
    </border>
    <border>
      <left style="medium">
        <color indexed="22"/>
      </left>
      <right style="medium">
        <color auto="1"/>
      </right>
      <top style="thin">
        <color indexed="22"/>
      </top>
      <bottom style="thin">
        <color indexed="22"/>
      </bottom>
      <diagonal/>
    </border>
    <border>
      <left style="dashed">
        <color auto="1"/>
      </left>
      <right style="medium">
        <color indexed="22"/>
      </right>
      <top style="thin">
        <color indexed="22"/>
      </top>
      <bottom style="thin">
        <color indexed="22"/>
      </bottom>
      <diagonal/>
    </border>
    <border>
      <left style="medium">
        <color indexed="64"/>
      </left>
      <right/>
      <top style="thin">
        <color indexed="22"/>
      </top>
      <bottom style="medium">
        <color indexed="64"/>
      </bottom>
      <diagonal/>
    </border>
    <border>
      <left/>
      <right/>
      <top style="thin">
        <color indexed="22"/>
      </top>
      <bottom style="medium">
        <color indexed="64"/>
      </bottom>
      <diagonal/>
    </border>
    <border>
      <left/>
      <right style="medium">
        <color indexed="22"/>
      </right>
      <top style="thin">
        <color indexed="22"/>
      </top>
      <bottom style="medium">
        <color indexed="64"/>
      </bottom>
      <diagonal/>
    </border>
    <border>
      <left style="dashed">
        <color auto="1"/>
      </left>
      <right style="medium">
        <color indexed="22"/>
      </right>
      <top style="thin">
        <color indexed="22"/>
      </top>
      <bottom style="medium">
        <color indexed="64"/>
      </bottom>
      <diagonal/>
    </border>
    <border>
      <left/>
      <right style="medium">
        <color indexed="64"/>
      </right>
      <top style="thin">
        <color indexed="22"/>
      </top>
      <bottom style="medium">
        <color indexed="64"/>
      </bottom>
      <diagonal/>
    </border>
    <border>
      <left style="medium">
        <color indexed="64"/>
      </left>
      <right style="medium">
        <color indexed="22"/>
      </right>
      <top style="thin">
        <color indexed="22"/>
      </top>
      <bottom style="medium">
        <color indexed="64"/>
      </bottom>
      <diagonal/>
    </border>
    <border>
      <left/>
      <right style="medium">
        <color auto="1"/>
      </right>
      <top style="thin">
        <color indexed="22"/>
      </top>
      <bottom style="medium">
        <color auto="1"/>
      </bottom>
      <diagonal/>
    </border>
    <border>
      <left/>
      <right style="medium">
        <color indexed="22"/>
      </right>
      <top/>
      <bottom/>
      <diagonal/>
    </border>
    <border>
      <left/>
      <right style="medium">
        <color auto="1"/>
      </right>
      <top/>
      <bottom/>
      <diagonal/>
    </border>
    <border>
      <left style="medium">
        <color auto="1"/>
      </left>
      <right/>
      <top style="thin">
        <color auto="1"/>
      </top>
      <bottom style="thin">
        <color indexed="22"/>
      </bottom>
      <diagonal/>
    </border>
    <border>
      <left/>
      <right/>
      <top style="thin">
        <color auto="1"/>
      </top>
      <bottom style="thin">
        <color indexed="22"/>
      </bottom>
      <diagonal/>
    </border>
    <border>
      <left/>
      <right style="medium">
        <color indexed="22"/>
      </right>
      <top style="thin">
        <color auto="1"/>
      </top>
      <bottom style="thin">
        <color indexed="22"/>
      </bottom>
      <diagonal/>
    </border>
    <border>
      <left/>
      <right style="medium">
        <color indexed="64"/>
      </right>
      <top style="thin">
        <color auto="1"/>
      </top>
      <bottom style="thin">
        <color indexed="22"/>
      </bottom>
      <diagonal/>
    </border>
    <border>
      <left style="medium">
        <color indexed="64"/>
      </left>
      <right style="medium">
        <color indexed="22"/>
      </right>
      <top style="thin">
        <color auto="1"/>
      </top>
      <bottom style="thin">
        <color indexed="22"/>
      </bottom>
      <diagonal/>
    </border>
    <border>
      <left style="medium">
        <color indexed="64"/>
      </left>
      <right style="medium">
        <color indexed="22"/>
      </right>
      <top/>
      <bottom/>
      <diagonal/>
    </border>
    <border>
      <left style="medium">
        <color indexed="64"/>
      </left>
      <right style="medium">
        <color indexed="22"/>
      </right>
      <top style="thin">
        <color indexed="64"/>
      </top>
      <bottom style="medium">
        <color indexed="64"/>
      </bottom>
      <diagonal/>
    </border>
    <border>
      <left/>
      <right style="medium">
        <color indexed="22"/>
      </right>
      <top style="thin">
        <color indexed="64"/>
      </top>
      <bottom style="medium">
        <color auto="1"/>
      </bottom>
      <diagonal/>
    </border>
    <border>
      <left/>
      <right style="medium">
        <color indexed="64"/>
      </right>
      <top style="thin">
        <color indexed="64"/>
      </top>
      <bottom style="medium">
        <color indexed="64"/>
      </bottom>
      <diagonal/>
    </border>
    <border>
      <left/>
      <right/>
      <top style="thin">
        <color indexed="22"/>
      </top>
      <bottom/>
      <diagonal/>
    </border>
    <border>
      <left style="dashed">
        <color auto="1"/>
      </left>
      <right/>
      <top style="dashed">
        <color auto="1"/>
      </top>
      <bottom style="thin">
        <color indexed="64"/>
      </bottom>
      <diagonal/>
    </border>
    <border>
      <left/>
      <right/>
      <top style="dashed">
        <color auto="1"/>
      </top>
      <bottom style="thin">
        <color indexed="64"/>
      </bottom>
      <diagonal/>
    </border>
    <border>
      <left/>
      <right style="medium">
        <color indexed="22"/>
      </right>
      <top style="dashed">
        <color auto="1"/>
      </top>
      <bottom style="thin">
        <color indexed="64"/>
      </bottom>
      <diagonal/>
    </border>
    <border>
      <left/>
      <right style="medium">
        <color indexed="64"/>
      </right>
      <top style="dashed">
        <color auto="1"/>
      </top>
      <bottom style="thin">
        <color indexed="64"/>
      </bottom>
      <diagonal/>
    </border>
    <border>
      <left style="dashed">
        <color auto="1"/>
      </left>
      <right/>
      <top style="dashed">
        <color auto="1"/>
      </top>
      <bottom style="thin">
        <color indexed="22"/>
      </bottom>
      <diagonal/>
    </border>
    <border>
      <left/>
      <right/>
      <top style="dashed">
        <color auto="1"/>
      </top>
      <bottom style="thin">
        <color indexed="22"/>
      </bottom>
      <diagonal/>
    </border>
    <border>
      <left/>
      <right style="medium">
        <color indexed="22"/>
      </right>
      <top style="dashed">
        <color auto="1"/>
      </top>
      <bottom style="thin">
        <color indexed="22"/>
      </bottom>
      <diagonal/>
    </border>
    <border>
      <left/>
      <right style="medium">
        <color indexed="64"/>
      </right>
      <top style="dashed">
        <color auto="1"/>
      </top>
      <bottom style="thin">
        <color indexed="22"/>
      </bottom>
      <diagonal/>
    </border>
    <border>
      <left style="dashed">
        <color auto="1"/>
      </left>
      <right/>
      <top style="thin">
        <color indexed="22"/>
      </top>
      <bottom style="thin">
        <color indexed="22"/>
      </bottom>
      <diagonal/>
    </border>
    <border>
      <left style="dashed">
        <color auto="1"/>
      </left>
      <right/>
      <top style="thin">
        <color indexed="22"/>
      </top>
      <bottom style="thin">
        <color indexed="64"/>
      </bottom>
      <diagonal/>
    </border>
    <border>
      <left/>
      <right style="medium">
        <color indexed="64"/>
      </right>
      <top style="thin">
        <color indexed="22"/>
      </top>
      <bottom style="thin">
        <color indexed="64"/>
      </bottom>
      <diagonal/>
    </border>
    <border>
      <left/>
      <right style="medium">
        <color auto="1"/>
      </right>
      <top style="thin">
        <color indexed="64"/>
      </top>
      <bottom style="thin">
        <color indexed="64"/>
      </bottom>
      <diagonal/>
    </border>
    <border>
      <left/>
      <right style="medium">
        <color indexed="22"/>
      </right>
      <top style="dashed">
        <color auto="1"/>
      </top>
      <bottom style="dashed">
        <color auto="1"/>
      </bottom>
      <diagonal/>
    </border>
    <border>
      <left style="medium">
        <color indexed="22"/>
      </left>
      <right style="medium">
        <color indexed="22"/>
      </right>
      <top style="thin">
        <color indexed="22"/>
      </top>
      <bottom style="dashed">
        <color auto="1"/>
      </bottom>
      <diagonal/>
    </border>
    <border>
      <left/>
      <right style="medium">
        <color indexed="22"/>
      </right>
      <top/>
      <bottom style="dashed">
        <color auto="1"/>
      </bottom>
      <diagonal/>
    </border>
    <border>
      <left style="medium">
        <color auto="1"/>
      </left>
      <right/>
      <top style="thin">
        <color indexed="64"/>
      </top>
      <bottom style="medium">
        <color auto="1"/>
      </bottom>
      <diagonal/>
    </border>
    <border>
      <left/>
      <right/>
      <top style="thin">
        <color indexed="64"/>
      </top>
      <bottom style="medium">
        <color indexed="64"/>
      </bottom>
      <diagonal/>
    </border>
    <border>
      <left/>
      <right style="medium">
        <color auto="1"/>
      </right>
      <top style="thin">
        <color indexed="64"/>
      </top>
      <bottom style="medium">
        <color auto="1"/>
      </bottom>
      <diagonal/>
    </border>
    <border>
      <left/>
      <right/>
      <top style="thin">
        <color auto="1"/>
      </top>
      <bottom/>
      <diagonal/>
    </border>
    <border>
      <left/>
      <right style="medium">
        <color auto="1"/>
      </right>
      <top style="thin">
        <color indexed="64"/>
      </top>
      <bottom/>
      <diagonal/>
    </border>
    <border>
      <left style="medium">
        <color auto="1"/>
      </left>
      <right/>
      <top style="thin">
        <color indexed="64"/>
      </top>
      <bottom/>
      <diagonal/>
    </border>
    <border>
      <left style="medium">
        <color auto="1"/>
      </left>
      <right/>
      <top/>
      <bottom style="thin">
        <color auto="1"/>
      </bottom>
      <diagonal/>
    </border>
    <border>
      <left/>
      <right/>
      <top/>
      <bottom style="thin">
        <color indexed="64"/>
      </bottom>
      <diagonal/>
    </border>
    <border>
      <left/>
      <right style="medium">
        <color auto="1"/>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medium">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dashed">
        <color auto="1"/>
      </left>
      <right style="medium">
        <color indexed="22"/>
      </right>
      <top style="dashed">
        <color auto="1"/>
      </top>
      <bottom style="thin">
        <color indexed="22"/>
      </bottom>
      <diagonal/>
    </border>
    <border>
      <left style="medium">
        <color indexed="22"/>
      </left>
      <right style="medium">
        <color auto="1"/>
      </right>
      <top/>
      <bottom style="thin">
        <color indexed="22"/>
      </bottom>
      <diagonal/>
    </border>
    <border>
      <left/>
      <right style="medium">
        <color indexed="22"/>
      </right>
      <top style="dashed">
        <color auto="1"/>
      </top>
      <bottom/>
      <diagonal/>
    </border>
    <border>
      <left/>
      <right style="medium">
        <color auto="1"/>
      </right>
      <top style="dashed">
        <color auto="1"/>
      </top>
      <bottom/>
      <diagonal/>
    </border>
    <border>
      <left/>
      <right style="medium">
        <color indexed="22"/>
      </right>
      <top style="thin">
        <color indexed="22"/>
      </top>
      <bottom style="dashed">
        <color auto="1"/>
      </bottom>
      <diagonal/>
    </border>
    <border>
      <left style="medium">
        <color indexed="22"/>
      </left>
      <right style="medium">
        <color auto="1"/>
      </right>
      <top/>
      <bottom style="dashed">
        <color auto="1"/>
      </bottom>
      <diagonal/>
    </border>
    <border>
      <left style="medium">
        <color indexed="22"/>
      </left>
      <right style="thin">
        <color indexed="64"/>
      </right>
      <top style="thin">
        <color indexed="64"/>
      </top>
      <bottom style="thin">
        <color indexed="64"/>
      </bottom>
      <diagonal/>
    </border>
    <border>
      <left style="dashed">
        <color auto="1"/>
      </left>
      <right/>
      <top style="thin">
        <color indexed="22"/>
      </top>
      <bottom style="dashed">
        <color auto="1"/>
      </bottom>
      <diagonal/>
    </border>
    <border>
      <left/>
      <right/>
      <top style="thin">
        <color indexed="22"/>
      </top>
      <bottom style="dashed">
        <color auto="1"/>
      </bottom>
      <diagonal/>
    </border>
    <border>
      <left style="dashed">
        <color auto="1"/>
      </left>
      <right/>
      <top/>
      <bottom/>
      <diagonal/>
    </border>
    <border>
      <left/>
      <right style="medium">
        <color indexed="64"/>
      </right>
      <top style="dashed">
        <color auto="1"/>
      </top>
      <bottom/>
      <diagonal/>
    </border>
  </borders>
  <cellStyleXfs count="42164">
    <xf numFmtId="0" fontId="0" fillId="0" borderId="0"/>
    <xf numFmtId="0" fontId="18" fillId="0" borderId="0"/>
    <xf numFmtId="43" fontId="18" fillId="0" borderId="0" applyFont="0" applyFill="0" applyBorder="0" applyAlignment="0" applyProtection="0"/>
    <xf numFmtId="0" fontId="1" fillId="0" borderId="0"/>
    <xf numFmtId="0" fontId="18" fillId="0" borderId="0"/>
    <xf numFmtId="0" fontId="18" fillId="0" borderId="0"/>
    <xf numFmtId="167" fontId="31" fillId="0" borderId="0" applyFont="0" applyFill="0" applyBorder="0" applyAlignment="0" applyProtection="0"/>
    <xf numFmtId="168"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169" fontId="31" fillId="0" borderId="0" applyFont="0" applyFill="0" applyBorder="0" applyAlignment="0" applyProtection="0"/>
    <xf numFmtId="17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171" fontId="31" fillId="0" borderId="0" applyFont="0" applyFill="0" applyBorder="0" applyAlignment="0" applyProtection="0"/>
    <xf numFmtId="172"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2" fillId="0" borderId="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39" borderId="0" applyNumberFormat="0" applyBorder="0" applyAlignment="0" applyProtection="0"/>
    <xf numFmtId="0" fontId="33" fillId="3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33" fillId="40"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33" fillId="41" borderId="0" applyNumberFormat="0" applyBorder="0" applyAlignment="0" applyProtection="0"/>
    <xf numFmtId="0" fontId="33" fillId="42" borderId="0" applyNumberFormat="0" applyBorder="0" applyAlignment="0" applyProtection="0"/>
    <xf numFmtId="0" fontId="33" fillId="42" borderId="0" applyNumberFormat="0" applyBorder="0" applyAlignment="0" applyProtection="0"/>
    <xf numFmtId="0" fontId="33" fillId="4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3" fillId="44"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3" fillId="45"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33" fillId="46"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33" fillId="4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33" fillId="41"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33" fillId="44"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33" fillId="47" borderId="0" applyNumberFormat="0" applyBorder="0" applyAlignment="0" applyProtection="0"/>
    <xf numFmtId="0" fontId="34" fillId="48" borderId="0" applyNumberFormat="0" applyBorder="0" applyAlignment="0" applyProtection="0"/>
    <xf numFmtId="0" fontId="17" fillId="12" borderId="0" applyNumberFormat="0" applyBorder="0" applyAlignment="0" applyProtection="0"/>
    <xf numFmtId="0" fontId="34" fillId="48" borderId="0" applyNumberFormat="0" applyBorder="0" applyAlignment="0" applyProtection="0"/>
    <xf numFmtId="0" fontId="34" fillId="45" borderId="0" applyNumberFormat="0" applyBorder="0" applyAlignment="0" applyProtection="0"/>
    <xf numFmtId="0" fontId="17" fillId="16" borderId="0" applyNumberFormat="0" applyBorder="0" applyAlignment="0" applyProtection="0"/>
    <xf numFmtId="0" fontId="34" fillId="45" borderId="0" applyNumberFormat="0" applyBorder="0" applyAlignment="0" applyProtection="0"/>
    <xf numFmtId="0" fontId="34" fillId="46" borderId="0" applyNumberFormat="0" applyBorder="0" applyAlignment="0" applyProtection="0"/>
    <xf numFmtId="0" fontId="17" fillId="20" borderId="0" applyNumberFormat="0" applyBorder="0" applyAlignment="0" applyProtection="0"/>
    <xf numFmtId="0" fontId="34" fillId="46" borderId="0" applyNumberFormat="0" applyBorder="0" applyAlignment="0" applyProtection="0"/>
    <xf numFmtId="0" fontId="34" fillId="49" borderId="0" applyNumberFormat="0" applyBorder="0" applyAlignment="0" applyProtection="0"/>
    <xf numFmtId="0" fontId="17" fillId="24" borderId="0" applyNumberFormat="0" applyBorder="0" applyAlignment="0" applyProtection="0"/>
    <xf numFmtId="0" fontId="34" fillId="49" borderId="0" applyNumberFormat="0" applyBorder="0" applyAlignment="0" applyProtection="0"/>
    <xf numFmtId="0" fontId="34" fillId="50" borderId="0" applyNumberFormat="0" applyBorder="0" applyAlignment="0" applyProtection="0"/>
    <xf numFmtId="0" fontId="17" fillId="2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17" fillId="32"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17" fillId="9" borderId="0" applyNumberFormat="0" applyBorder="0" applyAlignment="0" applyProtection="0"/>
    <xf numFmtId="0" fontId="34" fillId="52" borderId="0" applyNumberFormat="0" applyBorder="0" applyAlignment="0" applyProtection="0"/>
    <xf numFmtId="0" fontId="34" fillId="53" borderId="0" applyNumberFormat="0" applyBorder="0" applyAlignment="0" applyProtection="0"/>
    <xf numFmtId="0" fontId="17" fillId="13" borderId="0" applyNumberFormat="0" applyBorder="0" applyAlignment="0" applyProtection="0"/>
    <xf numFmtId="0" fontId="34" fillId="53" borderId="0" applyNumberFormat="0" applyBorder="0" applyAlignment="0" applyProtection="0"/>
    <xf numFmtId="0" fontId="34" fillId="54" borderId="0" applyNumberFormat="0" applyBorder="0" applyAlignment="0" applyProtection="0"/>
    <xf numFmtId="0" fontId="17" fillId="17" borderId="0" applyNumberFormat="0" applyBorder="0" applyAlignment="0" applyProtection="0"/>
    <xf numFmtId="0" fontId="34" fillId="54" borderId="0" applyNumberFormat="0" applyBorder="0" applyAlignment="0" applyProtection="0"/>
    <xf numFmtId="0" fontId="34" fillId="49" borderId="0" applyNumberFormat="0" applyBorder="0" applyAlignment="0" applyProtection="0"/>
    <xf numFmtId="0" fontId="17" fillId="21" borderId="0" applyNumberFormat="0" applyBorder="0" applyAlignment="0" applyProtection="0"/>
    <xf numFmtId="0" fontId="34" fillId="49" borderId="0" applyNumberFormat="0" applyBorder="0" applyAlignment="0" applyProtection="0"/>
    <xf numFmtId="0" fontId="34" fillId="50" borderId="0" applyNumberFormat="0" applyBorder="0" applyAlignment="0" applyProtection="0"/>
    <xf numFmtId="0" fontId="17" fillId="25" borderId="0" applyNumberFormat="0" applyBorder="0" applyAlignment="0" applyProtection="0"/>
    <xf numFmtId="0" fontId="34" fillId="50" borderId="0" applyNumberFormat="0" applyBorder="0" applyAlignment="0" applyProtection="0"/>
    <xf numFmtId="0" fontId="34" fillId="55" borderId="0" applyNumberFormat="0" applyBorder="0" applyAlignment="0" applyProtection="0"/>
    <xf numFmtId="0" fontId="17" fillId="29" borderId="0" applyNumberFormat="0" applyBorder="0" applyAlignment="0" applyProtection="0"/>
    <xf numFmtId="0" fontId="34" fillId="55" borderId="0" applyNumberFormat="0" applyBorder="0" applyAlignment="0" applyProtection="0"/>
    <xf numFmtId="0" fontId="35" fillId="0" borderId="0" applyNumberFormat="0" applyFill="0" applyBorder="0" applyAlignment="0" applyProtection="0"/>
    <xf numFmtId="0" fontId="36" fillId="39" borderId="0" applyNumberFormat="0" applyBorder="0" applyAlignment="0" applyProtection="0"/>
    <xf numFmtId="0" fontId="7" fillId="3" borderId="0" applyNumberFormat="0" applyBorder="0" applyAlignment="0" applyProtection="0"/>
    <xf numFmtId="0" fontId="36" fillId="39" borderId="0" applyNumberFormat="0" applyBorder="0" applyAlignment="0" applyProtection="0"/>
    <xf numFmtId="173" fontId="37" fillId="0" borderId="0" applyFill="0" applyBorder="0" applyAlignment="0" applyProtection="0"/>
    <xf numFmtId="174" fontId="38" fillId="0" borderId="0" applyFont="0" applyFill="0" applyBorder="0" applyAlignment="0" applyProtection="0">
      <alignment horizontal="right"/>
    </xf>
    <xf numFmtId="175" fontId="39" fillId="0" borderId="0" applyFill="0" applyBorder="0" applyAlignment="0"/>
    <xf numFmtId="0" fontId="40" fillId="56" borderId="119" applyNumberFormat="0" applyAlignment="0" applyProtection="0"/>
    <xf numFmtId="0" fontId="11" fillId="6" borderId="4" applyNumberFormat="0" applyAlignment="0" applyProtection="0"/>
    <xf numFmtId="0" fontId="40" fillId="56" borderId="119" applyNumberFormat="0" applyAlignment="0" applyProtection="0"/>
    <xf numFmtId="4" fontId="41" fillId="0" borderId="0" applyNumberFormat="0" applyFill="0" applyBorder="0">
      <alignment horizontal="right" wrapText="1"/>
    </xf>
    <xf numFmtId="0" fontId="41" fillId="0" borderId="0" applyNumberFormat="0" applyFill="0" applyBorder="0">
      <alignment wrapText="1"/>
    </xf>
    <xf numFmtId="0" fontId="41" fillId="0" borderId="0" applyNumberFormat="0" applyBorder="0">
      <alignment wrapText="1"/>
    </xf>
    <xf numFmtId="0" fontId="41" fillId="0" borderId="0" applyNumberFormat="0" applyFill="0" applyBorder="0">
      <alignment wrapText="1"/>
    </xf>
    <xf numFmtId="0" fontId="41" fillId="0" borderId="0" applyNumberFormat="0" applyBorder="0">
      <alignment wrapText="1"/>
    </xf>
    <xf numFmtId="0" fontId="41" fillId="0" borderId="0" applyNumberFormat="0" applyFill="0" applyBorder="0">
      <alignment wrapText="1"/>
    </xf>
    <xf numFmtId="0" fontId="41" fillId="0" borderId="0" applyNumberFormat="0" applyBorder="0">
      <alignment wrapText="1"/>
    </xf>
    <xf numFmtId="165" fontId="41" fillId="0" borderId="0" applyNumberFormat="0" applyFill="0" applyBorder="0">
      <alignment horizontal="right" wrapText="1"/>
    </xf>
    <xf numFmtId="0" fontId="41" fillId="0" borderId="0" applyNumberFormat="0" applyFill="0" applyBorder="0">
      <alignment wrapText="1"/>
    </xf>
    <xf numFmtId="0" fontId="41" fillId="0" borderId="0" applyNumberFormat="0" applyBorder="0">
      <alignment wrapText="1"/>
    </xf>
    <xf numFmtId="0" fontId="42" fillId="57" borderId="120" applyNumberFormat="0" applyAlignment="0" applyProtection="0"/>
    <xf numFmtId="0" fontId="13" fillId="7" borderId="7" applyNumberFormat="0" applyAlignment="0" applyProtection="0"/>
    <xf numFmtId="0" fontId="42" fillId="57" borderId="120" applyNumberFormat="0" applyAlignment="0" applyProtection="0"/>
    <xf numFmtId="0" fontId="43" fillId="58" borderId="0">
      <alignment vertical="top"/>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18" fillId="0" borderId="0" applyFont="0" applyFill="0" applyBorder="0" applyAlignment="0" applyProtection="0"/>
    <xf numFmtId="176" fontId="18" fillId="0" borderId="0" applyFont="0" applyFill="0" applyBorder="0" applyAlignment="0" applyProtection="0"/>
    <xf numFmtId="176" fontId="18" fillId="0" borderId="0" applyFont="0" applyFill="0" applyBorder="0" applyAlignment="0" applyProtection="0"/>
    <xf numFmtId="176" fontId="1"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8"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0" fontId="45" fillId="0" borderId="0" applyNumberFormat="0" applyAlignment="0">
      <alignment horizontal="left"/>
    </xf>
    <xf numFmtId="44" fontId="18"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44" fontId="18"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177" fontId="44" fillId="0" borderId="0" applyFont="0" applyFill="0" applyBorder="0" applyAlignment="0" applyProtection="0"/>
    <xf numFmtId="44" fontId="18" fillId="0" borderId="0" applyFont="0" applyFill="0" applyBorder="0" applyAlignment="0" applyProtection="0"/>
    <xf numFmtId="178" fontId="46" fillId="0" borderId="0" applyFont="0" applyFill="0" applyBorder="0" applyAlignment="0" applyProtection="0"/>
    <xf numFmtId="178" fontId="47" fillId="0" borderId="0" applyFont="0" applyFill="0" applyBorder="0" applyAlignment="0" applyProtection="0"/>
    <xf numFmtId="0" fontId="48" fillId="0" borderId="0" applyNumberFormat="0" applyAlignment="0">
      <alignment horizontal="left"/>
    </xf>
    <xf numFmtId="179" fontId="31" fillId="0" borderId="0" applyFont="0" applyFill="0" applyBorder="0" applyAlignment="0" applyProtection="0"/>
    <xf numFmtId="180" fontId="49" fillId="0" borderId="0" applyFont="0" applyFill="0" applyBorder="0" applyAlignment="0" applyProtection="0"/>
    <xf numFmtId="0" fontId="31" fillId="0" borderId="0" applyFont="0" applyFill="0" applyBorder="0" applyAlignment="0" applyProtection="0"/>
    <xf numFmtId="0" fontId="49" fillId="0" borderId="0" applyFont="0" applyFill="0" applyBorder="0" applyAlignment="0" applyProtection="0"/>
    <xf numFmtId="0" fontId="50" fillId="0" borderId="0" applyNumberFormat="0" applyFill="0" applyBorder="0" applyAlignment="0" applyProtection="0"/>
    <xf numFmtId="0" fontId="15" fillId="0" borderId="0" applyNumberFormat="0" applyFill="0" applyBorder="0" applyAlignment="0" applyProtection="0"/>
    <xf numFmtId="0" fontId="50" fillId="0" borderId="0" applyNumberFormat="0" applyFill="0" applyBorder="0" applyAlignment="0" applyProtection="0"/>
    <xf numFmtId="0" fontId="43" fillId="34" borderId="121" applyNumberFormat="0" applyFont="0" applyBorder="0" applyAlignment="0">
      <alignment vertical="top"/>
    </xf>
    <xf numFmtId="0" fontId="51" fillId="40" borderId="0" applyNumberFormat="0" applyBorder="0" applyAlignment="0" applyProtection="0"/>
    <xf numFmtId="0" fontId="6" fillId="2" borderId="0" applyNumberFormat="0" applyBorder="0" applyAlignment="0" applyProtection="0"/>
    <xf numFmtId="0" fontId="51" fillId="40" borderId="0" applyNumberFormat="0" applyBorder="0" applyAlignment="0" applyProtection="0"/>
    <xf numFmtId="38" fontId="52" fillId="34" borderId="0" applyNumberFormat="0" applyBorder="0" applyAlignment="0" applyProtection="0"/>
    <xf numFmtId="0" fontId="21" fillId="0" borderId="117" applyNumberFormat="0" applyAlignment="0" applyProtection="0">
      <alignment horizontal="left" vertical="center"/>
    </xf>
    <xf numFmtId="0" fontId="21" fillId="0" borderId="43">
      <alignment horizontal="left" vertical="center"/>
    </xf>
    <xf numFmtId="0" fontId="53" fillId="0" borderId="122" applyNumberFormat="0" applyFill="0" applyAlignment="0" applyProtection="0"/>
    <xf numFmtId="0" fontId="3" fillId="0" borderId="1" applyNumberFormat="0" applyFill="0" applyAlignment="0" applyProtection="0"/>
    <xf numFmtId="0" fontId="53" fillId="0" borderId="122" applyNumberFormat="0" applyFill="0" applyAlignment="0" applyProtection="0"/>
    <xf numFmtId="0" fontId="54" fillId="0" borderId="123" applyNumberFormat="0" applyFill="0" applyAlignment="0" applyProtection="0"/>
    <xf numFmtId="0" fontId="4" fillId="0" borderId="2" applyNumberFormat="0" applyFill="0" applyAlignment="0" applyProtection="0"/>
    <xf numFmtId="0" fontId="54" fillId="0" borderId="123" applyNumberFormat="0" applyFill="0" applyAlignment="0" applyProtection="0"/>
    <xf numFmtId="0" fontId="55" fillId="0" borderId="124" applyNumberFormat="0" applyFill="0" applyAlignment="0" applyProtection="0"/>
    <xf numFmtId="0" fontId="5" fillId="0" borderId="3" applyNumberFormat="0" applyFill="0" applyAlignment="0" applyProtection="0"/>
    <xf numFmtId="0" fontId="55" fillId="0" borderId="124" applyNumberFormat="0" applyFill="0" applyAlignment="0" applyProtection="0"/>
    <xf numFmtId="0" fontId="55" fillId="0" borderId="0" applyNumberFormat="0" applyFill="0" applyBorder="0" applyAlignment="0" applyProtection="0"/>
    <xf numFmtId="0" fontId="5"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10" fontId="52" fillId="59" borderId="125" applyNumberFormat="0" applyBorder="0" applyAlignment="0" applyProtection="0"/>
    <xf numFmtId="10" fontId="52" fillId="59" borderId="125" applyNumberFormat="0" applyBorder="0" applyAlignment="0" applyProtection="0"/>
    <xf numFmtId="0" fontId="59" fillId="43" borderId="119" applyNumberFormat="0" applyAlignment="0" applyProtection="0"/>
    <xf numFmtId="0" fontId="9" fillId="5" borderId="4" applyNumberFormat="0" applyAlignment="0" applyProtection="0"/>
    <xf numFmtId="0" fontId="59" fillId="43" borderId="119" applyNumberFormat="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0" fillId="60" borderId="0" applyNumberFormat="0" applyFill="0" applyBorder="0" applyAlignment="0" applyProtection="0">
      <alignment horizontal="center"/>
    </xf>
    <xf numFmtId="0" fontId="61" fillId="61" borderId="125">
      <alignment horizontal="center" vertical="center"/>
    </xf>
    <xf numFmtId="0" fontId="61" fillId="61" borderId="119" applyNumberFormat="0">
      <alignment horizontal="centerContinuous" vertical="center" wrapText="1"/>
    </xf>
    <xf numFmtId="0" fontId="62" fillId="0" borderId="126" applyNumberFormat="0" applyFill="0" applyAlignment="0" applyProtection="0"/>
    <xf numFmtId="0" fontId="12" fillId="0" borderId="6" applyNumberFormat="0" applyFill="0" applyAlignment="0" applyProtection="0"/>
    <xf numFmtId="0" fontId="62" fillId="0" borderId="126" applyNumberFormat="0" applyFill="0" applyAlignment="0" applyProtection="0"/>
    <xf numFmtId="181" fontId="31" fillId="0" borderId="0" applyFont="0" applyFill="0" applyBorder="0" applyAlignment="0" applyProtection="0"/>
    <xf numFmtId="182" fontId="60" fillId="60" borderId="0" applyFont="0" applyFill="0" applyBorder="0" applyAlignment="0" applyProtection="0">
      <alignment horizontal="center"/>
    </xf>
    <xf numFmtId="0" fontId="63" fillId="62" borderId="0" applyNumberFormat="0" applyBorder="0" applyAlignment="0" applyProtection="0"/>
    <xf numFmtId="0" fontId="8" fillId="4" borderId="0" applyNumberFormat="0" applyBorder="0" applyAlignment="0" applyProtection="0"/>
    <xf numFmtId="0" fontId="63" fillId="62" borderId="0" applyNumberFormat="0" applyBorder="0" applyAlignment="0" applyProtection="0"/>
    <xf numFmtId="183" fontId="18" fillId="0" borderId="0"/>
    <xf numFmtId="183"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44" fillId="0" borderId="0"/>
    <xf numFmtId="0" fontId="44" fillId="0" borderId="0"/>
    <xf numFmtId="0" fontId="44"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4" fillId="0" borderId="0"/>
    <xf numFmtId="0" fontId="18"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44"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44" fillId="0" borderId="0"/>
    <xf numFmtId="0" fontId="44" fillId="0" borderId="0"/>
    <xf numFmtId="184" fontId="46" fillId="0" borderId="0" applyFont="0" applyFill="0" applyBorder="0" applyAlignment="0" applyProtection="0"/>
    <xf numFmtId="184" fontId="47" fillId="0" borderId="0" applyFont="0" applyFill="0" applyBorder="0" applyAlignment="0" applyProtection="0"/>
    <xf numFmtId="0" fontId="18" fillId="63" borderId="127" applyNumberFormat="0" applyFont="0" applyAlignment="0" applyProtection="0"/>
    <xf numFmtId="0" fontId="44" fillId="63" borderId="127"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4" fillId="63" borderId="127" applyNumberFormat="0" applyFont="0" applyAlignment="0" applyProtection="0"/>
    <xf numFmtId="0" fontId="65" fillId="56" borderId="128" applyNumberFormat="0" applyAlignment="0" applyProtection="0"/>
    <xf numFmtId="0" fontId="10" fillId="6" borderId="5" applyNumberFormat="0" applyAlignment="0" applyProtection="0"/>
    <xf numFmtId="0" fontId="65" fillId="56" borderId="128" applyNumberFormat="0" applyAlignment="0" applyProtection="0"/>
    <xf numFmtId="166" fontId="60" fillId="60" borderId="0" applyFont="0" applyFill="0" applyBorder="0" applyAlignment="0" applyProtection="0">
      <alignment horizontal="center"/>
    </xf>
    <xf numFmtId="10" fontId="18" fillId="0" borderId="0" applyFont="0" applyFill="0" applyBorder="0" applyAlignment="0" applyProtection="0"/>
    <xf numFmtId="10"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5" fontId="66" fillId="0" borderId="0" applyNumberFormat="0" applyFill="0" applyBorder="0" applyAlignment="0" applyProtection="0">
      <alignment horizontal="left"/>
    </xf>
    <xf numFmtId="40" fontId="67" fillId="0" borderId="0" applyBorder="0">
      <alignment horizontal="right"/>
    </xf>
    <xf numFmtId="0" fontId="41" fillId="0" borderId="0" applyNumberFormat="0" applyFill="0" applyBorder="0">
      <alignment horizontal="left" wrapText="1"/>
    </xf>
    <xf numFmtId="0" fontId="41" fillId="0" borderId="0" applyNumberFormat="0" applyBorder="0">
      <alignment horizontal="left" wrapText="1"/>
    </xf>
    <xf numFmtId="0" fontId="68" fillId="0" borderId="0" applyNumberFormat="0" applyFill="0" applyBorder="0">
      <alignment horizontal="center" wrapText="1"/>
    </xf>
    <xf numFmtId="0" fontId="68" fillId="0" borderId="0" applyNumberFormat="0" applyBorder="0">
      <alignment horizontal="center" wrapText="1"/>
    </xf>
    <xf numFmtId="0" fontId="68" fillId="0" borderId="0" applyNumberFormat="0" applyFill="0" applyBorder="0">
      <alignment horizontal="left" wrapText="1"/>
    </xf>
    <xf numFmtId="0" fontId="68" fillId="0" borderId="0" applyNumberFormat="0" applyBorder="0">
      <alignment horizontal="left" wrapText="1"/>
    </xf>
    <xf numFmtId="0" fontId="68" fillId="0" borderId="0" applyNumberFormat="0" applyFill="0" applyBorder="0">
      <alignment horizontal="right" wrapText="1"/>
    </xf>
    <xf numFmtId="0" fontId="68" fillId="0" borderId="0" applyNumberFormat="0" applyBorder="0">
      <alignment horizontal="right" wrapText="1"/>
    </xf>
    <xf numFmtId="0" fontId="41" fillId="0" borderId="0" applyNumberFormat="0" applyBorder="0">
      <alignment horizontal="right" wrapText="1"/>
    </xf>
    <xf numFmtId="165" fontId="41" fillId="0" borderId="0" applyFill="0" applyBorder="0">
      <alignment horizontal="right" wrapText="1"/>
    </xf>
    <xf numFmtId="0" fontId="41" fillId="0" borderId="0" applyNumberFormat="0" applyFill="0" applyBorder="0">
      <alignment horizontal="right" wrapText="1"/>
    </xf>
    <xf numFmtId="0" fontId="41" fillId="0" borderId="0" applyNumberFormat="0" applyFill="0" applyBorder="0">
      <alignment horizontal="left" wrapText="1"/>
    </xf>
    <xf numFmtId="0" fontId="41" fillId="0" borderId="0" applyNumberFormat="0" applyBorder="0">
      <alignment horizontal="left" wrapText="1"/>
    </xf>
    <xf numFmtId="0" fontId="41" fillId="0" borderId="0" applyNumberFormat="0" applyFill="0" applyBorder="0">
      <alignment horizontal="right" wrapText="1"/>
    </xf>
    <xf numFmtId="0" fontId="41" fillId="0" borderId="0" applyNumberFormat="0" applyBorder="0">
      <alignment horizontal="right" wrapText="1"/>
    </xf>
    <xf numFmtId="0" fontId="68" fillId="0" borderId="0" applyNumberFormat="0" applyFill="0" applyBorder="0">
      <alignment horizontal="center" wrapText="1"/>
    </xf>
    <xf numFmtId="0" fontId="68" fillId="0" borderId="0" applyNumberFormat="0" applyBorder="0">
      <alignment horizontal="center" wrapText="1"/>
    </xf>
    <xf numFmtId="0" fontId="69" fillId="0" borderId="0" applyNumberFormat="0" applyFill="0" applyBorder="0">
      <alignment horizontal="left" wrapText="1"/>
    </xf>
    <xf numFmtId="0" fontId="69" fillId="0" borderId="0" applyNumberFormat="0" applyBorder="0">
      <alignment horizontal="left" wrapText="1"/>
    </xf>
    <xf numFmtId="0" fontId="41" fillId="0" borderId="0" applyNumberFormat="0" applyFill="0" applyBorder="0">
      <alignment horizontal="left" wrapText="1"/>
    </xf>
    <xf numFmtId="0" fontId="41" fillId="0" borderId="0" applyNumberFormat="0" applyBorder="0">
      <alignment horizontal="left" wrapText="1"/>
    </xf>
    <xf numFmtId="0" fontId="41" fillId="0" borderId="0" applyNumberFormat="0" applyFill="0" applyBorder="0">
      <alignment horizontal="left" wrapText="1"/>
    </xf>
    <xf numFmtId="0" fontId="41" fillId="0" borderId="0" applyNumberFormat="0" applyBorder="0">
      <alignment horizontal="left" wrapText="1"/>
    </xf>
    <xf numFmtId="0" fontId="41" fillId="0" borderId="0" applyNumberFormat="0" applyFill="0" applyBorder="0">
      <alignment horizontal="right" wrapText="1"/>
    </xf>
    <xf numFmtId="0" fontId="41" fillId="0" borderId="0" applyNumberFormat="0" applyBorder="0">
      <alignment horizontal="right" wrapText="1"/>
    </xf>
    <xf numFmtId="0" fontId="68" fillId="0" borderId="0" applyNumberFormat="0" applyFill="0" applyBorder="0">
      <alignment horizontal="left" wrapText="1"/>
    </xf>
    <xf numFmtId="0" fontId="68" fillId="0" borderId="0" applyNumberFormat="0" applyBorder="0">
      <alignment horizontal="left" wrapText="1"/>
    </xf>
    <xf numFmtId="0" fontId="69" fillId="0" borderId="0" applyNumberFormat="0" applyFill="0" applyBorder="0">
      <alignment horizontal="left" wrapText="1"/>
    </xf>
    <xf numFmtId="0" fontId="69" fillId="0" borderId="0" applyNumberFormat="0" applyBorder="0">
      <alignment horizontal="left" wrapText="1"/>
    </xf>
    <xf numFmtId="0" fontId="70" fillId="0" borderId="0" applyNumberFormat="0" applyFill="0" applyBorder="0" applyAlignment="0" applyProtection="0"/>
    <xf numFmtId="0" fontId="2" fillId="0" borderId="0" applyNumberFormat="0" applyFill="0" applyBorder="0" applyAlignment="0" applyProtection="0"/>
    <xf numFmtId="0" fontId="70" fillId="0" borderId="0" applyNumberFormat="0" applyFill="0" applyBorder="0" applyAlignment="0" applyProtection="0"/>
    <xf numFmtId="0" fontId="71" fillId="0" borderId="129" applyNumberFormat="0" applyFill="0" applyAlignment="0" applyProtection="0"/>
    <xf numFmtId="0" fontId="16" fillId="0" borderId="9" applyNumberFormat="0" applyFill="0" applyAlignment="0" applyProtection="0"/>
    <xf numFmtId="0" fontId="71" fillId="0" borderId="129" applyNumberFormat="0" applyFill="0" applyAlignment="0" applyProtection="0"/>
    <xf numFmtId="0" fontId="72" fillId="0" borderId="0" applyNumberFormat="0" applyFill="0" applyBorder="0" applyAlignment="0" applyProtection="0"/>
    <xf numFmtId="0" fontId="14" fillId="0" borderId="0" applyNumberFormat="0" applyFill="0" applyBorder="0" applyAlignment="0" applyProtection="0"/>
    <xf numFmtId="0" fontId="72" fillId="0" borderId="0" applyNumberFormat="0" applyFill="0" applyBorder="0" applyAlignment="0" applyProtection="0"/>
  </cellStyleXfs>
  <cellXfs count="552">
    <xf numFmtId="0" fontId="0" fillId="0" borderId="0" xfId="0"/>
    <xf numFmtId="0" fontId="19" fillId="0" borderId="0" xfId="0" applyFont="1"/>
    <xf numFmtId="0" fontId="18" fillId="0" borderId="0" xfId="0" applyFont="1"/>
    <xf numFmtId="49" fontId="18" fillId="0" borderId="0" xfId="0" applyNumberFormat="1" applyFont="1"/>
    <xf numFmtId="49" fontId="0" fillId="0" borderId="0" xfId="0" applyNumberFormat="1"/>
    <xf numFmtId="0" fontId="18" fillId="0" borderId="11" xfId="1" applyFont="1" applyFill="1" applyBorder="1" applyProtection="1">
      <protection locked="0"/>
    </xf>
    <xf numFmtId="0" fontId="18" fillId="0" borderId="0" xfId="1"/>
    <xf numFmtId="0" fontId="18" fillId="0" borderId="0" xfId="1" applyFont="1" applyFill="1" applyBorder="1" applyProtection="1">
      <protection locked="0"/>
    </xf>
    <xf numFmtId="0" fontId="22" fillId="33" borderId="15" xfId="2" applyNumberFormat="1" applyFont="1" applyFill="1" applyBorder="1" applyAlignment="1" applyProtection="1">
      <alignment horizontal="center"/>
      <protection locked="0"/>
    </xf>
    <xf numFmtId="0" fontId="22" fillId="33" borderId="16" xfId="2" applyNumberFormat="1" applyFont="1" applyFill="1" applyBorder="1" applyAlignment="1" applyProtection="1">
      <alignment horizontal="center"/>
      <protection locked="0"/>
    </xf>
    <xf numFmtId="0" fontId="22" fillId="33" borderId="17" xfId="2" applyNumberFormat="1" applyFont="1" applyFill="1" applyBorder="1" applyAlignment="1" applyProtection="1">
      <alignment horizontal="center"/>
      <protection locked="0"/>
    </xf>
    <xf numFmtId="164" fontId="22" fillId="33" borderId="18" xfId="2" applyNumberFormat="1" applyFont="1" applyFill="1" applyBorder="1" applyAlignment="1" applyProtection="1">
      <alignment horizontal="centerContinuous"/>
      <protection locked="0"/>
    </xf>
    <xf numFmtId="0" fontId="18" fillId="0" borderId="20" xfId="1" applyFill="1" applyBorder="1" applyProtection="1">
      <protection locked="0"/>
    </xf>
    <xf numFmtId="0" fontId="22" fillId="0" borderId="20" xfId="1" applyFont="1" applyFill="1" applyBorder="1" applyAlignment="1" applyProtection="1">
      <alignment horizontal="center"/>
      <protection locked="0"/>
    </xf>
    <xf numFmtId="0" fontId="22" fillId="0" borderId="19" xfId="1" applyFont="1" applyFill="1" applyBorder="1" applyAlignment="1" applyProtection="1">
      <alignment horizontal="center"/>
      <protection locked="0"/>
    </xf>
    <xf numFmtId="0" fontId="22" fillId="0" borderId="21" xfId="1" applyFont="1" applyFill="1" applyBorder="1" applyAlignment="1" applyProtection="1">
      <alignment horizontal="center"/>
      <protection locked="0"/>
    </xf>
    <xf numFmtId="0" fontId="19" fillId="0" borderId="22" xfId="1" applyFont="1" applyFill="1" applyBorder="1" applyProtection="1">
      <protection locked="0"/>
    </xf>
    <xf numFmtId="0" fontId="18" fillId="0" borderId="23" xfId="1" applyFill="1" applyBorder="1" applyProtection="1">
      <protection locked="0"/>
    </xf>
    <xf numFmtId="0" fontId="19" fillId="0" borderId="23" xfId="1" applyFont="1" applyFill="1" applyBorder="1" applyAlignment="1" applyProtection="1">
      <alignment horizontal="center"/>
      <protection locked="0"/>
    </xf>
    <xf numFmtId="0" fontId="19" fillId="0" borderId="24" xfId="1" applyFont="1" applyFill="1" applyBorder="1" applyAlignment="1" applyProtection="1">
      <alignment horizontal="center"/>
      <protection locked="0"/>
    </xf>
    <xf numFmtId="0" fontId="19" fillId="0" borderId="22" xfId="1" applyFont="1" applyFill="1" applyBorder="1" applyAlignment="1" applyProtection="1">
      <alignment horizontal="center"/>
      <protection locked="0"/>
    </xf>
    <xf numFmtId="164" fontId="25" fillId="0" borderId="27" xfId="2" applyNumberFormat="1" applyFont="1" applyFill="1" applyBorder="1" applyAlignment="1" applyProtection="1">
      <alignment horizontal="left" indent="2"/>
      <protection locked="0"/>
    </xf>
    <xf numFmtId="164" fontId="18" fillId="0" borderId="27" xfId="2" applyNumberFormat="1" applyFont="1" applyFill="1" applyBorder="1" applyAlignment="1" applyProtection="1">
      <alignment horizontal="left" indent="2"/>
      <protection locked="0"/>
    </xf>
    <xf numFmtId="164" fontId="18" fillId="0" borderId="28" xfId="2" applyNumberFormat="1" applyFont="1" applyFill="1" applyBorder="1" applyAlignment="1" applyProtection="1">
      <alignment horizontal="left" indent="2"/>
      <protection locked="0"/>
    </xf>
    <xf numFmtId="164" fontId="25" fillId="0" borderId="29" xfId="2" applyNumberFormat="1" applyFont="1" applyFill="1" applyBorder="1" applyAlignment="1" applyProtection="1">
      <alignment horizontal="left" indent="2"/>
      <protection locked="0"/>
    </xf>
    <xf numFmtId="164" fontId="25" fillId="0" borderId="28" xfId="2" applyNumberFormat="1" applyFont="1" applyFill="1" applyBorder="1" applyAlignment="1" applyProtection="1">
      <alignment horizontal="left" indent="2"/>
      <protection locked="0"/>
    </xf>
    <xf numFmtId="37" fontId="19" fillId="0" borderId="30" xfId="1" applyNumberFormat="1" applyFont="1" applyBorder="1"/>
    <xf numFmtId="0" fontId="19" fillId="0" borderId="0" xfId="1" applyFont="1"/>
    <xf numFmtId="164" fontId="25" fillId="0" borderId="33" xfId="2" applyNumberFormat="1" applyFont="1" applyFill="1" applyBorder="1" applyAlignment="1" applyProtection="1">
      <alignment horizontal="left" indent="2"/>
      <protection locked="0"/>
    </xf>
    <xf numFmtId="164" fontId="18" fillId="0" borderId="33" xfId="2" applyNumberFormat="1" applyFont="1" applyFill="1" applyBorder="1" applyAlignment="1" applyProtection="1">
      <alignment horizontal="left" indent="2"/>
      <protection locked="0"/>
    </xf>
    <xf numFmtId="164" fontId="18" fillId="0" borderId="34" xfId="2" applyNumberFormat="1" applyFont="1" applyFill="1" applyBorder="1" applyAlignment="1" applyProtection="1">
      <alignment horizontal="left" indent="2"/>
      <protection locked="0"/>
    </xf>
    <xf numFmtId="164" fontId="25" fillId="0" borderId="35" xfId="2" applyNumberFormat="1" applyFont="1" applyFill="1" applyBorder="1" applyAlignment="1" applyProtection="1">
      <alignment horizontal="left" indent="2"/>
      <protection locked="0"/>
    </xf>
    <xf numFmtId="164" fontId="25" fillId="0" borderId="34" xfId="2" applyNumberFormat="1" applyFont="1" applyFill="1" applyBorder="1" applyAlignment="1" applyProtection="1">
      <alignment horizontal="left" indent="2"/>
      <protection locked="0"/>
    </xf>
    <xf numFmtId="164" fontId="18" fillId="0" borderId="35" xfId="2" applyNumberFormat="1" applyFont="1" applyFill="1" applyBorder="1" applyAlignment="1" applyProtection="1">
      <alignment horizontal="left" indent="2"/>
      <protection locked="0"/>
    </xf>
    <xf numFmtId="37" fontId="19" fillId="0" borderId="36" xfId="1" applyNumberFormat="1" applyFont="1" applyBorder="1"/>
    <xf numFmtId="37" fontId="19" fillId="0" borderId="11" xfId="1" applyNumberFormat="1" applyFont="1" applyBorder="1"/>
    <xf numFmtId="164" fontId="18" fillId="0" borderId="37" xfId="2" applyNumberFormat="1" applyFont="1" applyFill="1" applyBorder="1" applyAlignment="1" applyProtection="1">
      <alignment horizontal="left" indent="2"/>
      <protection locked="0"/>
    </xf>
    <xf numFmtId="164" fontId="18" fillId="0" borderId="38" xfId="2" applyNumberFormat="1" applyFont="1" applyFill="1" applyBorder="1" applyAlignment="1" applyProtection="1">
      <alignment horizontal="left" indent="2"/>
      <protection locked="0"/>
    </xf>
    <xf numFmtId="37" fontId="19" fillId="0" borderId="0" xfId="1" applyNumberFormat="1" applyFont="1" applyBorder="1"/>
    <xf numFmtId="164" fontId="25" fillId="0" borderId="32" xfId="2" applyNumberFormat="1" applyFont="1" applyFill="1" applyBorder="1" applyAlignment="1" applyProtection="1">
      <alignment horizontal="left" indent="2"/>
      <protection locked="0"/>
    </xf>
    <xf numFmtId="164" fontId="26" fillId="33" borderId="39" xfId="2" applyNumberFormat="1" applyFont="1" applyFill="1" applyBorder="1" applyAlignment="1" applyProtection="1">
      <alignment horizontal="left" indent="2"/>
      <protection locked="0"/>
    </xf>
    <xf numFmtId="164" fontId="26" fillId="33" borderId="40" xfId="2" applyNumberFormat="1" applyFont="1" applyFill="1" applyBorder="1" applyAlignment="1" applyProtection="1">
      <alignment horizontal="left" indent="2"/>
      <protection locked="0"/>
    </xf>
    <xf numFmtId="164" fontId="18" fillId="0" borderId="41" xfId="2" applyNumberFormat="1" applyFont="1" applyFill="1" applyBorder="1" applyAlignment="1" applyProtection="1">
      <alignment horizontal="left" indent="2"/>
      <protection locked="0"/>
    </xf>
    <xf numFmtId="37" fontId="18" fillId="0" borderId="0" xfId="1" applyNumberFormat="1" applyBorder="1"/>
    <xf numFmtId="37" fontId="18" fillId="0" borderId="0" xfId="1" applyNumberFormat="1"/>
    <xf numFmtId="164" fontId="19" fillId="34" borderId="44" xfId="2" applyNumberFormat="1" applyFont="1" applyFill="1" applyBorder="1" applyProtection="1">
      <protection locked="0"/>
    </xf>
    <xf numFmtId="164" fontId="18" fillId="0" borderId="0" xfId="1" applyNumberFormat="1"/>
    <xf numFmtId="0" fontId="18" fillId="35" borderId="32" xfId="1" applyFont="1" applyFill="1" applyBorder="1" applyProtection="1"/>
    <xf numFmtId="164" fontId="18" fillId="35" borderId="33" xfId="2" applyNumberFormat="1" applyFont="1" applyFill="1" applyBorder="1" applyProtection="1"/>
    <xf numFmtId="164" fontId="18" fillId="35" borderId="34" xfId="2" applyNumberFormat="1" applyFont="1" applyFill="1" applyBorder="1" applyProtection="1"/>
    <xf numFmtId="0" fontId="18" fillId="0" borderId="0" xfId="1" applyFont="1"/>
    <xf numFmtId="164" fontId="18" fillId="35" borderId="35" xfId="2" applyNumberFormat="1" applyFont="1" applyFill="1" applyBorder="1" applyProtection="1"/>
    <xf numFmtId="164" fontId="18" fillId="0" borderId="32" xfId="2" applyNumberFormat="1" applyFont="1" applyFill="1" applyBorder="1" applyProtection="1"/>
    <xf numFmtId="164" fontId="18" fillId="0" borderId="47" xfId="2" applyNumberFormat="1" applyFont="1" applyFill="1" applyBorder="1" applyAlignment="1" applyProtection="1">
      <alignment horizontal="left" indent="2"/>
      <protection locked="0"/>
    </xf>
    <xf numFmtId="164" fontId="18" fillId="0" borderId="48" xfId="2" applyNumberFormat="1" applyFont="1" applyFill="1" applyBorder="1" applyAlignment="1" applyProtection="1">
      <alignment horizontal="left" indent="2"/>
      <protection locked="0"/>
    </xf>
    <xf numFmtId="164" fontId="18" fillId="0" borderId="51" xfId="2" applyNumberFormat="1" applyFont="1" applyFill="1" applyBorder="1" applyProtection="1">
      <protection locked="0"/>
    </xf>
    <xf numFmtId="164" fontId="18" fillId="0" borderId="52" xfId="2" applyNumberFormat="1" applyFont="1" applyFill="1" applyBorder="1" applyProtection="1">
      <protection locked="0"/>
    </xf>
    <xf numFmtId="164" fontId="18" fillId="0" borderId="53" xfId="2" applyNumberFormat="1" applyFont="1" applyFill="1" applyBorder="1" applyProtection="1">
      <protection locked="0"/>
    </xf>
    <xf numFmtId="164" fontId="18" fillId="0" borderId="13" xfId="2" applyNumberFormat="1" applyFont="1" applyFill="1" applyBorder="1" applyProtection="1">
      <protection locked="0"/>
    </xf>
    <xf numFmtId="164" fontId="18" fillId="0" borderId="14" xfId="2" applyNumberFormat="1" applyFont="1" applyFill="1" applyBorder="1" applyProtection="1">
      <protection locked="0"/>
    </xf>
    <xf numFmtId="164" fontId="25" fillId="0" borderId="27" xfId="2" applyNumberFormat="1" applyFont="1" applyBorder="1" applyAlignment="1" applyProtection="1">
      <alignment horizontal="left" indent="2"/>
      <protection locked="0"/>
    </xf>
    <xf numFmtId="164" fontId="25" fillId="0" borderId="26" xfId="2" applyNumberFormat="1" applyFont="1" applyBorder="1" applyAlignment="1" applyProtection="1">
      <alignment horizontal="left" indent="2"/>
      <protection locked="0"/>
    </xf>
    <xf numFmtId="164" fontId="26" fillId="33" borderId="54" xfId="2" applyNumberFormat="1" applyFont="1" applyFill="1" applyBorder="1" applyAlignment="1" applyProtection="1">
      <alignment horizontal="left" indent="2"/>
      <protection locked="0"/>
    </xf>
    <xf numFmtId="164" fontId="26" fillId="33" borderId="55" xfId="2" applyNumberFormat="1" applyFont="1" applyFill="1" applyBorder="1" applyAlignment="1" applyProtection="1">
      <alignment horizontal="left" indent="2"/>
      <protection locked="0"/>
    </xf>
    <xf numFmtId="164" fontId="25" fillId="0" borderId="29" xfId="2" applyNumberFormat="1" applyFont="1" applyBorder="1" applyAlignment="1" applyProtection="1">
      <alignment horizontal="left" indent="2"/>
      <protection locked="0"/>
    </xf>
    <xf numFmtId="164" fontId="25" fillId="0" borderId="56" xfId="2" applyNumberFormat="1" applyFont="1" applyBorder="1" applyAlignment="1" applyProtection="1">
      <alignment horizontal="left" indent="2"/>
      <protection locked="0"/>
    </xf>
    <xf numFmtId="164" fontId="22" fillId="33" borderId="57" xfId="2" applyNumberFormat="1" applyFont="1" applyFill="1" applyBorder="1" applyAlignment="1" applyProtection="1">
      <alignment horizontal="left" indent="2"/>
      <protection locked="0"/>
    </xf>
    <xf numFmtId="164" fontId="22" fillId="33" borderId="58" xfId="2" applyNumberFormat="1" applyFont="1" applyFill="1" applyBorder="1" applyAlignment="1" applyProtection="1">
      <alignment horizontal="left" indent="2"/>
      <protection locked="0"/>
    </xf>
    <xf numFmtId="164" fontId="25" fillId="0" borderId="41" xfId="2" applyNumberFormat="1" applyFont="1" applyFill="1" applyBorder="1" applyAlignment="1" applyProtection="1">
      <alignment horizontal="left" indent="2"/>
      <protection locked="0"/>
    </xf>
    <xf numFmtId="164" fontId="18" fillId="0" borderId="13" xfId="2" applyNumberFormat="1" applyFont="1" applyFill="1" applyBorder="1" applyAlignment="1" applyProtection="1">
      <alignment horizontal="left" indent="2"/>
      <protection locked="0"/>
    </xf>
    <xf numFmtId="164" fontId="25" fillId="0" borderId="14" xfId="2" applyNumberFormat="1" applyFont="1" applyFill="1" applyBorder="1" applyAlignment="1" applyProtection="1">
      <alignment horizontal="left" indent="2"/>
      <protection locked="0"/>
    </xf>
    <xf numFmtId="164" fontId="25" fillId="0" borderId="33" xfId="2" applyNumberFormat="1" applyFont="1" applyBorder="1" applyAlignment="1" applyProtection="1">
      <alignment horizontal="left" indent="2"/>
      <protection locked="0"/>
    </xf>
    <xf numFmtId="164" fontId="18" fillId="0" borderId="27" xfId="2" applyNumberFormat="1" applyFont="1" applyBorder="1" applyAlignment="1" applyProtection="1">
      <alignment horizontal="left" indent="2"/>
      <protection locked="0"/>
    </xf>
    <xf numFmtId="164" fontId="18" fillId="0" borderId="28" xfId="2" applyNumberFormat="1" applyFont="1" applyBorder="1" applyAlignment="1" applyProtection="1">
      <alignment horizontal="left" indent="2"/>
      <protection locked="0"/>
    </xf>
    <xf numFmtId="164" fontId="25" fillId="0" borderId="35" xfId="2" applyNumberFormat="1" applyFont="1" applyBorder="1" applyAlignment="1" applyProtection="1">
      <alignment horizontal="left" indent="2"/>
      <protection locked="0"/>
    </xf>
    <xf numFmtId="164" fontId="25" fillId="0" borderId="41" xfId="2" applyNumberFormat="1" applyFont="1" applyBorder="1" applyAlignment="1" applyProtection="1">
      <alignment horizontal="left" indent="2"/>
      <protection locked="0"/>
    </xf>
    <xf numFmtId="164" fontId="25" fillId="0" borderId="14" xfId="2" applyNumberFormat="1" applyFont="1" applyBorder="1" applyAlignment="1" applyProtection="1">
      <alignment horizontal="left" indent="2"/>
      <protection locked="0"/>
    </xf>
    <xf numFmtId="164" fontId="18" fillId="0" borderId="33" xfId="2" applyNumberFormat="1" applyFont="1" applyBorder="1" applyAlignment="1" applyProtection="1">
      <alignment horizontal="left" indent="2"/>
      <protection locked="0"/>
    </xf>
    <xf numFmtId="164" fontId="18" fillId="0" borderId="34" xfId="2" applyNumberFormat="1" applyFont="1" applyBorder="1" applyAlignment="1" applyProtection="1">
      <alignment horizontal="left" indent="2"/>
      <protection locked="0"/>
    </xf>
    <xf numFmtId="164" fontId="26" fillId="33" borderId="59" xfId="2" applyNumberFormat="1" applyFont="1" applyFill="1" applyBorder="1" applyAlignment="1" applyProtection="1">
      <alignment horizontal="left" indent="2"/>
      <protection locked="0"/>
    </xf>
    <xf numFmtId="164" fontId="25" fillId="0" borderId="13" xfId="2" applyNumberFormat="1" applyFont="1" applyFill="1" applyBorder="1" applyAlignment="1" applyProtection="1">
      <alignment horizontal="left" indent="2"/>
      <protection locked="0"/>
    </xf>
    <xf numFmtId="164" fontId="25" fillId="0" borderId="51" xfId="2" applyNumberFormat="1" applyFont="1" applyBorder="1" applyAlignment="1" applyProtection="1">
      <alignment horizontal="left" indent="2"/>
      <protection locked="0"/>
    </xf>
    <xf numFmtId="164" fontId="25" fillId="0" borderId="51" xfId="2" applyNumberFormat="1" applyFont="1" applyFill="1" applyBorder="1" applyAlignment="1" applyProtection="1">
      <alignment horizontal="left" indent="2"/>
      <protection locked="0"/>
    </xf>
    <xf numFmtId="164" fontId="18" fillId="0" borderId="51" xfId="2" applyNumberFormat="1" applyFont="1" applyFill="1" applyBorder="1" applyAlignment="1" applyProtection="1">
      <alignment horizontal="left" indent="2"/>
      <protection locked="0"/>
    </xf>
    <xf numFmtId="164" fontId="18" fillId="0" borderId="52" xfId="2" applyNumberFormat="1" applyFont="1" applyFill="1" applyBorder="1" applyAlignment="1" applyProtection="1">
      <alignment horizontal="left" indent="2"/>
      <protection locked="0"/>
    </xf>
    <xf numFmtId="164" fontId="25" fillId="0" borderId="53" xfId="2" applyNumberFormat="1" applyFont="1" applyFill="1" applyBorder="1" applyAlignment="1" applyProtection="1">
      <alignment horizontal="left" indent="2"/>
      <protection locked="0"/>
    </xf>
    <xf numFmtId="164" fontId="25" fillId="0" borderId="52" xfId="2" applyNumberFormat="1" applyFont="1" applyFill="1" applyBorder="1" applyAlignment="1" applyProtection="1">
      <alignment horizontal="left" indent="2"/>
      <protection locked="0"/>
    </xf>
    <xf numFmtId="164" fontId="25" fillId="0" borderId="63" xfId="2" applyNumberFormat="1" applyFont="1" applyFill="1" applyBorder="1" applyAlignment="1" applyProtection="1">
      <alignment horizontal="left" indent="2"/>
      <protection locked="0"/>
    </xf>
    <xf numFmtId="164" fontId="25" fillId="0" borderId="64" xfId="2" applyNumberFormat="1" applyFont="1" applyFill="1" applyBorder="1" applyAlignment="1" applyProtection="1">
      <alignment horizontal="left" indent="2"/>
      <protection locked="0"/>
    </xf>
    <xf numFmtId="164" fontId="18" fillId="0" borderId="65" xfId="2" applyNumberFormat="1" applyFont="1" applyFill="1" applyBorder="1" applyAlignment="1" applyProtection="1">
      <alignment horizontal="left" indent="2"/>
      <protection locked="0"/>
    </xf>
    <xf numFmtId="164" fontId="25" fillId="0" borderId="65" xfId="2" applyNumberFormat="1" applyFont="1" applyFill="1" applyBorder="1" applyAlignment="1" applyProtection="1">
      <alignment horizontal="left" indent="2"/>
      <protection locked="0"/>
    </xf>
    <xf numFmtId="164" fontId="18" fillId="0" borderId="14" xfId="2" applyNumberFormat="1" applyFont="1" applyFill="1" applyBorder="1" applyAlignment="1" applyProtection="1">
      <alignment horizontal="left" indent="2"/>
      <protection locked="0"/>
    </xf>
    <xf numFmtId="164" fontId="26" fillId="33" borderId="66" xfId="2" applyNumberFormat="1" applyFont="1" applyFill="1" applyBorder="1" applyAlignment="1" applyProtection="1">
      <alignment horizontal="left" indent="2"/>
      <protection locked="0"/>
    </xf>
    <xf numFmtId="164" fontId="26" fillId="33" borderId="34" xfId="2" applyNumberFormat="1" applyFont="1" applyFill="1" applyBorder="1" applyAlignment="1" applyProtection="1">
      <alignment horizontal="left" indent="2"/>
      <protection locked="0"/>
    </xf>
    <xf numFmtId="164" fontId="18" fillId="0" borderId="35" xfId="2" applyNumberFormat="1" applyFont="1" applyBorder="1" applyAlignment="1" applyProtection="1">
      <alignment horizontal="left" indent="2"/>
      <protection locked="0"/>
    </xf>
    <xf numFmtId="164" fontId="18" fillId="0" borderId="13" xfId="2" applyNumberFormat="1" applyFont="1" applyBorder="1" applyAlignment="1" applyProtection="1">
      <alignment horizontal="left" indent="2"/>
      <protection locked="0"/>
    </xf>
    <xf numFmtId="164" fontId="25" fillId="0" borderId="69" xfId="2" applyNumberFormat="1" applyFont="1" applyBorder="1" applyAlignment="1" applyProtection="1">
      <alignment horizontal="left" indent="2"/>
      <protection locked="0"/>
    </xf>
    <xf numFmtId="164" fontId="25" fillId="0" borderId="69" xfId="2" applyNumberFormat="1" applyFont="1" applyFill="1" applyBorder="1" applyAlignment="1" applyProtection="1">
      <alignment horizontal="left" indent="2"/>
      <protection locked="0"/>
    </xf>
    <xf numFmtId="164" fontId="25" fillId="0" borderId="68" xfId="2" applyNumberFormat="1" applyFont="1" applyFill="1" applyBorder="1" applyAlignment="1" applyProtection="1">
      <alignment horizontal="left" indent="2"/>
      <protection locked="0"/>
    </xf>
    <xf numFmtId="164" fontId="26" fillId="33" borderId="70" xfId="2" applyNumberFormat="1" applyFont="1" applyFill="1" applyBorder="1" applyAlignment="1" applyProtection="1">
      <alignment horizontal="left" indent="2"/>
      <protection locked="0"/>
    </xf>
    <xf numFmtId="164" fontId="26" fillId="33" borderId="71" xfId="2" applyNumberFormat="1" applyFont="1" applyFill="1" applyBorder="1" applyAlignment="1" applyProtection="1">
      <alignment horizontal="left" indent="2"/>
      <protection locked="0"/>
    </xf>
    <xf numFmtId="164" fontId="18" fillId="0" borderId="72" xfId="2" applyNumberFormat="1" applyFont="1" applyBorder="1" applyAlignment="1" applyProtection="1">
      <alignment horizontal="left" indent="2"/>
      <protection locked="0"/>
    </xf>
    <xf numFmtId="164" fontId="18" fillId="0" borderId="69" xfId="2" applyNumberFormat="1" applyFont="1" applyBorder="1" applyAlignment="1" applyProtection="1">
      <alignment horizontal="left" indent="2"/>
      <protection locked="0"/>
    </xf>
    <xf numFmtId="164" fontId="18" fillId="0" borderId="73" xfId="2" applyNumberFormat="1" applyFont="1" applyFill="1" applyBorder="1" applyAlignment="1" applyProtection="1">
      <alignment horizontal="left" indent="2"/>
      <protection locked="0"/>
    </xf>
    <xf numFmtId="164" fontId="18" fillId="0" borderId="19" xfId="2" applyNumberFormat="1" applyFont="1" applyBorder="1" applyAlignment="1" applyProtection="1">
      <alignment horizontal="left" indent="2"/>
      <protection locked="0"/>
    </xf>
    <xf numFmtId="164" fontId="25" fillId="0" borderId="74" xfId="2" applyNumberFormat="1" applyFont="1" applyFill="1" applyBorder="1" applyAlignment="1" applyProtection="1">
      <alignment horizontal="left" indent="2"/>
      <protection locked="0"/>
    </xf>
    <xf numFmtId="164" fontId="18" fillId="0" borderId="74" xfId="2" applyNumberFormat="1" applyFont="1" applyFill="1" applyBorder="1" applyAlignment="1" applyProtection="1">
      <alignment horizontal="left" indent="2"/>
      <protection locked="0"/>
    </xf>
    <xf numFmtId="164" fontId="18" fillId="0" borderId="0" xfId="2" applyNumberFormat="1" applyFont="1" applyFill="1" applyBorder="1" applyAlignment="1" applyProtection="1">
      <alignment horizontal="left" indent="2"/>
      <protection locked="0"/>
    </xf>
    <xf numFmtId="164" fontId="18" fillId="0" borderId="0" xfId="2" applyNumberFormat="1" applyFont="1" applyBorder="1" applyAlignment="1" applyProtection="1">
      <alignment horizontal="left" indent="2"/>
      <protection locked="0"/>
    </xf>
    <xf numFmtId="164" fontId="18" fillId="0" borderId="37" xfId="2" applyNumberFormat="1" applyFont="1" applyBorder="1" applyAlignment="1" applyProtection="1">
      <alignment horizontal="left" indent="2"/>
      <protection locked="0"/>
    </xf>
    <xf numFmtId="164" fontId="22" fillId="36" borderId="88" xfId="2" applyNumberFormat="1" applyFont="1" applyFill="1" applyBorder="1" applyAlignment="1" applyProtection="1">
      <alignment horizontal="left" indent="2"/>
      <protection locked="0"/>
    </xf>
    <xf numFmtId="164" fontId="22" fillId="36" borderId="89" xfId="2" applyNumberFormat="1" applyFont="1" applyFill="1" applyBorder="1" applyAlignment="1" applyProtection="1">
      <alignment horizontal="left" indent="2"/>
      <protection locked="0"/>
    </xf>
    <xf numFmtId="164" fontId="19" fillId="0" borderId="0" xfId="2" applyNumberFormat="1" applyFont="1" applyFill="1" applyBorder="1" applyProtection="1">
      <protection locked="0"/>
    </xf>
    <xf numFmtId="9" fontId="22" fillId="36" borderId="92" xfId="2" applyNumberFormat="1" applyFont="1" applyFill="1" applyBorder="1" applyAlignment="1" applyProtection="1">
      <alignment horizontal="center"/>
      <protection locked="0"/>
    </xf>
    <xf numFmtId="9" fontId="22" fillId="36" borderId="93" xfId="2" applyNumberFormat="1" applyFont="1" applyFill="1" applyBorder="1" applyAlignment="1" applyProtection="1">
      <alignment horizontal="center"/>
      <protection locked="0"/>
    </xf>
    <xf numFmtId="164" fontId="25" fillId="36" borderId="51" xfId="2" applyNumberFormat="1" applyFont="1" applyFill="1" applyBorder="1" applyAlignment="1" applyProtection="1">
      <alignment horizontal="left" indent="2"/>
      <protection locked="0"/>
    </xf>
    <xf numFmtId="164" fontId="22" fillId="36" borderId="51" xfId="2" applyNumberFormat="1" applyFont="1" applyFill="1" applyBorder="1" applyAlignment="1" applyProtection="1">
      <alignment horizontal="left" indent="2"/>
      <protection locked="0"/>
    </xf>
    <xf numFmtId="164" fontId="22" fillId="36" borderId="96" xfId="2" applyNumberFormat="1" applyFont="1" applyFill="1" applyBorder="1" applyAlignment="1" applyProtection="1">
      <alignment horizontal="left" indent="2"/>
      <protection locked="0"/>
    </xf>
    <xf numFmtId="2" fontId="18" fillId="0" borderId="0" xfId="1" applyNumberFormat="1" applyFont="1" applyBorder="1" applyProtection="1">
      <protection locked="0"/>
    </xf>
    <xf numFmtId="2" fontId="18" fillId="0" borderId="11" xfId="1" applyNumberFormat="1" applyFont="1" applyBorder="1" applyProtection="1">
      <protection locked="0"/>
    </xf>
    <xf numFmtId="2" fontId="18" fillId="0" borderId="12" xfId="1" applyNumberFormat="1" applyFont="1" applyBorder="1" applyProtection="1">
      <protection locked="0"/>
    </xf>
    <xf numFmtId="2" fontId="18" fillId="0" borderId="10" xfId="1" applyNumberFormat="1" applyFont="1" applyBorder="1" applyProtection="1">
      <protection locked="0"/>
    </xf>
    <xf numFmtId="2" fontId="18" fillId="0" borderId="104" xfId="1" applyNumberFormat="1" applyFont="1" applyBorder="1" applyProtection="1">
      <protection locked="0"/>
    </xf>
    <xf numFmtId="2" fontId="18" fillId="0" borderId="105" xfId="1" applyNumberFormat="1" applyFont="1" applyBorder="1" applyProtection="1">
      <protection locked="0"/>
    </xf>
    <xf numFmtId="2" fontId="18" fillId="0" borderId="106" xfId="1" applyNumberFormat="1" applyFont="1" applyBorder="1" applyProtection="1">
      <protection locked="0"/>
    </xf>
    <xf numFmtId="37" fontId="18" fillId="0" borderId="0" xfId="1" applyNumberFormat="1" applyFont="1" applyBorder="1" applyAlignment="1" applyProtection="1">
      <alignment horizontal="right"/>
      <protection locked="0"/>
    </xf>
    <xf numFmtId="37" fontId="18" fillId="0" borderId="14" xfId="1" applyNumberFormat="1" applyFont="1" applyBorder="1" applyAlignment="1" applyProtection="1">
      <alignment horizontal="right"/>
      <protection locked="0"/>
    </xf>
    <xf numFmtId="37" fontId="18" fillId="0" borderId="13" xfId="1" applyNumberFormat="1" applyFont="1" applyBorder="1" applyAlignment="1" applyProtection="1">
      <alignment horizontal="right"/>
      <protection locked="0"/>
    </xf>
    <xf numFmtId="37" fontId="22" fillId="0" borderId="104" xfId="1" applyNumberFormat="1" applyFont="1" applyBorder="1" applyAlignment="1" applyProtection="1">
      <alignment horizontal="right"/>
      <protection locked="0"/>
    </xf>
    <xf numFmtId="37" fontId="22" fillId="0" borderId="106" xfId="1" applyNumberFormat="1" applyFont="1" applyBorder="1" applyAlignment="1" applyProtection="1">
      <alignment horizontal="right"/>
      <protection locked="0"/>
    </xf>
    <xf numFmtId="37" fontId="22" fillId="0" borderId="104" xfId="1" applyNumberFormat="1" applyFont="1" applyFill="1" applyBorder="1" applyAlignment="1" applyProtection="1">
      <alignment horizontal="right"/>
      <protection locked="0"/>
    </xf>
    <xf numFmtId="37" fontId="22" fillId="0" borderId="105" xfId="1" applyNumberFormat="1" applyFont="1" applyFill="1" applyBorder="1" applyAlignment="1" applyProtection="1">
      <alignment horizontal="right"/>
      <protection locked="0"/>
    </xf>
    <xf numFmtId="37" fontId="25" fillId="0" borderId="0" xfId="1" applyNumberFormat="1" applyFont="1" applyBorder="1" applyAlignment="1" applyProtection="1">
      <alignment horizontal="right"/>
      <protection locked="0"/>
    </xf>
    <xf numFmtId="37" fontId="25" fillId="0" borderId="13" xfId="1" applyNumberFormat="1" applyFont="1" applyBorder="1" applyProtection="1">
      <protection locked="0"/>
    </xf>
    <xf numFmtId="37" fontId="25" fillId="0" borderId="0" xfId="1" applyNumberFormat="1" applyFont="1" applyBorder="1" applyProtection="1">
      <protection locked="0"/>
    </xf>
    <xf numFmtId="37" fontId="25" fillId="0" borderId="0" xfId="1" applyNumberFormat="1" applyFont="1" applyFill="1" applyBorder="1" applyProtection="1">
      <protection locked="0"/>
    </xf>
    <xf numFmtId="37" fontId="25" fillId="0" borderId="14" xfId="1" applyNumberFormat="1" applyFont="1" applyFill="1" applyBorder="1" applyProtection="1">
      <protection locked="0"/>
    </xf>
    <xf numFmtId="37" fontId="19" fillId="33" borderId="16" xfId="1" applyNumberFormat="1" applyFont="1" applyFill="1" applyBorder="1" applyAlignment="1" applyProtection="1">
      <alignment horizontal="right"/>
      <protection locked="0"/>
    </xf>
    <xf numFmtId="37" fontId="19" fillId="33" borderId="17" xfId="1" applyNumberFormat="1" applyFont="1" applyFill="1" applyBorder="1" applyAlignment="1" applyProtection="1">
      <alignment horizontal="right"/>
      <protection locked="0"/>
    </xf>
    <xf numFmtId="37" fontId="25" fillId="0" borderId="13" xfId="1" applyNumberFormat="1" applyFont="1" applyBorder="1" applyAlignment="1" applyProtection="1">
      <alignment horizontal="right"/>
      <protection locked="0"/>
    </xf>
    <xf numFmtId="37" fontId="25" fillId="0" borderId="0" xfId="1" applyNumberFormat="1" applyFont="1" applyFill="1" applyBorder="1" applyAlignment="1" applyProtection="1">
      <alignment horizontal="right"/>
      <protection locked="0"/>
    </xf>
    <xf numFmtId="37" fontId="25" fillId="0" borderId="14" xfId="1" applyNumberFormat="1" applyFont="1" applyFill="1" applyBorder="1" applyAlignment="1" applyProtection="1">
      <alignment horizontal="right"/>
      <protection locked="0"/>
    </xf>
    <xf numFmtId="37" fontId="25" fillId="0" borderId="108" xfId="1" applyNumberFormat="1" applyFont="1" applyBorder="1" applyAlignment="1" applyProtection="1">
      <alignment horizontal="right"/>
      <protection locked="0"/>
    </xf>
    <xf numFmtId="37" fontId="18" fillId="0" borderId="108" xfId="1" applyNumberFormat="1" applyFont="1" applyBorder="1" applyAlignment="1" applyProtection="1">
      <alignment horizontal="right"/>
      <protection locked="0"/>
    </xf>
    <xf numFmtId="37" fontId="18" fillId="0" borderId="109" xfId="1" applyNumberFormat="1" applyFont="1" applyBorder="1" applyAlignment="1" applyProtection="1">
      <alignment horizontal="right"/>
      <protection locked="0"/>
    </xf>
    <xf numFmtId="37" fontId="25" fillId="0" borderId="107" xfId="1" applyNumberFormat="1" applyFont="1" applyBorder="1" applyAlignment="1" applyProtection="1">
      <alignment horizontal="right"/>
      <protection locked="0"/>
    </xf>
    <xf numFmtId="37" fontId="25" fillId="0" borderId="108" xfId="1" applyNumberFormat="1" applyFont="1" applyFill="1" applyBorder="1" applyAlignment="1" applyProtection="1">
      <alignment horizontal="right"/>
      <protection locked="0"/>
    </xf>
    <xf numFmtId="37" fontId="25" fillId="0" borderId="109" xfId="1" applyNumberFormat="1" applyFont="1" applyFill="1" applyBorder="1" applyAlignment="1" applyProtection="1">
      <alignment horizontal="right"/>
      <protection locked="0"/>
    </xf>
    <xf numFmtId="37" fontId="25" fillId="37" borderId="108" xfId="1" applyNumberFormat="1" applyFont="1" applyFill="1" applyBorder="1" applyAlignment="1" applyProtection="1">
      <alignment horizontal="right"/>
      <protection locked="0"/>
    </xf>
    <xf numFmtId="37" fontId="22" fillId="37" borderId="108" xfId="1" applyNumberFormat="1" applyFont="1" applyFill="1" applyBorder="1" applyAlignment="1" applyProtection="1">
      <alignment horizontal="right"/>
      <protection locked="0"/>
    </xf>
    <xf numFmtId="37" fontId="22" fillId="37" borderId="109" xfId="1" applyNumberFormat="1" applyFont="1" applyFill="1" applyBorder="1" applyAlignment="1" applyProtection="1">
      <alignment horizontal="right"/>
      <protection locked="0"/>
    </xf>
    <xf numFmtId="37" fontId="22" fillId="37" borderId="107" xfId="1" applyNumberFormat="1" applyFont="1" applyFill="1" applyBorder="1" applyAlignment="1" applyProtection="1">
      <alignment horizontal="right"/>
      <protection locked="0"/>
    </xf>
    <xf numFmtId="2" fontId="18" fillId="0" borderId="14" xfId="1" applyNumberFormat="1" applyFont="1" applyBorder="1" applyProtection="1">
      <protection locked="0"/>
    </xf>
    <xf numFmtId="2" fontId="18" fillId="0" borderId="13" xfId="1" applyNumberFormat="1" applyFont="1" applyBorder="1" applyProtection="1">
      <protection locked="0"/>
    </xf>
    <xf numFmtId="166" fontId="18" fillId="0" borderId="0" xfId="1" applyNumberFormat="1" applyFont="1" applyBorder="1" applyAlignment="1" applyProtection="1">
      <alignment horizontal="right"/>
      <protection locked="0"/>
    </xf>
    <xf numFmtId="166" fontId="22" fillId="37" borderId="111" xfId="1" applyNumberFormat="1" applyFont="1" applyFill="1" applyBorder="1" applyAlignment="1" applyProtection="1">
      <alignment horizontal="right"/>
      <protection locked="0"/>
    </xf>
    <xf numFmtId="166" fontId="18" fillId="0" borderId="13" xfId="1" applyNumberFormat="1" applyFont="1" applyBorder="1" applyAlignment="1" applyProtection="1">
      <alignment horizontal="right"/>
      <protection locked="0"/>
    </xf>
    <xf numFmtId="166" fontId="18" fillId="0" borderId="14" xfId="1" applyNumberFormat="1" applyFont="1" applyBorder="1" applyAlignment="1" applyProtection="1">
      <alignment horizontal="right"/>
      <protection locked="0"/>
    </xf>
    <xf numFmtId="0" fontId="18" fillId="0" borderId="0" xfId="1" applyBorder="1"/>
    <xf numFmtId="166" fontId="18" fillId="0" borderId="0" xfId="1" applyNumberFormat="1" applyBorder="1" applyAlignment="1">
      <alignment horizontal="right"/>
    </xf>
    <xf numFmtId="0" fontId="18" fillId="0" borderId="13" xfId="1" applyBorder="1"/>
    <xf numFmtId="0" fontId="18" fillId="0" borderId="14" xfId="1" applyBorder="1"/>
    <xf numFmtId="166" fontId="18" fillId="0" borderId="13" xfId="1" applyNumberFormat="1" applyBorder="1" applyAlignment="1">
      <alignment horizontal="right"/>
    </xf>
    <xf numFmtId="166" fontId="18" fillId="0" borderId="14" xfId="1" applyNumberFormat="1" applyBorder="1" applyAlignment="1">
      <alignment horizontal="right"/>
    </xf>
    <xf numFmtId="43" fontId="18" fillId="0" borderId="13" xfId="1" applyNumberFormat="1" applyBorder="1"/>
    <xf numFmtId="43" fontId="18" fillId="0" borderId="0" xfId="1" applyNumberFormat="1" applyBorder="1"/>
    <xf numFmtId="0" fontId="18" fillId="0" borderId="20" xfId="1" applyBorder="1"/>
    <xf numFmtId="166" fontId="18" fillId="0" borderId="20" xfId="1" applyNumberFormat="1" applyBorder="1" applyAlignment="1">
      <alignment horizontal="right"/>
    </xf>
    <xf numFmtId="166" fontId="18" fillId="0" borderId="19" xfId="1" applyNumberFormat="1" applyBorder="1" applyAlignment="1">
      <alignment horizontal="right"/>
    </xf>
    <xf numFmtId="166" fontId="18" fillId="0" borderId="21" xfId="1" applyNumberFormat="1" applyBorder="1" applyAlignment="1">
      <alignment horizontal="right"/>
    </xf>
    <xf numFmtId="37" fontId="22" fillId="37" borderId="114" xfId="1" applyNumberFormat="1" applyFont="1" applyFill="1" applyBorder="1" applyAlignment="1" applyProtection="1">
      <alignment horizontal="right"/>
      <protection locked="0"/>
    </xf>
    <xf numFmtId="37" fontId="22" fillId="37" borderId="111" xfId="1" applyNumberFormat="1" applyFont="1" applyFill="1" applyBorder="1" applyAlignment="1" applyProtection="1">
      <alignment horizontal="right"/>
      <protection locked="0"/>
    </xf>
    <xf numFmtId="166" fontId="27" fillId="0" borderId="0" xfId="1" applyNumberFormat="1" applyFont="1" applyFill="1" applyBorder="1" applyAlignment="1" applyProtection="1">
      <alignment horizontal="left"/>
      <protection locked="0"/>
    </xf>
    <xf numFmtId="166" fontId="18" fillId="0" borderId="0" xfId="1" applyNumberFormat="1" applyFont="1" applyFill="1" applyBorder="1" applyAlignment="1" applyProtection="1">
      <alignment horizontal="right"/>
      <protection locked="0"/>
    </xf>
    <xf numFmtId="166" fontId="18" fillId="0" borderId="113" xfId="1" applyNumberFormat="1" applyBorder="1" applyAlignment="1">
      <alignment horizontal="right"/>
    </xf>
    <xf numFmtId="166" fontId="18" fillId="0" borderId="104" xfId="1" applyNumberFormat="1" applyBorder="1" applyAlignment="1">
      <alignment horizontal="right"/>
    </xf>
    <xf numFmtId="166" fontId="18" fillId="0" borderId="0" xfId="1" applyNumberFormat="1" applyFill="1" applyBorder="1" applyAlignment="1">
      <alignment horizontal="right"/>
    </xf>
    <xf numFmtId="37" fontId="22" fillId="0" borderId="20" xfId="1" applyNumberFormat="1" applyFont="1" applyFill="1" applyBorder="1" applyAlignment="1">
      <alignment horizontal="right"/>
    </xf>
    <xf numFmtId="37" fontId="22" fillId="0" borderId="21" xfId="1" applyNumberFormat="1" applyFont="1" applyFill="1" applyBorder="1" applyAlignment="1">
      <alignment horizontal="right"/>
    </xf>
    <xf numFmtId="166" fontId="19" fillId="0" borderId="117" xfId="1" applyNumberFormat="1" applyFont="1" applyFill="1" applyBorder="1" applyAlignment="1">
      <alignment horizontal="right" vertical="center"/>
    </xf>
    <xf numFmtId="166" fontId="22" fillId="0" borderId="117" xfId="1" applyNumberFormat="1" applyFont="1" applyFill="1" applyBorder="1" applyAlignment="1">
      <alignment horizontal="right" vertical="center"/>
    </xf>
    <xf numFmtId="166" fontId="22" fillId="0" borderId="118" xfId="1" applyNumberFormat="1" applyFont="1" applyFill="1" applyBorder="1" applyAlignment="1">
      <alignment horizontal="right" vertical="center"/>
    </xf>
    <xf numFmtId="0" fontId="19" fillId="0" borderId="0" xfId="1" applyFont="1" applyFill="1" applyAlignment="1">
      <alignment vertical="center"/>
    </xf>
    <xf numFmtId="39" fontId="19" fillId="0" borderId="116" xfId="1" applyNumberFormat="1" applyFont="1" applyFill="1" applyBorder="1" applyAlignment="1">
      <alignment horizontal="right" vertical="center"/>
    </xf>
    <xf numFmtId="43" fontId="18" fillId="0" borderId="0" xfId="1" applyNumberFormat="1"/>
    <xf numFmtId="0" fontId="18" fillId="0" borderId="11" xfId="1" applyBorder="1"/>
    <xf numFmtId="43" fontId="18" fillId="0" borderId="11" xfId="1" applyNumberFormat="1" applyBorder="1"/>
    <xf numFmtId="0" fontId="18" fillId="0" borderId="12" xfId="1" applyBorder="1"/>
    <xf numFmtId="37" fontId="18" fillId="0" borderId="104" xfId="1" applyNumberFormat="1" applyBorder="1"/>
    <xf numFmtId="37" fontId="18" fillId="0" borderId="105" xfId="1" applyNumberFormat="1" applyBorder="1"/>
    <xf numFmtId="166" fontId="19" fillId="0" borderId="0" xfId="1" applyNumberFormat="1" applyFont="1" applyBorder="1" applyAlignment="1">
      <alignment horizontal="right"/>
    </xf>
    <xf numFmtId="166" fontId="19" fillId="0" borderId="14" xfId="1" applyNumberFormat="1" applyFont="1" applyBorder="1" applyAlignment="1">
      <alignment horizontal="right"/>
    </xf>
    <xf numFmtId="37" fontId="18" fillId="0" borderId="14" xfId="1" applyNumberFormat="1" applyBorder="1"/>
    <xf numFmtId="165" fontId="18" fillId="0" borderId="0" xfId="1" applyNumberFormat="1" applyBorder="1"/>
    <xf numFmtId="165" fontId="18" fillId="0" borderId="14" xfId="1" applyNumberFormat="1" applyBorder="1"/>
    <xf numFmtId="43" fontId="19" fillId="0" borderId="0" xfId="1" applyNumberFormat="1" applyFont="1"/>
    <xf numFmtId="0" fontId="18" fillId="0" borderId="21" xfId="1" applyBorder="1"/>
    <xf numFmtId="0" fontId="1" fillId="0" borderId="0" xfId="3"/>
    <xf numFmtId="9" fontId="18" fillId="0" borderId="0" xfId="1" applyNumberFormat="1"/>
    <xf numFmtId="0" fontId="0" fillId="0" borderId="0" xfId="0" applyFont="1"/>
    <xf numFmtId="37" fontId="22" fillId="37" borderId="0" xfId="1" applyNumberFormat="1" applyFont="1" applyFill="1" applyBorder="1" applyAlignment="1" applyProtection="1">
      <alignment horizontal="right"/>
      <protection locked="0"/>
    </xf>
    <xf numFmtId="166" fontId="22" fillId="37" borderId="0" xfId="1" applyNumberFormat="1" applyFont="1" applyFill="1" applyBorder="1" applyAlignment="1" applyProtection="1">
      <alignment horizontal="right"/>
      <protection locked="0"/>
    </xf>
    <xf numFmtId="166" fontId="22" fillId="37" borderId="114" xfId="1" applyNumberFormat="1" applyFont="1" applyFill="1" applyBorder="1" applyAlignment="1" applyProtection="1">
      <alignment horizontal="right"/>
      <protection locked="0"/>
    </xf>
    <xf numFmtId="166" fontId="22" fillId="37" borderId="130" xfId="1" applyNumberFormat="1" applyFont="1" applyFill="1" applyBorder="1" applyAlignment="1" applyProtection="1">
      <alignment horizontal="right"/>
      <protection locked="0"/>
    </xf>
    <xf numFmtId="166" fontId="22" fillId="37" borderId="105" xfId="1" applyNumberFormat="1" applyFont="1" applyFill="1" applyBorder="1" applyAlignment="1" applyProtection="1">
      <alignment horizontal="right"/>
      <protection locked="0"/>
    </xf>
    <xf numFmtId="166" fontId="22" fillId="37" borderId="75" xfId="1" applyNumberFormat="1" applyFont="1" applyFill="1" applyBorder="1" applyAlignment="1" applyProtection="1">
      <alignment horizontal="right"/>
      <protection locked="0"/>
    </xf>
    <xf numFmtId="10" fontId="22" fillId="37" borderId="114" xfId="1" applyNumberFormat="1" applyFont="1" applyFill="1" applyBorder="1" applyAlignment="1" applyProtection="1">
      <alignment horizontal="right"/>
      <protection locked="0"/>
    </xf>
    <xf numFmtId="10" fontId="22" fillId="37" borderId="130" xfId="1" applyNumberFormat="1" applyFont="1" applyFill="1" applyBorder="1" applyAlignment="1" applyProtection="1">
      <alignment horizontal="right"/>
      <protection locked="0"/>
    </xf>
    <xf numFmtId="10" fontId="22" fillId="37" borderId="105" xfId="1" applyNumberFormat="1" applyFont="1" applyFill="1" applyBorder="1" applyAlignment="1" applyProtection="1">
      <alignment horizontal="right"/>
      <protection locked="0"/>
    </xf>
    <xf numFmtId="37" fontId="22" fillId="37" borderId="130" xfId="1" applyNumberFormat="1" applyFont="1" applyFill="1" applyBorder="1" applyAlignment="1" applyProtection="1">
      <alignment horizontal="right"/>
      <protection locked="0"/>
    </xf>
    <xf numFmtId="164" fontId="22" fillId="33" borderId="60" xfId="2" applyNumberFormat="1" applyFont="1" applyFill="1" applyBorder="1" applyAlignment="1" applyProtection="1">
      <alignment horizontal="left" indent="2"/>
      <protection locked="0"/>
    </xf>
    <xf numFmtId="164" fontId="22" fillId="33" borderId="14" xfId="2" applyNumberFormat="1" applyFont="1" applyFill="1" applyBorder="1" applyAlignment="1" applyProtection="1">
      <alignment horizontal="left" indent="2"/>
      <protection locked="0"/>
    </xf>
    <xf numFmtId="164" fontId="22" fillId="33" borderId="61" xfId="2" applyNumberFormat="1" applyFont="1" applyFill="1" applyBorder="1" applyAlignment="1" applyProtection="1">
      <alignment horizontal="left" indent="2"/>
      <protection locked="0"/>
    </xf>
    <xf numFmtId="164" fontId="22" fillId="33" borderId="62" xfId="2" applyNumberFormat="1" applyFont="1" applyFill="1" applyBorder="1" applyAlignment="1" applyProtection="1">
      <alignment horizontal="left" indent="2"/>
      <protection locked="0"/>
    </xf>
    <xf numFmtId="164" fontId="18" fillId="0" borderId="74" xfId="2" applyNumberFormat="1" applyFont="1" applyFill="1" applyBorder="1" applyProtection="1">
      <protection locked="0"/>
    </xf>
    <xf numFmtId="164" fontId="18" fillId="0" borderId="0" xfId="2" applyNumberFormat="1" applyFont="1" applyFill="1" applyBorder="1" applyProtection="1">
      <protection locked="0"/>
    </xf>
    <xf numFmtId="164" fontId="18" fillId="0" borderId="75" xfId="2" applyNumberFormat="1" applyFont="1" applyFill="1" applyBorder="1" applyProtection="1">
      <protection locked="0"/>
    </xf>
    <xf numFmtId="164" fontId="18" fillId="0" borderId="81" xfId="2" applyNumberFormat="1" applyFont="1" applyFill="1" applyBorder="1" applyProtection="1">
      <protection locked="0"/>
    </xf>
    <xf numFmtId="164" fontId="18" fillId="0" borderId="107" xfId="2" applyNumberFormat="1" applyFont="1" applyFill="1" applyBorder="1" applyProtection="1">
      <protection locked="0"/>
    </xf>
    <xf numFmtId="164" fontId="18" fillId="0" borderId="109" xfId="2" applyNumberFormat="1" applyFont="1" applyFill="1" applyBorder="1" applyProtection="1">
      <protection locked="0"/>
    </xf>
    <xf numFmtId="164" fontId="26" fillId="33" borderId="131" xfId="2" applyNumberFormat="1" applyFont="1" applyFill="1" applyBorder="1" applyAlignment="1" applyProtection="1">
      <alignment horizontal="left" indent="2"/>
      <protection locked="0"/>
    </xf>
    <xf numFmtId="164" fontId="26" fillId="33" borderId="93" xfId="2" applyNumberFormat="1" applyFont="1" applyFill="1" applyBorder="1" applyAlignment="1" applyProtection="1">
      <alignment horizontal="left" indent="2"/>
      <protection locked="0"/>
    </xf>
    <xf numFmtId="164" fontId="22" fillId="0" borderId="33" xfId="2" applyNumberFormat="1" applyFont="1" applyFill="1" applyBorder="1" applyAlignment="1" applyProtection="1">
      <alignment horizontal="left" indent="2"/>
      <protection locked="0"/>
    </xf>
    <xf numFmtId="164" fontId="22" fillId="0" borderId="35" xfId="2" applyNumberFormat="1" applyFont="1" applyFill="1" applyBorder="1" applyAlignment="1" applyProtection="1">
      <alignment horizontal="left" indent="2"/>
      <protection locked="0"/>
    </xf>
    <xf numFmtId="164" fontId="22" fillId="0" borderId="41" xfId="2" applyNumberFormat="1" applyFont="1" applyFill="1" applyBorder="1" applyAlignment="1" applyProtection="1">
      <alignment horizontal="left" indent="2"/>
      <protection locked="0"/>
    </xf>
    <xf numFmtId="164" fontId="19" fillId="0" borderId="32" xfId="2" applyNumberFormat="1" applyFont="1" applyFill="1" applyBorder="1" applyAlignment="1" applyProtection="1">
      <alignment horizontal="left" indent="2"/>
      <protection locked="0"/>
    </xf>
    <xf numFmtId="164" fontId="19" fillId="0" borderId="33" xfId="2" applyNumberFormat="1" applyFont="1" applyBorder="1" applyAlignment="1" applyProtection="1">
      <alignment horizontal="left" indent="2"/>
      <protection locked="0"/>
    </xf>
    <xf numFmtId="164" fontId="19" fillId="0" borderId="33" xfId="2" applyNumberFormat="1" applyFont="1" applyFill="1" applyBorder="1" applyAlignment="1" applyProtection="1">
      <alignment horizontal="left" indent="2"/>
      <protection locked="0"/>
    </xf>
    <xf numFmtId="164" fontId="22" fillId="33" borderId="59" xfId="2" applyNumberFormat="1" applyFont="1" applyFill="1" applyBorder="1" applyAlignment="1" applyProtection="1">
      <alignment horizontal="right" indent="2"/>
      <protection locked="0"/>
    </xf>
    <xf numFmtId="164" fontId="22" fillId="33" borderId="133" xfId="2" applyNumberFormat="1" applyFont="1" applyFill="1" applyBorder="1" applyAlignment="1" applyProtection="1">
      <alignment horizontal="right" indent="2"/>
      <protection locked="0"/>
    </xf>
    <xf numFmtId="164" fontId="22" fillId="33" borderId="134" xfId="2" applyNumberFormat="1" applyFont="1" applyFill="1" applyBorder="1" applyAlignment="1" applyProtection="1">
      <alignment horizontal="right" indent="2"/>
      <protection locked="0"/>
    </xf>
    <xf numFmtId="164" fontId="22" fillId="33" borderId="60" xfId="2" applyNumberFormat="1" applyFont="1" applyFill="1" applyBorder="1" applyAlignment="1" applyProtection="1">
      <alignment horizontal="right" indent="2"/>
      <protection locked="0"/>
    </xf>
    <xf numFmtId="164" fontId="22" fillId="33" borderId="74" xfId="2" applyNumberFormat="1" applyFont="1" applyFill="1" applyBorder="1" applyAlignment="1" applyProtection="1">
      <alignment horizontal="right" indent="2"/>
      <protection locked="0"/>
    </xf>
    <xf numFmtId="164" fontId="22" fillId="33" borderId="75" xfId="2" applyNumberFormat="1" applyFont="1" applyFill="1" applyBorder="1" applyAlignment="1" applyProtection="1">
      <alignment horizontal="right" indent="2"/>
      <protection locked="0"/>
    </xf>
    <xf numFmtId="164" fontId="22" fillId="33" borderId="61" xfId="2" applyNumberFormat="1" applyFont="1" applyFill="1" applyBorder="1" applyAlignment="1" applyProtection="1">
      <alignment horizontal="right" indent="2"/>
      <protection locked="0"/>
    </xf>
    <xf numFmtId="164" fontId="22" fillId="33" borderId="100" xfId="2" applyNumberFormat="1" applyFont="1" applyFill="1" applyBorder="1" applyAlignment="1" applyProtection="1">
      <alignment horizontal="right" indent="2"/>
      <protection locked="0"/>
    </xf>
    <xf numFmtId="164" fontId="22" fillId="33" borderId="136" xfId="2" applyNumberFormat="1" applyFont="1" applyFill="1" applyBorder="1" applyAlignment="1" applyProtection="1">
      <alignment horizontal="right" indent="2"/>
      <protection locked="0"/>
    </xf>
    <xf numFmtId="164" fontId="25" fillId="0" borderId="81" xfId="2" applyNumberFormat="1" applyFont="1" applyFill="1" applyBorder="1" applyAlignment="1" applyProtection="1">
      <alignment horizontal="left" indent="2"/>
      <protection locked="0"/>
    </xf>
    <xf numFmtId="164" fontId="19" fillId="0" borderId="74" xfId="2" applyNumberFormat="1" applyFont="1" applyFill="1" applyBorder="1" applyAlignment="1" applyProtection="1">
      <alignment horizontal="left" indent="2"/>
      <protection locked="0"/>
    </xf>
    <xf numFmtId="164" fontId="19" fillId="0" borderId="75" xfId="2" applyNumberFormat="1" applyFont="1" applyFill="1" applyBorder="1" applyAlignment="1" applyProtection="1">
      <alignment horizontal="left" indent="2"/>
      <protection locked="0"/>
    </xf>
    <xf numFmtId="164" fontId="25" fillId="0" borderId="75" xfId="2" applyNumberFormat="1" applyFont="1" applyFill="1" applyBorder="1" applyAlignment="1" applyProtection="1">
      <alignment horizontal="left" indent="2"/>
      <protection locked="0"/>
    </xf>
    <xf numFmtId="164" fontId="26" fillId="33" borderId="134" xfId="2" applyNumberFormat="1" applyFont="1" applyFill="1" applyBorder="1" applyAlignment="1" applyProtection="1">
      <alignment horizontal="left" indent="2"/>
      <protection locked="0"/>
    </xf>
    <xf numFmtId="9" fontId="22" fillId="36" borderId="74" xfId="2" applyNumberFormat="1" applyFont="1" applyFill="1" applyBorder="1" applyAlignment="1" applyProtection="1">
      <alignment horizontal="center"/>
      <protection locked="0"/>
    </xf>
    <xf numFmtId="9" fontId="22" fillId="36" borderId="14" xfId="2" applyNumberFormat="1" applyFont="1" applyFill="1" applyBorder="1" applyAlignment="1" applyProtection="1">
      <alignment horizontal="center"/>
      <protection locked="0"/>
    </xf>
    <xf numFmtId="9" fontId="22" fillId="36" borderId="135" xfId="2" applyNumberFormat="1" applyFont="1" applyFill="1" applyBorder="1" applyAlignment="1" applyProtection="1">
      <alignment horizontal="center"/>
      <protection locked="0"/>
    </xf>
    <xf numFmtId="9" fontId="22" fillId="36" borderId="58" xfId="2" applyNumberFormat="1" applyFont="1" applyFill="1" applyBorder="1" applyAlignment="1" applyProtection="1">
      <alignment horizontal="center"/>
      <protection locked="0"/>
    </xf>
    <xf numFmtId="164" fontId="25" fillId="0" borderId="33" xfId="2" applyNumberFormat="1" applyFont="1" applyFill="1" applyBorder="1" applyAlignment="1" applyProtection="1">
      <alignment horizontal="right" indent="2"/>
      <protection locked="0"/>
    </xf>
    <xf numFmtId="164" fontId="25" fillId="0" borderId="74" xfId="2" applyNumberFormat="1" applyFont="1" applyFill="1" applyBorder="1" applyAlignment="1" applyProtection="1">
      <alignment horizontal="right" indent="2"/>
      <protection locked="0"/>
    </xf>
    <xf numFmtId="166" fontId="18" fillId="0" borderId="64" xfId="1" applyNumberFormat="1" applyBorder="1" applyAlignment="1">
      <alignment horizontal="right"/>
    </xf>
    <xf numFmtId="164" fontId="18" fillId="35" borderId="65" xfId="2" applyNumberFormat="1" applyFont="1" applyFill="1" applyBorder="1" applyProtection="1"/>
    <xf numFmtId="9" fontId="22" fillId="36" borderId="39" xfId="2" applyNumberFormat="1" applyFont="1" applyFill="1" applyBorder="1" applyAlignment="1" applyProtection="1">
      <alignment horizontal="center"/>
      <protection locked="0"/>
    </xf>
    <xf numFmtId="9" fontId="22" fillId="36" borderId="98" xfId="2" applyNumberFormat="1" applyFont="1" applyFill="1" applyBorder="1" applyAlignment="1" applyProtection="1">
      <alignment horizontal="center"/>
      <protection locked="0"/>
    </xf>
    <xf numFmtId="9" fontId="22" fillId="36" borderId="17" xfId="2" applyNumberFormat="1" applyFont="1" applyFill="1" applyBorder="1" applyAlignment="1" applyProtection="1">
      <alignment horizontal="center"/>
      <protection locked="0"/>
    </xf>
    <xf numFmtId="0" fontId="21" fillId="0" borderId="10" xfId="1" applyFont="1" applyFill="1" applyBorder="1" applyProtection="1"/>
    <xf numFmtId="0" fontId="21" fillId="0" borderId="13" xfId="1" applyFont="1" applyFill="1" applyBorder="1" applyProtection="1"/>
    <xf numFmtId="0" fontId="21" fillId="0" borderId="19" xfId="1" applyFont="1" applyFill="1" applyBorder="1" applyProtection="1"/>
    <xf numFmtId="0" fontId="18" fillId="0" borderId="11" xfId="1" applyFill="1" applyBorder="1" applyProtection="1"/>
    <xf numFmtId="164" fontId="20" fillId="0" borderId="11" xfId="2" applyNumberFormat="1" applyFont="1" applyFill="1" applyBorder="1" applyAlignment="1" applyProtection="1">
      <alignment horizontal="centerContinuous"/>
    </xf>
    <xf numFmtId="0" fontId="18" fillId="0" borderId="0" xfId="1" applyFill="1" applyBorder="1" applyProtection="1"/>
    <xf numFmtId="164" fontId="20" fillId="0" borderId="0" xfId="2" applyNumberFormat="1" applyFont="1" applyFill="1" applyBorder="1" applyAlignment="1" applyProtection="1">
      <alignment horizontal="centerContinuous"/>
    </xf>
    <xf numFmtId="0" fontId="18" fillId="0" borderId="20" xfId="1" applyFill="1" applyBorder="1" applyProtection="1"/>
    <xf numFmtId="0" fontId="19" fillId="0" borderId="20" xfId="1" applyFont="1" applyFill="1" applyBorder="1" applyAlignment="1" applyProtection="1">
      <alignment horizontal="center"/>
    </xf>
    <xf numFmtId="164" fontId="20" fillId="0" borderId="12" xfId="2" applyNumberFormat="1" applyFont="1" applyFill="1" applyBorder="1" applyAlignment="1" applyProtection="1">
      <alignment horizontal="centerContinuous"/>
    </xf>
    <xf numFmtId="164" fontId="20" fillId="0" borderId="14" xfId="2" applyNumberFormat="1" applyFont="1" applyFill="1" applyBorder="1" applyAlignment="1" applyProtection="1">
      <alignment horizontal="centerContinuous"/>
    </xf>
    <xf numFmtId="0" fontId="19" fillId="0" borderId="21" xfId="1" applyFont="1" applyFill="1" applyBorder="1" applyAlignment="1" applyProtection="1">
      <alignment horizontal="center"/>
    </xf>
    <xf numFmtId="164" fontId="20" fillId="0" borderId="10" xfId="2" applyNumberFormat="1" applyFont="1" applyFill="1" applyBorder="1" applyAlignment="1" applyProtection="1">
      <alignment horizontal="centerContinuous"/>
    </xf>
    <xf numFmtId="0" fontId="19" fillId="0" borderId="13" xfId="2" applyNumberFormat="1" applyFont="1" applyFill="1" applyBorder="1" applyAlignment="1" applyProtection="1">
      <alignment horizontal="center"/>
    </xf>
    <xf numFmtId="0" fontId="19" fillId="0" borderId="0" xfId="2" applyNumberFormat="1" applyFont="1" applyFill="1" applyBorder="1" applyAlignment="1" applyProtection="1">
      <alignment horizontal="center"/>
    </xf>
    <xf numFmtId="164" fontId="20" fillId="0" borderId="11" xfId="2" applyNumberFormat="1" applyFont="1" applyFill="1" applyBorder="1" applyAlignment="1" applyProtection="1"/>
    <xf numFmtId="0" fontId="19" fillId="0" borderId="19" xfId="1" applyFont="1" applyFill="1" applyBorder="1" applyAlignment="1" applyProtection="1">
      <alignment horizontal="center"/>
    </xf>
    <xf numFmtId="0" fontId="18" fillId="0" borderId="25" xfId="1" applyBorder="1" applyProtection="1"/>
    <xf numFmtId="0" fontId="18" fillId="0" borderId="26" xfId="1" applyBorder="1" applyProtection="1"/>
    <xf numFmtId="0" fontId="18" fillId="0" borderId="31" xfId="1" applyBorder="1" applyProtection="1"/>
    <xf numFmtId="0" fontId="18" fillId="0" borderId="32" xfId="1" applyBorder="1" applyProtection="1"/>
    <xf numFmtId="0" fontId="19" fillId="34" borderId="42" xfId="1" applyFont="1" applyFill="1" applyBorder="1" applyProtection="1"/>
    <xf numFmtId="0" fontId="18" fillId="34" borderId="43" xfId="1" applyFill="1" applyBorder="1" applyProtection="1"/>
    <xf numFmtId="0" fontId="18" fillId="0" borderId="13" xfId="1" applyFont="1" applyBorder="1" applyProtection="1"/>
    <xf numFmtId="0" fontId="0" fillId="0" borderId="32" xfId="1" applyFont="1" applyBorder="1" applyProtection="1"/>
    <xf numFmtId="0" fontId="18" fillId="0" borderId="13" xfId="1" applyBorder="1" applyProtection="1"/>
    <xf numFmtId="0" fontId="0" fillId="0" borderId="0" xfId="1" applyFont="1" applyBorder="1" applyProtection="1"/>
    <xf numFmtId="0" fontId="18" fillId="0" borderId="0" xfId="1" applyBorder="1" applyProtection="1"/>
    <xf numFmtId="0" fontId="19" fillId="0" borderId="49" xfId="1" applyFont="1" applyFill="1" applyBorder="1" applyProtection="1"/>
    <xf numFmtId="0" fontId="18" fillId="0" borderId="50" xfId="1" applyFill="1" applyBorder="1" applyProtection="1"/>
    <xf numFmtId="0" fontId="19" fillId="0" borderId="13" xfId="1" applyFont="1" applyFill="1" applyBorder="1" applyProtection="1"/>
    <xf numFmtId="0" fontId="18" fillId="0" borderId="31" xfId="1" applyFont="1" applyBorder="1" applyProtection="1"/>
    <xf numFmtId="0" fontId="19" fillId="0" borderId="31" xfId="1" applyFont="1" applyBorder="1" applyProtection="1"/>
    <xf numFmtId="0" fontId="19" fillId="0" borderId="32" xfId="1" applyFont="1" applyBorder="1" applyProtection="1"/>
    <xf numFmtId="0" fontId="18" fillId="0" borderId="32" xfId="1" applyFont="1" applyBorder="1" applyProtection="1"/>
    <xf numFmtId="0" fontId="19" fillId="0" borderId="49" xfId="1" applyFont="1" applyBorder="1" applyProtection="1"/>
    <xf numFmtId="0" fontId="18" fillId="0" borderId="50" xfId="1" applyBorder="1" applyProtection="1"/>
    <xf numFmtId="0" fontId="18" fillId="0" borderId="50" xfId="1" applyFont="1" applyBorder="1" applyProtection="1"/>
    <xf numFmtId="0" fontId="18" fillId="0" borderId="67" xfId="1" applyBorder="1" applyProtection="1"/>
    <xf numFmtId="0" fontId="18" fillId="0" borderId="68" xfId="1" applyBorder="1" applyProtection="1"/>
    <xf numFmtId="0" fontId="18" fillId="0" borderId="68" xfId="1" applyFont="1" applyBorder="1" applyProtection="1"/>
    <xf numFmtId="0" fontId="18" fillId="0" borderId="0" xfId="1" applyFont="1" applyBorder="1" applyProtection="1"/>
    <xf numFmtId="0" fontId="19" fillId="0" borderId="22" xfId="1" applyFont="1" applyBorder="1" applyProtection="1"/>
    <xf numFmtId="0" fontId="18" fillId="0" borderId="23" xfId="1" applyFont="1" applyBorder="1" applyProtection="1"/>
    <xf numFmtId="0" fontId="19" fillId="0" borderId="13" xfId="1" applyFont="1" applyBorder="1" applyProtection="1"/>
    <xf numFmtId="0" fontId="18" fillId="0" borderId="76" xfId="1" applyBorder="1" applyProtection="1"/>
    <xf numFmtId="0" fontId="18" fillId="0" borderId="77" xfId="1" applyFont="1" applyBorder="1" applyProtection="1"/>
    <xf numFmtId="0" fontId="19" fillId="34" borderId="43" xfId="1" applyFont="1" applyFill="1" applyBorder="1" applyProtection="1"/>
    <xf numFmtId="0" fontId="18" fillId="0" borderId="85" xfId="1" applyFont="1" applyBorder="1" applyProtection="1"/>
    <xf numFmtId="0" fontId="18" fillId="36" borderId="90" xfId="1" applyFont="1" applyFill="1" applyBorder="1" applyProtection="1"/>
    <xf numFmtId="0" fontId="18" fillId="36" borderId="91" xfId="1" applyFont="1" applyFill="1" applyBorder="1" applyProtection="1"/>
    <xf numFmtId="0" fontId="18" fillId="36" borderId="140" xfId="1" applyFont="1" applyFill="1" applyBorder="1" applyProtection="1"/>
    <xf numFmtId="0" fontId="18" fillId="36" borderId="0" xfId="1" applyFont="1" applyFill="1" applyBorder="1" applyProtection="1"/>
    <xf numFmtId="0" fontId="18" fillId="36" borderId="138" xfId="1" applyFont="1" applyFill="1" applyBorder="1" applyProtection="1"/>
    <xf numFmtId="0" fontId="18" fillId="36" borderId="139" xfId="1" applyFont="1" applyFill="1" applyBorder="1" applyProtection="1"/>
    <xf numFmtId="0" fontId="18" fillId="0" borderId="26" xfId="1" applyFont="1" applyBorder="1" applyProtection="1"/>
    <xf numFmtId="0" fontId="0" fillId="0" borderId="32" xfId="1" applyFont="1" applyFill="1" applyBorder="1" applyProtection="1"/>
    <xf numFmtId="0" fontId="18" fillId="36" borderId="86" xfId="1" applyFont="1" applyFill="1" applyBorder="1" applyProtection="1"/>
    <xf numFmtId="0" fontId="18" fillId="36" borderId="87" xfId="1" applyFont="1" applyFill="1" applyBorder="1" applyProtection="1"/>
    <xf numFmtId="0" fontId="0" fillId="36" borderId="86" xfId="1" applyFont="1" applyFill="1" applyBorder="1" applyProtection="1"/>
    <xf numFmtId="0" fontId="19" fillId="36" borderId="94" xfId="1" applyFont="1" applyFill="1" applyBorder="1" applyProtection="1"/>
    <xf numFmtId="0" fontId="18" fillId="36" borderId="32" xfId="1" applyFont="1" applyFill="1" applyBorder="1" applyProtection="1"/>
    <xf numFmtId="0" fontId="18" fillId="36" borderId="95" xfId="1" applyFont="1" applyFill="1" applyBorder="1" applyProtection="1"/>
    <xf numFmtId="0" fontId="18" fillId="36" borderId="50" xfId="1" applyFont="1" applyFill="1" applyBorder="1" applyProtection="1"/>
    <xf numFmtId="0" fontId="19" fillId="0" borderId="15" xfId="1" applyFont="1" applyBorder="1" applyProtection="1"/>
    <xf numFmtId="0" fontId="19" fillId="0" borderId="16" xfId="1" applyFont="1" applyBorder="1" applyProtection="1"/>
    <xf numFmtId="0" fontId="19" fillId="0" borderId="0" xfId="1" applyFont="1" applyBorder="1" applyProtection="1"/>
    <xf numFmtId="0" fontId="73" fillId="34" borderId="42" xfId="1" applyFont="1" applyFill="1" applyBorder="1" applyProtection="1"/>
    <xf numFmtId="0" fontId="73" fillId="34" borderId="43" xfId="1" applyFont="1" applyFill="1" applyBorder="1" applyProtection="1"/>
    <xf numFmtId="0" fontId="74" fillId="34" borderId="43" xfId="1" applyFont="1" applyFill="1" applyBorder="1" applyProtection="1"/>
    <xf numFmtId="0" fontId="73" fillId="34" borderId="101" xfId="1" applyFont="1" applyFill="1" applyBorder="1" applyProtection="1"/>
    <xf numFmtId="0" fontId="19" fillId="34" borderId="102" xfId="1" applyFont="1" applyFill="1" applyBorder="1" applyProtection="1"/>
    <xf numFmtId="0" fontId="18" fillId="34" borderId="102" xfId="1" applyFill="1" applyBorder="1" applyProtection="1"/>
    <xf numFmtId="0" fontId="19" fillId="0" borderId="10" xfId="1" applyFont="1" applyBorder="1" applyProtection="1"/>
    <xf numFmtId="0" fontId="18" fillId="0" borderId="11" xfId="1" applyFont="1" applyBorder="1" applyProtection="1"/>
    <xf numFmtId="0" fontId="19" fillId="0" borderId="47" xfId="1" applyFont="1" applyBorder="1" applyProtection="1"/>
    <xf numFmtId="0" fontId="18" fillId="0" borderId="104" xfId="1" applyFont="1" applyBorder="1" applyProtection="1"/>
    <xf numFmtId="0" fontId="19" fillId="0" borderId="106" xfId="1" applyFont="1" applyBorder="1" applyProtection="1"/>
    <xf numFmtId="0" fontId="19" fillId="33" borderId="18" xfId="1" applyFont="1" applyFill="1" applyBorder="1" applyProtection="1"/>
    <xf numFmtId="0" fontId="18" fillId="33" borderId="16" xfId="1" applyFont="1" applyFill="1" applyBorder="1" applyProtection="1"/>
    <xf numFmtId="0" fontId="0" fillId="0" borderId="13" xfId="1" applyFont="1" applyBorder="1" applyProtection="1"/>
    <xf numFmtId="0" fontId="18" fillId="0" borderId="107" xfId="1" applyFont="1" applyBorder="1" applyProtection="1"/>
    <xf numFmtId="0" fontId="18" fillId="0" borderId="108" xfId="1" applyFont="1" applyBorder="1" applyProtection="1"/>
    <xf numFmtId="0" fontId="19" fillId="37" borderId="13" xfId="1" applyFont="1" applyFill="1" applyBorder="1" applyProtection="1"/>
    <xf numFmtId="0" fontId="19" fillId="37" borderId="0" xfId="1" applyFont="1" applyFill="1" applyBorder="1" applyProtection="1"/>
    <xf numFmtId="0" fontId="19" fillId="37" borderId="107" xfId="1" applyFont="1" applyFill="1" applyBorder="1" applyProtection="1"/>
    <xf numFmtId="0" fontId="18" fillId="37" borderId="108" xfId="1" applyFont="1" applyFill="1" applyBorder="1" applyProtection="1"/>
    <xf numFmtId="0" fontId="19" fillId="0" borderId="107" xfId="1" applyFont="1" applyBorder="1" applyProtection="1"/>
    <xf numFmtId="0" fontId="0" fillId="0" borderId="13" xfId="3" applyFont="1" applyBorder="1" applyProtection="1"/>
    <xf numFmtId="0" fontId="18" fillId="0" borderId="13" xfId="3" applyFont="1" applyBorder="1" applyProtection="1"/>
    <xf numFmtId="0" fontId="18" fillId="0" borderId="13" xfId="3" applyFont="1" applyFill="1" applyBorder="1" applyProtection="1"/>
    <xf numFmtId="0" fontId="19" fillId="0" borderId="107" xfId="3" applyFont="1" applyBorder="1" applyProtection="1"/>
    <xf numFmtId="0" fontId="18" fillId="0" borderId="19" xfId="3" applyFont="1" applyFill="1" applyBorder="1" applyProtection="1"/>
    <xf numFmtId="0" fontId="18" fillId="0" borderId="20" xfId="1" applyBorder="1" applyProtection="1"/>
    <xf numFmtId="0" fontId="19" fillId="0" borderId="13" xfId="3" applyFont="1" applyBorder="1" applyProtection="1"/>
    <xf numFmtId="0" fontId="19" fillId="0" borderId="63" xfId="3" applyFont="1" applyBorder="1" applyProtection="1"/>
    <xf numFmtId="0" fontId="18" fillId="0" borderId="113" xfId="1" applyFont="1" applyBorder="1" applyProtection="1"/>
    <xf numFmtId="0" fontId="18" fillId="0" borderId="63" xfId="3" applyFont="1" applyFill="1" applyBorder="1" applyProtection="1"/>
    <xf numFmtId="0" fontId="18" fillId="0" borderId="113" xfId="1" applyBorder="1" applyProtection="1"/>
    <xf numFmtId="0" fontId="19" fillId="0" borderId="13" xfId="3" applyFont="1" applyFill="1" applyBorder="1" applyProtection="1"/>
    <xf numFmtId="0" fontId="18" fillId="0" borderId="106" xfId="3" applyFont="1" applyFill="1" applyBorder="1" applyProtection="1"/>
    <xf numFmtId="0" fontId="18" fillId="0" borderId="104" xfId="1" applyBorder="1" applyProtection="1"/>
    <xf numFmtId="0" fontId="19" fillId="0" borderId="116" xfId="3" applyFont="1" applyFill="1" applyBorder="1" applyAlignment="1" applyProtection="1">
      <alignment vertical="center"/>
    </xf>
    <xf numFmtId="0" fontId="19" fillId="0" borderId="117" xfId="1" applyFont="1" applyFill="1" applyBorder="1" applyAlignment="1" applyProtection="1">
      <alignment vertical="center"/>
    </xf>
    <xf numFmtId="0" fontId="18" fillId="0" borderId="0" xfId="1" applyProtection="1"/>
    <xf numFmtId="0" fontId="18" fillId="0" borderId="11" xfId="1" applyBorder="1" applyProtection="1"/>
    <xf numFmtId="0" fontId="18" fillId="0" borderId="106" xfId="1" applyBorder="1" applyProtection="1"/>
    <xf numFmtId="0" fontId="18" fillId="0" borderId="63" xfId="1" applyBorder="1" applyProtection="1"/>
    <xf numFmtId="0" fontId="18" fillId="0" borderId="19" xfId="1" applyBorder="1" applyProtection="1"/>
    <xf numFmtId="164" fontId="19" fillId="34" borderId="44" xfId="2" applyNumberFormat="1" applyFont="1" applyFill="1" applyBorder="1" applyProtection="1"/>
    <xf numFmtId="164" fontId="19" fillId="34" borderId="45" xfId="2" applyNumberFormat="1" applyFont="1" applyFill="1" applyBorder="1" applyProtection="1"/>
    <xf numFmtId="164" fontId="19" fillId="34" borderId="46" xfId="2" applyNumberFormat="1" applyFont="1" applyFill="1" applyBorder="1" applyProtection="1"/>
    <xf numFmtId="164" fontId="19" fillId="34" borderId="43" xfId="2" applyNumberFormat="1" applyFont="1" applyFill="1" applyBorder="1" applyProtection="1"/>
    <xf numFmtId="0" fontId="19" fillId="0" borderId="23" xfId="1" applyFont="1" applyFill="1" applyBorder="1" applyAlignment="1" applyProtection="1">
      <alignment horizontal="center"/>
    </xf>
    <xf numFmtId="164" fontId="25" fillId="0" borderId="26" xfId="2" applyNumberFormat="1" applyFont="1" applyFill="1" applyBorder="1" applyAlignment="1" applyProtection="1">
      <alignment horizontal="left" indent="2"/>
    </xf>
    <xf numFmtId="164" fontId="18" fillId="0" borderId="32" xfId="2" applyNumberFormat="1" applyFont="1" applyFill="1" applyBorder="1" applyAlignment="1" applyProtection="1">
      <alignment horizontal="left" indent="2"/>
    </xf>
    <xf numFmtId="164" fontId="18" fillId="0" borderId="0" xfId="2" applyNumberFormat="1" applyFont="1" applyFill="1" applyBorder="1" applyAlignment="1" applyProtection="1">
      <alignment horizontal="left" indent="2"/>
    </xf>
    <xf numFmtId="164" fontId="18" fillId="0" borderId="32" xfId="2" applyNumberFormat="1" applyFont="1" applyBorder="1" applyAlignment="1" applyProtection="1">
      <alignment horizontal="left" indent="2"/>
    </xf>
    <xf numFmtId="164" fontId="18" fillId="0" borderId="68" xfId="2" applyNumberFormat="1" applyFont="1" applyFill="1" applyBorder="1" applyAlignment="1" applyProtection="1">
      <alignment horizontal="left" indent="2"/>
    </xf>
    <xf numFmtId="164" fontId="18" fillId="0" borderId="74" xfId="2" applyNumberFormat="1" applyFont="1" applyFill="1" applyBorder="1" applyAlignment="1" applyProtection="1">
      <alignment horizontal="left" indent="2"/>
    </xf>
    <xf numFmtId="164" fontId="18" fillId="0" borderId="85" xfId="2" applyNumberFormat="1" applyFont="1" applyFill="1" applyBorder="1" applyAlignment="1" applyProtection="1">
      <alignment horizontal="left" indent="2"/>
    </xf>
    <xf numFmtId="164" fontId="19" fillId="0" borderId="0" xfId="2" applyNumberFormat="1" applyFont="1" applyFill="1" applyBorder="1" applyProtection="1"/>
    <xf numFmtId="2" fontId="18" fillId="0" borderId="0" xfId="1" applyNumberFormat="1" applyFont="1" applyBorder="1" applyProtection="1"/>
    <xf numFmtId="2" fontId="18" fillId="0" borderId="11" xfId="1" applyNumberFormat="1" applyFont="1" applyBorder="1" applyProtection="1"/>
    <xf numFmtId="2" fontId="18" fillId="0" borderId="104" xfId="1" applyNumberFormat="1" applyFont="1" applyBorder="1" applyProtection="1"/>
    <xf numFmtId="37" fontId="18" fillId="0" borderId="0" xfId="1" applyNumberFormat="1" applyFont="1" applyBorder="1" applyAlignment="1" applyProtection="1">
      <alignment horizontal="right"/>
    </xf>
    <xf numFmtId="37" fontId="22" fillId="0" borderId="104" xfId="1" applyNumberFormat="1" applyFont="1" applyBorder="1" applyAlignment="1" applyProtection="1">
      <alignment horizontal="right"/>
    </xf>
    <xf numFmtId="2" fontId="19" fillId="0" borderId="0" xfId="1" applyNumberFormat="1" applyFont="1" applyBorder="1" applyProtection="1"/>
    <xf numFmtId="2" fontId="18" fillId="0" borderId="108" xfId="1" applyNumberFormat="1" applyFont="1" applyBorder="1" applyProtection="1"/>
    <xf numFmtId="0" fontId="19" fillId="0" borderId="0" xfId="1" applyFont="1" applyFill="1" applyAlignment="1" applyProtection="1">
      <alignment vertical="center"/>
    </xf>
    <xf numFmtId="0" fontId="1" fillId="0" borderId="0" xfId="3" applyProtection="1"/>
    <xf numFmtId="164" fontId="19" fillId="34" borderId="137" xfId="2" applyNumberFormat="1" applyFont="1" applyFill="1" applyBorder="1" applyProtection="1"/>
    <xf numFmtId="164" fontId="19" fillId="0" borderId="33" xfId="2" applyNumberFormat="1" applyFont="1" applyBorder="1" applyAlignment="1" applyProtection="1">
      <alignment horizontal="left" indent="2"/>
    </xf>
    <xf numFmtId="164" fontId="19" fillId="0" borderId="33" xfId="2" applyNumberFormat="1" applyFont="1" applyFill="1" applyBorder="1" applyAlignment="1" applyProtection="1">
      <alignment horizontal="left" indent="2"/>
    </xf>
    <xf numFmtId="164" fontId="19" fillId="0" borderId="27" xfId="2" applyNumberFormat="1" applyFont="1" applyFill="1" applyBorder="1" applyAlignment="1" applyProtection="1">
      <alignment horizontal="left" indent="2"/>
    </xf>
    <xf numFmtId="164" fontId="19" fillId="0" borderId="132" xfId="2" applyNumberFormat="1" applyFont="1" applyFill="1" applyBorder="1" applyAlignment="1" applyProtection="1">
      <alignment horizontal="left" indent="2"/>
    </xf>
    <xf numFmtId="164" fontId="18" fillId="0" borderId="35" xfId="2" applyNumberFormat="1" applyFont="1" applyFill="1" applyBorder="1" applyAlignment="1" applyProtection="1">
      <alignment horizontal="left" indent="2"/>
    </xf>
    <xf numFmtId="164" fontId="18" fillId="0" borderId="34" xfId="2" applyNumberFormat="1" applyFont="1" applyFill="1" applyBorder="1" applyAlignment="1" applyProtection="1">
      <alignment horizontal="left" indent="2"/>
    </xf>
    <xf numFmtId="164" fontId="18" fillId="0" borderId="81" xfId="2" applyNumberFormat="1" applyFont="1" applyFill="1" applyBorder="1" applyAlignment="1" applyProtection="1">
      <alignment horizontal="left" indent="2"/>
    </xf>
    <xf numFmtId="164" fontId="18" fillId="0" borderId="14" xfId="2" applyNumberFormat="1" applyFont="1" applyFill="1" applyBorder="1" applyAlignment="1" applyProtection="1">
      <alignment horizontal="left" indent="2"/>
    </xf>
    <xf numFmtId="164" fontId="18" fillId="0" borderId="13" xfId="2" applyNumberFormat="1" applyFont="1" applyFill="1" applyBorder="1" applyAlignment="1" applyProtection="1">
      <alignment horizontal="left" indent="2"/>
    </xf>
    <xf numFmtId="164" fontId="25" fillId="0" borderId="13" xfId="2" applyNumberFormat="1" applyFont="1" applyFill="1" applyBorder="1" applyAlignment="1" applyProtection="1">
      <alignment horizontal="left" indent="2"/>
    </xf>
    <xf numFmtId="164" fontId="18" fillId="0" borderId="21" xfId="2" applyNumberFormat="1" applyFont="1" applyFill="1" applyBorder="1" applyAlignment="1" applyProtection="1">
      <alignment horizontal="left" indent="2"/>
    </xf>
    <xf numFmtId="164" fontId="18" fillId="0" borderId="80" xfId="2" applyNumberFormat="1" applyFont="1" applyFill="1" applyBorder="1" applyAlignment="1" applyProtection="1">
      <alignment horizontal="left" indent="2"/>
    </xf>
    <xf numFmtId="164" fontId="18" fillId="0" borderId="79" xfId="2" applyNumberFormat="1" applyFont="1" applyFill="1" applyBorder="1" applyAlignment="1" applyProtection="1">
      <alignment horizontal="left" indent="2"/>
    </xf>
    <xf numFmtId="164" fontId="18" fillId="0" borderId="35" xfId="2" applyNumberFormat="1" applyFont="1" applyBorder="1" applyAlignment="1" applyProtection="1">
      <alignment horizontal="left" indent="2"/>
    </xf>
    <xf numFmtId="164" fontId="18" fillId="0" borderId="34" xfId="2" applyNumberFormat="1" applyFont="1" applyBorder="1" applyAlignment="1" applyProtection="1">
      <alignment horizontal="left" indent="2"/>
    </xf>
    <xf numFmtId="164" fontId="18" fillId="0" borderId="81" xfId="2" applyNumberFormat="1" applyFont="1" applyBorder="1" applyAlignment="1" applyProtection="1">
      <alignment horizontal="left" indent="2"/>
    </xf>
    <xf numFmtId="164" fontId="18" fillId="0" borderId="14" xfId="2" applyNumberFormat="1" applyFont="1" applyBorder="1" applyAlignment="1" applyProtection="1">
      <alignment horizontal="left" indent="2"/>
    </xf>
    <xf numFmtId="164" fontId="19" fillId="34" borderId="82" xfId="2" applyNumberFormat="1" applyFont="1" applyFill="1" applyBorder="1" applyProtection="1"/>
    <xf numFmtId="164" fontId="19" fillId="34" borderId="84" xfId="2" applyNumberFormat="1" applyFont="1" applyFill="1" applyBorder="1" applyProtection="1"/>
    <xf numFmtId="164" fontId="18" fillId="0" borderId="78" xfId="2" applyNumberFormat="1" applyFont="1" applyFill="1" applyBorder="1" applyAlignment="1" applyProtection="1">
      <alignment horizontal="left" indent="2"/>
    </xf>
    <xf numFmtId="164" fontId="18" fillId="0" borderId="33" xfId="2" applyNumberFormat="1" applyFont="1" applyFill="1" applyBorder="1" applyAlignment="1" applyProtection="1">
      <alignment horizontal="left" indent="2"/>
    </xf>
    <xf numFmtId="164" fontId="18" fillId="0" borderId="33" xfId="2" applyNumberFormat="1" applyFont="1" applyBorder="1" applyAlignment="1" applyProtection="1">
      <alignment horizontal="left" indent="2"/>
    </xf>
    <xf numFmtId="164" fontId="18" fillId="0" borderId="74" xfId="2" applyNumberFormat="1" applyFont="1" applyBorder="1" applyAlignment="1" applyProtection="1">
      <alignment horizontal="left" indent="2"/>
    </xf>
    <xf numFmtId="164" fontId="19" fillId="34" borderId="83" xfId="2" applyNumberFormat="1" applyFont="1" applyFill="1" applyBorder="1" applyProtection="1"/>
    <xf numFmtId="164" fontId="18" fillId="0" borderId="65" xfId="2" applyNumberFormat="1" applyFont="1" applyFill="1" applyBorder="1" applyAlignment="1" applyProtection="1">
      <alignment horizontal="left" indent="2"/>
    </xf>
    <xf numFmtId="164" fontId="25" fillId="0" borderId="74" xfId="2" applyNumberFormat="1" applyFont="1" applyBorder="1" applyAlignment="1" applyProtection="1">
      <alignment horizontal="left" indent="2"/>
    </xf>
    <xf numFmtId="164" fontId="25" fillId="0" borderId="74" xfId="2" applyNumberFormat="1" applyFont="1" applyFill="1" applyBorder="1" applyAlignment="1" applyProtection="1">
      <alignment horizontal="left" indent="2"/>
    </xf>
    <xf numFmtId="164" fontId="18" fillId="0" borderId="23" xfId="2" applyNumberFormat="1" applyFont="1" applyBorder="1" applyAlignment="1" applyProtection="1">
      <alignment horizontal="left" indent="2"/>
    </xf>
    <xf numFmtId="164" fontId="18" fillId="0" borderId="23" xfId="2" applyNumberFormat="1" applyFont="1" applyFill="1" applyBorder="1" applyAlignment="1" applyProtection="1">
      <alignment horizontal="left" indent="2"/>
    </xf>
    <xf numFmtId="164" fontId="18" fillId="0" borderId="24" xfId="2" applyNumberFormat="1" applyFont="1" applyFill="1" applyBorder="1" applyAlignment="1" applyProtection="1">
      <alignment horizontal="left" indent="2"/>
    </xf>
    <xf numFmtId="164" fontId="18" fillId="0" borderId="22" xfId="2" applyNumberFormat="1" applyFont="1" applyBorder="1" applyAlignment="1" applyProtection="1">
      <alignment horizontal="left" indent="2"/>
    </xf>
    <xf numFmtId="164" fontId="18" fillId="0" borderId="24" xfId="2" applyNumberFormat="1" applyFont="1" applyBorder="1" applyAlignment="1" applyProtection="1">
      <alignment horizontal="left" indent="2"/>
    </xf>
    <xf numFmtId="164" fontId="18" fillId="0" borderId="0" xfId="2" applyNumberFormat="1" applyFont="1" applyBorder="1" applyAlignment="1" applyProtection="1">
      <alignment horizontal="left" indent="2"/>
    </xf>
    <xf numFmtId="164" fontId="18" fillId="0" borderId="75" xfId="2" applyNumberFormat="1" applyFont="1" applyFill="1" applyBorder="1" applyAlignment="1" applyProtection="1">
      <alignment horizontal="left" indent="2"/>
    </xf>
    <xf numFmtId="164" fontId="18" fillId="0" borderId="13" xfId="2" applyNumberFormat="1" applyFont="1" applyBorder="1" applyAlignment="1" applyProtection="1">
      <alignment horizontal="left" indent="2"/>
    </xf>
    <xf numFmtId="164" fontId="18" fillId="0" borderId="75" xfId="2" applyNumberFormat="1" applyFont="1" applyBorder="1" applyAlignment="1" applyProtection="1">
      <alignment horizontal="left" indent="2"/>
    </xf>
    <xf numFmtId="164" fontId="18" fillId="0" borderId="27" xfId="2" applyNumberFormat="1" applyFont="1" applyBorder="1" applyAlignment="1" applyProtection="1">
      <alignment horizontal="left" indent="2"/>
    </xf>
    <xf numFmtId="164" fontId="18" fillId="0" borderId="27" xfId="2" applyNumberFormat="1" applyFont="1" applyFill="1" applyBorder="1" applyAlignment="1" applyProtection="1">
      <alignment horizontal="left" indent="2"/>
    </xf>
    <xf numFmtId="164" fontId="18" fillId="0" borderId="28" xfId="2" applyNumberFormat="1" applyFont="1" applyFill="1" applyBorder="1" applyAlignment="1" applyProtection="1">
      <alignment horizontal="left" indent="2"/>
    </xf>
    <xf numFmtId="37" fontId="18" fillId="0" borderId="33" xfId="2" applyNumberFormat="1" applyFont="1" applyFill="1" applyBorder="1" applyAlignment="1" applyProtection="1"/>
    <xf numFmtId="164" fontId="19" fillId="34" borderId="44" xfId="2" applyNumberFormat="1" applyFont="1" applyFill="1" applyBorder="1" applyAlignment="1" applyProtection="1">
      <alignment horizontal="right"/>
    </xf>
    <xf numFmtId="164" fontId="19" fillId="34" borderId="45" xfId="2" applyNumberFormat="1" applyFont="1" applyFill="1" applyBorder="1" applyAlignment="1" applyProtection="1">
      <alignment horizontal="right"/>
    </xf>
    <xf numFmtId="164" fontId="18" fillId="0" borderId="37" xfId="2" applyNumberFormat="1" applyFont="1" applyBorder="1" applyAlignment="1" applyProtection="1">
      <alignment horizontal="left" indent="2"/>
    </xf>
    <xf numFmtId="164" fontId="18" fillId="0" borderId="37" xfId="2" applyNumberFormat="1" applyFont="1" applyFill="1" applyBorder="1" applyAlignment="1" applyProtection="1">
      <alignment horizontal="left" indent="2"/>
    </xf>
    <xf numFmtId="164" fontId="18" fillId="0" borderId="38" xfId="2" applyNumberFormat="1" applyFont="1" applyFill="1" applyBorder="1" applyAlignment="1" applyProtection="1">
      <alignment horizontal="left" indent="2"/>
    </xf>
    <xf numFmtId="164" fontId="18" fillId="36" borderId="33" xfId="2" applyNumberFormat="1" applyFont="1" applyFill="1" applyBorder="1" applyAlignment="1" applyProtection="1">
      <alignment horizontal="left" indent="2"/>
    </xf>
    <xf numFmtId="164" fontId="19" fillId="36" borderId="33" xfId="2" applyNumberFormat="1" applyFont="1" applyFill="1" applyBorder="1" applyAlignment="1" applyProtection="1">
      <alignment horizontal="left" indent="2"/>
    </xf>
    <xf numFmtId="164" fontId="19" fillId="36" borderId="34" xfId="2" applyNumberFormat="1" applyFont="1" applyFill="1" applyBorder="1" applyAlignment="1" applyProtection="1">
      <alignment horizontal="left" indent="2"/>
    </xf>
    <xf numFmtId="39" fontId="19" fillId="34" borderId="44" xfId="2" applyNumberFormat="1" applyFont="1" applyFill="1" applyBorder="1" applyAlignment="1" applyProtection="1">
      <alignment horizontal="right"/>
    </xf>
    <xf numFmtId="39" fontId="19" fillId="34" borderId="97" xfId="2" applyNumberFormat="1" applyFont="1" applyFill="1" applyBorder="1" applyAlignment="1" applyProtection="1">
      <alignment horizontal="right"/>
    </xf>
    <xf numFmtId="165" fontId="19" fillId="34" borderId="44" xfId="2" applyNumberFormat="1" applyFont="1" applyFill="1" applyBorder="1" applyAlignment="1" applyProtection="1">
      <alignment horizontal="right"/>
    </xf>
    <xf numFmtId="165" fontId="19" fillId="34" borderId="97" xfId="2" applyNumberFormat="1" applyFont="1" applyFill="1" applyBorder="1" applyAlignment="1" applyProtection="1">
      <alignment horizontal="right"/>
    </xf>
    <xf numFmtId="165" fontId="19" fillId="0" borderId="98" xfId="2" applyNumberFormat="1" applyFont="1" applyBorder="1" applyAlignment="1" applyProtection="1">
      <alignment horizontal="right"/>
    </xf>
    <xf numFmtId="165" fontId="19" fillId="0" borderId="98" xfId="2" applyNumberFormat="1" applyFont="1" applyFill="1" applyBorder="1" applyAlignment="1" applyProtection="1">
      <alignment horizontal="right"/>
    </xf>
    <xf numFmtId="165" fontId="19" fillId="0" borderId="40" xfId="2" applyNumberFormat="1" applyFont="1" applyFill="1" applyBorder="1" applyAlignment="1" applyProtection="1">
      <alignment horizontal="right"/>
    </xf>
    <xf numFmtId="39" fontId="18" fillId="0" borderId="74" xfId="2" applyNumberFormat="1" applyFont="1" applyBorder="1" applyAlignment="1" applyProtection="1"/>
    <xf numFmtId="39" fontId="18" fillId="0" borderId="74" xfId="2" applyNumberFormat="1" applyFont="1" applyFill="1" applyBorder="1" applyAlignment="1" applyProtection="1"/>
    <xf numFmtId="165" fontId="19" fillId="0" borderId="98" xfId="2" applyNumberFormat="1" applyFont="1" applyBorder="1" applyAlignment="1" applyProtection="1">
      <alignment horizontal="right" indent="2"/>
    </xf>
    <xf numFmtId="165" fontId="18" fillId="0" borderId="27" xfId="2" applyNumberFormat="1" applyFont="1" applyFill="1" applyBorder="1" applyAlignment="1" applyProtection="1">
      <alignment horizontal="right"/>
    </xf>
    <xf numFmtId="165" fontId="18" fillId="0" borderId="28" xfId="2" applyNumberFormat="1" applyFont="1" applyFill="1" applyBorder="1" applyAlignment="1" applyProtection="1">
      <alignment horizontal="right"/>
    </xf>
    <xf numFmtId="165" fontId="73" fillId="34" borderId="44" xfId="2" applyNumberFormat="1" applyFont="1" applyFill="1" applyBorder="1" applyAlignment="1" applyProtection="1">
      <alignment horizontal="right"/>
    </xf>
    <xf numFmtId="165" fontId="73" fillId="34" borderId="97" xfId="2" applyNumberFormat="1" applyFont="1" applyFill="1" applyBorder="1" applyAlignment="1" applyProtection="1">
      <alignment horizontal="right"/>
    </xf>
    <xf numFmtId="164" fontId="18" fillId="0" borderId="74" xfId="2" applyNumberFormat="1" applyFont="1" applyBorder="1" applyProtection="1"/>
    <xf numFmtId="164" fontId="18" fillId="0" borderId="14" xfId="2" applyNumberFormat="1" applyFont="1" applyBorder="1" applyProtection="1"/>
    <xf numFmtId="165" fontId="19" fillId="0" borderId="17" xfId="2" applyNumberFormat="1" applyFont="1" applyFill="1" applyBorder="1" applyAlignment="1" applyProtection="1">
      <alignment horizontal="right"/>
    </xf>
    <xf numFmtId="186" fontId="18" fillId="0" borderId="74" xfId="2" applyNumberFormat="1" applyFont="1" applyBorder="1" applyProtection="1"/>
    <xf numFmtId="186" fontId="18" fillId="0" borderId="14" xfId="2" applyNumberFormat="1" applyFont="1" applyBorder="1" applyProtection="1"/>
    <xf numFmtId="165" fontId="19" fillId="0" borderId="98" xfId="2" applyNumberFormat="1" applyFont="1" applyBorder="1" applyAlignment="1" applyProtection="1">
      <alignment horizontal="left" indent="2"/>
    </xf>
    <xf numFmtId="9" fontId="22" fillId="0" borderId="27" xfId="2" applyNumberFormat="1" applyFont="1" applyFill="1" applyBorder="1" applyAlignment="1" applyProtection="1">
      <alignment horizontal="center"/>
    </xf>
    <xf numFmtId="39" fontId="18" fillId="0" borderId="27" xfId="2" applyNumberFormat="1" applyFont="1" applyFill="1" applyBorder="1" applyAlignment="1" applyProtection="1">
      <alignment horizontal="right"/>
    </xf>
    <xf numFmtId="9" fontId="22" fillId="0" borderId="26" xfId="2" applyNumberFormat="1" applyFont="1" applyFill="1" applyBorder="1" applyAlignment="1" applyProtection="1">
      <alignment horizontal="center"/>
    </xf>
    <xf numFmtId="165" fontId="18" fillId="0" borderId="27" xfId="2" applyNumberFormat="1" applyFont="1" applyBorder="1" applyAlignment="1" applyProtection="1">
      <alignment horizontal="left" indent="2"/>
    </xf>
    <xf numFmtId="165" fontId="18" fillId="0" borderId="27" xfId="2" applyNumberFormat="1" applyFont="1" applyFill="1" applyBorder="1" applyAlignment="1" applyProtection="1">
      <alignment horizontal="left" indent="2"/>
    </xf>
    <xf numFmtId="164" fontId="18" fillId="0" borderId="33" xfId="2" applyNumberFormat="1" applyFont="1" applyFill="1" applyBorder="1" applyAlignment="1" applyProtection="1">
      <alignment horizontal="right"/>
    </xf>
    <xf numFmtId="164" fontId="18" fillId="0" borderId="99" xfId="2" applyNumberFormat="1" applyFont="1" applyFill="1" applyBorder="1" applyAlignment="1" applyProtection="1">
      <alignment horizontal="right"/>
    </xf>
    <xf numFmtId="166" fontId="19" fillId="0" borderId="98" xfId="2" applyNumberFormat="1" applyFont="1" applyFill="1" applyBorder="1" applyAlignment="1" applyProtection="1">
      <alignment horizontal="right"/>
    </xf>
    <xf numFmtId="166" fontId="19" fillId="0" borderId="17" xfId="2" applyNumberFormat="1" applyFont="1" applyFill="1" applyBorder="1" applyAlignment="1" applyProtection="1">
      <alignment horizontal="right"/>
    </xf>
    <xf numFmtId="164" fontId="18" fillId="0" borderId="27" xfId="2" applyNumberFormat="1" applyFont="1" applyBorder="1" applyAlignment="1" applyProtection="1">
      <alignment horizontal="right"/>
    </xf>
    <xf numFmtId="164" fontId="18" fillId="0" borderId="33" xfId="2" applyNumberFormat="1" applyFont="1" applyFill="1" applyBorder="1" applyAlignment="1" applyProtection="1"/>
    <xf numFmtId="164" fontId="18" fillId="0" borderId="33" xfId="2" applyNumberFormat="1" applyFont="1" applyBorder="1" applyAlignment="1" applyProtection="1"/>
    <xf numFmtId="164" fontId="18" fillId="0" borderId="27" xfId="2" applyNumberFormat="1" applyFont="1" applyFill="1" applyBorder="1" applyAlignment="1" applyProtection="1"/>
    <xf numFmtId="164" fontId="18" fillId="0" borderId="34" xfId="2" applyNumberFormat="1" applyFont="1" applyFill="1" applyBorder="1" applyAlignment="1" applyProtection="1"/>
    <xf numFmtId="164" fontId="18" fillId="0" borderId="99" xfId="2" applyNumberFormat="1" applyFont="1" applyFill="1" applyBorder="1" applyAlignment="1" applyProtection="1"/>
    <xf numFmtId="164" fontId="18" fillId="0" borderId="37" xfId="2" applyNumberFormat="1" applyFont="1" applyBorder="1" applyAlignment="1" applyProtection="1"/>
    <xf numFmtId="164" fontId="18" fillId="0" borderId="37" xfId="2" applyNumberFormat="1" applyFont="1" applyFill="1" applyBorder="1" applyAlignment="1" applyProtection="1"/>
    <xf numFmtId="164" fontId="18" fillId="0" borderId="38" xfId="2" applyNumberFormat="1" applyFont="1" applyFill="1" applyBorder="1" applyAlignment="1" applyProtection="1"/>
    <xf numFmtId="164" fontId="18" fillId="0" borderId="37" xfId="2" applyNumberFormat="1" applyFont="1" applyBorder="1" applyAlignment="1" applyProtection="1">
      <alignment horizontal="right"/>
    </xf>
    <xf numFmtId="164" fontId="18" fillId="0" borderId="37" xfId="2" applyNumberFormat="1" applyFont="1" applyFill="1" applyBorder="1" applyAlignment="1" applyProtection="1">
      <alignment horizontal="right"/>
    </xf>
    <xf numFmtId="164" fontId="18" fillId="0" borderId="38" xfId="2" applyNumberFormat="1" applyFont="1" applyFill="1" applyBorder="1" applyAlignment="1" applyProtection="1">
      <alignment horizontal="right"/>
    </xf>
    <xf numFmtId="166" fontId="19" fillId="0" borderId="100" xfId="2" applyNumberFormat="1" applyFont="1" applyFill="1" applyBorder="1" applyAlignment="1" applyProtection="1">
      <alignment horizontal="right"/>
    </xf>
    <xf numFmtId="166" fontId="19" fillId="0" borderId="133" xfId="2" applyNumberFormat="1" applyFont="1" applyFill="1" applyBorder="1" applyAlignment="1" applyProtection="1">
      <alignment horizontal="right"/>
    </xf>
    <xf numFmtId="166" fontId="19" fillId="0" borderId="141" xfId="2" applyNumberFormat="1" applyFont="1" applyFill="1" applyBorder="1" applyAlignment="1" applyProtection="1">
      <alignment horizontal="right"/>
    </xf>
    <xf numFmtId="166" fontId="18" fillId="0" borderId="27" xfId="2" applyNumberFormat="1" applyFont="1" applyFill="1" applyBorder="1" applyAlignment="1" applyProtection="1">
      <alignment horizontal="right"/>
    </xf>
    <xf numFmtId="166" fontId="18" fillId="0" borderId="28" xfId="2" applyNumberFormat="1" applyFont="1" applyFill="1" applyBorder="1" applyAlignment="1" applyProtection="1">
      <alignment horizontal="right"/>
    </xf>
    <xf numFmtId="165" fontId="19" fillId="34" borderId="83" xfId="2" applyNumberFormat="1" applyFont="1" applyFill="1" applyBorder="1" applyAlignment="1" applyProtection="1">
      <alignment horizontal="right"/>
    </xf>
    <xf numFmtId="166" fontId="19" fillId="34" borderId="83" xfId="2" applyNumberFormat="1" applyFont="1" applyFill="1" applyBorder="1" applyAlignment="1" applyProtection="1">
      <alignment horizontal="right"/>
    </xf>
    <xf numFmtId="166" fontId="73" fillId="34" borderId="103" xfId="2" applyNumberFormat="1" applyFont="1" applyFill="1" applyBorder="1" applyAlignment="1" applyProtection="1">
      <alignment horizontal="right"/>
    </xf>
    <xf numFmtId="2" fontId="18" fillId="0" borderId="12" xfId="1" applyNumberFormat="1" applyFont="1" applyBorder="1" applyProtection="1"/>
    <xf numFmtId="2" fontId="18" fillId="0" borderId="105" xfId="1" applyNumberFormat="1" applyFont="1" applyBorder="1" applyProtection="1"/>
    <xf numFmtId="37" fontId="18" fillId="0" borderId="14" xfId="1" applyNumberFormat="1" applyFont="1" applyBorder="1" applyAlignment="1" applyProtection="1">
      <alignment horizontal="right"/>
    </xf>
    <xf numFmtId="37" fontId="19" fillId="33" borderId="16" xfId="1" applyNumberFormat="1" applyFont="1" applyFill="1" applyBorder="1" applyAlignment="1" applyProtection="1">
      <alignment horizontal="right"/>
    </xf>
    <xf numFmtId="37" fontId="19" fillId="37" borderId="0" xfId="1" applyNumberFormat="1" applyFont="1" applyFill="1" applyBorder="1" applyAlignment="1" applyProtection="1">
      <alignment horizontal="right"/>
    </xf>
    <xf numFmtId="37" fontId="19" fillId="37" borderId="14" xfId="1" applyNumberFormat="1" applyFont="1" applyFill="1" applyBorder="1" applyAlignment="1" applyProtection="1">
      <alignment horizontal="right"/>
    </xf>
    <xf numFmtId="37" fontId="19" fillId="33" borderId="18" xfId="1" applyNumberFormat="1" applyFont="1" applyFill="1" applyBorder="1" applyAlignment="1" applyProtection="1">
      <alignment horizontal="right"/>
    </xf>
    <xf numFmtId="37" fontId="19" fillId="33" borderId="17" xfId="1" applyNumberFormat="1" applyFont="1" applyFill="1" applyBorder="1" applyAlignment="1" applyProtection="1">
      <alignment horizontal="right"/>
    </xf>
    <xf numFmtId="37" fontId="19" fillId="37" borderId="13" xfId="1" applyNumberFormat="1" applyFont="1" applyFill="1" applyBorder="1" applyAlignment="1" applyProtection="1">
      <alignment horizontal="right"/>
    </xf>
    <xf numFmtId="2" fontId="18" fillId="0" borderId="10" xfId="1" applyNumberFormat="1" applyFont="1" applyBorder="1" applyProtection="1"/>
    <xf numFmtId="2" fontId="18" fillId="0" borderId="106" xfId="1" applyNumberFormat="1" applyFont="1" applyBorder="1" applyProtection="1"/>
    <xf numFmtId="37" fontId="18" fillId="0" borderId="13" xfId="1" applyNumberFormat="1" applyFont="1" applyBorder="1" applyAlignment="1" applyProtection="1">
      <alignment horizontal="right"/>
    </xf>
    <xf numFmtId="37" fontId="19" fillId="0" borderId="106" xfId="1" applyNumberFormat="1" applyFont="1" applyBorder="1" applyAlignment="1" applyProtection="1">
      <alignment horizontal="right"/>
    </xf>
    <xf numFmtId="37" fontId="19" fillId="0" borderId="105" xfId="1" applyNumberFormat="1" applyFont="1" applyFill="1" applyBorder="1" applyAlignment="1" applyProtection="1">
      <alignment horizontal="right"/>
    </xf>
    <xf numFmtId="37" fontId="18" fillId="0" borderId="14" xfId="1" applyNumberFormat="1" applyFont="1" applyFill="1" applyBorder="1" applyAlignment="1" applyProtection="1">
      <alignment horizontal="right"/>
    </xf>
    <xf numFmtId="37" fontId="18" fillId="0" borderId="107" xfId="1" applyNumberFormat="1" applyFont="1" applyBorder="1" applyAlignment="1" applyProtection="1">
      <alignment horizontal="right"/>
    </xf>
    <xf numFmtId="37" fontId="18" fillId="0" borderId="109" xfId="1" applyNumberFormat="1" applyFont="1" applyFill="1" applyBorder="1" applyAlignment="1" applyProtection="1">
      <alignment horizontal="right"/>
    </xf>
    <xf numFmtId="2" fontId="18" fillId="0" borderId="14" xfId="1" applyNumberFormat="1" applyFont="1" applyBorder="1" applyProtection="1"/>
    <xf numFmtId="2" fontId="18" fillId="0" borderId="13" xfId="1" applyNumberFormat="1" applyFont="1" applyBorder="1" applyProtection="1"/>
    <xf numFmtId="2" fontId="19" fillId="37" borderId="110" xfId="1" applyNumberFormat="1" applyFont="1" applyFill="1" applyBorder="1" applyAlignment="1" applyProtection="1">
      <alignment horizontal="centerContinuous"/>
    </xf>
    <xf numFmtId="2" fontId="20" fillId="37" borderId="45" xfId="1" applyNumberFormat="1" applyFont="1" applyFill="1" applyBorder="1" applyAlignment="1" applyProtection="1">
      <alignment horizontal="centerContinuous"/>
    </xf>
    <xf numFmtId="166" fontId="18" fillId="0" borderId="0" xfId="1" applyNumberFormat="1" applyFont="1" applyBorder="1" applyAlignment="1" applyProtection="1">
      <alignment horizontal="right"/>
    </xf>
    <xf numFmtId="166" fontId="18" fillId="0" borderId="0" xfId="1" applyNumberFormat="1" applyBorder="1" applyAlignment="1" applyProtection="1">
      <alignment horizontal="right"/>
    </xf>
    <xf numFmtId="166" fontId="18" fillId="0" borderId="13" xfId="1" applyNumberFormat="1" applyFont="1" applyBorder="1" applyAlignment="1" applyProtection="1">
      <alignment horizontal="right"/>
    </xf>
    <xf numFmtId="166" fontId="18" fillId="0" borderId="14" xfId="1" applyNumberFormat="1" applyFont="1" applyBorder="1" applyAlignment="1" applyProtection="1">
      <alignment horizontal="right"/>
    </xf>
    <xf numFmtId="166" fontId="18" fillId="0" borderId="108" xfId="1" applyNumberFormat="1" applyFont="1" applyBorder="1" applyAlignment="1" applyProtection="1">
      <alignment horizontal="right"/>
    </xf>
    <xf numFmtId="166" fontId="18" fillId="0" borderId="107" xfId="1" applyNumberFormat="1" applyFont="1" applyBorder="1" applyAlignment="1" applyProtection="1">
      <alignment horizontal="right"/>
    </xf>
    <xf numFmtId="166" fontId="18" fillId="0" borderId="109" xfId="1" applyNumberFormat="1" applyFont="1" applyBorder="1" applyAlignment="1" applyProtection="1">
      <alignment horizontal="right"/>
    </xf>
    <xf numFmtId="10" fontId="18" fillId="0" borderId="0" xfId="1" applyNumberFormat="1" applyFont="1" applyBorder="1" applyAlignment="1" applyProtection="1">
      <alignment horizontal="right"/>
    </xf>
    <xf numFmtId="166" fontId="18" fillId="0" borderId="20" xfId="1" applyNumberFormat="1" applyBorder="1" applyAlignment="1" applyProtection="1">
      <alignment horizontal="right"/>
    </xf>
    <xf numFmtId="10" fontId="18" fillId="0" borderId="106" xfId="1" applyNumberFormat="1" applyFont="1" applyBorder="1" applyAlignment="1" applyProtection="1">
      <alignment horizontal="right"/>
    </xf>
    <xf numFmtId="10" fontId="18" fillId="0" borderId="104" xfId="1" applyNumberFormat="1" applyFont="1" applyBorder="1" applyAlignment="1" applyProtection="1">
      <alignment horizontal="right"/>
    </xf>
    <xf numFmtId="10" fontId="18" fillId="0" borderId="105" xfId="1" applyNumberFormat="1" applyFont="1" applyBorder="1" applyAlignment="1" applyProtection="1">
      <alignment horizontal="right"/>
    </xf>
    <xf numFmtId="10" fontId="18" fillId="0" borderId="13" xfId="1" applyNumberFormat="1" applyFont="1" applyBorder="1" applyAlignment="1" applyProtection="1">
      <alignment horizontal="right"/>
    </xf>
    <xf numFmtId="10" fontId="18" fillId="0" borderId="14" xfId="1" applyNumberFormat="1" applyFont="1" applyBorder="1" applyAlignment="1" applyProtection="1">
      <alignment horizontal="right"/>
    </xf>
    <xf numFmtId="166" fontId="18" fillId="0" borderId="13" xfId="1" applyNumberFormat="1" applyBorder="1" applyAlignment="1" applyProtection="1">
      <alignment horizontal="right"/>
    </xf>
    <xf numFmtId="166" fontId="18" fillId="0" borderId="14" xfId="1" applyNumberFormat="1" applyBorder="1" applyAlignment="1" applyProtection="1">
      <alignment horizontal="right"/>
    </xf>
    <xf numFmtId="166" fontId="18" fillId="0" borderId="19" xfId="1" applyNumberFormat="1" applyBorder="1" applyAlignment="1" applyProtection="1">
      <alignment horizontal="right"/>
    </xf>
    <xf numFmtId="166" fontId="18" fillId="0" borderId="21" xfId="1" applyNumberFormat="1" applyBorder="1" applyAlignment="1" applyProtection="1">
      <alignment horizontal="right"/>
    </xf>
    <xf numFmtId="166" fontId="22" fillId="0" borderId="0" xfId="1" applyNumberFormat="1" applyFont="1" applyFill="1" applyBorder="1" applyAlignment="1" applyProtection="1">
      <alignment horizontal="right"/>
    </xf>
    <xf numFmtId="166" fontId="22" fillId="0" borderId="14" xfId="1" applyNumberFormat="1" applyFont="1" applyFill="1" applyBorder="1" applyAlignment="1" applyProtection="1">
      <alignment horizontal="right"/>
    </xf>
    <xf numFmtId="166" fontId="18" fillId="0" borderId="113" xfId="1" applyNumberFormat="1" applyFont="1" applyBorder="1" applyAlignment="1" applyProtection="1">
      <alignment horizontal="right"/>
    </xf>
    <xf numFmtId="166" fontId="22" fillId="37" borderId="45" xfId="1" applyNumberFormat="1" applyFont="1" applyFill="1" applyBorder="1" applyAlignment="1" applyProtection="1">
      <alignment horizontal="centerContinuous"/>
    </xf>
    <xf numFmtId="37" fontId="22" fillId="0" borderId="0" xfId="1" applyNumberFormat="1" applyFont="1" applyFill="1" applyBorder="1" applyAlignment="1" applyProtection="1">
      <alignment horizontal="right"/>
    </xf>
    <xf numFmtId="37" fontId="22" fillId="0" borderId="14" xfId="1" applyNumberFormat="1" applyFont="1" applyFill="1" applyBorder="1" applyAlignment="1" applyProtection="1">
      <alignment horizontal="right"/>
    </xf>
    <xf numFmtId="39" fontId="22" fillId="0" borderId="118" xfId="1" applyNumberFormat="1" applyFont="1" applyFill="1" applyBorder="1" applyAlignment="1" applyProtection="1">
      <alignment horizontal="right" vertical="center"/>
      <protection locked="0"/>
    </xf>
    <xf numFmtId="39" fontId="22" fillId="0" borderId="116" xfId="1" applyNumberFormat="1" applyFont="1" applyFill="1" applyBorder="1" applyAlignment="1" applyProtection="1">
      <alignment horizontal="right" vertical="center"/>
      <protection locked="0"/>
    </xf>
    <xf numFmtId="43" fontId="22" fillId="0" borderId="117" xfId="1" applyNumberFormat="1" applyFont="1" applyFill="1" applyBorder="1" applyAlignment="1" applyProtection="1">
      <alignment vertical="center"/>
      <protection locked="0"/>
    </xf>
    <xf numFmtId="39" fontId="22" fillId="0" borderId="117" xfId="1" applyNumberFormat="1" applyFont="1" applyFill="1" applyBorder="1" applyAlignment="1" applyProtection="1">
      <alignment vertical="center"/>
      <protection locked="0"/>
    </xf>
    <xf numFmtId="39" fontId="22" fillId="0" borderId="118" xfId="1" applyNumberFormat="1" applyFont="1" applyFill="1" applyBorder="1" applyAlignment="1" applyProtection="1">
      <alignment vertical="center"/>
      <protection locked="0"/>
    </xf>
    <xf numFmtId="164" fontId="18" fillId="0" borderId="29" xfId="2" applyNumberFormat="1" applyFont="1" applyFill="1" applyBorder="1" applyAlignment="1" applyProtection="1">
      <alignment horizontal="left" indent="2"/>
    </xf>
    <xf numFmtId="164" fontId="18" fillId="0" borderId="41" xfId="2" applyNumberFormat="1" applyFont="1" applyFill="1" applyBorder="1" applyAlignment="1" applyProtection="1">
      <alignment horizontal="left" indent="2"/>
    </xf>
    <xf numFmtId="37" fontId="22" fillId="37" borderId="105" xfId="1" applyNumberFormat="1" applyFont="1" applyFill="1" applyBorder="1" applyAlignment="1" applyProtection="1">
      <alignment horizontal="right"/>
      <protection locked="0"/>
    </xf>
    <xf numFmtId="37" fontId="22" fillId="37" borderId="75" xfId="1" applyNumberFormat="1" applyFont="1" applyFill="1" applyBorder="1" applyAlignment="1" applyProtection="1">
      <alignment horizontal="right"/>
      <protection locked="0"/>
    </xf>
    <xf numFmtId="37" fontId="22" fillId="37" borderId="115" xfId="1" applyNumberFormat="1" applyFont="1" applyFill="1" applyBorder="1" applyAlignment="1" applyProtection="1">
      <alignment horizontal="right"/>
      <protection locked="0"/>
    </xf>
    <xf numFmtId="37" fontId="22" fillId="37" borderId="113" xfId="1" applyNumberFormat="1" applyFont="1" applyFill="1" applyBorder="1" applyAlignment="1" applyProtection="1">
      <alignment horizontal="right"/>
      <protection locked="0"/>
    </xf>
    <xf numFmtId="166" fontId="22" fillId="37" borderId="115" xfId="1" applyNumberFormat="1" applyFont="1" applyFill="1" applyBorder="1" applyAlignment="1" applyProtection="1">
      <alignment horizontal="right"/>
      <protection locked="0"/>
    </xf>
    <xf numFmtId="166" fontId="22" fillId="37" borderId="113" xfId="1" applyNumberFormat="1" applyFont="1" applyFill="1" applyBorder="1" applyAlignment="1" applyProtection="1">
      <alignment horizontal="right"/>
      <protection locked="0"/>
    </xf>
    <xf numFmtId="166" fontId="22" fillId="37" borderId="109" xfId="1" applyNumberFormat="1" applyFont="1" applyFill="1" applyBorder="1" applyAlignment="1" applyProtection="1">
      <alignment horizontal="right"/>
      <protection locked="0"/>
    </xf>
    <xf numFmtId="164" fontId="24" fillId="33" borderId="17" xfId="1" applyNumberFormat="1" applyFont="1" applyFill="1" applyBorder="1" applyAlignment="1" applyProtection="1">
      <alignment horizontal="center"/>
      <protection locked="0"/>
    </xf>
    <xf numFmtId="0" fontId="18" fillId="0" borderId="104" xfId="1" applyFont="1" applyBorder="1" applyProtection="1">
      <protection locked="0"/>
    </xf>
    <xf numFmtId="37" fontId="19" fillId="0" borderId="104" xfId="1" applyNumberFormat="1" applyFont="1" applyBorder="1" applyAlignment="1" applyProtection="1">
      <alignment horizontal="right"/>
      <protection locked="0"/>
    </xf>
    <xf numFmtId="37" fontId="19" fillId="0" borderId="105" xfId="1" applyNumberFormat="1" applyFont="1" applyBorder="1" applyAlignment="1" applyProtection="1">
      <alignment horizontal="right"/>
      <protection locked="0"/>
    </xf>
    <xf numFmtId="166" fontId="22" fillId="37" borderId="112" xfId="1" applyNumberFormat="1" applyFont="1" applyFill="1" applyBorder="1" applyAlignment="1" applyProtection="1">
      <alignment horizontal="right"/>
      <protection locked="0"/>
    </xf>
    <xf numFmtId="166" fontId="22" fillId="37" borderId="20" xfId="1" applyNumberFormat="1" applyFont="1" applyFill="1" applyBorder="1" applyAlignment="1" applyProtection="1">
      <alignment horizontal="right"/>
      <protection locked="0"/>
    </xf>
    <xf numFmtId="166" fontId="22" fillId="37" borderId="21" xfId="1" applyNumberFormat="1" applyFont="1" applyFill="1" applyBorder="1" applyAlignment="1" applyProtection="1">
      <alignment horizontal="right"/>
      <protection locked="0"/>
    </xf>
    <xf numFmtId="0" fontId="0" fillId="0" borderId="63" xfId="3" applyFont="1" applyFill="1" applyBorder="1" applyProtection="1"/>
    <xf numFmtId="0" fontId="0" fillId="0" borderId="13" xfId="3" applyFont="1" applyFill="1" applyBorder="1" applyProtection="1"/>
    <xf numFmtId="9" fontId="19" fillId="0" borderId="27" xfId="2" applyNumberFormat="1" applyFont="1" applyFill="1" applyBorder="1" applyAlignment="1" applyProtection="1">
      <alignment horizontal="center"/>
    </xf>
    <xf numFmtId="9" fontId="19" fillId="0" borderId="28" xfId="2" applyNumberFormat="1" applyFont="1" applyFill="1" applyBorder="1" applyAlignment="1" applyProtection="1">
      <alignment horizontal="center"/>
    </xf>
  </cellXfs>
  <cellStyles count="42164">
    <cellStyle name=" 1" xfId="4" xr:uid="{00000000-0005-0000-0000-000000000000}"/>
    <cellStyle name="_x000d__x000a_JournalTemplate=C:\COMFO\CTALK\JOURSTD.TPL_x000d__x000a_LbStateAddress=3 3 0 251 1 89 2 311_x000d__x000a_LbStateJou" xfId="5" xr:uid="{00000000-0005-0000-0000-000001000000}"/>
    <cellStyle name="#" xfId="6" xr:uid="{00000000-0005-0000-0000-000002000000}"/>
    <cellStyle name="#-" xfId="7" xr:uid="{00000000-0005-0000-0000-000003000000}"/>
    <cellStyle name="#_Model output pages" xfId="8" xr:uid="{00000000-0005-0000-0000-000004000000}"/>
    <cellStyle name="#-_Model output pages" xfId="9" xr:uid="{00000000-0005-0000-0000-000005000000}"/>
    <cellStyle name="$" xfId="10" xr:uid="{00000000-0005-0000-0000-000006000000}"/>
    <cellStyle name="$-" xfId="11" xr:uid="{00000000-0005-0000-0000-000007000000}"/>
    <cellStyle name="$_Model output pages" xfId="12" xr:uid="{00000000-0005-0000-0000-000008000000}"/>
    <cellStyle name="$-_Model output pages" xfId="13" xr:uid="{00000000-0005-0000-0000-000009000000}"/>
    <cellStyle name="%" xfId="14" xr:uid="{00000000-0005-0000-0000-00000A000000}"/>
    <cellStyle name="%-" xfId="15" xr:uid="{00000000-0005-0000-0000-00000B000000}"/>
    <cellStyle name="%_Model output pages" xfId="16" xr:uid="{00000000-0005-0000-0000-00000C000000}"/>
    <cellStyle name="%-_Model output pages" xfId="17" xr:uid="{00000000-0005-0000-0000-00000D000000}"/>
    <cellStyle name="0,0_x000a__x000a_NA_x000a__x000a_" xfId="18" xr:uid="{00000000-0005-0000-0000-00000E000000}"/>
    <cellStyle name="20% - Accent1 2" xfId="19" xr:uid="{00000000-0005-0000-0000-00000F000000}"/>
    <cellStyle name="20% - Accent1 3" xfId="20" xr:uid="{00000000-0005-0000-0000-000010000000}"/>
    <cellStyle name="20% - Accent1 4" xfId="21" xr:uid="{00000000-0005-0000-0000-000011000000}"/>
    <cellStyle name="20% - Accent1 5" xfId="22" xr:uid="{00000000-0005-0000-0000-000012000000}"/>
    <cellStyle name="20% - Accent1 5 10" xfId="23" xr:uid="{00000000-0005-0000-0000-000013000000}"/>
    <cellStyle name="20% - Accent1 5 10 2" xfId="24" xr:uid="{00000000-0005-0000-0000-000014000000}"/>
    <cellStyle name="20% - Accent1 5 10 2 2" xfId="25" xr:uid="{00000000-0005-0000-0000-000015000000}"/>
    <cellStyle name="20% - Accent1 5 10 2 2 2" xfId="26" xr:uid="{00000000-0005-0000-0000-000016000000}"/>
    <cellStyle name="20% - Accent1 5 10 2 2 2 2" xfId="27" xr:uid="{00000000-0005-0000-0000-000017000000}"/>
    <cellStyle name="20% - Accent1 5 10 2 2 3" xfId="28" xr:uid="{00000000-0005-0000-0000-000018000000}"/>
    <cellStyle name="20% - Accent1 5 10 2 3" xfId="29" xr:uid="{00000000-0005-0000-0000-000019000000}"/>
    <cellStyle name="20% - Accent1 5 10 2 3 2" xfId="30" xr:uid="{00000000-0005-0000-0000-00001A000000}"/>
    <cellStyle name="20% - Accent1 5 10 2 4" xfId="31" xr:uid="{00000000-0005-0000-0000-00001B000000}"/>
    <cellStyle name="20% - Accent1 5 10 3" xfId="32" xr:uid="{00000000-0005-0000-0000-00001C000000}"/>
    <cellStyle name="20% - Accent1 5 10 3 2" xfId="33" xr:uid="{00000000-0005-0000-0000-00001D000000}"/>
    <cellStyle name="20% - Accent1 5 10 3 2 2" xfId="34" xr:uid="{00000000-0005-0000-0000-00001E000000}"/>
    <cellStyle name="20% - Accent1 5 10 3 3" xfId="35" xr:uid="{00000000-0005-0000-0000-00001F000000}"/>
    <cellStyle name="20% - Accent1 5 10 4" xfId="36" xr:uid="{00000000-0005-0000-0000-000020000000}"/>
    <cellStyle name="20% - Accent1 5 10 4 2" xfId="37" xr:uid="{00000000-0005-0000-0000-000021000000}"/>
    <cellStyle name="20% - Accent1 5 10 4 2 2" xfId="38" xr:uid="{00000000-0005-0000-0000-000022000000}"/>
    <cellStyle name="20% - Accent1 5 10 4 3" xfId="39" xr:uid="{00000000-0005-0000-0000-000023000000}"/>
    <cellStyle name="20% - Accent1 5 10 5" xfId="40" xr:uid="{00000000-0005-0000-0000-000024000000}"/>
    <cellStyle name="20% - Accent1 5 10 5 2" xfId="41" xr:uid="{00000000-0005-0000-0000-000025000000}"/>
    <cellStyle name="20% - Accent1 5 10 5 2 2" xfId="42" xr:uid="{00000000-0005-0000-0000-000026000000}"/>
    <cellStyle name="20% - Accent1 5 10 5 3" xfId="43" xr:uid="{00000000-0005-0000-0000-000027000000}"/>
    <cellStyle name="20% - Accent1 5 10 6" xfId="44" xr:uid="{00000000-0005-0000-0000-000028000000}"/>
    <cellStyle name="20% - Accent1 5 10 6 2" xfId="45" xr:uid="{00000000-0005-0000-0000-000029000000}"/>
    <cellStyle name="20% - Accent1 5 10 6 2 2" xfId="46" xr:uid="{00000000-0005-0000-0000-00002A000000}"/>
    <cellStyle name="20% - Accent1 5 10 6 3" xfId="47" xr:uid="{00000000-0005-0000-0000-00002B000000}"/>
    <cellStyle name="20% - Accent1 5 10 7" xfId="48" xr:uid="{00000000-0005-0000-0000-00002C000000}"/>
    <cellStyle name="20% - Accent1 5 10 7 2" xfId="49" xr:uid="{00000000-0005-0000-0000-00002D000000}"/>
    <cellStyle name="20% - Accent1 5 10 8" xfId="50" xr:uid="{00000000-0005-0000-0000-00002E000000}"/>
    <cellStyle name="20% - Accent1 5 11" xfId="51" xr:uid="{00000000-0005-0000-0000-00002F000000}"/>
    <cellStyle name="20% - Accent1 5 11 2" xfId="52" xr:uid="{00000000-0005-0000-0000-000030000000}"/>
    <cellStyle name="20% - Accent1 5 11 2 2" xfId="53" xr:uid="{00000000-0005-0000-0000-000031000000}"/>
    <cellStyle name="20% - Accent1 5 11 2 2 2" xfId="54" xr:uid="{00000000-0005-0000-0000-000032000000}"/>
    <cellStyle name="20% - Accent1 5 11 2 2 2 2" xfId="55" xr:uid="{00000000-0005-0000-0000-000033000000}"/>
    <cellStyle name="20% - Accent1 5 11 2 2 3" xfId="56" xr:uid="{00000000-0005-0000-0000-000034000000}"/>
    <cellStyle name="20% - Accent1 5 11 2 3" xfId="57" xr:uid="{00000000-0005-0000-0000-000035000000}"/>
    <cellStyle name="20% - Accent1 5 11 2 3 2" xfId="58" xr:uid="{00000000-0005-0000-0000-000036000000}"/>
    <cellStyle name="20% - Accent1 5 11 2 4" xfId="59" xr:uid="{00000000-0005-0000-0000-000037000000}"/>
    <cellStyle name="20% - Accent1 5 11 3" xfId="60" xr:uid="{00000000-0005-0000-0000-000038000000}"/>
    <cellStyle name="20% - Accent1 5 11 3 2" xfId="61" xr:uid="{00000000-0005-0000-0000-000039000000}"/>
    <cellStyle name="20% - Accent1 5 11 3 2 2" xfId="62" xr:uid="{00000000-0005-0000-0000-00003A000000}"/>
    <cellStyle name="20% - Accent1 5 11 3 3" xfId="63" xr:uid="{00000000-0005-0000-0000-00003B000000}"/>
    <cellStyle name="20% - Accent1 5 11 4" xfId="64" xr:uid="{00000000-0005-0000-0000-00003C000000}"/>
    <cellStyle name="20% - Accent1 5 11 4 2" xfId="65" xr:uid="{00000000-0005-0000-0000-00003D000000}"/>
    <cellStyle name="20% - Accent1 5 11 5" xfId="66" xr:uid="{00000000-0005-0000-0000-00003E000000}"/>
    <cellStyle name="20% - Accent1 5 12" xfId="67" xr:uid="{00000000-0005-0000-0000-00003F000000}"/>
    <cellStyle name="20% - Accent1 5 12 2" xfId="68" xr:uid="{00000000-0005-0000-0000-000040000000}"/>
    <cellStyle name="20% - Accent1 5 12 2 2" xfId="69" xr:uid="{00000000-0005-0000-0000-000041000000}"/>
    <cellStyle name="20% - Accent1 5 12 2 2 2" xfId="70" xr:uid="{00000000-0005-0000-0000-000042000000}"/>
    <cellStyle name="20% - Accent1 5 12 2 2 2 2" xfId="71" xr:uid="{00000000-0005-0000-0000-000043000000}"/>
    <cellStyle name="20% - Accent1 5 12 2 2 3" xfId="72" xr:uid="{00000000-0005-0000-0000-000044000000}"/>
    <cellStyle name="20% - Accent1 5 12 2 3" xfId="73" xr:uid="{00000000-0005-0000-0000-000045000000}"/>
    <cellStyle name="20% - Accent1 5 12 2 3 2" xfId="74" xr:uid="{00000000-0005-0000-0000-000046000000}"/>
    <cellStyle name="20% - Accent1 5 12 2 4" xfId="75" xr:uid="{00000000-0005-0000-0000-000047000000}"/>
    <cellStyle name="20% - Accent1 5 12 3" xfId="76" xr:uid="{00000000-0005-0000-0000-000048000000}"/>
    <cellStyle name="20% - Accent1 5 12 3 2" xfId="77" xr:uid="{00000000-0005-0000-0000-000049000000}"/>
    <cellStyle name="20% - Accent1 5 12 3 2 2" xfId="78" xr:uid="{00000000-0005-0000-0000-00004A000000}"/>
    <cellStyle name="20% - Accent1 5 12 3 3" xfId="79" xr:uid="{00000000-0005-0000-0000-00004B000000}"/>
    <cellStyle name="20% - Accent1 5 12 4" xfId="80" xr:uid="{00000000-0005-0000-0000-00004C000000}"/>
    <cellStyle name="20% - Accent1 5 12 4 2" xfId="81" xr:uid="{00000000-0005-0000-0000-00004D000000}"/>
    <cellStyle name="20% - Accent1 5 12 5" xfId="82" xr:uid="{00000000-0005-0000-0000-00004E000000}"/>
    <cellStyle name="20% - Accent1 5 13" xfId="83" xr:uid="{00000000-0005-0000-0000-00004F000000}"/>
    <cellStyle name="20% - Accent1 5 13 2" xfId="84" xr:uid="{00000000-0005-0000-0000-000050000000}"/>
    <cellStyle name="20% - Accent1 5 13 2 2" xfId="85" xr:uid="{00000000-0005-0000-0000-000051000000}"/>
    <cellStyle name="20% - Accent1 5 13 2 2 2" xfId="86" xr:uid="{00000000-0005-0000-0000-000052000000}"/>
    <cellStyle name="20% - Accent1 5 13 2 2 2 2" xfId="87" xr:uid="{00000000-0005-0000-0000-000053000000}"/>
    <cellStyle name="20% - Accent1 5 13 2 2 3" xfId="88" xr:uid="{00000000-0005-0000-0000-000054000000}"/>
    <cellStyle name="20% - Accent1 5 13 2 3" xfId="89" xr:uid="{00000000-0005-0000-0000-000055000000}"/>
    <cellStyle name="20% - Accent1 5 13 2 3 2" xfId="90" xr:uid="{00000000-0005-0000-0000-000056000000}"/>
    <cellStyle name="20% - Accent1 5 13 2 4" xfId="91" xr:uid="{00000000-0005-0000-0000-000057000000}"/>
    <cellStyle name="20% - Accent1 5 13 3" xfId="92" xr:uid="{00000000-0005-0000-0000-000058000000}"/>
    <cellStyle name="20% - Accent1 5 13 3 2" xfId="93" xr:uid="{00000000-0005-0000-0000-000059000000}"/>
    <cellStyle name="20% - Accent1 5 13 3 2 2" xfId="94" xr:uid="{00000000-0005-0000-0000-00005A000000}"/>
    <cellStyle name="20% - Accent1 5 13 3 3" xfId="95" xr:uid="{00000000-0005-0000-0000-00005B000000}"/>
    <cellStyle name="20% - Accent1 5 13 4" xfId="96" xr:uid="{00000000-0005-0000-0000-00005C000000}"/>
    <cellStyle name="20% - Accent1 5 13 4 2" xfId="97" xr:uid="{00000000-0005-0000-0000-00005D000000}"/>
    <cellStyle name="20% - Accent1 5 13 5" xfId="98" xr:uid="{00000000-0005-0000-0000-00005E000000}"/>
    <cellStyle name="20% - Accent1 5 14" xfId="99" xr:uid="{00000000-0005-0000-0000-00005F000000}"/>
    <cellStyle name="20% - Accent1 5 14 2" xfId="100" xr:uid="{00000000-0005-0000-0000-000060000000}"/>
    <cellStyle name="20% - Accent1 5 14 2 2" xfId="101" xr:uid="{00000000-0005-0000-0000-000061000000}"/>
    <cellStyle name="20% - Accent1 5 14 2 2 2" xfId="102" xr:uid="{00000000-0005-0000-0000-000062000000}"/>
    <cellStyle name="20% - Accent1 5 14 2 3" xfId="103" xr:uid="{00000000-0005-0000-0000-000063000000}"/>
    <cellStyle name="20% - Accent1 5 14 3" xfId="104" xr:uid="{00000000-0005-0000-0000-000064000000}"/>
    <cellStyle name="20% - Accent1 5 14 3 2" xfId="105" xr:uid="{00000000-0005-0000-0000-000065000000}"/>
    <cellStyle name="20% - Accent1 5 14 4" xfId="106" xr:uid="{00000000-0005-0000-0000-000066000000}"/>
    <cellStyle name="20% - Accent1 5 15" xfId="107" xr:uid="{00000000-0005-0000-0000-000067000000}"/>
    <cellStyle name="20% - Accent1 5 15 2" xfId="108" xr:uid="{00000000-0005-0000-0000-000068000000}"/>
    <cellStyle name="20% - Accent1 5 15 2 2" xfId="109" xr:uid="{00000000-0005-0000-0000-000069000000}"/>
    <cellStyle name="20% - Accent1 5 15 2 2 2" xfId="110" xr:uid="{00000000-0005-0000-0000-00006A000000}"/>
    <cellStyle name="20% - Accent1 5 15 2 3" xfId="111" xr:uid="{00000000-0005-0000-0000-00006B000000}"/>
    <cellStyle name="20% - Accent1 5 15 3" xfId="112" xr:uid="{00000000-0005-0000-0000-00006C000000}"/>
    <cellStyle name="20% - Accent1 5 15 3 2" xfId="113" xr:uid="{00000000-0005-0000-0000-00006D000000}"/>
    <cellStyle name="20% - Accent1 5 15 4" xfId="114" xr:uid="{00000000-0005-0000-0000-00006E000000}"/>
    <cellStyle name="20% - Accent1 5 16" xfId="115" xr:uid="{00000000-0005-0000-0000-00006F000000}"/>
    <cellStyle name="20% - Accent1 5 16 2" xfId="116" xr:uid="{00000000-0005-0000-0000-000070000000}"/>
    <cellStyle name="20% - Accent1 5 16 2 2" xfId="117" xr:uid="{00000000-0005-0000-0000-000071000000}"/>
    <cellStyle name="20% - Accent1 5 16 3" xfId="118" xr:uid="{00000000-0005-0000-0000-000072000000}"/>
    <cellStyle name="20% - Accent1 5 17" xfId="119" xr:uid="{00000000-0005-0000-0000-000073000000}"/>
    <cellStyle name="20% - Accent1 5 17 2" xfId="120" xr:uid="{00000000-0005-0000-0000-000074000000}"/>
    <cellStyle name="20% - Accent1 5 17 2 2" xfId="121" xr:uid="{00000000-0005-0000-0000-000075000000}"/>
    <cellStyle name="20% - Accent1 5 17 3" xfId="122" xr:uid="{00000000-0005-0000-0000-000076000000}"/>
    <cellStyle name="20% - Accent1 5 18" xfId="123" xr:uid="{00000000-0005-0000-0000-000077000000}"/>
    <cellStyle name="20% - Accent1 5 18 2" xfId="124" xr:uid="{00000000-0005-0000-0000-000078000000}"/>
    <cellStyle name="20% - Accent1 5 18 2 2" xfId="125" xr:uid="{00000000-0005-0000-0000-000079000000}"/>
    <cellStyle name="20% - Accent1 5 18 3" xfId="126" xr:uid="{00000000-0005-0000-0000-00007A000000}"/>
    <cellStyle name="20% - Accent1 5 19" xfId="127" xr:uid="{00000000-0005-0000-0000-00007B000000}"/>
    <cellStyle name="20% - Accent1 5 19 2" xfId="128" xr:uid="{00000000-0005-0000-0000-00007C000000}"/>
    <cellStyle name="20% - Accent1 5 19 2 2" xfId="129" xr:uid="{00000000-0005-0000-0000-00007D000000}"/>
    <cellStyle name="20% - Accent1 5 19 3" xfId="130" xr:uid="{00000000-0005-0000-0000-00007E000000}"/>
    <cellStyle name="20% - Accent1 5 2" xfId="131" xr:uid="{00000000-0005-0000-0000-00007F000000}"/>
    <cellStyle name="20% - Accent1 5 2 10" xfId="132" xr:uid="{00000000-0005-0000-0000-000080000000}"/>
    <cellStyle name="20% - Accent1 5 2 10 2" xfId="133" xr:uid="{00000000-0005-0000-0000-000081000000}"/>
    <cellStyle name="20% - Accent1 5 2 10 2 2" xfId="134" xr:uid="{00000000-0005-0000-0000-000082000000}"/>
    <cellStyle name="20% - Accent1 5 2 10 2 2 2" xfId="135" xr:uid="{00000000-0005-0000-0000-000083000000}"/>
    <cellStyle name="20% - Accent1 5 2 10 2 2 2 2" xfId="136" xr:uid="{00000000-0005-0000-0000-000084000000}"/>
    <cellStyle name="20% - Accent1 5 2 10 2 2 3" xfId="137" xr:uid="{00000000-0005-0000-0000-000085000000}"/>
    <cellStyle name="20% - Accent1 5 2 10 2 3" xfId="138" xr:uid="{00000000-0005-0000-0000-000086000000}"/>
    <cellStyle name="20% - Accent1 5 2 10 2 3 2" xfId="139" xr:uid="{00000000-0005-0000-0000-000087000000}"/>
    <cellStyle name="20% - Accent1 5 2 10 2 4" xfId="140" xr:uid="{00000000-0005-0000-0000-000088000000}"/>
    <cellStyle name="20% - Accent1 5 2 10 3" xfId="141" xr:uid="{00000000-0005-0000-0000-000089000000}"/>
    <cellStyle name="20% - Accent1 5 2 10 3 2" xfId="142" xr:uid="{00000000-0005-0000-0000-00008A000000}"/>
    <cellStyle name="20% - Accent1 5 2 10 3 2 2" xfId="143" xr:uid="{00000000-0005-0000-0000-00008B000000}"/>
    <cellStyle name="20% - Accent1 5 2 10 3 3" xfId="144" xr:uid="{00000000-0005-0000-0000-00008C000000}"/>
    <cellStyle name="20% - Accent1 5 2 10 4" xfId="145" xr:uid="{00000000-0005-0000-0000-00008D000000}"/>
    <cellStyle name="20% - Accent1 5 2 10 4 2" xfId="146" xr:uid="{00000000-0005-0000-0000-00008E000000}"/>
    <cellStyle name="20% - Accent1 5 2 10 5" xfId="147" xr:uid="{00000000-0005-0000-0000-00008F000000}"/>
    <cellStyle name="20% - Accent1 5 2 11" xfId="148" xr:uid="{00000000-0005-0000-0000-000090000000}"/>
    <cellStyle name="20% - Accent1 5 2 11 2" xfId="149" xr:uid="{00000000-0005-0000-0000-000091000000}"/>
    <cellStyle name="20% - Accent1 5 2 11 2 2" xfId="150" xr:uid="{00000000-0005-0000-0000-000092000000}"/>
    <cellStyle name="20% - Accent1 5 2 11 2 2 2" xfId="151" xr:uid="{00000000-0005-0000-0000-000093000000}"/>
    <cellStyle name="20% - Accent1 5 2 11 2 2 2 2" xfId="152" xr:uid="{00000000-0005-0000-0000-000094000000}"/>
    <cellStyle name="20% - Accent1 5 2 11 2 2 3" xfId="153" xr:uid="{00000000-0005-0000-0000-000095000000}"/>
    <cellStyle name="20% - Accent1 5 2 11 2 3" xfId="154" xr:uid="{00000000-0005-0000-0000-000096000000}"/>
    <cellStyle name="20% - Accent1 5 2 11 2 3 2" xfId="155" xr:uid="{00000000-0005-0000-0000-000097000000}"/>
    <cellStyle name="20% - Accent1 5 2 11 2 4" xfId="156" xr:uid="{00000000-0005-0000-0000-000098000000}"/>
    <cellStyle name="20% - Accent1 5 2 11 3" xfId="157" xr:uid="{00000000-0005-0000-0000-000099000000}"/>
    <cellStyle name="20% - Accent1 5 2 11 3 2" xfId="158" xr:uid="{00000000-0005-0000-0000-00009A000000}"/>
    <cellStyle name="20% - Accent1 5 2 11 3 2 2" xfId="159" xr:uid="{00000000-0005-0000-0000-00009B000000}"/>
    <cellStyle name="20% - Accent1 5 2 11 3 3" xfId="160" xr:uid="{00000000-0005-0000-0000-00009C000000}"/>
    <cellStyle name="20% - Accent1 5 2 11 4" xfId="161" xr:uid="{00000000-0005-0000-0000-00009D000000}"/>
    <cellStyle name="20% - Accent1 5 2 11 4 2" xfId="162" xr:uid="{00000000-0005-0000-0000-00009E000000}"/>
    <cellStyle name="20% - Accent1 5 2 11 5" xfId="163" xr:uid="{00000000-0005-0000-0000-00009F000000}"/>
    <cellStyle name="20% - Accent1 5 2 12" xfId="164" xr:uid="{00000000-0005-0000-0000-0000A0000000}"/>
    <cellStyle name="20% - Accent1 5 2 12 2" xfId="165" xr:uid="{00000000-0005-0000-0000-0000A1000000}"/>
    <cellStyle name="20% - Accent1 5 2 12 2 2" xfId="166" xr:uid="{00000000-0005-0000-0000-0000A2000000}"/>
    <cellStyle name="20% - Accent1 5 2 12 2 2 2" xfId="167" xr:uid="{00000000-0005-0000-0000-0000A3000000}"/>
    <cellStyle name="20% - Accent1 5 2 12 2 2 2 2" xfId="168" xr:uid="{00000000-0005-0000-0000-0000A4000000}"/>
    <cellStyle name="20% - Accent1 5 2 12 2 2 3" xfId="169" xr:uid="{00000000-0005-0000-0000-0000A5000000}"/>
    <cellStyle name="20% - Accent1 5 2 12 2 3" xfId="170" xr:uid="{00000000-0005-0000-0000-0000A6000000}"/>
    <cellStyle name="20% - Accent1 5 2 12 2 3 2" xfId="171" xr:uid="{00000000-0005-0000-0000-0000A7000000}"/>
    <cellStyle name="20% - Accent1 5 2 12 2 4" xfId="172" xr:uid="{00000000-0005-0000-0000-0000A8000000}"/>
    <cellStyle name="20% - Accent1 5 2 12 3" xfId="173" xr:uid="{00000000-0005-0000-0000-0000A9000000}"/>
    <cellStyle name="20% - Accent1 5 2 12 3 2" xfId="174" xr:uid="{00000000-0005-0000-0000-0000AA000000}"/>
    <cellStyle name="20% - Accent1 5 2 12 3 2 2" xfId="175" xr:uid="{00000000-0005-0000-0000-0000AB000000}"/>
    <cellStyle name="20% - Accent1 5 2 12 3 3" xfId="176" xr:uid="{00000000-0005-0000-0000-0000AC000000}"/>
    <cellStyle name="20% - Accent1 5 2 12 4" xfId="177" xr:uid="{00000000-0005-0000-0000-0000AD000000}"/>
    <cellStyle name="20% - Accent1 5 2 12 4 2" xfId="178" xr:uid="{00000000-0005-0000-0000-0000AE000000}"/>
    <cellStyle name="20% - Accent1 5 2 12 5" xfId="179" xr:uid="{00000000-0005-0000-0000-0000AF000000}"/>
    <cellStyle name="20% - Accent1 5 2 13" xfId="180" xr:uid="{00000000-0005-0000-0000-0000B0000000}"/>
    <cellStyle name="20% - Accent1 5 2 13 2" xfId="181" xr:uid="{00000000-0005-0000-0000-0000B1000000}"/>
    <cellStyle name="20% - Accent1 5 2 13 2 2" xfId="182" xr:uid="{00000000-0005-0000-0000-0000B2000000}"/>
    <cellStyle name="20% - Accent1 5 2 13 2 2 2" xfId="183" xr:uid="{00000000-0005-0000-0000-0000B3000000}"/>
    <cellStyle name="20% - Accent1 5 2 13 2 3" xfId="184" xr:uid="{00000000-0005-0000-0000-0000B4000000}"/>
    <cellStyle name="20% - Accent1 5 2 13 3" xfId="185" xr:uid="{00000000-0005-0000-0000-0000B5000000}"/>
    <cellStyle name="20% - Accent1 5 2 13 3 2" xfId="186" xr:uid="{00000000-0005-0000-0000-0000B6000000}"/>
    <cellStyle name="20% - Accent1 5 2 13 4" xfId="187" xr:uid="{00000000-0005-0000-0000-0000B7000000}"/>
    <cellStyle name="20% - Accent1 5 2 14" xfId="188" xr:uid="{00000000-0005-0000-0000-0000B8000000}"/>
    <cellStyle name="20% - Accent1 5 2 14 2" xfId="189" xr:uid="{00000000-0005-0000-0000-0000B9000000}"/>
    <cellStyle name="20% - Accent1 5 2 14 2 2" xfId="190" xr:uid="{00000000-0005-0000-0000-0000BA000000}"/>
    <cellStyle name="20% - Accent1 5 2 14 2 2 2" xfId="191" xr:uid="{00000000-0005-0000-0000-0000BB000000}"/>
    <cellStyle name="20% - Accent1 5 2 14 2 3" xfId="192" xr:uid="{00000000-0005-0000-0000-0000BC000000}"/>
    <cellStyle name="20% - Accent1 5 2 14 3" xfId="193" xr:uid="{00000000-0005-0000-0000-0000BD000000}"/>
    <cellStyle name="20% - Accent1 5 2 14 3 2" xfId="194" xr:uid="{00000000-0005-0000-0000-0000BE000000}"/>
    <cellStyle name="20% - Accent1 5 2 14 4" xfId="195" xr:uid="{00000000-0005-0000-0000-0000BF000000}"/>
    <cellStyle name="20% - Accent1 5 2 15" xfId="196" xr:uid="{00000000-0005-0000-0000-0000C0000000}"/>
    <cellStyle name="20% - Accent1 5 2 15 2" xfId="197" xr:uid="{00000000-0005-0000-0000-0000C1000000}"/>
    <cellStyle name="20% - Accent1 5 2 15 2 2" xfId="198" xr:uid="{00000000-0005-0000-0000-0000C2000000}"/>
    <cellStyle name="20% - Accent1 5 2 15 3" xfId="199" xr:uid="{00000000-0005-0000-0000-0000C3000000}"/>
    <cellStyle name="20% - Accent1 5 2 16" xfId="200" xr:uid="{00000000-0005-0000-0000-0000C4000000}"/>
    <cellStyle name="20% - Accent1 5 2 16 2" xfId="201" xr:uid="{00000000-0005-0000-0000-0000C5000000}"/>
    <cellStyle name="20% - Accent1 5 2 16 2 2" xfId="202" xr:uid="{00000000-0005-0000-0000-0000C6000000}"/>
    <cellStyle name="20% - Accent1 5 2 16 3" xfId="203" xr:uid="{00000000-0005-0000-0000-0000C7000000}"/>
    <cellStyle name="20% - Accent1 5 2 17" xfId="204" xr:uid="{00000000-0005-0000-0000-0000C8000000}"/>
    <cellStyle name="20% - Accent1 5 2 17 2" xfId="205" xr:uid="{00000000-0005-0000-0000-0000C9000000}"/>
    <cellStyle name="20% - Accent1 5 2 17 2 2" xfId="206" xr:uid="{00000000-0005-0000-0000-0000CA000000}"/>
    <cellStyle name="20% - Accent1 5 2 17 3" xfId="207" xr:uid="{00000000-0005-0000-0000-0000CB000000}"/>
    <cellStyle name="20% - Accent1 5 2 18" xfId="208" xr:uid="{00000000-0005-0000-0000-0000CC000000}"/>
    <cellStyle name="20% - Accent1 5 2 18 2" xfId="209" xr:uid="{00000000-0005-0000-0000-0000CD000000}"/>
    <cellStyle name="20% - Accent1 5 2 18 2 2" xfId="210" xr:uid="{00000000-0005-0000-0000-0000CE000000}"/>
    <cellStyle name="20% - Accent1 5 2 18 3" xfId="211" xr:uid="{00000000-0005-0000-0000-0000CF000000}"/>
    <cellStyle name="20% - Accent1 5 2 19" xfId="212" xr:uid="{00000000-0005-0000-0000-0000D0000000}"/>
    <cellStyle name="20% - Accent1 5 2 19 2" xfId="213" xr:uid="{00000000-0005-0000-0000-0000D1000000}"/>
    <cellStyle name="20% - Accent1 5 2 2" xfId="214" xr:uid="{00000000-0005-0000-0000-0000D2000000}"/>
    <cellStyle name="20% - Accent1 5 2 2 10" xfId="215" xr:uid="{00000000-0005-0000-0000-0000D3000000}"/>
    <cellStyle name="20% - Accent1 5 2 2 10 2" xfId="216" xr:uid="{00000000-0005-0000-0000-0000D4000000}"/>
    <cellStyle name="20% - Accent1 5 2 2 10 2 2" xfId="217" xr:uid="{00000000-0005-0000-0000-0000D5000000}"/>
    <cellStyle name="20% - Accent1 5 2 2 10 3" xfId="218" xr:uid="{00000000-0005-0000-0000-0000D6000000}"/>
    <cellStyle name="20% - Accent1 5 2 2 11" xfId="219" xr:uid="{00000000-0005-0000-0000-0000D7000000}"/>
    <cellStyle name="20% - Accent1 5 2 2 11 2" xfId="220" xr:uid="{00000000-0005-0000-0000-0000D8000000}"/>
    <cellStyle name="20% - Accent1 5 2 2 11 2 2" xfId="221" xr:uid="{00000000-0005-0000-0000-0000D9000000}"/>
    <cellStyle name="20% - Accent1 5 2 2 11 3" xfId="222" xr:uid="{00000000-0005-0000-0000-0000DA000000}"/>
    <cellStyle name="20% - Accent1 5 2 2 12" xfId="223" xr:uid="{00000000-0005-0000-0000-0000DB000000}"/>
    <cellStyle name="20% - Accent1 5 2 2 12 2" xfId="224" xr:uid="{00000000-0005-0000-0000-0000DC000000}"/>
    <cellStyle name="20% - Accent1 5 2 2 12 2 2" xfId="225" xr:uid="{00000000-0005-0000-0000-0000DD000000}"/>
    <cellStyle name="20% - Accent1 5 2 2 12 3" xfId="226" xr:uid="{00000000-0005-0000-0000-0000DE000000}"/>
    <cellStyle name="20% - Accent1 5 2 2 13" xfId="227" xr:uid="{00000000-0005-0000-0000-0000DF000000}"/>
    <cellStyle name="20% - Accent1 5 2 2 13 2" xfId="228" xr:uid="{00000000-0005-0000-0000-0000E0000000}"/>
    <cellStyle name="20% - Accent1 5 2 2 14" xfId="229" xr:uid="{00000000-0005-0000-0000-0000E1000000}"/>
    <cellStyle name="20% - Accent1 5 2 2 2" xfId="230" xr:uid="{00000000-0005-0000-0000-0000E2000000}"/>
    <cellStyle name="20% - Accent1 5 2 2 2 2" xfId="231" xr:uid="{00000000-0005-0000-0000-0000E3000000}"/>
    <cellStyle name="20% - Accent1 5 2 2 2 2 2" xfId="232" xr:uid="{00000000-0005-0000-0000-0000E4000000}"/>
    <cellStyle name="20% - Accent1 5 2 2 2 2 2 2" xfId="233" xr:uid="{00000000-0005-0000-0000-0000E5000000}"/>
    <cellStyle name="20% - Accent1 5 2 2 2 2 2 2 2" xfId="234" xr:uid="{00000000-0005-0000-0000-0000E6000000}"/>
    <cellStyle name="20% - Accent1 5 2 2 2 2 2 3" xfId="235" xr:uid="{00000000-0005-0000-0000-0000E7000000}"/>
    <cellStyle name="20% - Accent1 5 2 2 2 2 3" xfId="236" xr:uid="{00000000-0005-0000-0000-0000E8000000}"/>
    <cellStyle name="20% - Accent1 5 2 2 2 2 3 2" xfId="237" xr:uid="{00000000-0005-0000-0000-0000E9000000}"/>
    <cellStyle name="20% - Accent1 5 2 2 2 2 4" xfId="238" xr:uid="{00000000-0005-0000-0000-0000EA000000}"/>
    <cellStyle name="20% - Accent1 5 2 2 2 3" xfId="239" xr:uid="{00000000-0005-0000-0000-0000EB000000}"/>
    <cellStyle name="20% - Accent1 5 2 2 2 3 2" xfId="240" xr:uid="{00000000-0005-0000-0000-0000EC000000}"/>
    <cellStyle name="20% - Accent1 5 2 2 2 3 2 2" xfId="241" xr:uid="{00000000-0005-0000-0000-0000ED000000}"/>
    <cellStyle name="20% - Accent1 5 2 2 2 3 3" xfId="242" xr:uid="{00000000-0005-0000-0000-0000EE000000}"/>
    <cellStyle name="20% - Accent1 5 2 2 2 4" xfId="243" xr:uid="{00000000-0005-0000-0000-0000EF000000}"/>
    <cellStyle name="20% - Accent1 5 2 2 2 4 2" xfId="244" xr:uid="{00000000-0005-0000-0000-0000F0000000}"/>
    <cellStyle name="20% - Accent1 5 2 2 2 4 2 2" xfId="245" xr:uid="{00000000-0005-0000-0000-0000F1000000}"/>
    <cellStyle name="20% - Accent1 5 2 2 2 4 3" xfId="246" xr:uid="{00000000-0005-0000-0000-0000F2000000}"/>
    <cellStyle name="20% - Accent1 5 2 2 2 5" xfId="247" xr:uid="{00000000-0005-0000-0000-0000F3000000}"/>
    <cellStyle name="20% - Accent1 5 2 2 2 5 2" xfId="248" xr:uid="{00000000-0005-0000-0000-0000F4000000}"/>
    <cellStyle name="20% - Accent1 5 2 2 2 5 2 2" xfId="249" xr:uid="{00000000-0005-0000-0000-0000F5000000}"/>
    <cellStyle name="20% - Accent1 5 2 2 2 5 3" xfId="250" xr:uid="{00000000-0005-0000-0000-0000F6000000}"/>
    <cellStyle name="20% - Accent1 5 2 2 2 6" xfId="251" xr:uid="{00000000-0005-0000-0000-0000F7000000}"/>
    <cellStyle name="20% - Accent1 5 2 2 2 6 2" xfId="252" xr:uid="{00000000-0005-0000-0000-0000F8000000}"/>
    <cellStyle name="20% - Accent1 5 2 2 2 6 2 2" xfId="253" xr:uid="{00000000-0005-0000-0000-0000F9000000}"/>
    <cellStyle name="20% - Accent1 5 2 2 2 6 3" xfId="254" xr:uid="{00000000-0005-0000-0000-0000FA000000}"/>
    <cellStyle name="20% - Accent1 5 2 2 2 7" xfId="255" xr:uid="{00000000-0005-0000-0000-0000FB000000}"/>
    <cellStyle name="20% - Accent1 5 2 2 2 7 2" xfId="256" xr:uid="{00000000-0005-0000-0000-0000FC000000}"/>
    <cellStyle name="20% - Accent1 5 2 2 2 8" xfId="257" xr:uid="{00000000-0005-0000-0000-0000FD000000}"/>
    <cellStyle name="20% - Accent1 5 2 2 3" xfId="258" xr:uid="{00000000-0005-0000-0000-0000FE000000}"/>
    <cellStyle name="20% - Accent1 5 2 2 3 2" xfId="259" xr:uid="{00000000-0005-0000-0000-0000FF000000}"/>
    <cellStyle name="20% - Accent1 5 2 2 3 2 2" xfId="260" xr:uid="{00000000-0005-0000-0000-000000010000}"/>
    <cellStyle name="20% - Accent1 5 2 2 3 2 2 2" xfId="261" xr:uid="{00000000-0005-0000-0000-000001010000}"/>
    <cellStyle name="20% - Accent1 5 2 2 3 2 2 2 2" xfId="262" xr:uid="{00000000-0005-0000-0000-000002010000}"/>
    <cellStyle name="20% - Accent1 5 2 2 3 2 2 3" xfId="263" xr:uid="{00000000-0005-0000-0000-000003010000}"/>
    <cellStyle name="20% - Accent1 5 2 2 3 2 3" xfId="264" xr:uid="{00000000-0005-0000-0000-000004010000}"/>
    <cellStyle name="20% - Accent1 5 2 2 3 2 3 2" xfId="265" xr:uid="{00000000-0005-0000-0000-000005010000}"/>
    <cellStyle name="20% - Accent1 5 2 2 3 2 4" xfId="266" xr:uid="{00000000-0005-0000-0000-000006010000}"/>
    <cellStyle name="20% - Accent1 5 2 2 3 3" xfId="267" xr:uid="{00000000-0005-0000-0000-000007010000}"/>
    <cellStyle name="20% - Accent1 5 2 2 3 3 2" xfId="268" xr:uid="{00000000-0005-0000-0000-000008010000}"/>
    <cellStyle name="20% - Accent1 5 2 2 3 3 2 2" xfId="269" xr:uid="{00000000-0005-0000-0000-000009010000}"/>
    <cellStyle name="20% - Accent1 5 2 2 3 3 3" xfId="270" xr:uid="{00000000-0005-0000-0000-00000A010000}"/>
    <cellStyle name="20% - Accent1 5 2 2 3 4" xfId="271" xr:uid="{00000000-0005-0000-0000-00000B010000}"/>
    <cellStyle name="20% - Accent1 5 2 2 3 4 2" xfId="272" xr:uid="{00000000-0005-0000-0000-00000C010000}"/>
    <cellStyle name="20% - Accent1 5 2 2 3 4 2 2" xfId="273" xr:uid="{00000000-0005-0000-0000-00000D010000}"/>
    <cellStyle name="20% - Accent1 5 2 2 3 4 3" xfId="274" xr:uid="{00000000-0005-0000-0000-00000E010000}"/>
    <cellStyle name="20% - Accent1 5 2 2 3 5" xfId="275" xr:uid="{00000000-0005-0000-0000-00000F010000}"/>
    <cellStyle name="20% - Accent1 5 2 2 3 5 2" xfId="276" xr:uid="{00000000-0005-0000-0000-000010010000}"/>
    <cellStyle name="20% - Accent1 5 2 2 3 5 2 2" xfId="277" xr:uid="{00000000-0005-0000-0000-000011010000}"/>
    <cellStyle name="20% - Accent1 5 2 2 3 5 3" xfId="278" xr:uid="{00000000-0005-0000-0000-000012010000}"/>
    <cellStyle name="20% - Accent1 5 2 2 3 6" xfId="279" xr:uid="{00000000-0005-0000-0000-000013010000}"/>
    <cellStyle name="20% - Accent1 5 2 2 3 6 2" xfId="280" xr:uid="{00000000-0005-0000-0000-000014010000}"/>
    <cellStyle name="20% - Accent1 5 2 2 3 6 2 2" xfId="281" xr:uid="{00000000-0005-0000-0000-000015010000}"/>
    <cellStyle name="20% - Accent1 5 2 2 3 6 3" xfId="282" xr:uid="{00000000-0005-0000-0000-000016010000}"/>
    <cellStyle name="20% - Accent1 5 2 2 3 7" xfId="283" xr:uid="{00000000-0005-0000-0000-000017010000}"/>
    <cellStyle name="20% - Accent1 5 2 2 3 7 2" xfId="284" xr:uid="{00000000-0005-0000-0000-000018010000}"/>
    <cellStyle name="20% - Accent1 5 2 2 3 8" xfId="285" xr:uid="{00000000-0005-0000-0000-000019010000}"/>
    <cellStyle name="20% - Accent1 5 2 2 4" xfId="286" xr:uid="{00000000-0005-0000-0000-00001A010000}"/>
    <cellStyle name="20% - Accent1 5 2 2 4 2" xfId="287" xr:uid="{00000000-0005-0000-0000-00001B010000}"/>
    <cellStyle name="20% - Accent1 5 2 2 4 2 2" xfId="288" xr:uid="{00000000-0005-0000-0000-00001C010000}"/>
    <cellStyle name="20% - Accent1 5 2 2 4 2 2 2" xfId="289" xr:uid="{00000000-0005-0000-0000-00001D010000}"/>
    <cellStyle name="20% - Accent1 5 2 2 4 2 2 2 2" xfId="290" xr:uid="{00000000-0005-0000-0000-00001E010000}"/>
    <cellStyle name="20% - Accent1 5 2 2 4 2 2 3" xfId="291" xr:uid="{00000000-0005-0000-0000-00001F010000}"/>
    <cellStyle name="20% - Accent1 5 2 2 4 2 3" xfId="292" xr:uid="{00000000-0005-0000-0000-000020010000}"/>
    <cellStyle name="20% - Accent1 5 2 2 4 2 3 2" xfId="293" xr:uid="{00000000-0005-0000-0000-000021010000}"/>
    <cellStyle name="20% - Accent1 5 2 2 4 2 4" xfId="294" xr:uid="{00000000-0005-0000-0000-000022010000}"/>
    <cellStyle name="20% - Accent1 5 2 2 4 3" xfId="295" xr:uid="{00000000-0005-0000-0000-000023010000}"/>
    <cellStyle name="20% - Accent1 5 2 2 4 3 2" xfId="296" xr:uid="{00000000-0005-0000-0000-000024010000}"/>
    <cellStyle name="20% - Accent1 5 2 2 4 3 2 2" xfId="297" xr:uid="{00000000-0005-0000-0000-000025010000}"/>
    <cellStyle name="20% - Accent1 5 2 2 4 3 3" xfId="298" xr:uid="{00000000-0005-0000-0000-000026010000}"/>
    <cellStyle name="20% - Accent1 5 2 2 4 4" xfId="299" xr:uid="{00000000-0005-0000-0000-000027010000}"/>
    <cellStyle name="20% - Accent1 5 2 2 4 4 2" xfId="300" xr:uid="{00000000-0005-0000-0000-000028010000}"/>
    <cellStyle name="20% - Accent1 5 2 2 4 4 2 2" xfId="301" xr:uid="{00000000-0005-0000-0000-000029010000}"/>
    <cellStyle name="20% - Accent1 5 2 2 4 4 3" xfId="302" xr:uid="{00000000-0005-0000-0000-00002A010000}"/>
    <cellStyle name="20% - Accent1 5 2 2 4 5" xfId="303" xr:uid="{00000000-0005-0000-0000-00002B010000}"/>
    <cellStyle name="20% - Accent1 5 2 2 4 5 2" xfId="304" xr:uid="{00000000-0005-0000-0000-00002C010000}"/>
    <cellStyle name="20% - Accent1 5 2 2 4 5 2 2" xfId="305" xr:uid="{00000000-0005-0000-0000-00002D010000}"/>
    <cellStyle name="20% - Accent1 5 2 2 4 5 3" xfId="306" xr:uid="{00000000-0005-0000-0000-00002E010000}"/>
    <cellStyle name="20% - Accent1 5 2 2 4 6" xfId="307" xr:uid="{00000000-0005-0000-0000-00002F010000}"/>
    <cellStyle name="20% - Accent1 5 2 2 4 6 2" xfId="308" xr:uid="{00000000-0005-0000-0000-000030010000}"/>
    <cellStyle name="20% - Accent1 5 2 2 4 6 2 2" xfId="309" xr:uid="{00000000-0005-0000-0000-000031010000}"/>
    <cellStyle name="20% - Accent1 5 2 2 4 6 3" xfId="310" xr:uid="{00000000-0005-0000-0000-000032010000}"/>
    <cellStyle name="20% - Accent1 5 2 2 4 7" xfId="311" xr:uid="{00000000-0005-0000-0000-000033010000}"/>
    <cellStyle name="20% - Accent1 5 2 2 4 7 2" xfId="312" xr:uid="{00000000-0005-0000-0000-000034010000}"/>
    <cellStyle name="20% - Accent1 5 2 2 4 8" xfId="313" xr:uid="{00000000-0005-0000-0000-000035010000}"/>
    <cellStyle name="20% - Accent1 5 2 2 5" xfId="314" xr:uid="{00000000-0005-0000-0000-000036010000}"/>
    <cellStyle name="20% - Accent1 5 2 2 5 2" xfId="315" xr:uid="{00000000-0005-0000-0000-000037010000}"/>
    <cellStyle name="20% - Accent1 5 2 2 5 2 2" xfId="316" xr:uid="{00000000-0005-0000-0000-000038010000}"/>
    <cellStyle name="20% - Accent1 5 2 2 5 2 2 2" xfId="317" xr:uid="{00000000-0005-0000-0000-000039010000}"/>
    <cellStyle name="20% - Accent1 5 2 2 5 2 2 2 2" xfId="318" xr:uid="{00000000-0005-0000-0000-00003A010000}"/>
    <cellStyle name="20% - Accent1 5 2 2 5 2 2 3" xfId="319" xr:uid="{00000000-0005-0000-0000-00003B010000}"/>
    <cellStyle name="20% - Accent1 5 2 2 5 2 3" xfId="320" xr:uid="{00000000-0005-0000-0000-00003C010000}"/>
    <cellStyle name="20% - Accent1 5 2 2 5 2 3 2" xfId="321" xr:uid="{00000000-0005-0000-0000-00003D010000}"/>
    <cellStyle name="20% - Accent1 5 2 2 5 2 4" xfId="322" xr:uid="{00000000-0005-0000-0000-00003E010000}"/>
    <cellStyle name="20% - Accent1 5 2 2 5 3" xfId="323" xr:uid="{00000000-0005-0000-0000-00003F010000}"/>
    <cellStyle name="20% - Accent1 5 2 2 5 3 2" xfId="324" xr:uid="{00000000-0005-0000-0000-000040010000}"/>
    <cellStyle name="20% - Accent1 5 2 2 5 3 2 2" xfId="325" xr:uid="{00000000-0005-0000-0000-000041010000}"/>
    <cellStyle name="20% - Accent1 5 2 2 5 3 3" xfId="326" xr:uid="{00000000-0005-0000-0000-000042010000}"/>
    <cellStyle name="20% - Accent1 5 2 2 5 4" xfId="327" xr:uid="{00000000-0005-0000-0000-000043010000}"/>
    <cellStyle name="20% - Accent1 5 2 2 5 4 2" xfId="328" xr:uid="{00000000-0005-0000-0000-000044010000}"/>
    <cellStyle name="20% - Accent1 5 2 2 5 5" xfId="329" xr:uid="{00000000-0005-0000-0000-000045010000}"/>
    <cellStyle name="20% - Accent1 5 2 2 6" xfId="330" xr:uid="{00000000-0005-0000-0000-000046010000}"/>
    <cellStyle name="20% - Accent1 5 2 2 6 2" xfId="331" xr:uid="{00000000-0005-0000-0000-000047010000}"/>
    <cellStyle name="20% - Accent1 5 2 2 6 2 2" xfId="332" xr:uid="{00000000-0005-0000-0000-000048010000}"/>
    <cellStyle name="20% - Accent1 5 2 2 6 2 2 2" xfId="333" xr:uid="{00000000-0005-0000-0000-000049010000}"/>
    <cellStyle name="20% - Accent1 5 2 2 6 2 2 2 2" xfId="334" xr:uid="{00000000-0005-0000-0000-00004A010000}"/>
    <cellStyle name="20% - Accent1 5 2 2 6 2 2 3" xfId="335" xr:uid="{00000000-0005-0000-0000-00004B010000}"/>
    <cellStyle name="20% - Accent1 5 2 2 6 2 3" xfId="336" xr:uid="{00000000-0005-0000-0000-00004C010000}"/>
    <cellStyle name="20% - Accent1 5 2 2 6 2 3 2" xfId="337" xr:uid="{00000000-0005-0000-0000-00004D010000}"/>
    <cellStyle name="20% - Accent1 5 2 2 6 2 4" xfId="338" xr:uid="{00000000-0005-0000-0000-00004E010000}"/>
    <cellStyle name="20% - Accent1 5 2 2 6 3" xfId="339" xr:uid="{00000000-0005-0000-0000-00004F010000}"/>
    <cellStyle name="20% - Accent1 5 2 2 6 3 2" xfId="340" xr:uid="{00000000-0005-0000-0000-000050010000}"/>
    <cellStyle name="20% - Accent1 5 2 2 6 3 2 2" xfId="341" xr:uid="{00000000-0005-0000-0000-000051010000}"/>
    <cellStyle name="20% - Accent1 5 2 2 6 3 3" xfId="342" xr:uid="{00000000-0005-0000-0000-000052010000}"/>
    <cellStyle name="20% - Accent1 5 2 2 6 4" xfId="343" xr:uid="{00000000-0005-0000-0000-000053010000}"/>
    <cellStyle name="20% - Accent1 5 2 2 6 4 2" xfId="344" xr:uid="{00000000-0005-0000-0000-000054010000}"/>
    <cellStyle name="20% - Accent1 5 2 2 6 5" xfId="345" xr:uid="{00000000-0005-0000-0000-000055010000}"/>
    <cellStyle name="20% - Accent1 5 2 2 7" xfId="346" xr:uid="{00000000-0005-0000-0000-000056010000}"/>
    <cellStyle name="20% - Accent1 5 2 2 7 2" xfId="347" xr:uid="{00000000-0005-0000-0000-000057010000}"/>
    <cellStyle name="20% - Accent1 5 2 2 7 2 2" xfId="348" xr:uid="{00000000-0005-0000-0000-000058010000}"/>
    <cellStyle name="20% - Accent1 5 2 2 7 2 2 2" xfId="349" xr:uid="{00000000-0005-0000-0000-000059010000}"/>
    <cellStyle name="20% - Accent1 5 2 2 7 2 3" xfId="350" xr:uid="{00000000-0005-0000-0000-00005A010000}"/>
    <cellStyle name="20% - Accent1 5 2 2 7 3" xfId="351" xr:uid="{00000000-0005-0000-0000-00005B010000}"/>
    <cellStyle name="20% - Accent1 5 2 2 7 3 2" xfId="352" xr:uid="{00000000-0005-0000-0000-00005C010000}"/>
    <cellStyle name="20% - Accent1 5 2 2 7 4" xfId="353" xr:uid="{00000000-0005-0000-0000-00005D010000}"/>
    <cellStyle name="20% - Accent1 5 2 2 8" xfId="354" xr:uid="{00000000-0005-0000-0000-00005E010000}"/>
    <cellStyle name="20% - Accent1 5 2 2 8 2" xfId="355" xr:uid="{00000000-0005-0000-0000-00005F010000}"/>
    <cellStyle name="20% - Accent1 5 2 2 8 2 2" xfId="356" xr:uid="{00000000-0005-0000-0000-000060010000}"/>
    <cellStyle name="20% - Accent1 5 2 2 8 2 2 2" xfId="357" xr:uid="{00000000-0005-0000-0000-000061010000}"/>
    <cellStyle name="20% - Accent1 5 2 2 8 2 3" xfId="358" xr:uid="{00000000-0005-0000-0000-000062010000}"/>
    <cellStyle name="20% - Accent1 5 2 2 8 3" xfId="359" xr:uid="{00000000-0005-0000-0000-000063010000}"/>
    <cellStyle name="20% - Accent1 5 2 2 8 3 2" xfId="360" xr:uid="{00000000-0005-0000-0000-000064010000}"/>
    <cellStyle name="20% - Accent1 5 2 2 8 4" xfId="361" xr:uid="{00000000-0005-0000-0000-000065010000}"/>
    <cellStyle name="20% - Accent1 5 2 2 9" xfId="362" xr:uid="{00000000-0005-0000-0000-000066010000}"/>
    <cellStyle name="20% - Accent1 5 2 2 9 2" xfId="363" xr:uid="{00000000-0005-0000-0000-000067010000}"/>
    <cellStyle name="20% - Accent1 5 2 2 9 2 2" xfId="364" xr:uid="{00000000-0005-0000-0000-000068010000}"/>
    <cellStyle name="20% - Accent1 5 2 2 9 3" xfId="365" xr:uid="{00000000-0005-0000-0000-000069010000}"/>
    <cellStyle name="20% - Accent1 5 2 20" xfId="366" xr:uid="{00000000-0005-0000-0000-00006A010000}"/>
    <cellStyle name="20% - Accent1 5 2 3" xfId="367" xr:uid="{00000000-0005-0000-0000-00006B010000}"/>
    <cellStyle name="20% - Accent1 5 2 3 10" xfId="368" xr:uid="{00000000-0005-0000-0000-00006C010000}"/>
    <cellStyle name="20% - Accent1 5 2 3 10 2" xfId="369" xr:uid="{00000000-0005-0000-0000-00006D010000}"/>
    <cellStyle name="20% - Accent1 5 2 3 10 2 2" xfId="370" xr:uid="{00000000-0005-0000-0000-00006E010000}"/>
    <cellStyle name="20% - Accent1 5 2 3 10 3" xfId="371" xr:uid="{00000000-0005-0000-0000-00006F010000}"/>
    <cellStyle name="20% - Accent1 5 2 3 11" xfId="372" xr:uid="{00000000-0005-0000-0000-000070010000}"/>
    <cellStyle name="20% - Accent1 5 2 3 11 2" xfId="373" xr:uid="{00000000-0005-0000-0000-000071010000}"/>
    <cellStyle name="20% - Accent1 5 2 3 11 2 2" xfId="374" xr:uid="{00000000-0005-0000-0000-000072010000}"/>
    <cellStyle name="20% - Accent1 5 2 3 11 3" xfId="375" xr:uid="{00000000-0005-0000-0000-000073010000}"/>
    <cellStyle name="20% - Accent1 5 2 3 12" xfId="376" xr:uid="{00000000-0005-0000-0000-000074010000}"/>
    <cellStyle name="20% - Accent1 5 2 3 12 2" xfId="377" xr:uid="{00000000-0005-0000-0000-000075010000}"/>
    <cellStyle name="20% - Accent1 5 2 3 12 2 2" xfId="378" xr:uid="{00000000-0005-0000-0000-000076010000}"/>
    <cellStyle name="20% - Accent1 5 2 3 12 3" xfId="379" xr:uid="{00000000-0005-0000-0000-000077010000}"/>
    <cellStyle name="20% - Accent1 5 2 3 13" xfId="380" xr:uid="{00000000-0005-0000-0000-000078010000}"/>
    <cellStyle name="20% - Accent1 5 2 3 13 2" xfId="381" xr:uid="{00000000-0005-0000-0000-000079010000}"/>
    <cellStyle name="20% - Accent1 5 2 3 14" xfId="382" xr:uid="{00000000-0005-0000-0000-00007A010000}"/>
    <cellStyle name="20% - Accent1 5 2 3 2" xfId="383" xr:uid="{00000000-0005-0000-0000-00007B010000}"/>
    <cellStyle name="20% - Accent1 5 2 3 2 2" xfId="384" xr:uid="{00000000-0005-0000-0000-00007C010000}"/>
    <cellStyle name="20% - Accent1 5 2 3 2 2 2" xfId="385" xr:uid="{00000000-0005-0000-0000-00007D010000}"/>
    <cellStyle name="20% - Accent1 5 2 3 2 2 2 2" xfId="386" xr:uid="{00000000-0005-0000-0000-00007E010000}"/>
    <cellStyle name="20% - Accent1 5 2 3 2 2 2 2 2" xfId="387" xr:uid="{00000000-0005-0000-0000-00007F010000}"/>
    <cellStyle name="20% - Accent1 5 2 3 2 2 2 3" xfId="388" xr:uid="{00000000-0005-0000-0000-000080010000}"/>
    <cellStyle name="20% - Accent1 5 2 3 2 2 3" xfId="389" xr:uid="{00000000-0005-0000-0000-000081010000}"/>
    <cellStyle name="20% - Accent1 5 2 3 2 2 3 2" xfId="390" xr:uid="{00000000-0005-0000-0000-000082010000}"/>
    <cellStyle name="20% - Accent1 5 2 3 2 2 4" xfId="391" xr:uid="{00000000-0005-0000-0000-000083010000}"/>
    <cellStyle name="20% - Accent1 5 2 3 2 3" xfId="392" xr:uid="{00000000-0005-0000-0000-000084010000}"/>
    <cellStyle name="20% - Accent1 5 2 3 2 3 2" xfId="393" xr:uid="{00000000-0005-0000-0000-000085010000}"/>
    <cellStyle name="20% - Accent1 5 2 3 2 3 2 2" xfId="394" xr:uid="{00000000-0005-0000-0000-000086010000}"/>
    <cellStyle name="20% - Accent1 5 2 3 2 3 3" xfId="395" xr:uid="{00000000-0005-0000-0000-000087010000}"/>
    <cellStyle name="20% - Accent1 5 2 3 2 4" xfId="396" xr:uid="{00000000-0005-0000-0000-000088010000}"/>
    <cellStyle name="20% - Accent1 5 2 3 2 4 2" xfId="397" xr:uid="{00000000-0005-0000-0000-000089010000}"/>
    <cellStyle name="20% - Accent1 5 2 3 2 4 2 2" xfId="398" xr:uid="{00000000-0005-0000-0000-00008A010000}"/>
    <cellStyle name="20% - Accent1 5 2 3 2 4 3" xfId="399" xr:uid="{00000000-0005-0000-0000-00008B010000}"/>
    <cellStyle name="20% - Accent1 5 2 3 2 5" xfId="400" xr:uid="{00000000-0005-0000-0000-00008C010000}"/>
    <cellStyle name="20% - Accent1 5 2 3 2 5 2" xfId="401" xr:uid="{00000000-0005-0000-0000-00008D010000}"/>
    <cellStyle name="20% - Accent1 5 2 3 2 5 2 2" xfId="402" xr:uid="{00000000-0005-0000-0000-00008E010000}"/>
    <cellStyle name="20% - Accent1 5 2 3 2 5 3" xfId="403" xr:uid="{00000000-0005-0000-0000-00008F010000}"/>
    <cellStyle name="20% - Accent1 5 2 3 2 6" xfId="404" xr:uid="{00000000-0005-0000-0000-000090010000}"/>
    <cellStyle name="20% - Accent1 5 2 3 2 6 2" xfId="405" xr:uid="{00000000-0005-0000-0000-000091010000}"/>
    <cellStyle name="20% - Accent1 5 2 3 2 6 2 2" xfId="406" xr:uid="{00000000-0005-0000-0000-000092010000}"/>
    <cellStyle name="20% - Accent1 5 2 3 2 6 3" xfId="407" xr:uid="{00000000-0005-0000-0000-000093010000}"/>
    <cellStyle name="20% - Accent1 5 2 3 2 7" xfId="408" xr:uid="{00000000-0005-0000-0000-000094010000}"/>
    <cellStyle name="20% - Accent1 5 2 3 2 7 2" xfId="409" xr:uid="{00000000-0005-0000-0000-000095010000}"/>
    <cellStyle name="20% - Accent1 5 2 3 2 8" xfId="410" xr:uid="{00000000-0005-0000-0000-000096010000}"/>
    <cellStyle name="20% - Accent1 5 2 3 3" xfId="411" xr:uid="{00000000-0005-0000-0000-000097010000}"/>
    <cellStyle name="20% - Accent1 5 2 3 3 2" xfId="412" xr:uid="{00000000-0005-0000-0000-000098010000}"/>
    <cellStyle name="20% - Accent1 5 2 3 3 2 2" xfId="413" xr:uid="{00000000-0005-0000-0000-000099010000}"/>
    <cellStyle name="20% - Accent1 5 2 3 3 2 2 2" xfId="414" xr:uid="{00000000-0005-0000-0000-00009A010000}"/>
    <cellStyle name="20% - Accent1 5 2 3 3 2 2 2 2" xfId="415" xr:uid="{00000000-0005-0000-0000-00009B010000}"/>
    <cellStyle name="20% - Accent1 5 2 3 3 2 2 3" xfId="416" xr:uid="{00000000-0005-0000-0000-00009C010000}"/>
    <cellStyle name="20% - Accent1 5 2 3 3 2 3" xfId="417" xr:uid="{00000000-0005-0000-0000-00009D010000}"/>
    <cellStyle name="20% - Accent1 5 2 3 3 2 3 2" xfId="418" xr:uid="{00000000-0005-0000-0000-00009E010000}"/>
    <cellStyle name="20% - Accent1 5 2 3 3 2 4" xfId="419" xr:uid="{00000000-0005-0000-0000-00009F010000}"/>
    <cellStyle name="20% - Accent1 5 2 3 3 3" xfId="420" xr:uid="{00000000-0005-0000-0000-0000A0010000}"/>
    <cellStyle name="20% - Accent1 5 2 3 3 3 2" xfId="421" xr:uid="{00000000-0005-0000-0000-0000A1010000}"/>
    <cellStyle name="20% - Accent1 5 2 3 3 3 2 2" xfId="422" xr:uid="{00000000-0005-0000-0000-0000A2010000}"/>
    <cellStyle name="20% - Accent1 5 2 3 3 3 3" xfId="423" xr:uid="{00000000-0005-0000-0000-0000A3010000}"/>
    <cellStyle name="20% - Accent1 5 2 3 3 4" xfId="424" xr:uid="{00000000-0005-0000-0000-0000A4010000}"/>
    <cellStyle name="20% - Accent1 5 2 3 3 4 2" xfId="425" xr:uid="{00000000-0005-0000-0000-0000A5010000}"/>
    <cellStyle name="20% - Accent1 5 2 3 3 4 2 2" xfId="426" xr:uid="{00000000-0005-0000-0000-0000A6010000}"/>
    <cellStyle name="20% - Accent1 5 2 3 3 4 3" xfId="427" xr:uid="{00000000-0005-0000-0000-0000A7010000}"/>
    <cellStyle name="20% - Accent1 5 2 3 3 5" xfId="428" xr:uid="{00000000-0005-0000-0000-0000A8010000}"/>
    <cellStyle name="20% - Accent1 5 2 3 3 5 2" xfId="429" xr:uid="{00000000-0005-0000-0000-0000A9010000}"/>
    <cellStyle name="20% - Accent1 5 2 3 3 5 2 2" xfId="430" xr:uid="{00000000-0005-0000-0000-0000AA010000}"/>
    <cellStyle name="20% - Accent1 5 2 3 3 5 3" xfId="431" xr:uid="{00000000-0005-0000-0000-0000AB010000}"/>
    <cellStyle name="20% - Accent1 5 2 3 3 6" xfId="432" xr:uid="{00000000-0005-0000-0000-0000AC010000}"/>
    <cellStyle name="20% - Accent1 5 2 3 3 6 2" xfId="433" xr:uid="{00000000-0005-0000-0000-0000AD010000}"/>
    <cellStyle name="20% - Accent1 5 2 3 3 6 2 2" xfId="434" xr:uid="{00000000-0005-0000-0000-0000AE010000}"/>
    <cellStyle name="20% - Accent1 5 2 3 3 6 3" xfId="435" xr:uid="{00000000-0005-0000-0000-0000AF010000}"/>
    <cellStyle name="20% - Accent1 5 2 3 3 7" xfId="436" xr:uid="{00000000-0005-0000-0000-0000B0010000}"/>
    <cellStyle name="20% - Accent1 5 2 3 3 7 2" xfId="437" xr:uid="{00000000-0005-0000-0000-0000B1010000}"/>
    <cellStyle name="20% - Accent1 5 2 3 3 8" xfId="438" xr:uid="{00000000-0005-0000-0000-0000B2010000}"/>
    <cellStyle name="20% - Accent1 5 2 3 4" xfId="439" xr:uid="{00000000-0005-0000-0000-0000B3010000}"/>
    <cellStyle name="20% - Accent1 5 2 3 4 2" xfId="440" xr:uid="{00000000-0005-0000-0000-0000B4010000}"/>
    <cellStyle name="20% - Accent1 5 2 3 4 2 2" xfId="441" xr:uid="{00000000-0005-0000-0000-0000B5010000}"/>
    <cellStyle name="20% - Accent1 5 2 3 4 2 2 2" xfId="442" xr:uid="{00000000-0005-0000-0000-0000B6010000}"/>
    <cellStyle name="20% - Accent1 5 2 3 4 2 2 2 2" xfId="443" xr:uid="{00000000-0005-0000-0000-0000B7010000}"/>
    <cellStyle name="20% - Accent1 5 2 3 4 2 2 3" xfId="444" xr:uid="{00000000-0005-0000-0000-0000B8010000}"/>
    <cellStyle name="20% - Accent1 5 2 3 4 2 3" xfId="445" xr:uid="{00000000-0005-0000-0000-0000B9010000}"/>
    <cellStyle name="20% - Accent1 5 2 3 4 2 3 2" xfId="446" xr:uid="{00000000-0005-0000-0000-0000BA010000}"/>
    <cellStyle name="20% - Accent1 5 2 3 4 2 4" xfId="447" xr:uid="{00000000-0005-0000-0000-0000BB010000}"/>
    <cellStyle name="20% - Accent1 5 2 3 4 3" xfId="448" xr:uid="{00000000-0005-0000-0000-0000BC010000}"/>
    <cellStyle name="20% - Accent1 5 2 3 4 3 2" xfId="449" xr:uid="{00000000-0005-0000-0000-0000BD010000}"/>
    <cellStyle name="20% - Accent1 5 2 3 4 3 2 2" xfId="450" xr:uid="{00000000-0005-0000-0000-0000BE010000}"/>
    <cellStyle name="20% - Accent1 5 2 3 4 3 3" xfId="451" xr:uid="{00000000-0005-0000-0000-0000BF010000}"/>
    <cellStyle name="20% - Accent1 5 2 3 4 4" xfId="452" xr:uid="{00000000-0005-0000-0000-0000C0010000}"/>
    <cellStyle name="20% - Accent1 5 2 3 4 4 2" xfId="453" xr:uid="{00000000-0005-0000-0000-0000C1010000}"/>
    <cellStyle name="20% - Accent1 5 2 3 4 4 2 2" xfId="454" xr:uid="{00000000-0005-0000-0000-0000C2010000}"/>
    <cellStyle name="20% - Accent1 5 2 3 4 4 3" xfId="455" xr:uid="{00000000-0005-0000-0000-0000C3010000}"/>
    <cellStyle name="20% - Accent1 5 2 3 4 5" xfId="456" xr:uid="{00000000-0005-0000-0000-0000C4010000}"/>
    <cellStyle name="20% - Accent1 5 2 3 4 5 2" xfId="457" xr:uid="{00000000-0005-0000-0000-0000C5010000}"/>
    <cellStyle name="20% - Accent1 5 2 3 4 5 2 2" xfId="458" xr:uid="{00000000-0005-0000-0000-0000C6010000}"/>
    <cellStyle name="20% - Accent1 5 2 3 4 5 3" xfId="459" xr:uid="{00000000-0005-0000-0000-0000C7010000}"/>
    <cellStyle name="20% - Accent1 5 2 3 4 6" xfId="460" xr:uid="{00000000-0005-0000-0000-0000C8010000}"/>
    <cellStyle name="20% - Accent1 5 2 3 4 6 2" xfId="461" xr:uid="{00000000-0005-0000-0000-0000C9010000}"/>
    <cellStyle name="20% - Accent1 5 2 3 4 6 2 2" xfId="462" xr:uid="{00000000-0005-0000-0000-0000CA010000}"/>
    <cellStyle name="20% - Accent1 5 2 3 4 6 3" xfId="463" xr:uid="{00000000-0005-0000-0000-0000CB010000}"/>
    <cellStyle name="20% - Accent1 5 2 3 4 7" xfId="464" xr:uid="{00000000-0005-0000-0000-0000CC010000}"/>
    <cellStyle name="20% - Accent1 5 2 3 4 7 2" xfId="465" xr:uid="{00000000-0005-0000-0000-0000CD010000}"/>
    <cellStyle name="20% - Accent1 5 2 3 4 8" xfId="466" xr:uid="{00000000-0005-0000-0000-0000CE010000}"/>
    <cellStyle name="20% - Accent1 5 2 3 5" xfId="467" xr:uid="{00000000-0005-0000-0000-0000CF010000}"/>
    <cellStyle name="20% - Accent1 5 2 3 5 2" xfId="468" xr:uid="{00000000-0005-0000-0000-0000D0010000}"/>
    <cellStyle name="20% - Accent1 5 2 3 5 2 2" xfId="469" xr:uid="{00000000-0005-0000-0000-0000D1010000}"/>
    <cellStyle name="20% - Accent1 5 2 3 5 2 2 2" xfId="470" xr:uid="{00000000-0005-0000-0000-0000D2010000}"/>
    <cellStyle name="20% - Accent1 5 2 3 5 2 2 2 2" xfId="471" xr:uid="{00000000-0005-0000-0000-0000D3010000}"/>
    <cellStyle name="20% - Accent1 5 2 3 5 2 2 3" xfId="472" xr:uid="{00000000-0005-0000-0000-0000D4010000}"/>
    <cellStyle name="20% - Accent1 5 2 3 5 2 3" xfId="473" xr:uid="{00000000-0005-0000-0000-0000D5010000}"/>
    <cellStyle name="20% - Accent1 5 2 3 5 2 3 2" xfId="474" xr:uid="{00000000-0005-0000-0000-0000D6010000}"/>
    <cellStyle name="20% - Accent1 5 2 3 5 2 4" xfId="475" xr:uid="{00000000-0005-0000-0000-0000D7010000}"/>
    <cellStyle name="20% - Accent1 5 2 3 5 3" xfId="476" xr:uid="{00000000-0005-0000-0000-0000D8010000}"/>
    <cellStyle name="20% - Accent1 5 2 3 5 3 2" xfId="477" xr:uid="{00000000-0005-0000-0000-0000D9010000}"/>
    <cellStyle name="20% - Accent1 5 2 3 5 3 2 2" xfId="478" xr:uid="{00000000-0005-0000-0000-0000DA010000}"/>
    <cellStyle name="20% - Accent1 5 2 3 5 3 3" xfId="479" xr:uid="{00000000-0005-0000-0000-0000DB010000}"/>
    <cellStyle name="20% - Accent1 5 2 3 5 4" xfId="480" xr:uid="{00000000-0005-0000-0000-0000DC010000}"/>
    <cellStyle name="20% - Accent1 5 2 3 5 4 2" xfId="481" xr:uid="{00000000-0005-0000-0000-0000DD010000}"/>
    <cellStyle name="20% - Accent1 5 2 3 5 5" xfId="482" xr:uid="{00000000-0005-0000-0000-0000DE010000}"/>
    <cellStyle name="20% - Accent1 5 2 3 6" xfId="483" xr:uid="{00000000-0005-0000-0000-0000DF010000}"/>
    <cellStyle name="20% - Accent1 5 2 3 6 2" xfId="484" xr:uid="{00000000-0005-0000-0000-0000E0010000}"/>
    <cellStyle name="20% - Accent1 5 2 3 6 2 2" xfId="485" xr:uid="{00000000-0005-0000-0000-0000E1010000}"/>
    <cellStyle name="20% - Accent1 5 2 3 6 2 2 2" xfId="486" xr:uid="{00000000-0005-0000-0000-0000E2010000}"/>
    <cellStyle name="20% - Accent1 5 2 3 6 2 2 2 2" xfId="487" xr:uid="{00000000-0005-0000-0000-0000E3010000}"/>
    <cellStyle name="20% - Accent1 5 2 3 6 2 2 3" xfId="488" xr:uid="{00000000-0005-0000-0000-0000E4010000}"/>
    <cellStyle name="20% - Accent1 5 2 3 6 2 3" xfId="489" xr:uid="{00000000-0005-0000-0000-0000E5010000}"/>
    <cellStyle name="20% - Accent1 5 2 3 6 2 3 2" xfId="490" xr:uid="{00000000-0005-0000-0000-0000E6010000}"/>
    <cellStyle name="20% - Accent1 5 2 3 6 2 4" xfId="491" xr:uid="{00000000-0005-0000-0000-0000E7010000}"/>
    <cellStyle name="20% - Accent1 5 2 3 6 3" xfId="492" xr:uid="{00000000-0005-0000-0000-0000E8010000}"/>
    <cellStyle name="20% - Accent1 5 2 3 6 3 2" xfId="493" xr:uid="{00000000-0005-0000-0000-0000E9010000}"/>
    <cellStyle name="20% - Accent1 5 2 3 6 3 2 2" xfId="494" xr:uid="{00000000-0005-0000-0000-0000EA010000}"/>
    <cellStyle name="20% - Accent1 5 2 3 6 3 3" xfId="495" xr:uid="{00000000-0005-0000-0000-0000EB010000}"/>
    <cellStyle name="20% - Accent1 5 2 3 6 4" xfId="496" xr:uid="{00000000-0005-0000-0000-0000EC010000}"/>
    <cellStyle name="20% - Accent1 5 2 3 6 4 2" xfId="497" xr:uid="{00000000-0005-0000-0000-0000ED010000}"/>
    <cellStyle name="20% - Accent1 5 2 3 6 5" xfId="498" xr:uid="{00000000-0005-0000-0000-0000EE010000}"/>
    <cellStyle name="20% - Accent1 5 2 3 7" xfId="499" xr:uid="{00000000-0005-0000-0000-0000EF010000}"/>
    <cellStyle name="20% - Accent1 5 2 3 7 2" xfId="500" xr:uid="{00000000-0005-0000-0000-0000F0010000}"/>
    <cellStyle name="20% - Accent1 5 2 3 7 2 2" xfId="501" xr:uid="{00000000-0005-0000-0000-0000F1010000}"/>
    <cellStyle name="20% - Accent1 5 2 3 7 2 2 2" xfId="502" xr:uid="{00000000-0005-0000-0000-0000F2010000}"/>
    <cellStyle name="20% - Accent1 5 2 3 7 2 3" xfId="503" xr:uid="{00000000-0005-0000-0000-0000F3010000}"/>
    <cellStyle name="20% - Accent1 5 2 3 7 3" xfId="504" xr:uid="{00000000-0005-0000-0000-0000F4010000}"/>
    <cellStyle name="20% - Accent1 5 2 3 7 3 2" xfId="505" xr:uid="{00000000-0005-0000-0000-0000F5010000}"/>
    <cellStyle name="20% - Accent1 5 2 3 7 4" xfId="506" xr:uid="{00000000-0005-0000-0000-0000F6010000}"/>
    <cellStyle name="20% - Accent1 5 2 3 8" xfId="507" xr:uid="{00000000-0005-0000-0000-0000F7010000}"/>
    <cellStyle name="20% - Accent1 5 2 3 8 2" xfId="508" xr:uid="{00000000-0005-0000-0000-0000F8010000}"/>
    <cellStyle name="20% - Accent1 5 2 3 8 2 2" xfId="509" xr:uid="{00000000-0005-0000-0000-0000F9010000}"/>
    <cellStyle name="20% - Accent1 5 2 3 8 2 2 2" xfId="510" xr:uid="{00000000-0005-0000-0000-0000FA010000}"/>
    <cellStyle name="20% - Accent1 5 2 3 8 2 3" xfId="511" xr:uid="{00000000-0005-0000-0000-0000FB010000}"/>
    <cellStyle name="20% - Accent1 5 2 3 8 3" xfId="512" xr:uid="{00000000-0005-0000-0000-0000FC010000}"/>
    <cellStyle name="20% - Accent1 5 2 3 8 3 2" xfId="513" xr:uid="{00000000-0005-0000-0000-0000FD010000}"/>
    <cellStyle name="20% - Accent1 5 2 3 8 4" xfId="514" xr:uid="{00000000-0005-0000-0000-0000FE010000}"/>
    <cellStyle name="20% - Accent1 5 2 3 9" xfId="515" xr:uid="{00000000-0005-0000-0000-0000FF010000}"/>
    <cellStyle name="20% - Accent1 5 2 3 9 2" xfId="516" xr:uid="{00000000-0005-0000-0000-000000020000}"/>
    <cellStyle name="20% - Accent1 5 2 3 9 2 2" xfId="517" xr:uid="{00000000-0005-0000-0000-000001020000}"/>
    <cellStyle name="20% - Accent1 5 2 3 9 3" xfId="518" xr:uid="{00000000-0005-0000-0000-000002020000}"/>
    <cellStyle name="20% - Accent1 5 2 4" xfId="519" xr:uid="{00000000-0005-0000-0000-000003020000}"/>
    <cellStyle name="20% - Accent1 5 2 4 10" xfId="520" xr:uid="{00000000-0005-0000-0000-000004020000}"/>
    <cellStyle name="20% - Accent1 5 2 4 10 2" xfId="521" xr:uid="{00000000-0005-0000-0000-000005020000}"/>
    <cellStyle name="20% - Accent1 5 2 4 10 2 2" xfId="522" xr:uid="{00000000-0005-0000-0000-000006020000}"/>
    <cellStyle name="20% - Accent1 5 2 4 10 3" xfId="523" xr:uid="{00000000-0005-0000-0000-000007020000}"/>
    <cellStyle name="20% - Accent1 5 2 4 11" xfId="524" xr:uid="{00000000-0005-0000-0000-000008020000}"/>
    <cellStyle name="20% - Accent1 5 2 4 11 2" xfId="525" xr:uid="{00000000-0005-0000-0000-000009020000}"/>
    <cellStyle name="20% - Accent1 5 2 4 11 2 2" xfId="526" xr:uid="{00000000-0005-0000-0000-00000A020000}"/>
    <cellStyle name="20% - Accent1 5 2 4 11 3" xfId="527" xr:uid="{00000000-0005-0000-0000-00000B020000}"/>
    <cellStyle name="20% - Accent1 5 2 4 12" xfId="528" xr:uid="{00000000-0005-0000-0000-00000C020000}"/>
    <cellStyle name="20% - Accent1 5 2 4 12 2" xfId="529" xr:uid="{00000000-0005-0000-0000-00000D020000}"/>
    <cellStyle name="20% - Accent1 5 2 4 12 2 2" xfId="530" xr:uid="{00000000-0005-0000-0000-00000E020000}"/>
    <cellStyle name="20% - Accent1 5 2 4 12 3" xfId="531" xr:uid="{00000000-0005-0000-0000-00000F020000}"/>
    <cellStyle name="20% - Accent1 5 2 4 13" xfId="532" xr:uid="{00000000-0005-0000-0000-000010020000}"/>
    <cellStyle name="20% - Accent1 5 2 4 13 2" xfId="533" xr:uid="{00000000-0005-0000-0000-000011020000}"/>
    <cellStyle name="20% - Accent1 5 2 4 14" xfId="534" xr:uid="{00000000-0005-0000-0000-000012020000}"/>
    <cellStyle name="20% - Accent1 5 2 4 2" xfId="535" xr:uid="{00000000-0005-0000-0000-000013020000}"/>
    <cellStyle name="20% - Accent1 5 2 4 2 2" xfId="536" xr:uid="{00000000-0005-0000-0000-000014020000}"/>
    <cellStyle name="20% - Accent1 5 2 4 2 2 2" xfId="537" xr:uid="{00000000-0005-0000-0000-000015020000}"/>
    <cellStyle name="20% - Accent1 5 2 4 2 2 2 2" xfId="538" xr:uid="{00000000-0005-0000-0000-000016020000}"/>
    <cellStyle name="20% - Accent1 5 2 4 2 2 2 2 2" xfId="539" xr:uid="{00000000-0005-0000-0000-000017020000}"/>
    <cellStyle name="20% - Accent1 5 2 4 2 2 2 3" xfId="540" xr:uid="{00000000-0005-0000-0000-000018020000}"/>
    <cellStyle name="20% - Accent1 5 2 4 2 2 3" xfId="541" xr:uid="{00000000-0005-0000-0000-000019020000}"/>
    <cellStyle name="20% - Accent1 5 2 4 2 2 3 2" xfId="542" xr:uid="{00000000-0005-0000-0000-00001A020000}"/>
    <cellStyle name="20% - Accent1 5 2 4 2 2 4" xfId="543" xr:uid="{00000000-0005-0000-0000-00001B020000}"/>
    <cellStyle name="20% - Accent1 5 2 4 2 3" xfId="544" xr:uid="{00000000-0005-0000-0000-00001C020000}"/>
    <cellStyle name="20% - Accent1 5 2 4 2 3 2" xfId="545" xr:uid="{00000000-0005-0000-0000-00001D020000}"/>
    <cellStyle name="20% - Accent1 5 2 4 2 3 2 2" xfId="546" xr:uid="{00000000-0005-0000-0000-00001E020000}"/>
    <cellStyle name="20% - Accent1 5 2 4 2 3 3" xfId="547" xr:uid="{00000000-0005-0000-0000-00001F020000}"/>
    <cellStyle name="20% - Accent1 5 2 4 2 4" xfId="548" xr:uid="{00000000-0005-0000-0000-000020020000}"/>
    <cellStyle name="20% - Accent1 5 2 4 2 4 2" xfId="549" xr:uid="{00000000-0005-0000-0000-000021020000}"/>
    <cellStyle name="20% - Accent1 5 2 4 2 4 2 2" xfId="550" xr:uid="{00000000-0005-0000-0000-000022020000}"/>
    <cellStyle name="20% - Accent1 5 2 4 2 4 3" xfId="551" xr:uid="{00000000-0005-0000-0000-000023020000}"/>
    <cellStyle name="20% - Accent1 5 2 4 2 5" xfId="552" xr:uid="{00000000-0005-0000-0000-000024020000}"/>
    <cellStyle name="20% - Accent1 5 2 4 2 5 2" xfId="553" xr:uid="{00000000-0005-0000-0000-000025020000}"/>
    <cellStyle name="20% - Accent1 5 2 4 2 5 2 2" xfId="554" xr:uid="{00000000-0005-0000-0000-000026020000}"/>
    <cellStyle name="20% - Accent1 5 2 4 2 5 3" xfId="555" xr:uid="{00000000-0005-0000-0000-000027020000}"/>
    <cellStyle name="20% - Accent1 5 2 4 2 6" xfId="556" xr:uid="{00000000-0005-0000-0000-000028020000}"/>
    <cellStyle name="20% - Accent1 5 2 4 2 6 2" xfId="557" xr:uid="{00000000-0005-0000-0000-000029020000}"/>
    <cellStyle name="20% - Accent1 5 2 4 2 6 2 2" xfId="558" xr:uid="{00000000-0005-0000-0000-00002A020000}"/>
    <cellStyle name="20% - Accent1 5 2 4 2 6 3" xfId="559" xr:uid="{00000000-0005-0000-0000-00002B020000}"/>
    <cellStyle name="20% - Accent1 5 2 4 2 7" xfId="560" xr:uid="{00000000-0005-0000-0000-00002C020000}"/>
    <cellStyle name="20% - Accent1 5 2 4 2 7 2" xfId="561" xr:uid="{00000000-0005-0000-0000-00002D020000}"/>
    <cellStyle name="20% - Accent1 5 2 4 2 8" xfId="562" xr:uid="{00000000-0005-0000-0000-00002E020000}"/>
    <cellStyle name="20% - Accent1 5 2 4 3" xfId="563" xr:uid="{00000000-0005-0000-0000-00002F020000}"/>
    <cellStyle name="20% - Accent1 5 2 4 3 2" xfId="564" xr:uid="{00000000-0005-0000-0000-000030020000}"/>
    <cellStyle name="20% - Accent1 5 2 4 3 2 2" xfId="565" xr:uid="{00000000-0005-0000-0000-000031020000}"/>
    <cellStyle name="20% - Accent1 5 2 4 3 2 2 2" xfId="566" xr:uid="{00000000-0005-0000-0000-000032020000}"/>
    <cellStyle name="20% - Accent1 5 2 4 3 2 2 2 2" xfId="567" xr:uid="{00000000-0005-0000-0000-000033020000}"/>
    <cellStyle name="20% - Accent1 5 2 4 3 2 2 3" xfId="568" xr:uid="{00000000-0005-0000-0000-000034020000}"/>
    <cellStyle name="20% - Accent1 5 2 4 3 2 3" xfId="569" xr:uid="{00000000-0005-0000-0000-000035020000}"/>
    <cellStyle name="20% - Accent1 5 2 4 3 2 3 2" xfId="570" xr:uid="{00000000-0005-0000-0000-000036020000}"/>
    <cellStyle name="20% - Accent1 5 2 4 3 2 4" xfId="571" xr:uid="{00000000-0005-0000-0000-000037020000}"/>
    <cellStyle name="20% - Accent1 5 2 4 3 3" xfId="572" xr:uid="{00000000-0005-0000-0000-000038020000}"/>
    <cellStyle name="20% - Accent1 5 2 4 3 3 2" xfId="573" xr:uid="{00000000-0005-0000-0000-000039020000}"/>
    <cellStyle name="20% - Accent1 5 2 4 3 3 2 2" xfId="574" xr:uid="{00000000-0005-0000-0000-00003A020000}"/>
    <cellStyle name="20% - Accent1 5 2 4 3 3 3" xfId="575" xr:uid="{00000000-0005-0000-0000-00003B020000}"/>
    <cellStyle name="20% - Accent1 5 2 4 3 4" xfId="576" xr:uid="{00000000-0005-0000-0000-00003C020000}"/>
    <cellStyle name="20% - Accent1 5 2 4 3 4 2" xfId="577" xr:uid="{00000000-0005-0000-0000-00003D020000}"/>
    <cellStyle name="20% - Accent1 5 2 4 3 4 2 2" xfId="578" xr:uid="{00000000-0005-0000-0000-00003E020000}"/>
    <cellStyle name="20% - Accent1 5 2 4 3 4 3" xfId="579" xr:uid="{00000000-0005-0000-0000-00003F020000}"/>
    <cellStyle name="20% - Accent1 5 2 4 3 5" xfId="580" xr:uid="{00000000-0005-0000-0000-000040020000}"/>
    <cellStyle name="20% - Accent1 5 2 4 3 5 2" xfId="581" xr:uid="{00000000-0005-0000-0000-000041020000}"/>
    <cellStyle name="20% - Accent1 5 2 4 3 5 2 2" xfId="582" xr:uid="{00000000-0005-0000-0000-000042020000}"/>
    <cellStyle name="20% - Accent1 5 2 4 3 5 3" xfId="583" xr:uid="{00000000-0005-0000-0000-000043020000}"/>
    <cellStyle name="20% - Accent1 5 2 4 3 6" xfId="584" xr:uid="{00000000-0005-0000-0000-000044020000}"/>
    <cellStyle name="20% - Accent1 5 2 4 3 6 2" xfId="585" xr:uid="{00000000-0005-0000-0000-000045020000}"/>
    <cellStyle name="20% - Accent1 5 2 4 3 6 2 2" xfId="586" xr:uid="{00000000-0005-0000-0000-000046020000}"/>
    <cellStyle name="20% - Accent1 5 2 4 3 6 3" xfId="587" xr:uid="{00000000-0005-0000-0000-000047020000}"/>
    <cellStyle name="20% - Accent1 5 2 4 3 7" xfId="588" xr:uid="{00000000-0005-0000-0000-000048020000}"/>
    <cellStyle name="20% - Accent1 5 2 4 3 7 2" xfId="589" xr:uid="{00000000-0005-0000-0000-000049020000}"/>
    <cellStyle name="20% - Accent1 5 2 4 3 8" xfId="590" xr:uid="{00000000-0005-0000-0000-00004A020000}"/>
    <cellStyle name="20% - Accent1 5 2 4 4" xfId="591" xr:uid="{00000000-0005-0000-0000-00004B020000}"/>
    <cellStyle name="20% - Accent1 5 2 4 4 2" xfId="592" xr:uid="{00000000-0005-0000-0000-00004C020000}"/>
    <cellStyle name="20% - Accent1 5 2 4 4 2 2" xfId="593" xr:uid="{00000000-0005-0000-0000-00004D020000}"/>
    <cellStyle name="20% - Accent1 5 2 4 4 2 2 2" xfId="594" xr:uid="{00000000-0005-0000-0000-00004E020000}"/>
    <cellStyle name="20% - Accent1 5 2 4 4 2 2 2 2" xfId="595" xr:uid="{00000000-0005-0000-0000-00004F020000}"/>
    <cellStyle name="20% - Accent1 5 2 4 4 2 2 3" xfId="596" xr:uid="{00000000-0005-0000-0000-000050020000}"/>
    <cellStyle name="20% - Accent1 5 2 4 4 2 3" xfId="597" xr:uid="{00000000-0005-0000-0000-000051020000}"/>
    <cellStyle name="20% - Accent1 5 2 4 4 2 3 2" xfId="598" xr:uid="{00000000-0005-0000-0000-000052020000}"/>
    <cellStyle name="20% - Accent1 5 2 4 4 2 4" xfId="599" xr:uid="{00000000-0005-0000-0000-000053020000}"/>
    <cellStyle name="20% - Accent1 5 2 4 4 3" xfId="600" xr:uid="{00000000-0005-0000-0000-000054020000}"/>
    <cellStyle name="20% - Accent1 5 2 4 4 3 2" xfId="601" xr:uid="{00000000-0005-0000-0000-000055020000}"/>
    <cellStyle name="20% - Accent1 5 2 4 4 3 2 2" xfId="602" xr:uid="{00000000-0005-0000-0000-000056020000}"/>
    <cellStyle name="20% - Accent1 5 2 4 4 3 3" xfId="603" xr:uid="{00000000-0005-0000-0000-000057020000}"/>
    <cellStyle name="20% - Accent1 5 2 4 4 4" xfId="604" xr:uid="{00000000-0005-0000-0000-000058020000}"/>
    <cellStyle name="20% - Accent1 5 2 4 4 4 2" xfId="605" xr:uid="{00000000-0005-0000-0000-000059020000}"/>
    <cellStyle name="20% - Accent1 5 2 4 4 4 2 2" xfId="606" xr:uid="{00000000-0005-0000-0000-00005A020000}"/>
    <cellStyle name="20% - Accent1 5 2 4 4 4 3" xfId="607" xr:uid="{00000000-0005-0000-0000-00005B020000}"/>
    <cellStyle name="20% - Accent1 5 2 4 4 5" xfId="608" xr:uid="{00000000-0005-0000-0000-00005C020000}"/>
    <cellStyle name="20% - Accent1 5 2 4 4 5 2" xfId="609" xr:uid="{00000000-0005-0000-0000-00005D020000}"/>
    <cellStyle name="20% - Accent1 5 2 4 4 5 2 2" xfId="610" xr:uid="{00000000-0005-0000-0000-00005E020000}"/>
    <cellStyle name="20% - Accent1 5 2 4 4 5 3" xfId="611" xr:uid="{00000000-0005-0000-0000-00005F020000}"/>
    <cellStyle name="20% - Accent1 5 2 4 4 6" xfId="612" xr:uid="{00000000-0005-0000-0000-000060020000}"/>
    <cellStyle name="20% - Accent1 5 2 4 4 6 2" xfId="613" xr:uid="{00000000-0005-0000-0000-000061020000}"/>
    <cellStyle name="20% - Accent1 5 2 4 4 6 2 2" xfId="614" xr:uid="{00000000-0005-0000-0000-000062020000}"/>
    <cellStyle name="20% - Accent1 5 2 4 4 6 3" xfId="615" xr:uid="{00000000-0005-0000-0000-000063020000}"/>
    <cellStyle name="20% - Accent1 5 2 4 4 7" xfId="616" xr:uid="{00000000-0005-0000-0000-000064020000}"/>
    <cellStyle name="20% - Accent1 5 2 4 4 7 2" xfId="617" xr:uid="{00000000-0005-0000-0000-000065020000}"/>
    <cellStyle name="20% - Accent1 5 2 4 4 8" xfId="618" xr:uid="{00000000-0005-0000-0000-000066020000}"/>
    <cellStyle name="20% - Accent1 5 2 4 5" xfId="619" xr:uid="{00000000-0005-0000-0000-000067020000}"/>
    <cellStyle name="20% - Accent1 5 2 4 5 2" xfId="620" xr:uid="{00000000-0005-0000-0000-000068020000}"/>
    <cellStyle name="20% - Accent1 5 2 4 5 2 2" xfId="621" xr:uid="{00000000-0005-0000-0000-000069020000}"/>
    <cellStyle name="20% - Accent1 5 2 4 5 2 2 2" xfId="622" xr:uid="{00000000-0005-0000-0000-00006A020000}"/>
    <cellStyle name="20% - Accent1 5 2 4 5 2 2 2 2" xfId="623" xr:uid="{00000000-0005-0000-0000-00006B020000}"/>
    <cellStyle name="20% - Accent1 5 2 4 5 2 2 3" xfId="624" xr:uid="{00000000-0005-0000-0000-00006C020000}"/>
    <cellStyle name="20% - Accent1 5 2 4 5 2 3" xfId="625" xr:uid="{00000000-0005-0000-0000-00006D020000}"/>
    <cellStyle name="20% - Accent1 5 2 4 5 2 3 2" xfId="626" xr:uid="{00000000-0005-0000-0000-00006E020000}"/>
    <cellStyle name="20% - Accent1 5 2 4 5 2 4" xfId="627" xr:uid="{00000000-0005-0000-0000-00006F020000}"/>
    <cellStyle name="20% - Accent1 5 2 4 5 3" xfId="628" xr:uid="{00000000-0005-0000-0000-000070020000}"/>
    <cellStyle name="20% - Accent1 5 2 4 5 3 2" xfId="629" xr:uid="{00000000-0005-0000-0000-000071020000}"/>
    <cellStyle name="20% - Accent1 5 2 4 5 3 2 2" xfId="630" xr:uid="{00000000-0005-0000-0000-000072020000}"/>
    <cellStyle name="20% - Accent1 5 2 4 5 3 3" xfId="631" xr:uid="{00000000-0005-0000-0000-000073020000}"/>
    <cellStyle name="20% - Accent1 5 2 4 5 4" xfId="632" xr:uid="{00000000-0005-0000-0000-000074020000}"/>
    <cellStyle name="20% - Accent1 5 2 4 5 4 2" xfId="633" xr:uid="{00000000-0005-0000-0000-000075020000}"/>
    <cellStyle name="20% - Accent1 5 2 4 5 5" xfId="634" xr:uid="{00000000-0005-0000-0000-000076020000}"/>
    <cellStyle name="20% - Accent1 5 2 4 6" xfId="635" xr:uid="{00000000-0005-0000-0000-000077020000}"/>
    <cellStyle name="20% - Accent1 5 2 4 6 2" xfId="636" xr:uid="{00000000-0005-0000-0000-000078020000}"/>
    <cellStyle name="20% - Accent1 5 2 4 6 2 2" xfId="637" xr:uid="{00000000-0005-0000-0000-000079020000}"/>
    <cellStyle name="20% - Accent1 5 2 4 6 2 2 2" xfId="638" xr:uid="{00000000-0005-0000-0000-00007A020000}"/>
    <cellStyle name="20% - Accent1 5 2 4 6 2 2 2 2" xfId="639" xr:uid="{00000000-0005-0000-0000-00007B020000}"/>
    <cellStyle name="20% - Accent1 5 2 4 6 2 2 3" xfId="640" xr:uid="{00000000-0005-0000-0000-00007C020000}"/>
    <cellStyle name="20% - Accent1 5 2 4 6 2 3" xfId="641" xr:uid="{00000000-0005-0000-0000-00007D020000}"/>
    <cellStyle name="20% - Accent1 5 2 4 6 2 3 2" xfId="642" xr:uid="{00000000-0005-0000-0000-00007E020000}"/>
    <cellStyle name="20% - Accent1 5 2 4 6 2 4" xfId="643" xr:uid="{00000000-0005-0000-0000-00007F020000}"/>
    <cellStyle name="20% - Accent1 5 2 4 6 3" xfId="644" xr:uid="{00000000-0005-0000-0000-000080020000}"/>
    <cellStyle name="20% - Accent1 5 2 4 6 3 2" xfId="645" xr:uid="{00000000-0005-0000-0000-000081020000}"/>
    <cellStyle name="20% - Accent1 5 2 4 6 3 2 2" xfId="646" xr:uid="{00000000-0005-0000-0000-000082020000}"/>
    <cellStyle name="20% - Accent1 5 2 4 6 3 3" xfId="647" xr:uid="{00000000-0005-0000-0000-000083020000}"/>
    <cellStyle name="20% - Accent1 5 2 4 6 4" xfId="648" xr:uid="{00000000-0005-0000-0000-000084020000}"/>
    <cellStyle name="20% - Accent1 5 2 4 6 4 2" xfId="649" xr:uid="{00000000-0005-0000-0000-000085020000}"/>
    <cellStyle name="20% - Accent1 5 2 4 6 5" xfId="650" xr:uid="{00000000-0005-0000-0000-000086020000}"/>
    <cellStyle name="20% - Accent1 5 2 4 7" xfId="651" xr:uid="{00000000-0005-0000-0000-000087020000}"/>
    <cellStyle name="20% - Accent1 5 2 4 7 2" xfId="652" xr:uid="{00000000-0005-0000-0000-000088020000}"/>
    <cellStyle name="20% - Accent1 5 2 4 7 2 2" xfId="653" xr:uid="{00000000-0005-0000-0000-000089020000}"/>
    <cellStyle name="20% - Accent1 5 2 4 7 2 2 2" xfId="654" xr:uid="{00000000-0005-0000-0000-00008A020000}"/>
    <cellStyle name="20% - Accent1 5 2 4 7 2 3" xfId="655" xr:uid="{00000000-0005-0000-0000-00008B020000}"/>
    <cellStyle name="20% - Accent1 5 2 4 7 3" xfId="656" xr:uid="{00000000-0005-0000-0000-00008C020000}"/>
    <cellStyle name="20% - Accent1 5 2 4 7 3 2" xfId="657" xr:uid="{00000000-0005-0000-0000-00008D020000}"/>
    <cellStyle name="20% - Accent1 5 2 4 7 4" xfId="658" xr:uid="{00000000-0005-0000-0000-00008E020000}"/>
    <cellStyle name="20% - Accent1 5 2 4 8" xfId="659" xr:uid="{00000000-0005-0000-0000-00008F020000}"/>
    <cellStyle name="20% - Accent1 5 2 4 8 2" xfId="660" xr:uid="{00000000-0005-0000-0000-000090020000}"/>
    <cellStyle name="20% - Accent1 5 2 4 8 2 2" xfId="661" xr:uid="{00000000-0005-0000-0000-000091020000}"/>
    <cellStyle name="20% - Accent1 5 2 4 8 2 2 2" xfId="662" xr:uid="{00000000-0005-0000-0000-000092020000}"/>
    <cellStyle name="20% - Accent1 5 2 4 8 2 3" xfId="663" xr:uid="{00000000-0005-0000-0000-000093020000}"/>
    <cellStyle name="20% - Accent1 5 2 4 8 3" xfId="664" xr:uid="{00000000-0005-0000-0000-000094020000}"/>
    <cellStyle name="20% - Accent1 5 2 4 8 3 2" xfId="665" xr:uid="{00000000-0005-0000-0000-000095020000}"/>
    <cellStyle name="20% - Accent1 5 2 4 8 4" xfId="666" xr:uid="{00000000-0005-0000-0000-000096020000}"/>
    <cellStyle name="20% - Accent1 5 2 4 9" xfId="667" xr:uid="{00000000-0005-0000-0000-000097020000}"/>
    <cellStyle name="20% - Accent1 5 2 4 9 2" xfId="668" xr:uid="{00000000-0005-0000-0000-000098020000}"/>
    <cellStyle name="20% - Accent1 5 2 4 9 2 2" xfId="669" xr:uid="{00000000-0005-0000-0000-000099020000}"/>
    <cellStyle name="20% - Accent1 5 2 4 9 3" xfId="670" xr:uid="{00000000-0005-0000-0000-00009A020000}"/>
    <cellStyle name="20% - Accent1 5 2 5" xfId="671" xr:uid="{00000000-0005-0000-0000-00009B020000}"/>
    <cellStyle name="20% - Accent1 5 2 5 10" xfId="672" xr:uid="{00000000-0005-0000-0000-00009C020000}"/>
    <cellStyle name="20% - Accent1 5 2 5 10 2" xfId="673" xr:uid="{00000000-0005-0000-0000-00009D020000}"/>
    <cellStyle name="20% - Accent1 5 2 5 10 2 2" xfId="674" xr:uid="{00000000-0005-0000-0000-00009E020000}"/>
    <cellStyle name="20% - Accent1 5 2 5 10 3" xfId="675" xr:uid="{00000000-0005-0000-0000-00009F020000}"/>
    <cellStyle name="20% - Accent1 5 2 5 11" xfId="676" xr:uid="{00000000-0005-0000-0000-0000A0020000}"/>
    <cellStyle name="20% - Accent1 5 2 5 11 2" xfId="677" xr:uid="{00000000-0005-0000-0000-0000A1020000}"/>
    <cellStyle name="20% - Accent1 5 2 5 11 2 2" xfId="678" xr:uid="{00000000-0005-0000-0000-0000A2020000}"/>
    <cellStyle name="20% - Accent1 5 2 5 11 3" xfId="679" xr:uid="{00000000-0005-0000-0000-0000A3020000}"/>
    <cellStyle name="20% - Accent1 5 2 5 12" xfId="680" xr:uid="{00000000-0005-0000-0000-0000A4020000}"/>
    <cellStyle name="20% - Accent1 5 2 5 12 2" xfId="681" xr:uid="{00000000-0005-0000-0000-0000A5020000}"/>
    <cellStyle name="20% - Accent1 5 2 5 12 2 2" xfId="682" xr:uid="{00000000-0005-0000-0000-0000A6020000}"/>
    <cellStyle name="20% - Accent1 5 2 5 12 3" xfId="683" xr:uid="{00000000-0005-0000-0000-0000A7020000}"/>
    <cellStyle name="20% - Accent1 5 2 5 13" xfId="684" xr:uid="{00000000-0005-0000-0000-0000A8020000}"/>
    <cellStyle name="20% - Accent1 5 2 5 13 2" xfId="685" xr:uid="{00000000-0005-0000-0000-0000A9020000}"/>
    <cellStyle name="20% - Accent1 5 2 5 14" xfId="686" xr:uid="{00000000-0005-0000-0000-0000AA020000}"/>
    <cellStyle name="20% - Accent1 5 2 5 2" xfId="687" xr:uid="{00000000-0005-0000-0000-0000AB020000}"/>
    <cellStyle name="20% - Accent1 5 2 5 2 2" xfId="688" xr:uid="{00000000-0005-0000-0000-0000AC020000}"/>
    <cellStyle name="20% - Accent1 5 2 5 2 2 2" xfId="689" xr:uid="{00000000-0005-0000-0000-0000AD020000}"/>
    <cellStyle name="20% - Accent1 5 2 5 2 2 2 2" xfId="690" xr:uid="{00000000-0005-0000-0000-0000AE020000}"/>
    <cellStyle name="20% - Accent1 5 2 5 2 2 2 2 2" xfId="691" xr:uid="{00000000-0005-0000-0000-0000AF020000}"/>
    <cellStyle name="20% - Accent1 5 2 5 2 2 2 3" xfId="692" xr:uid="{00000000-0005-0000-0000-0000B0020000}"/>
    <cellStyle name="20% - Accent1 5 2 5 2 2 3" xfId="693" xr:uid="{00000000-0005-0000-0000-0000B1020000}"/>
    <cellStyle name="20% - Accent1 5 2 5 2 2 3 2" xfId="694" xr:uid="{00000000-0005-0000-0000-0000B2020000}"/>
    <cellStyle name="20% - Accent1 5 2 5 2 2 4" xfId="695" xr:uid="{00000000-0005-0000-0000-0000B3020000}"/>
    <cellStyle name="20% - Accent1 5 2 5 2 3" xfId="696" xr:uid="{00000000-0005-0000-0000-0000B4020000}"/>
    <cellStyle name="20% - Accent1 5 2 5 2 3 2" xfId="697" xr:uid="{00000000-0005-0000-0000-0000B5020000}"/>
    <cellStyle name="20% - Accent1 5 2 5 2 3 2 2" xfId="698" xr:uid="{00000000-0005-0000-0000-0000B6020000}"/>
    <cellStyle name="20% - Accent1 5 2 5 2 3 3" xfId="699" xr:uid="{00000000-0005-0000-0000-0000B7020000}"/>
    <cellStyle name="20% - Accent1 5 2 5 2 4" xfId="700" xr:uid="{00000000-0005-0000-0000-0000B8020000}"/>
    <cellStyle name="20% - Accent1 5 2 5 2 4 2" xfId="701" xr:uid="{00000000-0005-0000-0000-0000B9020000}"/>
    <cellStyle name="20% - Accent1 5 2 5 2 4 2 2" xfId="702" xr:uid="{00000000-0005-0000-0000-0000BA020000}"/>
    <cellStyle name="20% - Accent1 5 2 5 2 4 3" xfId="703" xr:uid="{00000000-0005-0000-0000-0000BB020000}"/>
    <cellStyle name="20% - Accent1 5 2 5 2 5" xfId="704" xr:uid="{00000000-0005-0000-0000-0000BC020000}"/>
    <cellStyle name="20% - Accent1 5 2 5 2 5 2" xfId="705" xr:uid="{00000000-0005-0000-0000-0000BD020000}"/>
    <cellStyle name="20% - Accent1 5 2 5 2 5 2 2" xfId="706" xr:uid="{00000000-0005-0000-0000-0000BE020000}"/>
    <cellStyle name="20% - Accent1 5 2 5 2 5 3" xfId="707" xr:uid="{00000000-0005-0000-0000-0000BF020000}"/>
    <cellStyle name="20% - Accent1 5 2 5 2 6" xfId="708" xr:uid="{00000000-0005-0000-0000-0000C0020000}"/>
    <cellStyle name="20% - Accent1 5 2 5 2 6 2" xfId="709" xr:uid="{00000000-0005-0000-0000-0000C1020000}"/>
    <cellStyle name="20% - Accent1 5 2 5 2 6 2 2" xfId="710" xr:uid="{00000000-0005-0000-0000-0000C2020000}"/>
    <cellStyle name="20% - Accent1 5 2 5 2 6 3" xfId="711" xr:uid="{00000000-0005-0000-0000-0000C3020000}"/>
    <cellStyle name="20% - Accent1 5 2 5 2 7" xfId="712" xr:uid="{00000000-0005-0000-0000-0000C4020000}"/>
    <cellStyle name="20% - Accent1 5 2 5 2 7 2" xfId="713" xr:uid="{00000000-0005-0000-0000-0000C5020000}"/>
    <cellStyle name="20% - Accent1 5 2 5 2 8" xfId="714" xr:uid="{00000000-0005-0000-0000-0000C6020000}"/>
    <cellStyle name="20% - Accent1 5 2 5 3" xfId="715" xr:uid="{00000000-0005-0000-0000-0000C7020000}"/>
    <cellStyle name="20% - Accent1 5 2 5 3 2" xfId="716" xr:uid="{00000000-0005-0000-0000-0000C8020000}"/>
    <cellStyle name="20% - Accent1 5 2 5 3 2 2" xfId="717" xr:uid="{00000000-0005-0000-0000-0000C9020000}"/>
    <cellStyle name="20% - Accent1 5 2 5 3 2 2 2" xfId="718" xr:uid="{00000000-0005-0000-0000-0000CA020000}"/>
    <cellStyle name="20% - Accent1 5 2 5 3 2 2 2 2" xfId="719" xr:uid="{00000000-0005-0000-0000-0000CB020000}"/>
    <cellStyle name="20% - Accent1 5 2 5 3 2 2 3" xfId="720" xr:uid="{00000000-0005-0000-0000-0000CC020000}"/>
    <cellStyle name="20% - Accent1 5 2 5 3 2 3" xfId="721" xr:uid="{00000000-0005-0000-0000-0000CD020000}"/>
    <cellStyle name="20% - Accent1 5 2 5 3 2 3 2" xfId="722" xr:uid="{00000000-0005-0000-0000-0000CE020000}"/>
    <cellStyle name="20% - Accent1 5 2 5 3 2 4" xfId="723" xr:uid="{00000000-0005-0000-0000-0000CF020000}"/>
    <cellStyle name="20% - Accent1 5 2 5 3 3" xfId="724" xr:uid="{00000000-0005-0000-0000-0000D0020000}"/>
    <cellStyle name="20% - Accent1 5 2 5 3 3 2" xfId="725" xr:uid="{00000000-0005-0000-0000-0000D1020000}"/>
    <cellStyle name="20% - Accent1 5 2 5 3 3 2 2" xfId="726" xr:uid="{00000000-0005-0000-0000-0000D2020000}"/>
    <cellStyle name="20% - Accent1 5 2 5 3 3 3" xfId="727" xr:uid="{00000000-0005-0000-0000-0000D3020000}"/>
    <cellStyle name="20% - Accent1 5 2 5 3 4" xfId="728" xr:uid="{00000000-0005-0000-0000-0000D4020000}"/>
    <cellStyle name="20% - Accent1 5 2 5 3 4 2" xfId="729" xr:uid="{00000000-0005-0000-0000-0000D5020000}"/>
    <cellStyle name="20% - Accent1 5 2 5 3 4 2 2" xfId="730" xr:uid="{00000000-0005-0000-0000-0000D6020000}"/>
    <cellStyle name="20% - Accent1 5 2 5 3 4 3" xfId="731" xr:uid="{00000000-0005-0000-0000-0000D7020000}"/>
    <cellStyle name="20% - Accent1 5 2 5 3 5" xfId="732" xr:uid="{00000000-0005-0000-0000-0000D8020000}"/>
    <cellStyle name="20% - Accent1 5 2 5 3 5 2" xfId="733" xr:uid="{00000000-0005-0000-0000-0000D9020000}"/>
    <cellStyle name="20% - Accent1 5 2 5 3 5 2 2" xfId="734" xr:uid="{00000000-0005-0000-0000-0000DA020000}"/>
    <cellStyle name="20% - Accent1 5 2 5 3 5 3" xfId="735" xr:uid="{00000000-0005-0000-0000-0000DB020000}"/>
    <cellStyle name="20% - Accent1 5 2 5 3 6" xfId="736" xr:uid="{00000000-0005-0000-0000-0000DC020000}"/>
    <cellStyle name="20% - Accent1 5 2 5 3 6 2" xfId="737" xr:uid="{00000000-0005-0000-0000-0000DD020000}"/>
    <cellStyle name="20% - Accent1 5 2 5 3 6 2 2" xfId="738" xr:uid="{00000000-0005-0000-0000-0000DE020000}"/>
    <cellStyle name="20% - Accent1 5 2 5 3 6 3" xfId="739" xr:uid="{00000000-0005-0000-0000-0000DF020000}"/>
    <cellStyle name="20% - Accent1 5 2 5 3 7" xfId="740" xr:uid="{00000000-0005-0000-0000-0000E0020000}"/>
    <cellStyle name="20% - Accent1 5 2 5 3 7 2" xfId="741" xr:uid="{00000000-0005-0000-0000-0000E1020000}"/>
    <cellStyle name="20% - Accent1 5 2 5 3 8" xfId="742" xr:uid="{00000000-0005-0000-0000-0000E2020000}"/>
    <cellStyle name="20% - Accent1 5 2 5 4" xfId="743" xr:uid="{00000000-0005-0000-0000-0000E3020000}"/>
    <cellStyle name="20% - Accent1 5 2 5 4 2" xfId="744" xr:uid="{00000000-0005-0000-0000-0000E4020000}"/>
    <cellStyle name="20% - Accent1 5 2 5 4 2 2" xfId="745" xr:uid="{00000000-0005-0000-0000-0000E5020000}"/>
    <cellStyle name="20% - Accent1 5 2 5 4 2 2 2" xfId="746" xr:uid="{00000000-0005-0000-0000-0000E6020000}"/>
    <cellStyle name="20% - Accent1 5 2 5 4 2 2 2 2" xfId="747" xr:uid="{00000000-0005-0000-0000-0000E7020000}"/>
    <cellStyle name="20% - Accent1 5 2 5 4 2 2 3" xfId="748" xr:uid="{00000000-0005-0000-0000-0000E8020000}"/>
    <cellStyle name="20% - Accent1 5 2 5 4 2 3" xfId="749" xr:uid="{00000000-0005-0000-0000-0000E9020000}"/>
    <cellStyle name="20% - Accent1 5 2 5 4 2 3 2" xfId="750" xr:uid="{00000000-0005-0000-0000-0000EA020000}"/>
    <cellStyle name="20% - Accent1 5 2 5 4 2 4" xfId="751" xr:uid="{00000000-0005-0000-0000-0000EB020000}"/>
    <cellStyle name="20% - Accent1 5 2 5 4 3" xfId="752" xr:uid="{00000000-0005-0000-0000-0000EC020000}"/>
    <cellStyle name="20% - Accent1 5 2 5 4 3 2" xfId="753" xr:uid="{00000000-0005-0000-0000-0000ED020000}"/>
    <cellStyle name="20% - Accent1 5 2 5 4 3 2 2" xfId="754" xr:uid="{00000000-0005-0000-0000-0000EE020000}"/>
    <cellStyle name="20% - Accent1 5 2 5 4 3 3" xfId="755" xr:uid="{00000000-0005-0000-0000-0000EF020000}"/>
    <cellStyle name="20% - Accent1 5 2 5 4 4" xfId="756" xr:uid="{00000000-0005-0000-0000-0000F0020000}"/>
    <cellStyle name="20% - Accent1 5 2 5 4 4 2" xfId="757" xr:uid="{00000000-0005-0000-0000-0000F1020000}"/>
    <cellStyle name="20% - Accent1 5 2 5 4 4 2 2" xfId="758" xr:uid="{00000000-0005-0000-0000-0000F2020000}"/>
    <cellStyle name="20% - Accent1 5 2 5 4 4 3" xfId="759" xr:uid="{00000000-0005-0000-0000-0000F3020000}"/>
    <cellStyle name="20% - Accent1 5 2 5 4 5" xfId="760" xr:uid="{00000000-0005-0000-0000-0000F4020000}"/>
    <cellStyle name="20% - Accent1 5 2 5 4 5 2" xfId="761" xr:uid="{00000000-0005-0000-0000-0000F5020000}"/>
    <cellStyle name="20% - Accent1 5 2 5 4 5 2 2" xfId="762" xr:uid="{00000000-0005-0000-0000-0000F6020000}"/>
    <cellStyle name="20% - Accent1 5 2 5 4 5 3" xfId="763" xr:uid="{00000000-0005-0000-0000-0000F7020000}"/>
    <cellStyle name="20% - Accent1 5 2 5 4 6" xfId="764" xr:uid="{00000000-0005-0000-0000-0000F8020000}"/>
    <cellStyle name="20% - Accent1 5 2 5 4 6 2" xfId="765" xr:uid="{00000000-0005-0000-0000-0000F9020000}"/>
    <cellStyle name="20% - Accent1 5 2 5 4 6 2 2" xfId="766" xr:uid="{00000000-0005-0000-0000-0000FA020000}"/>
    <cellStyle name="20% - Accent1 5 2 5 4 6 3" xfId="767" xr:uid="{00000000-0005-0000-0000-0000FB020000}"/>
    <cellStyle name="20% - Accent1 5 2 5 4 7" xfId="768" xr:uid="{00000000-0005-0000-0000-0000FC020000}"/>
    <cellStyle name="20% - Accent1 5 2 5 4 7 2" xfId="769" xr:uid="{00000000-0005-0000-0000-0000FD020000}"/>
    <cellStyle name="20% - Accent1 5 2 5 4 8" xfId="770" xr:uid="{00000000-0005-0000-0000-0000FE020000}"/>
    <cellStyle name="20% - Accent1 5 2 5 5" xfId="771" xr:uid="{00000000-0005-0000-0000-0000FF020000}"/>
    <cellStyle name="20% - Accent1 5 2 5 5 2" xfId="772" xr:uid="{00000000-0005-0000-0000-000000030000}"/>
    <cellStyle name="20% - Accent1 5 2 5 5 2 2" xfId="773" xr:uid="{00000000-0005-0000-0000-000001030000}"/>
    <cellStyle name="20% - Accent1 5 2 5 5 2 2 2" xfId="774" xr:uid="{00000000-0005-0000-0000-000002030000}"/>
    <cellStyle name="20% - Accent1 5 2 5 5 2 2 2 2" xfId="775" xr:uid="{00000000-0005-0000-0000-000003030000}"/>
    <cellStyle name="20% - Accent1 5 2 5 5 2 2 3" xfId="776" xr:uid="{00000000-0005-0000-0000-000004030000}"/>
    <cellStyle name="20% - Accent1 5 2 5 5 2 3" xfId="777" xr:uid="{00000000-0005-0000-0000-000005030000}"/>
    <cellStyle name="20% - Accent1 5 2 5 5 2 3 2" xfId="778" xr:uid="{00000000-0005-0000-0000-000006030000}"/>
    <cellStyle name="20% - Accent1 5 2 5 5 2 4" xfId="779" xr:uid="{00000000-0005-0000-0000-000007030000}"/>
    <cellStyle name="20% - Accent1 5 2 5 5 3" xfId="780" xr:uid="{00000000-0005-0000-0000-000008030000}"/>
    <cellStyle name="20% - Accent1 5 2 5 5 3 2" xfId="781" xr:uid="{00000000-0005-0000-0000-000009030000}"/>
    <cellStyle name="20% - Accent1 5 2 5 5 3 2 2" xfId="782" xr:uid="{00000000-0005-0000-0000-00000A030000}"/>
    <cellStyle name="20% - Accent1 5 2 5 5 3 3" xfId="783" xr:uid="{00000000-0005-0000-0000-00000B030000}"/>
    <cellStyle name="20% - Accent1 5 2 5 5 4" xfId="784" xr:uid="{00000000-0005-0000-0000-00000C030000}"/>
    <cellStyle name="20% - Accent1 5 2 5 5 4 2" xfId="785" xr:uid="{00000000-0005-0000-0000-00000D030000}"/>
    <cellStyle name="20% - Accent1 5 2 5 5 5" xfId="786" xr:uid="{00000000-0005-0000-0000-00000E030000}"/>
    <cellStyle name="20% - Accent1 5 2 5 6" xfId="787" xr:uid="{00000000-0005-0000-0000-00000F030000}"/>
    <cellStyle name="20% - Accent1 5 2 5 6 2" xfId="788" xr:uid="{00000000-0005-0000-0000-000010030000}"/>
    <cellStyle name="20% - Accent1 5 2 5 6 2 2" xfId="789" xr:uid="{00000000-0005-0000-0000-000011030000}"/>
    <cellStyle name="20% - Accent1 5 2 5 6 2 2 2" xfId="790" xr:uid="{00000000-0005-0000-0000-000012030000}"/>
    <cellStyle name="20% - Accent1 5 2 5 6 2 2 2 2" xfId="791" xr:uid="{00000000-0005-0000-0000-000013030000}"/>
    <cellStyle name="20% - Accent1 5 2 5 6 2 2 3" xfId="792" xr:uid="{00000000-0005-0000-0000-000014030000}"/>
    <cellStyle name="20% - Accent1 5 2 5 6 2 3" xfId="793" xr:uid="{00000000-0005-0000-0000-000015030000}"/>
    <cellStyle name="20% - Accent1 5 2 5 6 2 3 2" xfId="794" xr:uid="{00000000-0005-0000-0000-000016030000}"/>
    <cellStyle name="20% - Accent1 5 2 5 6 2 4" xfId="795" xr:uid="{00000000-0005-0000-0000-000017030000}"/>
    <cellStyle name="20% - Accent1 5 2 5 6 3" xfId="796" xr:uid="{00000000-0005-0000-0000-000018030000}"/>
    <cellStyle name="20% - Accent1 5 2 5 6 3 2" xfId="797" xr:uid="{00000000-0005-0000-0000-000019030000}"/>
    <cellStyle name="20% - Accent1 5 2 5 6 3 2 2" xfId="798" xr:uid="{00000000-0005-0000-0000-00001A030000}"/>
    <cellStyle name="20% - Accent1 5 2 5 6 3 3" xfId="799" xr:uid="{00000000-0005-0000-0000-00001B030000}"/>
    <cellStyle name="20% - Accent1 5 2 5 6 4" xfId="800" xr:uid="{00000000-0005-0000-0000-00001C030000}"/>
    <cellStyle name="20% - Accent1 5 2 5 6 4 2" xfId="801" xr:uid="{00000000-0005-0000-0000-00001D030000}"/>
    <cellStyle name="20% - Accent1 5 2 5 6 5" xfId="802" xr:uid="{00000000-0005-0000-0000-00001E030000}"/>
    <cellStyle name="20% - Accent1 5 2 5 7" xfId="803" xr:uid="{00000000-0005-0000-0000-00001F030000}"/>
    <cellStyle name="20% - Accent1 5 2 5 7 2" xfId="804" xr:uid="{00000000-0005-0000-0000-000020030000}"/>
    <cellStyle name="20% - Accent1 5 2 5 7 2 2" xfId="805" xr:uid="{00000000-0005-0000-0000-000021030000}"/>
    <cellStyle name="20% - Accent1 5 2 5 7 2 2 2" xfId="806" xr:uid="{00000000-0005-0000-0000-000022030000}"/>
    <cellStyle name="20% - Accent1 5 2 5 7 2 3" xfId="807" xr:uid="{00000000-0005-0000-0000-000023030000}"/>
    <cellStyle name="20% - Accent1 5 2 5 7 3" xfId="808" xr:uid="{00000000-0005-0000-0000-000024030000}"/>
    <cellStyle name="20% - Accent1 5 2 5 7 3 2" xfId="809" xr:uid="{00000000-0005-0000-0000-000025030000}"/>
    <cellStyle name="20% - Accent1 5 2 5 7 4" xfId="810" xr:uid="{00000000-0005-0000-0000-000026030000}"/>
    <cellStyle name="20% - Accent1 5 2 5 8" xfId="811" xr:uid="{00000000-0005-0000-0000-000027030000}"/>
    <cellStyle name="20% - Accent1 5 2 5 8 2" xfId="812" xr:uid="{00000000-0005-0000-0000-000028030000}"/>
    <cellStyle name="20% - Accent1 5 2 5 8 2 2" xfId="813" xr:uid="{00000000-0005-0000-0000-000029030000}"/>
    <cellStyle name="20% - Accent1 5 2 5 8 2 2 2" xfId="814" xr:uid="{00000000-0005-0000-0000-00002A030000}"/>
    <cellStyle name="20% - Accent1 5 2 5 8 2 3" xfId="815" xr:uid="{00000000-0005-0000-0000-00002B030000}"/>
    <cellStyle name="20% - Accent1 5 2 5 8 3" xfId="816" xr:uid="{00000000-0005-0000-0000-00002C030000}"/>
    <cellStyle name="20% - Accent1 5 2 5 8 3 2" xfId="817" xr:uid="{00000000-0005-0000-0000-00002D030000}"/>
    <cellStyle name="20% - Accent1 5 2 5 8 4" xfId="818" xr:uid="{00000000-0005-0000-0000-00002E030000}"/>
    <cellStyle name="20% - Accent1 5 2 5 9" xfId="819" xr:uid="{00000000-0005-0000-0000-00002F030000}"/>
    <cellStyle name="20% - Accent1 5 2 5 9 2" xfId="820" xr:uid="{00000000-0005-0000-0000-000030030000}"/>
    <cellStyle name="20% - Accent1 5 2 5 9 2 2" xfId="821" xr:uid="{00000000-0005-0000-0000-000031030000}"/>
    <cellStyle name="20% - Accent1 5 2 5 9 3" xfId="822" xr:uid="{00000000-0005-0000-0000-000032030000}"/>
    <cellStyle name="20% - Accent1 5 2 6" xfId="823" xr:uid="{00000000-0005-0000-0000-000033030000}"/>
    <cellStyle name="20% - Accent1 5 2 6 10" xfId="824" xr:uid="{00000000-0005-0000-0000-000034030000}"/>
    <cellStyle name="20% - Accent1 5 2 6 10 2" xfId="825" xr:uid="{00000000-0005-0000-0000-000035030000}"/>
    <cellStyle name="20% - Accent1 5 2 6 10 2 2" xfId="826" xr:uid="{00000000-0005-0000-0000-000036030000}"/>
    <cellStyle name="20% - Accent1 5 2 6 10 3" xfId="827" xr:uid="{00000000-0005-0000-0000-000037030000}"/>
    <cellStyle name="20% - Accent1 5 2 6 11" xfId="828" xr:uid="{00000000-0005-0000-0000-000038030000}"/>
    <cellStyle name="20% - Accent1 5 2 6 11 2" xfId="829" xr:uid="{00000000-0005-0000-0000-000039030000}"/>
    <cellStyle name="20% - Accent1 5 2 6 11 2 2" xfId="830" xr:uid="{00000000-0005-0000-0000-00003A030000}"/>
    <cellStyle name="20% - Accent1 5 2 6 11 3" xfId="831" xr:uid="{00000000-0005-0000-0000-00003B030000}"/>
    <cellStyle name="20% - Accent1 5 2 6 12" xfId="832" xr:uid="{00000000-0005-0000-0000-00003C030000}"/>
    <cellStyle name="20% - Accent1 5 2 6 12 2" xfId="833" xr:uid="{00000000-0005-0000-0000-00003D030000}"/>
    <cellStyle name="20% - Accent1 5 2 6 12 2 2" xfId="834" xr:uid="{00000000-0005-0000-0000-00003E030000}"/>
    <cellStyle name="20% - Accent1 5 2 6 12 3" xfId="835" xr:uid="{00000000-0005-0000-0000-00003F030000}"/>
    <cellStyle name="20% - Accent1 5 2 6 13" xfId="836" xr:uid="{00000000-0005-0000-0000-000040030000}"/>
    <cellStyle name="20% - Accent1 5 2 6 13 2" xfId="837" xr:uid="{00000000-0005-0000-0000-000041030000}"/>
    <cellStyle name="20% - Accent1 5 2 6 14" xfId="838" xr:uid="{00000000-0005-0000-0000-000042030000}"/>
    <cellStyle name="20% - Accent1 5 2 6 2" xfId="839" xr:uid="{00000000-0005-0000-0000-000043030000}"/>
    <cellStyle name="20% - Accent1 5 2 6 2 2" xfId="840" xr:uid="{00000000-0005-0000-0000-000044030000}"/>
    <cellStyle name="20% - Accent1 5 2 6 2 2 2" xfId="841" xr:uid="{00000000-0005-0000-0000-000045030000}"/>
    <cellStyle name="20% - Accent1 5 2 6 2 2 2 2" xfId="842" xr:uid="{00000000-0005-0000-0000-000046030000}"/>
    <cellStyle name="20% - Accent1 5 2 6 2 2 2 2 2" xfId="843" xr:uid="{00000000-0005-0000-0000-000047030000}"/>
    <cellStyle name="20% - Accent1 5 2 6 2 2 2 3" xfId="844" xr:uid="{00000000-0005-0000-0000-000048030000}"/>
    <cellStyle name="20% - Accent1 5 2 6 2 2 3" xfId="845" xr:uid="{00000000-0005-0000-0000-000049030000}"/>
    <cellStyle name="20% - Accent1 5 2 6 2 2 3 2" xfId="846" xr:uid="{00000000-0005-0000-0000-00004A030000}"/>
    <cellStyle name="20% - Accent1 5 2 6 2 2 4" xfId="847" xr:uid="{00000000-0005-0000-0000-00004B030000}"/>
    <cellStyle name="20% - Accent1 5 2 6 2 3" xfId="848" xr:uid="{00000000-0005-0000-0000-00004C030000}"/>
    <cellStyle name="20% - Accent1 5 2 6 2 3 2" xfId="849" xr:uid="{00000000-0005-0000-0000-00004D030000}"/>
    <cellStyle name="20% - Accent1 5 2 6 2 3 2 2" xfId="850" xr:uid="{00000000-0005-0000-0000-00004E030000}"/>
    <cellStyle name="20% - Accent1 5 2 6 2 3 3" xfId="851" xr:uid="{00000000-0005-0000-0000-00004F030000}"/>
    <cellStyle name="20% - Accent1 5 2 6 2 4" xfId="852" xr:uid="{00000000-0005-0000-0000-000050030000}"/>
    <cellStyle name="20% - Accent1 5 2 6 2 4 2" xfId="853" xr:uid="{00000000-0005-0000-0000-000051030000}"/>
    <cellStyle name="20% - Accent1 5 2 6 2 4 2 2" xfId="854" xr:uid="{00000000-0005-0000-0000-000052030000}"/>
    <cellStyle name="20% - Accent1 5 2 6 2 4 3" xfId="855" xr:uid="{00000000-0005-0000-0000-000053030000}"/>
    <cellStyle name="20% - Accent1 5 2 6 2 5" xfId="856" xr:uid="{00000000-0005-0000-0000-000054030000}"/>
    <cellStyle name="20% - Accent1 5 2 6 2 5 2" xfId="857" xr:uid="{00000000-0005-0000-0000-000055030000}"/>
    <cellStyle name="20% - Accent1 5 2 6 2 5 2 2" xfId="858" xr:uid="{00000000-0005-0000-0000-000056030000}"/>
    <cellStyle name="20% - Accent1 5 2 6 2 5 3" xfId="859" xr:uid="{00000000-0005-0000-0000-000057030000}"/>
    <cellStyle name="20% - Accent1 5 2 6 2 6" xfId="860" xr:uid="{00000000-0005-0000-0000-000058030000}"/>
    <cellStyle name="20% - Accent1 5 2 6 2 6 2" xfId="861" xr:uid="{00000000-0005-0000-0000-000059030000}"/>
    <cellStyle name="20% - Accent1 5 2 6 2 6 2 2" xfId="862" xr:uid="{00000000-0005-0000-0000-00005A030000}"/>
    <cellStyle name="20% - Accent1 5 2 6 2 6 3" xfId="863" xr:uid="{00000000-0005-0000-0000-00005B030000}"/>
    <cellStyle name="20% - Accent1 5 2 6 2 7" xfId="864" xr:uid="{00000000-0005-0000-0000-00005C030000}"/>
    <cellStyle name="20% - Accent1 5 2 6 2 7 2" xfId="865" xr:uid="{00000000-0005-0000-0000-00005D030000}"/>
    <cellStyle name="20% - Accent1 5 2 6 2 8" xfId="866" xr:uid="{00000000-0005-0000-0000-00005E030000}"/>
    <cellStyle name="20% - Accent1 5 2 6 3" xfId="867" xr:uid="{00000000-0005-0000-0000-00005F030000}"/>
    <cellStyle name="20% - Accent1 5 2 6 3 2" xfId="868" xr:uid="{00000000-0005-0000-0000-000060030000}"/>
    <cellStyle name="20% - Accent1 5 2 6 3 2 2" xfId="869" xr:uid="{00000000-0005-0000-0000-000061030000}"/>
    <cellStyle name="20% - Accent1 5 2 6 3 2 2 2" xfId="870" xr:uid="{00000000-0005-0000-0000-000062030000}"/>
    <cellStyle name="20% - Accent1 5 2 6 3 2 2 2 2" xfId="871" xr:uid="{00000000-0005-0000-0000-000063030000}"/>
    <cellStyle name="20% - Accent1 5 2 6 3 2 2 3" xfId="872" xr:uid="{00000000-0005-0000-0000-000064030000}"/>
    <cellStyle name="20% - Accent1 5 2 6 3 2 3" xfId="873" xr:uid="{00000000-0005-0000-0000-000065030000}"/>
    <cellStyle name="20% - Accent1 5 2 6 3 2 3 2" xfId="874" xr:uid="{00000000-0005-0000-0000-000066030000}"/>
    <cellStyle name="20% - Accent1 5 2 6 3 2 4" xfId="875" xr:uid="{00000000-0005-0000-0000-000067030000}"/>
    <cellStyle name="20% - Accent1 5 2 6 3 3" xfId="876" xr:uid="{00000000-0005-0000-0000-000068030000}"/>
    <cellStyle name="20% - Accent1 5 2 6 3 3 2" xfId="877" xr:uid="{00000000-0005-0000-0000-000069030000}"/>
    <cellStyle name="20% - Accent1 5 2 6 3 3 2 2" xfId="878" xr:uid="{00000000-0005-0000-0000-00006A030000}"/>
    <cellStyle name="20% - Accent1 5 2 6 3 3 3" xfId="879" xr:uid="{00000000-0005-0000-0000-00006B030000}"/>
    <cellStyle name="20% - Accent1 5 2 6 3 4" xfId="880" xr:uid="{00000000-0005-0000-0000-00006C030000}"/>
    <cellStyle name="20% - Accent1 5 2 6 3 4 2" xfId="881" xr:uid="{00000000-0005-0000-0000-00006D030000}"/>
    <cellStyle name="20% - Accent1 5 2 6 3 4 2 2" xfId="882" xr:uid="{00000000-0005-0000-0000-00006E030000}"/>
    <cellStyle name="20% - Accent1 5 2 6 3 4 3" xfId="883" xr:uid="{00000000-0005-0000-0000-00006F030000}"/>
    <cellStyle name="20% - Accent1 5 2 6 3 5" xfId="884" xr:uid="{00000000-0005-0000-0000-000070030000}"/>
    <cellStyle name="20% - Accent1 5 2 6 3 5 2" xfId="885" xr:uid="{00000000-0005-0000-0000-000071030000}"/>
    <cellStyle name="20% - Accent1 5 2 6 3 5 2 2" xfId="886" xr:uid="{00000000-0005-0000-0000-000072030000}"/>
    <cellStyle name="20% - Accent1 5 2 6 3 5 3" xfId="887" xr:uid="{00000000-0005-0000-0000-000073030000}"/>
    <cellStyle name="20% - Accent1 5 2 6 3 6" xfId="888" xr:uid="{00000000-0005-0000-0000-000074030000}"/>
    <cellStyle name="20% - Accent1 5 2 6 3 6 2" xfId="889" xr:uid="{00000000-0005-0000-0000-000075030000}"/>
    <cellStyle name="20% - Accent1 5 2 6 3 6 2 2" xfId="890" xr:uid="{00000000-0005-0000-0000-000076030000}"/>
    <cellStyle name="20% - Accent1 5 2 6 3 6 3" xfId="891" xr:uid="{00000000-0005-0000-0000-000077030000}"/>
    <cellStyle name="20% - Accent1 5 2 6 3 7" xfId="892" xr:uid="{00000000-0005-0000-0000-000078030000}"/>
    <cellStyle name="20% - Accent1 5 2 6 3 7 2" xfId="893" xr:uid="{00000000-0005-0000-0000-000079030000}"/>
    <cellStyle name="20% - Accent1 5 2 6 3 8" xfId="894" xr:uid="{00000000-0005-0000-0000-00007A030000}"/>
    <cellStyle name="20% - Accent1 5 2 6 4" xfId="895" xr:uid="{00000000-0005-0000-0000-00007B030000}"/>
    <cellStyle name="20% - Accent1 5 2 6 4 2" xfId="896" xr:uid="{00000000-0005-0000-0000-00007C030000}"/>
    <cellStyle name="20% - Accent1 5 2 6 4 2 2" xfId="897" xr:uid="{00000000-0005-0000-0000-00007D030000}"/>
    <cellStyle name="20% - Accent1 5 2 6 4 2 2 2" xfId="898" xr:uid="{00000000-0005-0000-0000-00007E030000}"/>
    <cellStyle name="20% - Accent1 5 2 6 4 2 2 2 2" xfId="899" xr:uid="{00000000-0005-0000-0000-00007F030000}"/>
    <cellStyle name="20% - Accent1 5 2 6 4 2 2 3" xfId="900" xr:uid="{00000000-0005-0000-0000-000080030000}"/>
    <cellStyle name="20% - Accent1 5 2 6 4 2 3" xfId="901" xr:uid="{00000000-0005-0000-0000-000081030000}"/>
    <cellStyle name="20% - Accent1 5 2 6 4 2 3 2" xfId="902" xr:uid="{00000000-0005-0000-0000-000082030000}"/>
    <cellStyle name="20% - Accent1 5 2 6 4 2 4" xfId="903" xr:uid="{00000000-0005-0000-0000-000083030000}"/>
    <cellStyle name="20% - Accent1 5 2 6 4 3" xfId="904" xr:uid="{00000000-0005-0000-0000-000084030000}"/>
    <cellStyle name="20% - Accent1 5 2 6 4 3 2" xfId="905" xr:uid="{00000000-0005-0000-0000-000085030000}"/>
    <cellStyle name="20% - Accent1 5 2 6 4 3 2 2" xfId="906" xr:uid="{00000000-0005-0000-0000-000086030000}"/>
    <cellStyle name="20% - Accent1 5 2 6 4 3 3" xfId="907" xr:uid="{00000000-0005-0000-0000-000087030000}"/>
    <cellStyle name="20% - Accent1 5 2 6 4 4" xfId="908" xr:uid="{00000000-0005-0000-0000-000088030000}"/>
    <cellStyle name="20% - Accent1 5 2 6 4 4 2" xfId="909" xr:uid="{00000000-0005-0000-0000-000089030000}"/>
    <cellStyle name="20% - Accent1 5 2 6 4 4 2 2" xfId="910" xr:uid="{00000000-0005-0000-0000-00008A030000}"/>
    <cellStyle name="20% - Accent1 5 2 6 4 4 3" xfId="911" xr:uid="{00000000-0005-0000-0000-00008B030000}"/>
    <cellStyle name="20% - Accent1 5 2 6 4 5" xfId="912" xr:uid="{00000000-0005-0000-0000-00008C030000}"/>
    <cellStyle name="20% - Accent1 5 2 6 4 5 2" xfId="913" xr:uid="{00000000-0005-0000-0000-00008D030000}"/>
    <cellStyle name="20% - Accent1 5 2 6 4 5 2 2" xfId="914" xr:uid="{00000000-0005-0000-0000-00008E030000}"/>
    <cellStyle name="20% - Accent1 5 2 6 4 5 3" xfId="915" xr:uid="{00000000-0005-0000-0000-00008F030000}"/>
    <cellStyle name="20% - Accent1 5 2 6 4 6" xfId="916" xr:uid="{00000000-0005-0000-0000-000090030000}"/>
    <cellStyle name="20% - Accent1 5 2 6 4 6 2" xfId="917" xr:uid="{00000000-0005-0000-0000-000091030000}"/>
    <cellStyle name="20% - Accent1 5 2 6 4 6 2 2" xfId="918" xr:uid="{00000000-0005-0000-0000-000092030000}"/>
    <cellStyle name="20% - Accent1 5 2 6 4 6 3" xfId="919" xr:uid="{00000000-0005-0000-0000-000093030000}"/>
    <cellStyle name="20% - Accent1 5 2 6 4 7" xfId="920" xr:uid="{00000000-0005-0000-0000-000094030000}"/>
    <cellStyle name="20% - Accent1 5 2 6 4 7 2" xfId="921" xr:uid="{00000000-0005-0000-0000-000095030000}"/>
    <cellStyle name="20% - Accent1 5 2 6 4 8" xfId="922" xr:uid="{00000000-0005-0000-0000-000096030000}"/>
    <cellStyle name="20% - Accent1 5 2 6 5" xfId="923" xr:uid="{00000000-0005-0000-0000-000097030000}"/>
    <cellStyle name="20% - Accent1 5 2 6 5 2" xfId="924" xr:uid="{00000000-0005-0000-0000-000098030000}"/>
    <cellStyle name="20% - Accent1 5 2 6 5 2 2" xfId="925" xr:uid="{00000000-0005-0000-0000-000099030000}"/>
    <cellStyle name="20% - Accent1 5 2 6 5 2 2 2" xfId="926" xr:uid="{00000000-0005-0000-0000-00009A030000}"/>
    <cellStyle name="20% - Accent1 5 2 6 5 2 2 2 2" xfId="927" xr:uid="{00000000-0005-0000-0000-00009B030000}"/>
    <cellStyle name="20% - Accent1 5 2 6 5 2 2 3" xfId="928" xr:uid="{00000000-0005-0000-0000-00009C030000}"/>
    <cellStyle name="20% - Accent1 5 2 6 5 2 3" xfId="929" xr:uid="{00000000-0005-0000-0000-00009D030000}"/>
    <cellStyle name="20% - Accent1 5 2 6 5 2 3 2" xfId="930" xr:uid="{00000000-0005-0000-0000-00009E030000}"/>
    <cellStyle name="20% - Accent1 5 2 6 5 2 4" xfId="931" xr:uid="{00000000-0005-0000-0000-00009F030000}"/>
    <cellStyle name="20% - Accent1 5 2 6 5 3" xfId="932" xr:uid="{00000000-0005-0000-0000-0000A0030000}"/>
    <cellStyle name="20% - Accent1 5 2 6 5 3 2" xfId="933" xr:uid="{00000000-0005-0000-0000-0000A1030000}"/>
    <cellStyle name="20% - Accent1 5 2 6 5 3 2 2" xfId="934" xr:uid="{00000000-0005-0000-0000-0000A2030000}"/>
    <cellStyle name="20% - Accent1 5 2 6 5 3 3" xfId="935" xr:uid="{00000000-0005-0000-0000-0000A3030000}"/>
    <cellStyle name="20% - Accent1 5 2 6 5 4" xfId="936" xr:uid="{00000000-0005-0000-0000-0000A4030000}"/>
    <cellStyle name="20% - Accent1 5 2 6 5 4 2" xfId="937" xr:uid="{00000000-0005-0000-0000-0000A5030000}"/>
    <cellStyle name="20% - Accent1 5 2 6 5 5" xfId="938" xr:uid="{00000000-0005-0000-0000-0000A6030000}"/>
    <cellStyle name="20% - Accent1 5 2 6 6" xfId="939" xr:uid="{00000000-0005-0000-0000-0000A7030000}"/>
    <cellStyle name="20% - Accent1 5 2 6 6 2" xfId="940" xr:uid="{00000000-0005-0000-0000-0000A8030000}"/>
    <cellStyle name="20% - Accent1 5 2 6 6 2 2" xfId="941" xr:uid="{00000000-0005-0000-0000-0000A9030000}"/>
    <cellStyle name="20% - Accent1 5 2 6 6 2 2 2" xfId="942" xr:uid="{00000000-0005-0000-0000-0000AA030000}"/>
    <cellStyle name="20% - Accent1 5 2 6 6 2 2 2 2" xfId="943" xr:uid="{00000000-0005-0000-0000-0000AB030000}"/>
    <cellStyle name="20% - Accent1 5 2 6 6 2 2 3" xfId="944" xr:uid="{00000000-0005-0000-0000-0000AC030000}"/>
    <cellStyle name="20% - Accent1 5 2 6 6 2 3" xfId="945" xr:uid="{00000000-0005-0000-0000-0000AD030000}"/>
    <cellStyle name="20% - Accent1 5 2 6 6 2 3 2" xfId="946" xr:uid="{00000000-0005-0000-0000-0000AE030000}"/>
    <cellStyle name="20% - Accent1 5 2 6 6 2 4" xfId="947" xr:uid="{00000000-0005-0000-0000-0000AF030000}"/>
    <cellStyle name="20% - Accent1 5 2 6 6 3" xfId="948" xr:uid="{00000000-0005-0000-0000-0000B0030000}"/>
    <cellStyle name="20% - Accent1 5 2 6 6 3 2" xfId="949" xr:uid="{00000000-0005-0000-0000-0000B1030000}"/>
    <cellStyle name="20% - Accent1 5 2 6 6 3 2 2" xfId="950" xr:uid="{00000000-0005-0000-0000-0000B2030000}"/>
    <cellStyle name="20% - Accent1 5 2 6 6 3 3" xfId="951" xr:uid="{00000000-0005-0000-0000-0000B3030000}"/>
    <cellStyle name="20% - Accent1 5 2 6 6 4" xfId="952" xr:uid="{00000000-0005-0000-0000-0000B4030000}"/>
    <cellStyle name="20% - Accent1 5 2 6 6 4 2" xfId="953" xr:uid="{00000000-0005-0000-0000-0000B5030000}"/>
    <cellStyle name="20% - Accent1 5 2 6 6 5" xfId="954" xr:uid="{00000000-0005-0000-0000-0000B6030000}"/>
    <cellStyle name="20% - Accent1 5 2 6 7" xfId="955" xr:uid="{00000000-0005-0000-0000-0000B7030000}"/>
    <cellStyle name="20% - Accent1 5 2 6 7 2" xfId="956" xr:uid="{00000000-0005-0000-0000-0000B8030000}"/>
    <cellStyle name="20% - Accent1 5 2 6 7 2 2" xfId="957" xr:uid="{00000000-0005-0000-0000-0000B9030000}"/>
    <cellStyle name="20% - Accent1 5 2 6 7 2 2 2" xfId="958" xr:uid="{00000000-0005-0000-0000-0000BA030000}"/>
    <cellStyle name="20% - Accent1 5 2 6 7 2 3" xfId="959" xr:uid="{00000000-0005-0000-0000-0000BB030000}"/>
    <cellStyle name="20% - Accent1 5 2 6 7 3" xfId="960" xr:uid="{00000000-0005-0000-0000-0000BC030000}"/>
    <cellStyle name="20% - Accent1 5 2 6 7 3 2" xfId="961" xr:uid="{00000000-0005-0000-0000-0000BD030000}"/>
    <cellStyle name="20% - Accent1 5 2 6 7 4" xfId="962" xr:uid="{00000000-0005-0000-0000-0000BE030000}"/>
    <cellStyle name="20% - Accent1 5 2 6 8" xfId="963" xr:uid="{00000000-0005-0000-0000-0000BF030000}"/>
    <cellStyle name="20% - Accent1 5 2 6 8 2" xfId="964" xr:uid="{00000000-0005-0000-0000-0000C0030000}"/>
    <cellStyle name="20% - Accent1 5 2 6 8 2 2" xfId="965" xr:uid="{00000000-0005-0000-0000-0000C1030000}"/>
    <cellStyle name="20% - Accent1 5 2 6 8 2 2 2" xfId="966" xr:uid="{00000000-0005-0000-0000-0000C2030000}"/>
    <cellStyle name="20% - Accent1 5 2 6 8 2 3" xfId="967" xr:uid="{00000000-0005-0000-0000-0000C3030000}"/>
    <cellStyle name="20% - Accent1 5 2 6 8 3" xfId="968" xr:uid="{00000000-0005-0000-0000-0000C4030000}"/>
    <cellStyle name="20% - Accent1 5 2 6 8 3 2" xfId="969" xr:uid="{00000000-0005-0000-0000-0000C5030000}"/>
    <cellStyle name="20% - Accent1 5 2 6 8 4" xfId="970" xr:uid="{00000000-0005-0000-0000-0000C6030000}"/>
    <cellStyle name="20% - Accent1 5 2 6 9" xfId="971" xr:uid="{00000000-0005-0000-0000-0000C7030000}"/>
    <cellStyle name="20% - Accent1 5 2 6 9 2" xfId="972" xr:uid="{00000000-0005-0000-0000-0000C8030000}"/>
    <cellStyle name="20% - Accent1 5 2 6 9 2 2" xfId="973" xr:uid="{00000000-0005-0000-0000-0000C9030000}"/>
    <cellStyle name="20% - Accent1 5 2 6 9 3" xfId="974" xr:uid="{00000000-0005-0000-0000-0000CA030000}"/>
    <cellStyle name="20% - Accent1 5 2 7" xfId="975" xr:uid="{00000000-0005-0000-0000-0000CB030000}"/>
    <cellStyle name="20% - Accent1 5 2 7 2" xfId="976" xr:uid="{00000000-0005-0000-0000-0000CC030000}"/>
    <cellStyle name="20% - Accent1 5 2 7 2 2" xfId="977" xr:uid="{00000000-0005-0000-0000-0000CD030000}"/>
    <cellStyle name="20% - Accent1 5 2 7 2 2 2" xfId="978" xr:uid="{00000000-0005-0000-0000-0000CE030000}"/>
    <cellStyle name="20% - Accent1 5 2 7 2 2 2 2" xfId="979" xr:uid="{00000000-0005-0000-0000-0000CF030000}"/>
    <cellStyle name="20% - Accent1 5 2 7 2 2 3" xfId="980" xr:uid="{00000000-0005-0000-0000-0000D0030000}"/>
    <cellStyle name="20% - Accent1 5 2 7 2 3" xfId="981" xr:uid="{00000000-0005-0000-0000-0000D1030000}"/>
    <cellStyle name="20% - Accent1 5 2 7 2 3 2" xfId="982" xr:uid="{00000000-0005-0000-0000-0000D2030000}"/>
    <cellStyle name="20% - Accent1 5 2 7 2 4" xfId="983" xr:uid="{00000000-0005-0000-0000-0000D3030000}"/>
    <cellStyle name="20% - Accent1 5 2 7 3" xfId="984" xr:uid="{00000000-0005-0000-0000-0000D4030000}"/>
    <cellStyle name="20% - Accent1 5 2 7 3 2" xfId="985" xr:uid="{00000000-0005-0000-0000-0000D5030000}"/>
    <cellStyle name="20% - Accent1 5 2 7 3 2 2" xfId="986" xr:uid="{00000000-0005-0000-0000-0000D6030000}"/>
    <cellStyle name="20% - Accent1 5 2 7 3 3" xfId="987" xr:uid="{00000000-0005-0000-0000-0000D7030000}"/>
    <cellStyle name="20% - Accent1 5 2 7 4" xfId="988" xr:uid="{00000000-0005-0000-0000-0000D8030000}"/>
    <cellStyle name="20% - Accent1 5 2 7 4 2" xfId="989" xr:uid="{00000000-0005-0000-0000-0000D9030000}"/>
    <cellStyle name="20% - Accent1 5 2 7 4 2 2" xfId="990" xr:uid="{00000000-0005-0000-0000-0000DA030000}"/>
    <cellStyle name="20% - Accent1 5 2 7 4 3" xfId="991" xr:uid="{00000000-0005-0000-0000-0000DB030000}"/>
    <cellStyle name="20% - Accent1 5 2 7 5" xfId="992" xr:uid="{00000000-0005-0000-0000-0000DC030000}"/>
    <cellStyle name="20% - Accent1 5 2 7 5 2" xfId="993" xr:uid="{00000000-0005-0000-0000-0000DD030000}"/>
    <cellStyle name="20% - Accent1 5 2 7 5 2 2" xfId="994" xr:uid="{00000000-0005-0000-0000-0000DE030000}"/>
    <cellStyle name="20% - Accent1 5 2 7 5 3" xfId="995" xr:uid="{00000000-0005-0000-0000-0000DF030000}"/>
    <cellStyle name="20% - Accent1 5 2 7 6" xfId="996" xr:uid="{00000000-0005-0000-0000-0000E0030000}"/>
    <cellStyle name="20% - Accent1 5 2 7 6 2" xfId="997" xr:uid="{00000000-0005-0000-0000-0000E1030000}"/>
    <cellStyle name="20% - Accent1 5 2 7 6 2 2" xfId="998" xr:uid="{00000000-0005-0000-0000-0000E2030000}"/>
    <cellStyle name="20% - Accent1 5 2 7 6 3" xfId="999" xr:uid="{00000000-0005-0000-0000-0000E3030000}"/>
    <cellStyle name="20% - Accent1 5 2 7 7" xfId="1000" xr:uid="{00000000-0005-0000-0000-0000E4030000}"/>
    <cellStyle name="20% - Accent1 5 2 7 7 2" xfId="1001" xr:uid="{00000000-0005-0000-0000-0000E5030000}"/>
    <cellStyle name="20% - Accent1 5 2 7 8" xfId="1002" xr:uid="{00000000-0005-0000-0000-0000E6030000}"/>
    <cellStyle name="20% - Accent1 5 2 8" xfId="1003" xr:uid="{00000000-0005-0000-0000-0000E7030000}"/>
    <cellStyle name="20% - Accent1 5 2 8 2" xfId="1004" xr:uid="{00000000-0005-0000-0000-0000E8030000}"/>
    <cellStyle name="20% - Accent1 5 2 8 2 2" xfId="1005" xr:uid="{00000000-0005-0000-0000-0000E9030000}"/>
    <cellStyle name="20% - Accent1 5 2 8 2 2 2" xfId="1006" xr:uid="{00000000-0005-0000-0000-0000EA030000}"/>
    <cellStyle name="20% - Accent1 5 2 8 2 2 2 2" xfId="1007" xr:uid="{00000000-0005-0000-0000-0000EB030000}"/>
    <cellStyle name="20% - Accent1 5 2 8 2 2 3" xfId="1008" xr:uid="{00000000-0005-0000-0000-0000EC030000}"/>
    <cellStyle name="20% - Accent1 5 2 8 2 3" xfId="1009" xr:uid="{00000000-0005-0000-0000-0000ED030000}"/>
    <cellStyle name="20% - Accent1 5 2 8 2 3 2" xfId="1010" xr:uid="{00000000-0005-0000-0000-0000EE030000}"/>
    <cellStyle name="20% - Accent1 5 2 8 2 4" xfId="1011" xr:uid="{00000000-0005-0000-0000-0000EF030000}"/>
    <cellStyle name="20% - Accent1 5 2 8 3" xfId="1012" xr:uid="{00000000-0005-0000-0000-0000F0030000}"/>
    <cellStyle name="20% - Accent1 5 2 8 3 2" xfId="1013" xr:uid="{00000000-0005-0000-0000-0000F1030000}"/>
    <cellStyle name="20% - Accent1 5 2 8 3 2 2" xfId="1014" xr:uid="{00000000-0005-0000-0000-0000F2030000}"/>
    <cellStyle name="20% - Accent1 5 2 8 3 3" xfId="1015" xr:uid="{00000000-0005-0000-0000-0000F3030000}"/>
    <cellStyle name="20% - Accent1 5 2 8 4" xfId="1016" xr:uid="{00000000-0005-0000-0000-0000F4030000}"/>
    <cellStyle name="20% - Accent1 5 2 8 4 2" xfId="1017" xr:uid="{00000000-0005-0000-0000-0000F5030000}"/>
    <cellStyle name="20% - Accent1 5 2 8 4 2 2" xfId="1018" xr:uid="{00000000-0005-0000-0000-0000F6030000}"/>
    <cellStyle name="20% - Accent1 5 2 8 4 3" xfId="1019" xr:uid="{00000000-0005-0000-0000-0000F7030000}"/>
    <cellStyle name="20% - Accent1 5 2 8 5" xfId="1020" xr:uid="{00000000-0005-0000-0000-0000F8030000}"/>
    <cellStyle name="20% - Accent1 5 2 8 5 2" xfId="1021" xr:uid="{00000000-0005-0000-0000-0000F9030000}"/>
    <cellStyle name="20% - Accent1 5 2 8 5 2 2" xfId="1022" xr:uid="{00000000-0005-0000-0000-0000FA030000}"/>
    <cellStyle name="20% - Accent1 5 2 8 5 3" xfId="1023" xr:uid="{00000000-0005-0000-0000-0000FB030000}"/>
    <cellStyle name="20% - Accent1 5 2 8 6" xfId="1024" xr:uid="{00000000-0005-0000-0000-0000FC030000}"/>
    <cellStyle name="20% - Accent1 5 2 8 6 2" xfId="1025" xr:uid="{00000000-0005-0000-0000-0000FD030000}"/>
    <cellStyle name="20% - Accent1 5 2 8 6 2 2" xfId="1026" xr:uid="{00000000-0005-0000-0000-0000FE030000}"/>
    <cellStyle name="20% - Accent1 5 2 8 6 3" xfId="1027" xr:uid="{00000000-0005-0000-0000-0000FF030000}"/>
    <cellStyle name="20% - Accent1 5 2 8 7" xfId="1028" xr:uid="{00000000-0005-0000-0000-000000040000}"/>
    <cellStyle name="20% - Accent1 5 2 8 7 2" xfId="1029" xr:uid="{00000000-0005-0000-0000-000001040000}"/>
    <cellStyle name="20% - Accent1 5 2 8 8" xfId="1030" xr:uid="{00000000-0005-0000-0000-000002040000}"/>
    <cellStyle name="20% - Accent1 5 2 9" xfId="1031" xr:uid="{00000000-0005-0000-0000-000003040000}"/>
    <cellStyle name="20% - Accent1 5 2 9 2" xfId="1032" xr:uid="{00000000-0005-0000-0000-000004040000}"/>
    <cellStyle name="20% - Accent1 5 2 9 2 2" xfId="1033" xr:uid="{00000000-0005-0000-0000-000005040000}"/>
    <cellStyle name="20% - Accent1 5 2 9 2 2 2" xfId="1034" xr:uid="{00000000-0005-0000-0000-000006040000}"/>
    <cellStyle name="20% - Accent1 5 2 9 2 2 2 2" xfId="1035" xr:uid="{00000000-0005-0000-0000-000007040000}"/>
    <cellStyle name="20% - Accent1 5 2 9 2 2 3" xfId="1036" xr:uid="{00000000-0005-0000-0000-000008040000}"/>
    <cellStyle name="20% - Accent1 5 2 9 2 3" xfId="1037" xr:uid="{00000000-0005-0000-0000-000009040000}"/>
    <cellStyle name="20% - Accent1 5 2 9 2 3 2" xfId="1038" xr:uid="{00000000-0005-0000-0000-00000A040000}"/>
    <cellStyle name="20% - Accent1 5 2 9 2 4" xfId="1039" xr:uid="{00000000-0005-0000-0000-00000B040000}"/>
    <cellStyle name="20% - Accent1 5 2 9 3" xfId="1040" xr:uid="{00000000-0005-0000-0000-00000C040000}"/>
    <cellStyle name="20% - Accent1 5 2 9 3 2" xfId="1041" xr:uid="{00000000-0005-0000-0000-00000D040000}"/>
    <cellStyle name="20% - Accent1 5 2 9 3 2 2" xfId="1042" xr:uid="{00000000-0005-0000-0000-00000E040000}"/>
    <cellStyle name="20% - Accent1 5 2 9 3 3" xfId="1043" xr:uid="{00000000-0005-0000-0000-00000F040000}"/>
    <cellStyle name="20% - Accent1 5 2 9 4" xfId="1044" xr:uid="{00000000-0005-0000-0000-000010040000}"/>
    <cellStyle name="20% - Accent1 5 2 9 4 2" xfId="1045" xr:uid="{00000000-0005-0000-0000-000011040000}"/>
    <cellStyle name="20% - Accent1 5 2 9 4 2 2" xfId="1046" xr:uid="{00000000-0005-0000-0000-000012040000}"/>
    <cellStyle name="20% - Accent1 5 2 9 4 3" xfId="1047" xr:uid="{00000000-0005-0000-0000-000013040000}"/>
    <cellStyle name="20% - Accent1 5 2 9 5" xfId="1048" xr:uid="{00000000-0005-0000-0000-000014040000}"/>
    <cellStyle name="20% - Accent1 5 2 9 5 2" xfId="1049" xr:uid="{00000000-0005-0000-0000-000015040000}"/>
    <cellStyle name="20% - Accent1 5 2 9 5 2 2" xfId="1050" xr:uid="{00000000-0005-0000-0000-000016040000}"/>
    <cellStyle name="20% - Accent1 5 2 9 5 3" xfId="1051" xr:uid="{00000000-0005-0000-0000-000017040000}"/>
    <cellStyle name="20% - Accent1 5 2 9 6" xfId="1052" xr:uid="{00000000-0005-0000-0000-000018040000}"/>
    <cellStyle name="20% - Accent1 5 2 9 6 2" xfId="1053" xr:uid="{00000000-0005-0000-0000-000019040000}"/>
    <cellStyle name="20% - Accent1 5 2 9 6 2 2" xfId="1054" xr:uid="{00000000-0005-0000-0000-00001A040000}"/>
    <cellStyle name="20% - Accent1 5 2 9 6 3" xfId="1055" xr:uid="{00000000-0005-0000-0000-00001B040000}"/>
    <cellStyle name="20% - Accent1 5 2 9 7" xfId="1056" xr:uid="{00000000-0005-0000-0000-00001C040000}"/>
    <cellStyle name="20% - Accent1 5 2 9 7 2" xfId="1057" xr:uid="{00000000-0005-0000-0000-00001D040000}"/>
    <cellStyle name="20% - Accent1 5 2 9 8" xfId="1058" xr:uid="{00000000-0005-0000-0000-00001E040000}"/>
    <cellStyle name="20% - Accent1 5 20" xfId="1059" xr:uid="{00000000-0005-0000-0000-00001F040000}"/>
    <cellStyle name="20% - Accent1 5 20 2" xfId="1060" xr:uid="{00000000-0005-0000-0000-000020040000}"/>
    <cellStyle name="20% - Accent1 5 21" xfId="1061" xr:uid="{00000000-0005-0000-0000-000021040000}"/>
    <cellStyle name="20% - Accent1 5 3" xfId="1062" xr:uid="{00000000-0005-0000-0000-000022040000}"/>
    <cellStyle name="20% - Accent1 5 3 10" xfId="1063" xr:uid="{00000000-0005-0000-0000-000023040000}"/>
    <cellStyle name="20% - Accent1 5 3 10 2" xfId="1064" xr:uid="{00000000-0005-0000-0000-000024040000}"/>
    <cellStyle name="20% - Accent1 5 3 10 2 2" xfId="1065" xr:uid="{00000000-0005-0000-0000-000025040000}"/>
    <cellStyle name="20% - Accent1 5 3 10 3" xfId="1066" xr:uid="{00000000-0005-0000-0000-000026040000}"/>
    <cellStyle name="20% - Accent1 5 3 11" xfId="1067" xr:uid="{00000000-0005-0000-0000-000027040000}"/>
    <cellStyle name="20% - Accent1 5 3 11 2" xfId="1068" xr:uid="{00000000-0005-0000-0000-000028040000}"/>
    <cellStyle name="20% - Accent1 5 3 11 2 2" xfId="1069" xr:uid="{00000000-0005-0000-0000-000029040000}"/>
    <cellStyle name="20% - Accent1 5 3 11 3" xfId="1070" xr:uid="{00000000-0005-0000-0000-00002A040000}"/>
    <cellStyle name="20% - Accent1 5 3 12" xfId="1071" xr:uid="{00000000-0005-0000-0000-00002B040000}"/>
    <cellStyle name="20% - Accent1 5 3 12 2" xfId="1072" xr:uid="{00000000-0005-0000-0000-00002C040000}"/>
    <cellStyle name="20% - Accent1 5 3 12 2 2" xfId="1073" xr:uid="{00000000-0005-0000-0000-00002D040000}"/>
    <cellStyle name="20% - Accent1 5 3 12 3" xfId="1074" xr:uid="{00000000-0005-0000-0000-00002E040000}"/>
    <cellStyle name="20% - Accent1 5 3 13" xfId="1075" xr:uid="{00000000-0005-0000-0000-00002F040000}"/>
    <cellStyle name="20% - Accent1 5 3 13 2" xfId="1076" xr:uid="{00000000-0005-0000-0000-000030040000}"/>
    <cellStyle name="20% - Accent1 5 3 14" xfId="1077" xr:uid="{00000000-0005-0000-0000-000031040000}"/>
    <cellStyle name="20% - Accent1 5 3 2" xfId="1078" xr:uid="{00000000-0005-0000-0000-000032040000}"/>
    <cellStyle name="20% - Accent1 5 3 2 2" xfId="1079" xr:uid="{00000000-0005-0000-0000-000033040000}"/>
    <cellStyle name="20% - Accent1 5 3 2 2 2" xfId="1080" xr:uid="{00000000-0005-0000-0000-000034040000}"/>
    <cellStyle name="20% - Accent1 5 3 2 2 2 2" xfId="1081" xr:uid="{00000000-0005-0000-0000-000035040000}"/>
    <cellStyle name="20% - Accent1 5 3 2 2 2 2 2" xfId="1082" xr:uid="{00000000-0005-0000-0000-000036040000}"/>
    <cellStyle name="20% - Accent1 5 3 2 2 2 3" xfId="1083" xr:uid="{00000000-0005-0000-0000-000037040000}"/>
    <cellStyle name="20% - Accent1 5 3 2 2 3" xfId="1084" xr:uid="{00000000-0005-0000-0000-000038040000}"/>
    <cellStyle name="20% - Accent1 5 3 2 2 3 2" xfId="1085" xr:uid="{00000000-0005-0000-0000-000039040000}"/>
    <cellStyle name="20% - Accent1 5 3 2 2 4" xfId="1086" xr:uid="{00000000-0005-0000-0000-00003A040000}"/>
    <cellStyle name="20% - Accent1 5 3 2 3" xfId="1087" xr:uid="{00000000-0005-0000-0000-00003B040000}"/>
    <cellStyle name="20% - Accent1 5 3 2 3 2" xfId="1088" xr:uid="{00000000-0005-0000-0000-00003C040000}"/>
    <cellStyle name="20% - Accent1 5 3 2 3 2 2" xfId="1089" xr:uid="{00000000-0005-0000-0000-00003D040000}"/>
    <cellStyle name="20% - Accent1 5 3 2 3 3" xfId="1090" xr:uid="{00000000-0005-0000-0000-00003E040000}"/>
    <cellStyle name="20% - Accent1 5 3 2 4" xfId="1091" xr:uid="{00000000-0005-0000-0000-00003F040000}"/>
    <cellStyle name="20% - Accent1 5 3 2 4 2" xfId="1092" xr:uid="{00000000-0005-0000-0000-000040040000}"/>
    <cellStyle name="20% - Accent1 5 3 2 4 2 2" xfId="1093" xr:uid="{00000000-0005-0000-0000-000041040000}"/>
    <cellStyle name="20% - Accent1 5 3 2 4 3" xfId="1094" xr:uid="{00000000-0005-0000-0000-000042040000}"/>
    <cellStyle name="20% - Accent1 5 3 2 5" xfId="1095" xr:uid="{00000000-0005-0000-0000-000043040000}"/>
    <cellStyle name="20% - Accent1 5 3 2 5 2" xfId="1096" xr:uid="{00000000-0005-0000-0000-000044040000}"/>
    <cellStyle name="20% - Accent1 5 3 2 5 2 2" xfId="1097" xr:uid="{00000000-0005-0000-0000-000045040000}"/>
    <cellStyle name="20% - Accent1 5 3 2 5 3" xfId="1098" xr:uid="{00000000-0005-0000-0000-000046040000}"/>
    <cellStyle name="20% - Accent1 5 3 2 6" xfId="1099" xr:uid="{00000000-0005-0000-0000-000047040000}"/>
    <cellStyle name="20% - Accent1 5 3 2 6 2" xfId="1100" xr:uid="{00000000-0005-0000-0000-000048040000}"/>
    <cellStyle name="20% - Accent1 5 3 2 6 2 2" xfId="1101" xr:uid="{00000000-0005-0000-0000-000049040000}"/>
    <cellStyle name="20% - Accent1 5 3 2 6 3" xfId="1102" xr:uid="{00000000-0005-0000-0000-00004A040000}"/>
    <cellStyle name="20% - Accent1 5 3 2 7" xfId="1103" xr:uid="{00000000-0005-0000-0000-00004B040000}"/>
    <cellStyle name="20% - Accent1 5 3 2 7 2" xfId="1104" xr:uid="{00000000-0005-0000-0000-00004C040000}"/>
    <cellStyle name="20% - Accent1 5 3 2 8" xfId="1105" xr:uid="{00000000-0005-0000-0000-00004D040000}"/>
    <cellStyle name="20% - Accent1 5 3 3" xfId="1106" xr:uid="{00000000-0005-0000-0000-00004E040000}"/>
    <cellStyle name="20% - Accent1 5 3 3 2" xfId="1107" xr:uid="{00000000-0005-0000-0000-00004F040000}"/>
    <cellStyle name="20% - Accent1 5 3 3 2 2" xfId="1108" xr:uid="{00000000-0005-0000-0000-000050040000}"/>
    <cellStyle name="20% - Accent1 5 3 3 2 2 2" xfId="1109" xr:uid="{00000000-0005-0000-0000-000051040000}"/>
    <cellStyle name="20% - Accent1 5 3 3 2 2 2 2" xfId="1110" xr:uid="{00000000-0005-0000-0000-000052040000}"/>
    <cellStyle name="20% - Accent1 5 3 3 2 2 3" xfId="1111" xr:uid="{00000000-0005-0000-0000-000053040000}"/>
    <cellStyle name="20% - Accent1 5 3 3 2 3" xfId="1112" xr:uid="{00000000-0005-0000-0000-000054040000}"/>
    <cellStyle name="20% - Accent1 5 3 3 2 3 2" xfId="1113" xr:uid="{00000000-0005-0000-0000-000055040000}"/>
    <cellStyle name="20% - Accent1 5 3 3 2 4" xfId="1114" xr:uid="{00000000-0005-0000-0000-000056040000}"/>
    <cellStyle name="20% - Accent1 5 3 3 3" xfId="1115" xr:uid="{00000000-0005-0000-0000-000057040000}"/>
    <cellStyle name="20% - Accent1 5 3 3 3 2" xfId="1116" xr:uid="{00000000-0005-0000-0000-000058040000}"/>
    <cellStyle name="20% - Accent1 5 3 3 3 2 2" xfId="1117" xr:uid="{00000000-0005-0000-0000-000059040000}"/>
    <cellStyle name="20% - Accent1 5 3 3 3 3" xfId="1118" xr:uid="{00000000-0005-0000-0000-00005A040000}"/>
    <cellStyle name="20% - Accent1 5 3 3 4" xfId="1119" xr:uid="{00000000-0005-0000-0000-00005B040000}"/>
    <cellStyle name="20% - Accent1 5 3 3 4 2" xfId="1120" xr:uid="{00000000-0005-0000-0000-00005C040000}"/>
    <cellStyle name="20% - Accent1 5 3 3 4 2 2" xfId="1121" xr:uid="{00000000-0005-0000-0000-00005D040000}"/>
    <cellStyle name="20% - Accent1 5 3 3 4 3" xfId="1122" xr:uid="{00000000-0005-0000-0000-00005E040000}"/>
    <cellStyle name="20% - Accent1 5 3 3 5" xfId="1123" xr:uid="{00000000-0005-0000-0000-00005F040000}"/>
    <cellStyle name="20% - Accent1 5 3 3 5 2" xfId="1124" xr:uid="{00000000-0005-0000-0000-000060040000}"/>
    <cellStyle name="20% - Accent1 5 3 3 5 2 2" xfId="1125" xr:uid="{00000000-0005-0000-0000-000061040000}"/>
    <cellStyle name="20% - Accent1 5 3 3 5 3" xfId="1126" xr:uid="{00000000-0005-0000-0000-000062040000}"/>
    <cellStyle name="20% - Accent1 5 3 3 6" xfId="1127" xr:uid="{00000000-0005-0000-0000-000063040000}"/>
    <cellStyle name="20% - Accent1 5 3 3 6 2" xfId="1128" xr:uid="{00000000-0005-0000-0000-000064040000}"/>
    <cellStyle name="20% - Accent1 5 3 3 6 2 2" xfId="1129" xr:uid="{00000000-0005-0000-0000-000065040000}"/>
    <cellStyle name="20% - Accent1 5 3 3 6 3" xfId="1130" xr:uid="{00000000-0005-0000-0000-000066040000}"/>
    <cellStyle name="20% - Accent1 5 3 3 7" xfId="1131" xr:uid="{00000000-0005-0000-0000-000067040000}"/>
    <cellStyle name="20% - Accent1 5 3 3 7 2" xfId="1132" xr:uid="{00000000-0005-0000-0000-000068040000}"/>
    <cellStyle name="20% - Accent1 5 3 3 8" xfId="1133" xr:uid="{00000000-0005-0000-0000-000069040000}"/>
    <cellStyle name="20% - Accent1 5 3 4" xfId="1134" xr:uid="{00000000-0005-0000-0000-00006A040000}"/>
    <cellStyle name="20% - Accent1 5 3 4 2" xfId="1135" xr:uid="{00000000-0005-0000-0000-00006B040000}"/>
    <cellStyle name="20% - Accent1 5 3 4 2 2" xfId="1136" xr:uid="{00000000-0005-0000-0000-00006C040000}"/>
    <cellStyle name="20% - Accent1 5 3 4 2 2 2" xfId="1137" xr:uid="{00000000-0005-0000-0000-00006D040000}"/>
    <cellStyle name="20% - Accent1 5 3 4 2 2 2 2" xfId="1138" xr:uid="{00000000-0005-0000-0000-00006E040000}"/>
    <cellStyle name="20% - Accent1 5 3 4 2 2 3" xfId="1139" xr:uid="{00000000-0005-0000-0000-00006F040000}"/>
    <cellStyle name="20% - Accent1 5 3 4 2 3" xfId="1140" xr:uid="{00000000-0005-0000-0000-000070040000}"/>
    <cellStyle name="20% - Accent1 5 3 4 2 3 2" xfId="1141" xr:uid="{00000000-0005-0000-0000-000071040000}"/>
    <cellStyle name="20% - Accent1 5 3 4 2 4" xfId="1142" xr:uid="{00000000-0005-0000-0000-000072040000}"/>
    <cellStyle name="20% - Accent1 5 3 4 3" xfId="1143" xr:uid="{00000000-0005-0000-0000-000073040000}"/>
    <cellStyle name="20% - Accent1 5 3 4 3 2" xfId="1144" xr:uid="{00000000-0005-0000-0000-000074040000}"/>
    <cellStyle name="20% - Accent1 5 3 4 3 2 2" xfId="1145" xr:uid="{00000000-0005-0000-0000-000075040000}"/>
    <cellStyle name="20% - Accent1 5 3 4 3 3" xfId="1146" xr:uid="{00000000-0005-0000-0000-000076040000}"/>
    <cellStyle name="20% - Accent1 5 3 4 4" xfId="1147" xr:uid="{00000000-0005-0000-0000-000077040000}"/>
    <cellStyle name="20% - Accent1 5 3 4 4 2" xfId="1148" xr:uid="{00000000-0005-0000-0000-000078040000}"/>
    <cellStyle name="20% - Accent1 5 3 4 4 2 2" xfId="1149" xr:uid="{00000000-0005-0000-0000-000079040000}"/>
    <cellStyle name="20% - Accent1 5 3 4 4 3" xfId="1150" xr:uid="{00000000-0005-0000-0000-00007A040000}"/>
    <cellStyle name="20% - Accent1 5 3 4 5" xfId="1151" xr:uid="{00000000-0005-0000-0000-00007B040000}"/>
    <cellStyle name="20% - Accent1 5 3 4 5 2" xfId="1152" xr:uid="{00000000-0005-0000-0000-00007C040000}"/>
    <cellStyle name="20% - Accent1 5 3 4 5 2 2" xfId="1153" xr:uid="{00000000-0005-0000-0000-00007D040000}"/>
    <cellStyle name="20% - Accent1 5 3 4 5 3" xfId="1154" xr:uid="{00000000-0005-0000-0000-00007E040000}"/>
    <cellStyle name="20% - Accent1 5 3 4 6" xfId="1155" xr:uid="{00000000-0005-0000-0000-00007F040000}"/>
    <cellStyle name="20% - Accent1 5 3 4 6 2" xfId="1156" xr:uid="{00000000-0005-0000-0000-000080040000}"/>
    <cellStyle name="20% - Accent1 5 3 4 6 2 2" xfId="1157" xr:uid="{00000000-0005-0000-0000-000081040000}"/>
    <cellStyle name="20% - Accent1 5 3 4 6 3" xfId="1158" xr:uid="{00000000-0005-0000-0000-000082040000}"/>
    <cellStyle name="20% - Accent1 5 3 4 7" xfId="1159" xr:uid="{00000000-0005-0000-0000-000083040000}"/>
    <cellStyle name="20% - Accent1 5 3 4 7 2" xfId="1160" xr:uid="{00000000-0005-0000-0000-000084040000}"/>
    <cellStyle name="20% - Accent1 5 3 4 8" xfId="1161" xr:uid="{00000000-0005-0000-0000-000085040000}"/>
    <cellStyle name="20% - Accent1 5 3 5" xfId="1162" xr:uid="{00000000-0005-0000-0000-000086040000}"/>
    <cellStyle name="20% - Accent1 5 3 5 2" xfId="1163" xr:uid="{00000000-0005-0000-0000-000087040000}"/>
    <cellStyle name="20% - Accent1 5 3 5 2 2" xfId="1164" xr:uid="{00000000-0005-0000-0000-000088040000}"/>
    <cellStyle name="20% - Accent1 5 3 5 2 2 2" xfId="1165" xr:uid="{00000000-0005-0000-0000-000089040000}"/>
    <cellStyle name="20% - Accent1 5 3 5 2 2 2 2" xfId="1166" xr:uid="{00000000-0005-0000-0000-00008A040000}"/>
    <cellStyle name="20% - Accent1 5 3 5 2 2 3" xfId="1167" xr:uid="{00000000-0005-0000-0000-00008B040000}"/>
    <cellStyle name="20% - Accent1 5 3 5 2 3" xfId="1168" xr:uid="{00000000-0005-0000-0000-00008C040000}"/>
    <cellStyle name="20% - Accent1 5 3 5 2 3 2" xfId="1169" xr:uid="{00000000-0005-0000-0000-00008D040000}"/>
    <cellStyle name="20% - Accent1 5 3 5 2 4" xfId="1170" xr:uid="{00000000-0005-0000-0000-00008E040000}"/>
    <cellStyle name="20% - Accent1 5 3 5 3" xfId="1171" xr:uid="{00000000-0005-0000-0000-00008F040000}"/>
    <cellStyle name="20% - Accent1 5 3 5 3 2" xfId="1172" xr:uid="{00000000-0005-0000-0000-000090040000}"/>
    <cellStyle name="20% - Accent1 5 3 5 3 2 2" xfId="1173" xr:uid="{00000000-0005-0000-0000-000091040000}"/>
    <cellStyle name="20% - Accent1 5 3 5 3 3" xfId="1174" xr:uid="{00000000-0005-0000-0000-000092040000}"/>
    <cellStyle name="20% - Accent1 5 3 5 4" xfId="1175" xr:uid="{00000000-0005-0000-0000-000093040000}"/>
    <cellStyle name="20% - Accent1 5 3 5 4 2" xfId="1176" xr:uid="{00000000-0005-0000-0000-000094040000}"/>
    <cellStyle name="20% - Accent1 5 3 5 5" xfId="1177" xr:uid="{00000000-0005-0000-0000-000095040000}"/>
    <cellStyle name="20% - Accent1 5 3 6" xfId="1178" xr:uid="{00000000-0005-0000-0000-000096040000}"/>
    <cellStyle name="20% - Accent1 5 3 6 2" xfId="1179" xr:uid="{00000000-0005-0000-0000-000097040000}"/>
    <cellStyle name="20% - Accent1 5 3 6 2 2" xfId="1180" xr:uid="{00000000-0005-0000-0000-000098040000}"/>
    <cellStyle name="20% - Accent1 5 3 6 2 2 2" xfId="1181" xr:uid="{00000000-0005-0000-0000-000099040000}"/>
    <cellStyle name="20% - Accent1 5 3 6 2 2 2 2" xfId="1182" xr:uid="{00000000-0005-0000-0000-00009A040000}"/>
    <cellStyle name="20% - Accent1 5 3 6 2 2 3" xfId="1183" xr:uid="{00000000-0005-0000-0000-00009B040000}"/>
    <cellStyle name="20% - Accent1 5 3 6 2 3" xfId="1184" xr:uid="{00000000-0005-0000-0000-00009C040000}"/>
    <cellStyle name="20% - Accent1 5 3 6 2 3 2" xfId="1185" xr:uid="{00000000-0005-0000-0000-00009D040000}"/>
    <cellStyle name="20% - Accent1 5 3 6 2 4" xfId="1186" xr:uid="{00000000-0005-0000-0000-00009E040000}"/>
    <cellStyle name="20% - Accent1 5 3 6 3" xfId="1187" xr:uid="{00000000-0005-0000-0000-00009F040000}"/>
    <cellStyle name="20% - Accent1 5 3 6 3 2" xfId="1188" xr:uid="{00000000-0005-0000-0000-0000A0040000}"/>
    <cellStyle name="20% - Accent1 5 3 6 3 2 2" xfId="1189" xr:uid="{00000000-0005-0000-0000-0000A1040000}"/>
    <cellStyle name="20% - Accent1 5 3 6 3 3" xfId="1190" xr:uid="{00000000-0005-0000-0000-0000A2040000}"/>
    <cellStyle name="20% - Accent1 5 3 6 4" xfId="1191" xr:uid="{00000000-0005-0000-0000-0000A3040000}"/>
    <cellStyle name="20% - Accent1 5 3 6 4 2" xfId="1192" xr:uid="{00000000-0005-0000-0000-0000A4040000}"/>
    <cellStyle name="20% - Accent1 5 3 6 5" xfId="1193" xr:uid="{00000000-0005-0000-0000-0000A5040000}"/>
    <cellStyle name="20% - Accent1 5 3 7" xfId="1194" xr:uid="{00000000-0005-0000-0000-0000A6040000}"/>
    <cellStyle name="20% - Accent1 5 3 7 2" xfId="1195" xr:uid="{00000000-0005-0000-0000-0000A7040000}"/>
    <cellStyle name="20% - Accent1 5 3 7 2 2" xfId="1196" xr:uid="{00000000-0005-0000-0000-0000A8040000}"/>
    <cellStyle name="20% - Accent1 5 3 7 2 2 2" xfId="1197" xr:uid="{00000000-0005-0000-0000-0000A9040000}"/>
    <cellStyle name="20% - Accent1 5 3 7 2 3" xfId="1198" xr:uid="{00000000-0005-0000-0000-0000AA040000}"/>
    <cellStyle name="20% - Accent1 5 3 7 3" xfId="1199" xr:uid="{00000000-0005-0000-0000-0000AB040000}"/>
    <cellStyle name="20% - Accent1 5 3 7 3 2" xfId="1200" xr:uid="{00000000-0005-0000-0000-0000AC040000}"/>
    <cellStyle name="20% - Accent1 5 3 7 4" xfId="1201" xr:uid="{00000000-0005-0000-0000-0000AD040000}"/>
    <cellStyle name="20% - Accent1 5 3 8" xfId="1202" xr:uid="{00000000-0005-0000-0000-0000AE040000}"/>
    <cellStyle name="20% - Accent1 5 3 8 2" xfId="1203" xr:uid="{00000000-0005-0000-0000-0000AF040000}"/>
    <cellStyle name="20% - Accent1 5 3 8 2 2" xfId="1204" xr:uid="{00000000-0005-0000-0000-0000B0040000}"/>
    <cellStyle name="20% - Accent1 5 3 8 2 2 2" xfId="1205" xr:uid="{00000000-0005-0000-0000-0000B1040000}"/>
    <cellStyle name="20% - Accent1 5 3 8 2 3" xfId="1206" xr:uid="{00000000-0005-0000-0000-0000B2040000}"/>
    <cellStyle name="20% - Accent1 5 3 8 3" xfId="1207" xr:uid="{00000000-0005-0000-0000-0000B3040000}"/>
    <cellStyle name="20% - Accent1 5 3 8 3 2" xfId="1208" xr:uid="{00000000-0005-0000-0000-0000B4040000}"/>
    <cellStyle name="20% - Accent1 5 3 8 4" xfId="1209" xr:uid="{00000000-0005-0000-0000-0000B5040000}"/>
    <cellStyle name="20% - Accent1 5 3 9" xfId="1210" xr:uid="{00000000-0005-0000-0000-0000B6040000}"/>
    <cellStyle name="20% - Accent1 5 3 9 2" xfId="1211" xr:uid="{00000000-0005-0000-0000-0000B7040000}"/>
    <cellStyle name="20% - Accent1 5 3 9 2 2" xfId="1212" xr:uid="{00000000-0005-0000-0000-0000B8040000}"/>
    <cellStyle name="20% - Accent1 5 3 9 3" xfId="1213" xr:uid="{00000000-0005-0000-0000-0000B9040000}"/>
    <cellStyle name="20% - Accent1 5 4" xfId="1214" xr:uid="{00000000-0005-0000-0000-0000BA040000}"/>
    <cellStyle name="20% - Accent1 5 4 10" xfId="1215" xr:uid="{00000000-0005-0000-0000-0000BB040000}"/>
    <cellStyle name="20% - Accent1 5 4 10 2" xfId="1216" xr:uid="{00000000-0005-0000-0000-0000BC040000}"/>
    <cellStyle name="20% - Accent1 5 4 10 2 2" xfId="1217" xr:uid="{00000000-0005-0000-0000-0000BD040000}"/>
    <cellStyle name="20% - Accent1 5 4 10 3" xfId="1218" xr:uid="{00000000-0005-0000-0000-0000BE040000}"/>
    <cellStyle name="20% - Accent1 5 4 11" xfId="1219" xr:uid="{00000000-0005-0000-0000-0000BF040000}"/>
    <cellStyle name="20% - Accent1 5 4 11 2" xfId="1220" xr:uid="{00000000-0005-0000-0000-0000C0040000}"/>
    <cellStyle name="20% - Accent1 5 4 11 2 2" xfId="1221" xr:uid="{00000000-0005-0000-0000-0000C1040000}"/>
    <cellStyle name="20% - Accent1 5 4 11 3" xfId="1222" xr:uid="{00000000-0005-0000-0000-0000C2040000}"/>
    <cellStyle name="20% - Accent1 5 4 12" xfId="1223" xr:uid="{00000000-0005-0000-0000-0000C3040000}"/>
    <cellStyle name="20% - Accent1 5 4 12 2" xfId="1224" xr:uid="{00000000-0005-0000-0000-0000C4040000}"/>
    <cellStyle name="20% - Accent1 5 4 12 2 2" xfId="1225" xr:uid="{00000000-0005-0000-0000-0000C5040000}"/>
    <cellStyle name="20% - Accent1 5 4 12 3" xfId="1226" xr:uid="{00000000-0005-0000-0000-0000C6040000}"/>
    <cellStyle name="20% - Accent1 5 4 13" xfId="1227" xr:uid="{00000000-0005-0000-0000-0000C7040000}"/>
    <cellStyle name="20% - Accent1 5 4 13 2" xfId="1228" xr:uid="{00000000-0005-0000-0000-0000C8040000}"/>
    <cellStyle name="20% - Accent1 5 4 14" xfId="1229" xr:uid="{00000000-0005-0000-0000-0000C9040000}"/>
    <cellStyle name="20% - Accent1 5 4 2" xfId="1230" xr:uid="{00000000-0005-0000-0000-0000CA040000}"/>
    <cellStyle name="20% - Accent1 5 4 2 2" xfId="1231" xr:uid="{00000000-0005-0000-0000-0000CB040000}"/>
    <cellStyle name="20% - Accent1 5 4 2 2 2" xfId="1232" xr:uid="{00000000-0005-0000-0000-0000CC040000}"/>
    <cellStyle name="20% - Accent1 5 4 2 2 2 2" xfId="1233" xr:uid="{00000000-0005-0000-0000-0000CD040000}"/>
    <cellStyle name="20% - Accent1 5 4 2 2 2 2 2" xfId="1234" xr:uid="{00000000-0005-0000-0000-0000CE040000}"/>
    <cellStyle name="20% - Accent1 5 4 2 2 2 3" xfId="1235" xr:uid="{00000000-0005-0000-0000-0000CF040000}"/>
    <cellStyle name="20% - Accent1 5 4 2 2 3" xfId="1236" xr:uid="{00000000-0005-0000-0000-0000D0040000}"/>
    <cellStyle name="20% - Accent1 5 4 2 2 3 2" xfId="1237" xr:uid="{00000000-0005-0000-0000-0000D1040000}"/>
    <cellStyle name="20% - Accent1 5 4 2 2 4" xfId="1238" xr:uid="{00000000-0005-0000-0000-0000D2040000}"/>
    <cellStyle name="20% - Accent1 5 4 2 3" xfId="1239" xr:uid="{00000000-0005-0000-0000-0000D3040000}"/>
    <cellStyle name="20% - Accent1 5 4 2 3 2" xfId="1240" xr:uid="{00000000-0005-0000-0000-0000D4040000}"/>
    <cellStyle name="20% - Accent1 5 4 2 3 2 2" xfId="1241" xr:uid="{00000000-0005-0000-0000-0000D5040000}"/>
    <cellStyle name="20% - Accent1 5 4 2 3 3" xfId="1242" xr:uid="{00000000-0005-0000-0000-0000D6040000}"/>
    <cellStyle name="20% - Accent1 5 4 2 4" xfId="1243" xr:uid="{00000000-0005-0000-0000-0000D7040000}"/>
    <cellStyle name="20% - Accent1 5 4 2 4 2" xfId="1244" xr:uid="{00000000-0005-0000-0000-0000D8040000}"/>
    <cellStyle name="20% - Accent1 5 4 2 4 2 2" xfId="1245" xr:uid="{00000000-0005-0000-0000-0000D9040000}"/>
    <cellStyle name="20% - Accent1 5 4 2 4 3" xfId="1246" xr:uid="{00000000-0005-0000-0000-0000DA040000}"/>
    <cellStyle name="20% - Accent1 5 4 2 5" xfId="1247" xr:uid="{00000000-0005-0000-0000-0000DB040000}"/>
    <cellStyle name="20% - Accent1 5 4 2 5 2" xfId="1248" xr:uid="{00000000-0005-0000-0000-0000DC040000}"/>
    <cellStyle name="20% - Accent1 5 4 2 5 2 2" xfId="1249" xr:uid="{00000000-0005-0000-0000-0000DD040000}"/>
    <cellStyle name="20% - Accent1 5 4 2 5 3" xfId="1250" xr:uid="{00000000-0005-0000-0000-0000DE040000}"/>
    <cellStyle name="20% - Accent1 5 4 2 6" xfId="1251" xr:uid="{00000000-0005-0000-0000-0000DF040000}"/>
    <cellStyle name="20% - Accent1 5 4 2 6 2" xfId="1252" xr:uid="{00000000-0005-0000-0000-0000E0040000}"/>
    <cellStyle name="20% - Accent1 5 4 2 6 2 2" xfId="1253" xr:uid="{00000000-0005-0000-0000-0000E1040000}"/>
    <cellStyle name="20% - Accent1 5 4 2 6 3" xfId="1254" xr:uid="{00000000-0005-0000-0000-0000E2040000}"/>
    <cellStyle name="20% - Accent1 5 4 2 7" xfId="1255" xr:uid="{00000000-0005-0000-0000-0000E3040000}"/>
    <cellStyle name="20% - Accent1 5 4 2 7 2" xfId="1256" xr:uid="{00000000-0005-0000-0000-0000E4040000}"/>
    <cellStyle name="20% - Accent1 5 4 2 8" xfId="1257" xr:uid="{00000000-0005-0000-0000-0000E5040000}"/>
    <cellStyle name="20% - Accent1 5 4 3" xfId="1258" xr:uid="{00000000-0005-0000-0000-0000E6040000}"/>
    <cellStyle name="20% - Accent1 5 4 3 2" xfId="1259" xr:uid="{00000000-0005-0000-0000-0000E7040000}"/>
    <cellStyle name="20% - Accent1 5 4 3 2 2" xfId="1260" xr:uid="{00000000-0005-0000-0000-0000E8040000}"/>
    <cellStyle name="20% - Accent1 5 4 3 2 2 2" xfId="1261" xr:uid="{00000000-0005-0000-0000-0000E9040000}"/>
    <cellStyle name="20% - Accent1 5 4 3 2 2 2 2" xfId="1262" xr:uid="{00000000-0005-0000-0000-0000EA040000}"/>
    <cellStyle name="20% - Accent1 5 4 3 2 2 3" xfId="1263" xr:uid="{00000000-0005-0000-0000-0000EB040000}"/>
    <cellStyle name="20% - Accent1 5 4 3 2 3" xfId="1264" xr:uid="{00000000-0005-0000-0000-0000EC040000}"/>
    <cellStyle name="20% - Accent1 5 4 3 2 3 2" xfId="1265" xr:uid="{00000000-0005-0000-0000-0000ED040000}"/>
    <cellStyle name="20% - Accent1 5 4 3 2 4" xfId="1266" xr:uid="{00000000-0005-0000-0000-0000EE040000}"/>
    <cellStyle name="20% - Accent1 5 4 3 3" xfId="1267" xr:uid="{00000000-0005-0000-0000-0000EF040000}"/>
    <cellStyle name="20% - Accent1 5 4 3 3 2" xfId="1268" xr:uid="{00000000-0005-0000-0000-0000F0040000}"/>
    <cellStyle name="20% - Accent1 5 4 3 3 2 2" xfId="1269" xr:uid="{00000000-0005-0000-0000-0000F1040000}"/>
    <cellStyle name="20% - Accent1 5 4 3 3 3" xfId="1270" xr:uid="{00000000-0005-0000-0000-0000F2040000}"/>
    <cellStyle name="20% - Accent1 5 4 3 4" xfId="1271" xr:uid="{00000000-0005-0000-0000-0000F3040000}"/>
    <cellStyle name="20% - Accent1 5 4 3 4 2" xfId="1272" xr:uid="{00000000-0005-0000-0000-0000F4040000}"/>
    <cellStyle name="20% - Accent1 5 4 3 4 2 2" xfId="1273" xr:uid="{00000000-0005-0000-0000-0000F5040000}"/>
    <cellStyle name="20% - Accent1 5 4 3 4 3" xfId="1274" xr:uid="{00000000-0005-0000-0000-0000F6040000}"/>
    <cellStyle name="20% - Accent1 5 4 3 5" xfId="1275" xr:uid="{00000000-0005-0000-0000-0000F7040000}"/>
    <cellStyle name="20% - Accent1 5 4 3 5 2" xfId="1276" xr:uid="{00000000-0005-0000-0000-0000F8040000}"/>
    <cellStyle name="20% - Accent1 5 4 3 5 2 2" xfId="1277" xr:uid="{00000000-0005-0000-0000-0000F9040000}"/>
    <cellStyle name="20% - Accent1 5 4 3 5 3" xfId="1278" xr:uid="{00000000-0005-0000-0000-0000FA040000}"/>
    <cellStyle name="20% - Accent1 5 4 3 6" xfId="1279" xr:uid="{00000000-0005-0000-0000-0000FB040000}"/>
    <cellStyle name="20% - Accent1 5 4 3 6 2" xfId="1280" xr:uid="{00000000-0005-0000-0000-0000FC040000}"/>
    <cellStyle name="20% - Accent1 5 4 3 6 2 2" xfId="1281" xr:uid="{00000000-0005-0000-0000-0000FD040000}"/>
    <cellStyle name="20% - Accent1 5 4 3 6 3" xfId="1282" xr:uid="{00000000-0005-0000-0000-0000FE040000}"/>
    <cellStyle name="20% - Accent1 5 4 3 7" xfId="1283" xr:uid="{00000000-0005-0000-0000-0000FF040000}"/>
    <cellStyle name="20% - Accent1 5 4 3 7 2" xfId="1284" xr:uid="{00000000-0005-0000-0000-000000050000}"/>
    <cellStyle name="20% - Accent1 5 4 3 8" xfId="1285" xr:uid="{00000000-0005-0000-0000-000001050000}"/>
    <cellStyle name="20% - Accent1 5 4 4" xfId="1286" xr:uid="{00000000-0005-0000-0000-000002050000}"/>
    <cellStyle name="20% - Accent1 5 4 4 2" xfId="1287" xr:uid="{00000000-0005-0000-0000-000003050000}"/>
    <cellStyle name="20% - Accent1 5 4 4 2 2" xfId="1288" xr:uid="{00000000-0005-0000-0000-000004050000}"/>
    <cellStyle name="20% - Accent1 5 4 4 2 2 2" xfId="1289" xr:uid="{00000000-0005-0000-0000-000005050000}"/>
    <cellStyle name="20% - Accent1 5 4 4 2 2 2 2" xfId="1290" xr:uid="{00000000-0005-0000-0000-000006050000}"/>
    <cellStyle name="20% - Accent1 5 4 4 2 2 3" xfId="1291" xr:uid="{00000000-0005-0000-0000-000007050000}"/>
    <cellStyle name="20% - Accent1 5 4 4 2 3" xfId="1292" xr:uid="{00000000-0005-0000-0000-000008050000}"/>
    <cellStyle name="20% - Accent1 5 4 4 2 3 2" xfId="1293" xr:uid="{00000000-0005-0000-0000-000009050000}"/>
    <cellStyle name="20% - Accent1 5 4 4 2 4" xfId="1294" xr:uid="{00000000-0005-0000-0000-00000A050000}"/>
    <cellStyle name="20% - Accent1 5 4 4 3" xfId="1295" xr:uid="{00000000-0005-0000-0000-00000B050000}"/>
    <cellStyle name="20% - Accent1 5 4 4 3 2" xfId="1296" xr:uid="{00000000-0005-0000-0000-00000C050000}"/>
    <cellStyle name="20% - Accent1 5 4 4 3 2 2" xfId="1297" xr:uid="{00000000-0005-0000-0000-00000D050000}"/>
    <cellStyle name="20% - Accent1 5 4 4 3 3" xfId="1298" xr:uid="{00000000-0005-0000-0000-00000E050000}"/>
    <cellStyle name="20% - Accent1 5 4 4 4" xfId="1299" xr:uid="{00000000-0005-0000-0000-00000F050000}"/>
    <cellStyle name="20% - Accent1 5 4 4 4 2" xfId="1300" xr:uid="{00000000-0005-0000-0000-000010050000}"/>
    <cellStyle name="20% - Accent1 5 4 4 4 2 2" xfId="1301" xr:uid="{00000000-0005-0000-0000-000011050000}"/>
    <cellStyle name="20% - Accent1 5 4 4 4 3" xfId="1302" xr:uid="{00000000-0005-0000-0000-000012050000}"/>
    <cellStyle name="20% - Accent1 5 4 4 5" xfId="1303" xr:uid="{00000000-0005-0000-0000-000013050000}"/>
    <cellStyle name="20% - Accent1 5 4 4 5 2" xfId="1304" xr:uid="{00000000-0005-0000-0000-000014050000}"/>
    <cellStyle name="20% - Accent1 5 4 4 5 2 2" xfId="1305" xr:uid="{00000000-0005-0000-0000-000015050000}"/>
    <cellStyle name="20% - Accent1 5 4 4 5 3" xfId="1306" xr:uid="{00000000-0005-0000-0000-000016050000}"/>
    <cellStyle name="20% - Accent1 5 4 4 6" xfId="1307" xr:uid="{00000000-0005-0000-0000-000017050000}"/>
    <cellStyle name="20% - Accent1 5 4 4 6 2" xfId="1308" xr:uid="{00000000-0005-0000-0000-000018050000}"/>
    <cellStyle name="20% - Accent1 5 4 4 6 2 2" xfId="1309" xr:uid="{00000000-0005-0000-0000-000019050000}"/>
    <cellStyle name="20% - Accent1 5 4 4 6 3" xfId="1310" xr:uid="{00000000-0005-0000-0000-00001A050000}"/>
    <cellStyle name="20% - Accent1 5 4 4 7" xfId="1311" xr:uid="{00000000-0005-0000-0000-00001B050000}"/>
    <cellStyle name="20% - Accent1 5 4 4 7 2" xfId="1312" xr:uid="{00000000-0005-0000-0000-00001C050000}"/>
    <cellStyle name="20% - Accent1 5 4 4 8" xfId="1313" xr:uid="{00000000-0005-0000-0000-00001D050000}"/>
    <cellStyle name="20% - Accent1 5 4 5" xfId="1314" xr:uid="{00000000-0005-0000-0000-00001E050000}"/>
    <cellStyle name="20% - Accent1 5 4 5 2" xfId="1315" xr:uid="{00000000-0005-0000-0000-00001F050000}"/>
    <cellStyle name="20% - Accent1 5 4 5 2 2" xfId="1316" xr:uid="{00000000-0005-0000-0000-000020050000}"/>
    <cellStyle name="20% - Accent1 5 4 5 2 2 2" xfId="1317" xr:uid="{00000000-0005-0000-0000-000021050000}"/>
    <cellStyle name="20% - Accent1 5 4 5 2 2 2 2" xfId="1318" xr:uid="{00000000-0005-0000-0000-000022050000}"/>
    <cellStyle name="20% - Accent1 5 4 5 2 2 3" xfId="1319" xr:uid="{00000000-0005-0000-0000-000023050000}"/>
    <cellStyle name="20% - Accent1 5 4 5 2 3" xfId="1320" xr:uid="{00000000-0005-0000-0000-000024050000}"/>
    <cellStyle name="20% - Accent1 5 4 5 2 3 2" xfId="1321" xr:uid="{00000000-0005-0000-0000-000025050000}"/>
    <cellStyle name="20% - Accent1 5 4 5 2 4" xfId="1322" xr:uid="{00000000-0005-0000-0000-000026050000}"/>
    <cellStyle name="20% - Accent1 5 4 5 3" xfId="1323" xr:uid="{00000000-0005-0000-0000-000027050000}"/>
    <cellStyle name="20% - Accent1 5 4 5 3 2" xfId="1324" xr:uid="{00000000-0005-0000-0000-000028050000}"/>
    <cellStyle name="20% - Accent1 5 4 5 3 2 2" xfId="1325" xr:uid="{00000000-0005-0000-0000-000029050000}"/>
    <cellStyle name="20% - Accent1 5 4 5 3 3" xfId="1326" xr:uid="{00000000-0005-0000-0000-00002A050000}"/>
    <cellStyle name="20% - Accent1 5 4 5 4" xfId="1327" xr:uid="{00000000-0005-0000-0000-00002B050000}"/>
    <cellStyle name="20% - Accent1 5 4 5 4 2" xfId="1328" xr:uid="{00000000-0005-0000-0000-00002C050000}"/>
    <cellStyle name="20% - Accent1 5 4 5 5" xfId="1329" xr:uid="{00000000-0005-0000-0000-00002D050000}"/>
    <cellStyle name="20% - Accent1 5 4 6" xfId="1330" xr:uid="{00000000-0005-0000-0000-00002E050000}"/>
    <cellStyle name="20% - Accent1 5 4 6 2" xfId="1331" xr:uid="{00000000-0005-0000-0000-00002F050000}"/>
    <cellStyle name="20% - Accent1 5 4 6 2 2" xfId="1332" xr:uid="{00000000-0005-0000-0000-000030050000}"/>
    <cellStyle name="20% - Accent1 5 4 6 2 2 2" xfId="1333" xr:uid="{00000000-0005-0000-0000-000031050000}"/>
    <cellStyle name="20% - Accent1 5 4 6 2 2 2 2" xfId="1334" xr:uid="{00000000-0005-0000-0000-000032050000}"/>
    <cellStyle name="20% - Accent1 5 4 6 2 2 3" xfId="1335" xr:uid="{00000000-0005-0000-0000-000033050000}"/>
    <cellStyle name="20% - Accent1 5 4 6 2 3" xfId="1336" xr:uid="{00000000-0005-0000-0000-000034050000}"/>
    <cellStyle name="20% - Accent1 5 4 6 2 3 2" xfId="1337" xr:uid="{00000000-0005-0000-0000-000035050000}"/>
    <cellStyle name="20% - Accent1 5 4 6 2 4" xfId="1338" xr:uid="{00000000-0005-0000-0000-000036050000}"/>
    <cellStyle name="20% - Accent1 5 4 6 3" xfId="1339" xr:uid="{00000000-0005-0000-0000-000037050000}"/>
    <cellStyle name="20% - Accent1 5 4 6 3 2" xfId="1340" xr:uid="{00000000-0005-0000-0000-000038050000}"/>
    <cellStyle name="20% - Accent1 5 4 6 3 2 2" xfId="1341" xr:uid="{00000000-0005-0000-0000-000039050000}"/>
    <cellStyle name="20% - Accent1 5 4 6 3 3" xfId="1342" xr:uid="{00000000-0005-0000-0000-00003A050000}"/>
    <cellStyle name="20% - Accent1 5 4 6 4" xfId="1343" xr:uid="{00000000-0005-0000-0000-00003B050000}"/>
    <cellStyle name="20% - Accent1 5 4 6 4 2" xfId="1344" xr:uid="{00000000-0005-0000-0000-00003C050000}"/>
    <cellStyle name="20% - Accent1 5 4 6 5" xfId="1345" xr:uid="{00000000-0005-0000-0000-00003D050000}"/>
    <cellStyle name="20% - Accent1 5 4 7" xfId="1346" xr:uid="{00000000-0005-0000-0000-00003E050000}"/>
    <cellStyle name="20% - Accent1 5 4 7 2" xfId="1347" xr:uid="{00000000-0005-0000-0000-00003F050000}"/>
    <cellStyle name="20% - Accent1 5 4 7 2 2" xfId="1348" xr:uid="{00000000-0005-0000-0000-000040050000}"/>
    <cellStyle name="20% - Accent1 5 4 7 2 2 2" xfId="1349" xr:uid="{00000000-0005-0000-0000-000041050000}"/>
    <cellStyle name="20% - Accent1 5 4 7 2 3" xfId="1350" xr:uid="{00000000-0005-0000-0000-000042050000}"/>
    <cellStyle name="20% - Accent1 5 4 7 3" xfId="1351" xr:uid="{00000000-0005-0000-0000-000043050000}"/>
    <cellStyle name="20% - Accent1 5 4 7 3 2" xfId="1352" xr:uid="{00000000-0005-0000-0000-000044050000}"/>
    <cellStyle name="20% - Accent1 5 4 7 4" xfId="1353" xr:uid="{00000000-0005-0000-0000-000045050000}"/>
    <cellStyle name="20% - Accent1 5 4 8" xfId="1354" xr:uid="{00000000-0005-0000-0000-000046050000}"/>
    <cellStyle name="20% - Accent1 5 4 8 2" xfId="1355" xr:uid="{00000000-0005-0000-0000-000047050000}"/>
    <cellStyle name="20% - Accent1 5 4 8 2 2" xfId="1356" xr:uid="{00000000-0005-0000-0000-000048050000}"/>
    <cellStyle name="20% - Accent1 5 4 8 2 2 2" xfId="1357" xr:uid="{00000000-0005-0000-0000-000049050000}"/>
    <cellStyle name="20% - Accent1 5 4 8 2 3" xfId="1358" xr:uid="{00000000-0005-0000-0000-00004A050000}"/>
    <cellStyle name="20% - Accent1 5 4 8 3" xfId="1359" xr:uid="{00000000-0005-0000-0000-00004B050000}"/>
    <cellStyle name="20% - Accent1 5 4 8 3 2" xfId="1360" xr:uid="{00000000-0005-0000-0000-00004C050000}"/>
    <cellStyle name="20% - Accent1 5 4 8 4" xfId="1361" xr:uid="{00000000-0005-0000-0000-00004D050000}"/>
    <cellStyle name="20% - Accent1 5 4 9" xfId="1362" xr:uid="{00000000-0005-0000-0000-00004E050000}"/>
    <cellStyle name="20% - Accent1 5 4 9 2" xfId="1363" xr:uid="{00000000-0005-0000-0000-00004F050000}"/>
    <cellStyle name="20% - Accent1 5 4 9 2 2" xfId="1364" xr:uid="{00000000-0005-0000-0000-000050050000}"/>
    <cellStyle name="20% - Accent1 5 4 9 3" xfId="1365" xr:uid="{00000000-0005-0000-0000-000051050000}"/>
    <cellStyle name="20% - Accent1 5 5" xfId="1366" xr:uid="{00000000-0005-0000-0000-000052050000}"/>
    <cellStyle name="20% - Accent1 5 5 10" xfId="1367" xr:uid="{00000000-0005-0000-0000-000053050000}"/>
    <cellStyle name="20% - Accent1 5 5 10 2" xfId="1368" xr:uid="{00000000-0005-0000-0000-000054050000}"/>
    <cellStyle name="20% - Accent1 5 5 10 2 2" xfId="1369" xr:uid="{00000000-0005-0000-0000-000055050000}"/>
    <cellStyle name="20% - Accent1 5 5 10 3" xfId="1370" xr:uid="{00000000-0005-0000-0000-000056050000}"/>
    <cellStyle name="20% - Accent1 5 5 11" xfId="1371" xr:uid="{00000000-0005-0000-0000-000057050000}"/>
    <cellStyle name="20% - Accent1 5 5 11 2" xfId="1372" xr:uid="{00000000-0005-0000-0000-000058050000}"/>
    <cellStyle name="20% - Accent1 5 5 11 2 2" xfId="1373" xr:uid="{00000000-0005-0000-0000-000059050000}"/>
    <cellStyle name="20% - Accent1 5 5 11 3" xfId="1374" xr:uid="{00000000-0005-0000-0000-00005A050000}"/>
    <cellStyle name="20% - Accent1 5 5 12" xfId="1375" xr:uid="{00000000-0005-0000-0000-00005B050000}"/>
    <cellStyle name="20% - Accent1 5 5 12 2" xfId="1376" xr:uid="{00000000-0005-0000-0000-00005C050000}"/>
    <cellStyle name="20% - Accent1 5 5 12 2 2" xfId="1377" xr:uid="{00000000-0005-0000-0000-00005D050000}"/>
    <cellStyle name="20% - Accent1 5 5 12 3" xfId="1378" xr:uid="{00000000-0005-0000-0000-00005E050000}"/>
    <cellStyle name="20% - Accent1 5 5 13" xfId="1379" xr:uid="{00000000-0005-0000-0000-00005F050000}"/>
    <cellStyle name="20% - Accent1 5 5 13 2" xfId="1380" xr:uid="{00000000-0005-0000-0000-000060050000}"/>
    <cellStyle name="20% - Accent1 5 5 14" xfId="1381" xr:uid="{00000000-0005-0000-0000-000061050000}"/>
    <cellStyle name="20% - Accent1 5 5 2" xfId="1382" xr:uid="{00000000-0005-0000-0000-000062050000}"/>
    <cellStyle name="20% - Accent1 5 5 2 2" xfId="1383" xr:uid="{00000000-0005-0000-0000-000063050000}"/>
    <cellStyle name="20% - Accent1 5 5 2 2 2" xfId="1384" xr:uid="{00000000-0005-0000-0000-000064050000}"/>
    <cellStyle name="20% - Accent1 5 5 2 2 2 2" xfId="1385" xr:uid="{00000000-0005-0000-0000-000065050000}"/>
    <cellStyle name="20% - Accent1 5 5 2 2 2 2 2" xfId="1386" xr:uid="{00000000-0005-0000-0000-000066050000}"/>
    <cellStyle name="20% - Accent1 5 5 2 2 2 3" xfId="1387" xr:uid="{00000000-0005-0000-0000-000067050000}"/>
    <cellStyle name="20% - Accent1 5 5 2 2 3" xfId="1388" xr:uid="{00000000-0005-0000-0000-000068050000}"/>
    <cellStyle name="20% - Accent1 5 5 2 2 3 2" xfId="1389" xr:uid="{00000000-0005-0000-0000-000069050000}"/>
    <cellStyle name="20% - Accent1 5 5 2 2 4" xfId="1390" xr:uid="{00000000-0005-0000-0000-00006A050000}"/>
    <cellStyle name="20% - Accent1 5 5 2 3" xfId="1391" xr:uid="{00000000-0005-0000-0000-00006B050000}"/>
    <cellStyle name="20% - Accent1 5 5 2 3 2" xfId="1392" xr:uid="{00000000-0005-0000-0000-00006C050000}"/>
    <cellStyle name="20% - Accent1 5 5 2 3 2 2" xfId="1393" xr:uid="{00000000-0005-0000-0000-00006D050000}"/>
    <cellStyle name="20% - Accent1 5 5 2 3 3" xfId="1394" xr:uid="{00000000-0005-0000-0000-00006E050000}"/>
    <cellStyle name="20% - Accent1 5 5 2 4" xfId="1395" xr:uid="{00000000-0005-0000-0000-00006F050000}"/>
    <cellStyle name="20% - Accent1 5 5 2 4 2" xfId="1396" xr:uid="{00000000-0005-0000-0000-000070050000}"/>
    <cellStyle name="20% - Accent1 5 5 2 4 2 2" xfId="1397" xr:uid="{00000000-0005-0000-0000-000071050000}"/>
    <cellStyle name="20% - Accent1 5 5 2 4 3" xfId="1398" xr:uid="{00000000-0005-0000-0000-000072050000}"/>
    <cellStyle name="20% - Accent1 5 5 2 5" xfId="1399" xr:uid="{00000000-0005-0000-0000-000073050000}"/>
    <cellStyle name="20% - Accent1 5 5 2 5 2" xfId="1400" xr:uid="{00000000-0005-0000-0000-000074050000}"/>
    <cellStyle name="20% - Accent1 5 5 2 5 2 2" xfId="1401" xr:uid="{00000000-0005-0000-0000-000075050000}"/>
    <cellStyle name="20% - Accent1 5 5 2 5 3" xfId="1402" xr:uid="{00000000-0005-0000-0000-000076050000}"/>
    <cellStyle name="20% - Accent1 5 5 2 6" xfId="1403" xr:uid="{00000000-0005-0000-0000-000077050000}"/>
    <cellStyle name="20% - Accent1 5 5 2 6 2" xfId="1404" xr:uid="{00000000-0005-0000-0000-000078050000}"/>
    <cellStyle name="20% - Accent1 5 5 2 6 2 2" xfId="1405" xr:uid="{00000000-0005-0000-0000-000079050000}"/>
    <cellStyle name="20% - Accent1 5 5 2 6 3" xfId="1406" xr:uid="{00000000-0005-0000-0000-00007A050000}"/>
    <cellStyle name="20% - Accent1 5 5 2 7" xfId="1407" xr:uid="{00000000-0005-0000-0000-00007B050000}"/>
    <cellStyle name="20% - Accent1 5 5 2 7 2" xfId="1408" xr:uid="{00000000-0005-0000-0000-00007C050000}"/>
    <cellStyle name="20% - Accent1 5 5 2 8" xfId="1409" xr:uid="{00000000-0005-0000-0000-00007D050000}"/>
    <cellStyle name="20% - Accent1 5 5 3" xfId="1410" xr:uid="{00000000-0005-0000-0000-00007E050000}"/>
    <cellStyle name="20% - Accent1 5 5 3 2" xfId="1411" xr:uid="{00000000-0005-0000-0000-00007F050000}"/>
    <cellStyle name="20% - Accent1 5 5 3 2 2" xfId="1412" xr:uid="{00000000-0005-0000-0000-000080050000}"/>
    <cellStyle name="20% - Accent1 5 5 3 2 2 2" xfId="1413" xr:uid="{00000000-0005-0000-0000-000081050000}"/>
    <cellStyle name="20% - Accent1 5 5 3 2 2 2 2" xfId="1414" xr:uid="{00000000-0005-0000-0000-000082050000}"/>
    <cellStyle name="20% - Accent1 5 5 3 2 2 3" xfId="1415" xr:uid="{00000000-0005-0000-0000-000083050000}"/>
    <cellStyle name="20% - Accent1 5 5 3 2 3" xfId="1416" xr:uid="{00000000-0005-0000-0000-000084050000}"/>
    <cellStyle name="20% - Accent1 5 5 3 2 3 2" xfId="1417" xr:uid="{00000000-0005-0000-0000-000085050000}"/>
    <cellStyle name="20% - Accent1 5 5 3 2 4" xfId="1418" xr:uid="{00000000-0005-0000-0000-000086050000}"/>
    <cellStyle name="20% - Accent1 5 5 3 3" xfId="1419" xr:uid="{00000000-0005-0000-0000-000087050000}"/>
    <cellStyle name="20% - Accent1 5 5 3 3 2" xfId="1420" xr:uid="{00000000-0005-0000-0000-000088050000}"/>
    <cellStyle name="20% - Accent1 5 5 3 3 2 2" xfId="1421" xr:uid="{00000000-0005-0000-0000-000089050000}"/>
    <cellStyle name="20% - Accent1 5 5 3 3 3" xfId="1422" xr:uid="{00000000-0005-0000-0000-00008A050000}"/>
    <cellStyle name="20% - Accent1 5 5 3 4" xfId="1423" xr:uid="{00000000-0005-0000-0000-00008B050000}"/>
    <cellStyle name="20% - Accent1 5 5 3 4 2" xfId="1424" xr:uid="{00000000-0005-0000-0000-00008C050000}"/>
    <cellStyle name="20% - Accent1 5 5 3 4 2 2" xfId="1425" xr:uid="{00000000-0005-0000-0000-00008D050000}"/>
    <cellStyle name="20% - Accent1 5 5 3 4 3" xfId="1426" xr:uid="{00000000-0005-0000-0000-00008E050000}"/>
    <cellStyle name="20% - Accent1 5 5 3 5" xfId="1427" xr:uid="{00000000-0005-0000-0000-00008F050000}"/>
    <cellStyle name="20% - Accent1 5 5 3 5 2" xfId="1428" xr:uid="{00000000-0005-0000-0000-000090050000}"/>
    <cellStyle name="20% - Accent1 5 5 3 5 2 2" xfId="1429" xr:uid="{00000000-0005-0000-0000-000091050000}"/>
    <cellStyle name="20% - Accent1 5 5 3 5 3" xfId="1430" xr:uid="{00000000-0005-0000-0000-000092050000}"/>
    <cellStyle name="20% - Accent1 5 5 3 6" xfId="1431" xr:uid="{00000000-0005-0000-0000-000093050000}"/>
    <cellStyle name="20% - Accent1 5 5 3 6 2" xfId="1432" xr:uid="{00000000-0005-0000-0000-000094050000}"/>
    <cellStyle name="20% - Accent1 5 5 3 6 2 2" xfId="1433" xr:uid="{00000000-0005-0000-0000-000095050000}"/>
    <cellStyle name="20% - Accent1 5 5 3 6 3" xfId="1434" xr:uid="{00000000-0005-0000-0000-000096050000}"/>
    <cellStyle name="20% - Accent1 5 5 3 7" xfId="1435" xr:uid="{00000000-0005-0000-0000-000097050000}"/>
    <cellStyle name="20% - Accent1 5 5 3 7 2" xfId="1436" xr:uid="{00000000-0005-0000-0000-000098050000}"/>
    <cellStyle name="20% - Accent1 5 5 3 8" xfId="1437" xr:uid="{00000000-0005-0000-0000-000099050000}"/>
    <cellStyle name="20% - Accent1 5 5 4" xfId="1438" xr:uid="{00000000-0005-0000-0000-00009A050000}"/>
    <cellStyle name="20% - Accent1 5 5 4 2" xfId="1439" xr:uid="{00000000-0005-0000-0000-00009B050000}"/>
    <cellStyle name="20% - Accent1 5 5 4 2 2" xfId="1440" xr:uid="{00000000-0005-0000-0000-00009C050000}"/>
    <cellStyle name="20% - Accent1 5 5 4 2 2 2" xfId="1441" xr:uid="{00000000-0005-0000-0000-00009D050000}"/>
    <cellStyle name="20% - Accent1 5 5 4 2 2 2 2" xfId="1442" xr:uid="{00000000-0005-0000-0000-00009E050000}"/>
    <cellStyle name="20% - Accent1 5 5 4 2 2 3" xfId="1443" xr:uid="{00000000-0005-0000-0000-00009F050000}"/>
    <cellStyle name="20% - Accent1 5 5 4 2 3" xfId="1444" xr:uid="{00000000-0005-0000-0000-0000A0050000}"/>
    <cellStyle name="20% - Accent1 5 5 4 2 3 2" xfId="1445" xr:uid="{00000000-0005-0000-0000-0000A1050000}"/>
    <cellStyle name="20% - Accent1 5 5 4 2 4" xfId="1446" xr:uid="{00000000-0005-0000-0000-0000A2050000}"/>
    <cellStyle name="20% - Accent1 5 5 4 3" xfId="1447" xr:uid="{00000000-0005-0000-0000-0000A3050000}"/>
    <cellStyle name="20% - Accent1 5 5 4 3 2" xfId="1448" xr:uid="{00000000-0005-0000-0000-0000A4050000}"/>
    <cellStyle name="20% - Accent1 5 5 4 3 2 2" xfId="1449" xr:uid="{00000000-0005-0000-0000-0000A5050000}"/>
    <cellStyle name="20% - Accent1 5 5 4 3 3" xfId="1450" xr:uid="{00000000-0005-0000-0000-0000A6050000}"/>
    <cellStyle name="20% - Accent1 5 5 4 4" xfId="1451" xr:uid="{00000000-0005-0000-0000-0000A7050000}"/>
    <cellStyle name="20% - Accent1 5 5 4 4 2" xfId="1452" xr:uid="{00000000-0005-0000-0000-0000A8050000}"/>
    <cellStyle name="20% - Accent1 5 5 4 4 2 2" xfId="1453" xr:uid="{00000000-0005-0000-0000-0000A9050000}"/>
    <cellStyle name="20% - Accent1 5 5 4 4 3" xfId="1454" xr:uid="{00000000-0005-0000-0000-0000AA050000}"/>
    <cellStyle name="20% - Accent1 5 5 4 5" xfId="1455" xr:uid="{00000000-0005-0000-0000-0000AB050000}"/>
    <cellStyle name="20% - Accent1 5 5 4 5 2" xfId="1456" xr:uid="{00000000-0005-0000-0000-0000AC050000}"/>
    <cellStyle name="20% - Accent1 5 5 4 5 2 2" xfId="1457" xr:uid="{00000000-0005-0000-0000-0000AD050000}"/>
    <cellStyle name="20% - Accent1 5 5 4 5 3" xfId="1458" xr:uid="{00000000-0005-0000-0000-0000AE050000}"/>
    <cellStyle name="20% - Accent1 5 5 4 6" xfId="1459" xr:uid="{00000000-0005-0000-0000-0000AF050000}"/>
    <cellStyle name="20% - Accent1 5 5 4 6 2" xfId="1460" xr:uid="{00000000-0005-0000-0000-0000B0050000}"/>
    <cellStyle name="20% - Accent1 5 5 4 6 2 2" xfId="1461" xr:uid="{00000000-0005-0000-0000-0000B1050000}"/>
    <cellStyle name="20% - Accent1 5 5 4 6 3" xfId="1462" xr:uid="{00000000-0005-0000-0000-0000B2050000}"/>
    <cellStyle name="20% - Accent1 5 5 4 7" xfId="1463" xr:uid="{00000000-0005-0000-0000-0000B3050000}"/>
    <cellStyle name="20% - Accent1 5 5 4 7 2" xfId="1464" xr:uid="{00000000-0005-0000-0000-0000B4050000}"/>
    <cellStyle name="20% - Accent1 5 5 4 8" xfId="1465" xr:uid="{00000000-0005-0000-0000-0000B5050000}"/>
    <cellStyle name="20% - Accent1 5 5 5" xfId="1466" xr:uid="{00000000-0005-0000-0000-0000B6050000}"/>
    <cellStyle name="20% - Accent1 5 5 5 2" xfId="1467" xr:uid="{00000000-0005-0000-0000-0000B7050000}"/>
    <cellStyle name="20% - Accent1 5 5 5 2 2" xfId="1468" xr:uid="{00000000-0005-0000-0000-0000B8050000}"/>
    <cellStyle name="20% - Accent1 5 5 5 2 2 2" xfId="1469" xr:uid="{00000000-0005-0000-0000-0000B9050000}"/>
    <cellStyle name="20% - Accent1 5 5 5 2 2 2 2" xfId="1470" xr:uid="{00000000-0005-0000-0000-0000BA050000}"/>
    <cellStyle name="20% - Accent1 5 5 5 2 2 3" xfId="1471" xr:uid="{00000000-0005-0000-0000-0000BB050000}"/>
    <cellStyle name="20% - Accent1 5 5 5 2 3" xfId="1472" xr:uid="{00000000-0005-0000-0000-0000BC050000}"/>
    <cellStyle name="20% - Accent1 5 5 5 2 3 2" xfId="1473" xr:uid="{00000000-0005-0000-0000-0000BD050000}"/>
    <cellStyle name="20% - Accent1 5 5 5 2 4" xfId="1474" xr:uid="{00000000-0005-0000-0000-0000BE050000}"/>
    <cellStyle name="20% - Accent1 5 5 5 3" xfId="1475" xr:uid="{00000000-0005-0000-0000-0000BF050000}"/>
    <cellStyle name="20% - Accent1 5 5 5 3 2" xfId="1476" xr:uid="{00000000-0005-0000-0000-0000C0050000}"/>
    <cellStyle name="20% - Accent1 5 5 5 3 2 2" xfId="1477" xr:uid="{00000000-0005-0000-0000-0000C1050000}"/>
    <cellStyle name="20% - Accent1 5 5 5 3 3" xfId="1478" xr:uid="{00000000-0005-0000-0000-0000C2050000}"/>
    <cellStyle name="20% - Accent1 5 5 5 4" xfId="1479" xr:uid="{00000000-0005-0000-0000-0000C3050000}"/>
    <cellStyle name="20% - Accent1 5 5 5 4 2" xfId="1480" xr:uid="{00000000-0005-0000-0000-0000C4050000}"/>
    <cellStyle name="20% - Accent1 5 5 5 5" xfId="1481" xr:uid="{00000000-0005-0000-0000-0000C5050000}"/>
    <cellStyle name="20% - Accent1 5 5 6" xfId="1482" xr:uid="{00000000-0005-0000-0000-0000C6050000}"/>
    <cellStyle name="20% - Accent1 5 5 6 2" xfId="1483" xr:uid="{00000000-0005-0000-0000-0000C7050000}"/>
    <cellStyle name="20% - Accent1 5 5 6 2 2" xfId="1484" xr:uid="{00000000-0005-0000-0000-0000C8050000}"/>
    <cellStyle name="20% - Accent1 5 5 6 2 2 2" xfId="1485" xr:uid="{00000000-0005-0000-0000-0000C9050000}"/>
    <cellStyle name="20% - Accent1 5 5 6 2 2 2 2" xfId="1486" xr:uid="{00000000-0005-0000-0000-0000CA050000}"/>
    <cellStyle name="20% - Accent1 5 5 6 2 2 3" xfId="1487" xr:uid="{00000000-0005-0000-0000-0000CB050000}"/>
    <cellStyle name="20% - Accent1 5 5 6 2 3" xfId="1488" xr:uid="{00000000-0005-0000-0000-0000CC050000}"/>
    <cellStyle name="20% - Accent1 5 5 6 2 3 2" xfId="1489" xr:uid="{00000000-0005-0000-0000-0000CD050000}"/>
    <cellStyle name="20% - Accent1 5 5 6 2 4" xfId="1490" xr:uid="{00000000-0005-0000-0000-0000CE050000}"/>
    <cellStyle name="20% - Accent1 5 5 6 3" xfId="1491" xr:uid="{00000000-0005-0000-0000-0000CF050000}"/>
    <cellStyle name="20% - Accent1 5 5 6 3 2" xfId="1492" xr:uid="{00000000-0005-0000-0000-0000D0050000}"/>
    <cellStyle name="20% - Accent1 5 5 6 3 2 2" xfId="1493" xr:uid="{00000000-0005-0000-0000-0000D1050000}"/>
    <cellStyle name="20% - Accent1 5 5 6 3 3" xfId="1494" xr:uid="{00000000-0005-0000-0000-0000D2050000}"/>
    <cellStyle name="20% - Accent1 5 5 6 4" xfId="1495" xr:uid="{00000000-0005-0000-0000-0000D3050000}"/>
    <cellStyle name="20% - Accent1 5 5 6 4 2" xfId="1496" xr:uid="{00000000-0005-0000-0000-0000D4050000}"/>
    <cellStyle name="20% - Accent1 5 5 6 5" xfId="1497" xr:uid="{00000000-0005-0000-0000-0000D5050000}"/>
    <cellStyle name="20% - Accent1 5 5 7" xfId="1498" xr:uid="{00000000-0005-0000-0000-0000D6050000}"/>
    <cellStyle name="20% - Accent1 5 5 7 2" xfId="1499" xr:uid="{00000000-0005-0000-0000-0000D7050000}"/>
    <cellStyle name="20% - Accent1 5 5 7 2 2" xfId="1500" xr:uid="{00000000-0005-0000-0000-0000D8050000}"/>
    <cellStyle name="20% - Accent1 5 5 7 2 2 2" xfId="1501" xr:uid="{00000000-0005-0000-0000-0000D9050000}"/>
    <cellStyle name="20% - Accent1 5 5 7 2 3" xfId="1502" xr:uid="{00000000-0005-0000-0000-0000DA050000}"/>
    <cellStyle name="20% - Accent1 5 5 7 3" xfId="1503" xr:uid="{00000000-0005-0000-0000-0000DB050000}"/>
    <cellStyle name="20% - Accent1 5 5 7 3 2" xfId="1504" xr:uid="{00000000-0005-0000-0000-0000DC050000}"/>
    <cellStyle name="20% - Accent1 5 5 7 4" xfId="1505" xr:uid="{00000000-0005-0000-0000-0000DD050000}"/>
    <cellStyle name="20% - Accent1 5 5 8" xfId="1506" xr:uid="{00000000-0005-0000-0000-0000DE050000}"/>
    <cellStyle name="20% - Accent1 5 5 8 2" xfId="1507" xr:uid="{00000000-0005-0000-0000-0000DF050000}"/>
    <cellStyle name="20% - Accent1 5 5 8 2 2" xfId="1508" xr:uid="{00000000-0005-0000-0000-0000E0050000}"/>
    <cellStyle name="20% - Accent1 5 5 8 2 2 2" xfId="1509" xr:uid="{00000000-0005-0000-0000-0000E1050000}"/>
    <cellStyle name="20% - Accent1 5 5 8 2 3" xfId="1510" xr:uid="{00000000-0005-0000-0000-0000E2050000}"/>
    <cellStyle name="20% - Accent1 5 5 8 3" xfId="1511" xr:uid="{00000000-0005-0000-0000-0000E3050000}"/>
    <cellStyle name="20% - Accent1 5 5 8 3 2" xfId="1512" xr:uid="{00000000-0005-0000-0000-0000E4050000}"/>
    <cellStyle name="20% - Accent1 5 5 8 4" xfId="1513" xr:uid="{00000000-0005-0000-0000-0000E5050000}"/>
    <cellStyle name="20% - Accent1 5 5 9" xfId="1514" xr:uid="{00000000-0005-0000-0000-0000E6050000}"/>
    <cellStyle name="20% - Accent1 5 5 9 2" xfId="1515" xr:uid="{00000000-0005-0000-0000-0000E7050000}"/>
    <cellStyle name="20% - Accent1 5 5 9 2 2" xfId="1516" xr:uid="{00000000-0005-0000-0000-0000E8050000}"/>
    <cellStyle name="20% - Accent1 5 5 9 3" xfId="1517" xr:uid="{00000000-0005-0000-0000-0000E9050000}"/>
    <cellStyle name="20% - Accent1 5 6" xfId="1518" xr:uid="{00000000-0005-0000-0000-0000EA050000}"/>
    <cellStyle name="20% - Accent1 5 6 10" xfId="1519" xr:uid="{00000000-0005-0000-0000-0000EB050000}"/>
    <cellStyle name="20% - Accent1 5 6 10 2" xfId="1520" xr:uid="{00000000-0005-0000-0000-0000EC050000}"/>
    <cellStyle name="20% - Accent1 5 6 10 2 2" xfId="1521" xr:uid="{00000000-0005-0000-0000-0000ED050000}"/>
    <cellStyle name="20% - Accent1 5 6 10 3" xfId="1522" xr:uid="{00000000-0005-0000-0000-0000EE050000}"/>
    <cellStyle name="20% - Accent1 5 6 11" xfId="1523" xr:uid="{00000000-0005-0000-0000-0000EF050000}"/>
    <cellStyle name="20% - Accent1 5 6 11 2" xfId="1524" xr:uid="{00000000-0005-0000-0000-0000F0050000}"/>
    <cellStyle name="20% - Accent1 5 6 11 2 2" xfId="1525" xr:uid="{00000000-0005-0000-0000-0000F1050000}"/>
    <cellStyle name="20% - Accent1 5 6 11 3" xfId="1526" xr:uid="{00000000-0005-0000-0000-0000F2050000}"/>
    <cellStyle name="20% - Accent1 5 6 12" xfId="1527" xr:uid="{00000000-0005-0000-0000-0000F3050000}"/>
    <cellStyle name="20% - Accent1 5 6 12 2" xfId="1528" xr:uid="{00000000-0005-0000-0000-0000F4050000}"/>
    <cellStyle name="20% - Accent1 5 6 12 2 2" xfId="1529" xr:uid="{00000000-0005-0000-0000-0000F5050000}"/>
    <cellStyle name="20% - Accent1 5 6 12 3" xfId="1530" xr:uid="{00000000-0005-0000-0000-0000F6050000}"/>
    <cellStyle name="20% - Accent1 5 6 13" xfId="1531" xr:uid="{00000000-0005-0000-0000-0000F7050000}"/>
    <cellStyle name="20% - Accent1 5 6 13 2" xfId="1532" xr:uid="{00000000-0005-0000-0000-0000F8050000}"/>
    <cellStyle name="20% - Accent1 5 6 14" xfId="1533" xr:uid="{00000000-0005-0000-0000-0000F9050000}"/>
    <cellStyle name="20% - Accent1 5 6 2" xfId="1534" xr:uid="{00000000-0005-0000-0000-0000FA050000}"/>
    <cellStyle name="20% - Accent1 5 6 2 2" xfId="1535" xr:uid="{00000000-0005-0000-0000-0000FB050000}"/>
    <cellStyle name="20% - Accent1 5 6 2 2 2" xfId="1536" xr:uid="{00000000-0005-0000-0000-0000FC050000}"/>
    <cellStyle name="20% - Accent1 5 6 2 2 2 2" xfId="1537" xr:uid="{00000000-0005-0000-0000-0000FD050000}"/>
    <cellStyle name="20% - Accent1 5 6 2 2 2 2 2" xfId="1538" xr:uid="{00000000-0005-0000-0000-0000FE050000}"/>
    <cellStyle name="20% - Accent1 5 6 2 2 2 3" xfId="1539" xr:uid="{00000000-0005-0000-0000-0000FF050000}"/>
    <cellStyle name="20% - Accent1 5 6 2 2 3" xfId="1540" xr:uid="{00000000-0005-0000-0000-000000060000}"/>
    <cellStyle name="20% - Accent1 5 6 2 2 3 2" xfId="1541" xr:uid="{00000000-0005-0000-0000-000001060000}"/>
    <cellStyle name="20% - Accent1 5 6 2 2 4" xfId="1542" xr:uid="{00000000-0005-0000-0000-000002060000}"/>
    <cellStyle name="20% - Accent1 5 6 2 3" xfId="1543" xr:uid="{00000000-0005-0000-0000-000003060000}"/>
    <cellStyle name="20% - Accent1 5 6 2 3 2" xfId="1544" xr:uid="{00000000-0005-0000-0000-000004060000}"/>
    <cellStyle name="20% - Accent1 5 6 2 3 2 2" xfId="1545" xr:uid="{00000000-0005-0000-0000-000005060000}"/>
    <cellStyle name="20% - Accent1 5 6 2 3 3" xfId="1546" xr:uid="{00000000-0005-0000-0000-000006060000}"/>
    <cellStyle name="20% - Accent1 5 6 2 4" xfId="1547" xr:uid="{00000000-0005-0000-0000-000007060000}"/>
    <cellStyle name="20% - Accent1 5 6 2 4 2" xfId="1548" xr:uid="{00000000-0005-0000-0000-000008060000}"/>
    <cellStyle name="20% - Accent1 5 6 2 4 2 2" xfId="1549" xr:uid="{00000000-0005-0000-0000-000009060000}"/>
    <cellStyle name="20% - Accent1 5 6 2 4 3" xfId="1550" xr:uid="{00000000-0005-0000-0000-00000A060000}"/>
    <cellStyle name="20% - Accent1 5 6 2 5" xfId="1551" xr:uid="{00000000-0005-0000-0000-00000B060000}"/>
    <cellStyle name="20% - Accent1 5 6 2 5 2" xfId="1552" xr:uid="{00000000-0005-0000-0000-00000C060000}"/>
    <cellStyle name="20% - Accent1 5 6 2 5 2 2" xfId="1553" xr:uid="{00000000-0005-0000-0000-00000D060000}"/>
    <cellStyle name="20% - Accent1 5 6 2 5 3" xfId="1554" xr:uid="{00000000-0005-0000-0000-00000E060000}"/>
    <cellStyle name="20% - Accent1 5 6 2 6" xfId="1555" xr:uid="{00000000-0005-0000-0000-00000F060000}"/>
    <cellStyle name="20% - Accent1 5 6 2 6 2" xfId="1556" xr:uid="{00000000-0005-0000-0000-000010060000}"/>
    <cellStyle name="20% - Accent1 5 6 2 6 2 2" xfId="1557" xr:uid="{00000000-0005-0000-0000-000011060000}"/>
    <cellStyle name="20% - Accent1 5 6 2 6 3" xfId="1558" xr:uid="{00000000-0005-0000-0000-000012060000}"/>
    <cellStyle name="20% - Accent1 5 6 2 7" xfId="1559" xr:uid="{00000000-0005-0000-0000-000013060000}"/>
    <cellStyle name="20% - Accent1 5 6 2 7 2" xfId="1560" xr:uid="{00000000-0005-0000-0000-000014060000}"/>
    <cellStyle name="20% - Accent1 5 6 2 8" xfId="1561" xr:uid="{00000000-0005-0000-0000-000015060000}"/>
    <cellStyle name="20% - Accent1 5 6 3" xfId="1562" xr:uid="{00000000-0005-0000-0000-000016060000}"/>
    <cellStyle name="20% - Accent1 5 6 3 2" xfId="1563" xr:uid="{00000000-0005-0000-0000-000017060000}"/>
    <cellStyle name="20% - Accent1 5 6 3 2 2" xfId="1564" xr:uid="{00000000-0005-0000-0000-000018060000}"/>
    <cellStyle name="20% - Accent1 5 6 3 2 2 2" xfId="1565" xr:uid="{00000000-0005-0000-0000-000019060000}"/>
    <cellStyle name="20% - Accent1 5 6 3 2 2 2 2" xfId="1566" xr:uid="{00000000-0005-0000-0000-00001A060000}"/>
    <cellStyle name="20% - Accent1 5 6 3 2 2 3" xfId="1567" xr:uid="{00000000-0005-0000-0000-00001B060000}"/>
    <cellStyle name="20% - Accent1 5 6 3 2 3" xfId="1568" xr:uid="{00000000-0005-0000-0000-00001C060000}"/>
    <cellStyle name="20% - Accent1 5 6 3 2 3 2" xfId="1569" xr:uid="{00000000-0005-0000-0000-00001D060000}"/>
    <cellStyle name="20% - Accent1 5 6 3 2 4" xfId="1570" xr:uid="{00000000-0005-0000-0000-00001E060000}"/>
    <cellStyle name="20% - Accent1 5 6 3 3" xfId="1571" xr:uid="{00000000-0005-0000-0000-00001F060000}"/>
    <cellStyle name="20% - Accent1 5 6 3 3 2" xfId="1572" xr:uid="{00000000-0005-0000-0000-000020060000}"/>
    <cellStyle name="20% - Accent1 5 6 3 3 2 2" xfId="1573" xr:uid="{00000000-0005-0000-0000-000021060000}"/>
    <cellStyle name="20% - Accent1 5 6 3 3 3" xfId="1574" xr:uid="{00000000-0005-0000-0000-000022060000}"/>
    <cellStyle name="20% - Accent1 5 6 3 4" xfId="1575" xr:uid="{00000000-0005-0000-0000-000023060000}"/>
    <cellStyle name="20% - Accent1 5 6 3 4 2" xfId="1576" xr:uid="{00000000-0005-0000-0000-000024060000}"/>
    <cellStyle name="20% - Accent1 5 6 3 4 2 2" xfId="1577" xr:uid="{00000000-0005-0000-0000-000025060000}"/>
    <cellStyle name="20% - Accent1 5 6 3 4 3" xfId="1578" xr:uid="{00000000-0005-0000-0000-000026060000}"/>
    <cellStyle name="20% - Accent1 5 6 3 5" xfId="1579" xr:uid="{00000000-0005-0000-0000-000027060000}"/>
    <cellStyle name="20% - Accent1 5 6 3 5 2" xfId="1580" xr:uid="{00000000-0005-0000-0000-000028060000}"/>
    <cellStyle name="20% - Accent1 5 6 3 5 2 2" xfId="1581" xr:uid="{00000000-0005-0000-0000-000029060000}"/>
    <cellStyle name="20% - Accent1 5 6 3 5 3" xfId="1582" xr:uid="{00000000-0005-0000-0000-00002A060000}"/>
    <cellStyle name="20% - Accent1 5 6 3 6" xfId="1583" xr:uid="{00000000-0005-0000-0000-00002B060000}"/>
    <cellStyle name="20% - Accent1 5 6 3 6 2" xfId="1584" xr:uid="{00000000-0005-0000-0000-00002C060000}"/>
    <cellStyle name="20% - Accent1 5 6 3 6 2 2" xfId="1585" xr:uid="{00000000-0005-0000-0000-00002D060000}"/>
    <cellStyle name="20% - Accent1 5 6 3 6 3" xfId="1586" xr:uid="{00000000-0005-0000-0000-00002E060000}"/>
    <cellStyle name="20% - Accent1 5 6 3 7" xfId="1587" xr:uid="{00000000-0005-0000-0000-00002F060000}"/>
    <cellStyle name="20% - Accent1 5 6 3 7 2" xfId="1588" xr:uid="{00000000-0005-0000-0000-000030060000}"/>
    <cellStyle name="20% - Accent1 5 6 3 8" xfId="1589" xr:uid="{00000000-0005-0000-0000-000031060000}"/>
    <cellStyle name="20% - Accent1 5 6 4" xfId="1590" xr:uid="{00000000-0005-0000-0000-000032060000}"/>
    <cellStyle name="20% - Accent1 5 6 4 2" xfId="1591" xr:uid="{00000000-0005-0000-0000-000033060000}"/>
    <cellStyle name="20% - Accent1 5 6 4 2 2" xfId="1592" xr:uid="{00000000-0005-0000-0000-000034060000}"/>
    <cellStyle name="20% - Accent1 5 6 4 2 2 2" xfId="1593" xr:uid="{00000000-0005-0000-0000-000035060000}"/>
    <cellStyle name="20% - Accent1 5 6 4 2 2 2 2" xfId="1594" xr:uid="{00000000-0005-0000-0000-000036060000}"/>
    <cellStyle name="20% - Accent1 5 6 4 2 2 3" xfId="1595" xr:uid="{00000000-0005-0000-0000-000037060000}"/>
    <cellStyle name="20% - Accent1 5 6 4 2 3" xfId="1596" xr:uid="{00000000-0005-0000-0000-000038060000}"/>
    <cellStyle name="20% - Accent1 5 6 4 2 3 2" xfId="1597" xr:uid="{00000000-0005-0000-0000-000039060000}"/>
    <cellStyle name="20% - Accent1 5 6 4 2 4" xfId="1598" xr:uid="{00000000-0005-0000-0000-00003A060000}"/>
    <cellStyle name="20% - Accent1 5 6 4 3" xfId="1599" xr:uid="{00000000-0005-0000-0000-00003B060000}"/>
    <cellStyle name="20% - Accent1 5 6 4 3 2" xfId="1600" xr:uid="{00000000-0005-0000-0000-00003C060000}"/>
    <cellStyle name="20% - Accent1 5 6 4 3 2 2" xfId="1601" xr:uid="{00000000-0005-0000-0000-00003D060000}"/>
    <cellStyle name="20% - Accent1 5 6 4 3 3" xfId="1602" xr:uid="{00000000-0005-0000-0000-00003E060000}"/>
    <cellStyle name="20% - Accent1 5 6 4 4" xfId="1603" xr:uid="{00000000-0005-0000-0000-00003F060000}"/>
    <cellStyle name="20% - Accent1 5 6 4 4 2" xfId="1604" xr:uid="{00000000-0005-0000-0000-000040060000}"/>
    <cellStyle name="20% - Accent1 5 6 4 4 2 2" xfId="1605" xr:uid="{00000000-0005-0000-0000-000041060000}"/>
    <cellStyle name="20% - Accent1 5 6 4 4 3" xfId="1606" xr:uid="{00000000-0005-0000-0000-000042060000}"/>
    <cellStyle name="20% - Accent1 5 6 4 5" xfId="1607" xr:uid="{00000000-0005-0000-0000-000043060000}"/>
    <cellStyle name="20% - Accent1 5 6 4 5 2" xfId="1608" xr:uid="{00000000-0005-0000-0000-000044060000}"/>
    <cellStyle name="20% - Accent1 5 6 4 5 2 2" xfId="1609" xr:uid="{00000000-0005-0000-0000-000045060000}"/>
    <cellStyle name="20% - Accent1 5 6 4 5 3" xfId="1610" xr:uid="{00000000-0005-0000-0000-000046060000}"/>
    <cellStyle name="20% - Accent1 5 6 4 6" xfId="1611" xr:uid="{00000000-0005-0000-0000-000047060000}"/>
    <cellStyle name="20% - Accent1 5 6 4 6 2" xfId="1612" xr:uid="{00000000-0005-0000-0000-000048060000}"/>
    <cellStyle name="20% - Accent1 5 6 4 6 2 2" xfId="1613" xr:uid="{00000000-0005-0000-0000-000049060000}"/>
    <cellStyle name="20% - Accent1 5 6 4 6 3" xfId="1614" xr:uid="{00000000-0005-0000-0000-00004A060000}"/>
    <cellStyle name="20% - Accent1 5 6 4 7" xfId="1615" xr:uid="{00000000-0005-0000-0000-00004B060000}"/>
    <cellStyle name="20% - Accent1 5 6 4 7 2" xfId="1616" xr:uid="{00000000-0005-0000-0000-00004C060000}"/>
    <cellStyle name="20% - Accent1 5 6 4 8" xfId="1617" xr:uid="{00000000-0005-0000-0000-00004D060000}"/>
    <cellStyle name="20% - Accent1 5 6 5" xfId="1618" xr:uid="{00000000-0005-0000-0000-00004E060000}"/>
    <cellStyle name="20% - Accent1 5 6 5 2" xfId="1619" xr:uid="{00000000-0005-0000-0000-00004F060000}"/>
    <cellStyle name="20% - Accent1 5 6 5 2 2" xfId="1620" xr:uid="{00000000-0005-0000-0000-000050060000}"/>
    <cellStyle name="20% - Accent1 5 6 5 2 2 2" xfId="1621" xr:uid="{00000000-0005-0000-0000-000051060000}"/>
    <cellStyle name="20% - Accent1 5 6 5 2 2 2 2" xfId="1622" xr:uid="{00000000-0005-0000-0000-000052060000}"/>
    <cellStyle name="20% - Accent1 5 6 5 2 2 3" xfId="1623" xr:uid="{00000000-0005-0000-0000-000053060000}"/>
    <cellStyle name="20% - Accent1 5 6 5 2 3" xfId="1624" xr:uid="{00000000-0005-0000-0000-000054060000}"/>
    <cellStyle name="20% - Accent1 5 6 5 2 3 2" xfId="1625" xr:uid="{00000000-0005-0000-0000-000055060000}"/>
    <cellStyle name="20% - Accent1 5 6 5 2 4" xfId="1626" xr:uid="{00000000-0005-0000-0000-000056060000}"/>
    <cellStyle name="20% - Accent1 5 6 5 3" xfId="1627" xr:uid="{00000000-0005-0000-0000-000057060000}"/>
    <cellStyle name="20% - Accent1 5 6 5 3 2" xfId="1628" xr:uid="{00000000-0005-0000-0000-000058060000}"/>
    <cellStyle name="20% - Accent1 5 6 5 3 2 2" xfId="1629" xr:uid="{00000000-0005-0000-0000-000059060000}"/>
    <cellStyle name="20% - Accent1 5 6 5 3 3" xfId="1630" xr:uid="{00000000-0005-0000-0000-00005A060000}"/>
    <cellStyle name="20% - Accent1 5 6 5 4" xfId="1631" xr:uid="{00000000-0005-0000-0000-00005B060000}"/>
    <cellStyle name="20% - Accent1 5 6 5 4 2" xfId="1632" xr:uid="{00000000-0005-0000-0000-00005C060000}"/>
    <cellStyle name="20% - Accent1 5 6 5 5" xfId="1633" xr:uid="{00000000-0005-0000-0000-00005D060000}"/>
    <cellStyle name="20% - Accent1 5 6 6" xfId="1634" xr:uid="{00000000-0005-0000-0000-00005E060000}"/>
    <cellStyle name="20% - Accent1 5 6 6 2" xfId="1635" xr:uid="{00000000-0005-0000-0000-00005F060000}"/>
    <cellStyle name="20% - Accent1 5 6 6 2 2" xfId="1636" xr:uid="{00000000-0005-0000-0000-000060060000}"/>
    <cellStyle name="20% - Accent1 5 6 6 2 2 2" xfId="1637" xr:uid="{00000000-0005-0000-0000-000061060000}"/>
    <cellStyle name="20% - Accent1 5 6 6 2 2 2 2" xfId="1638" xr:uid="{00000000-0005-0000-0000-000062060000}"/>
    <cellStyle name="20% - Accent1 5 6 6 2 2 3" xfId="1639" xr:uid="{00000000-0005-0000-0000-000063060000}"/>
    <cellStyle name="20% - Accent1 5 6 6 2 3" xfId="1640" xr:uid="{00000000-0005-0000-0000-000064060000}"/>
    <cellStyle name="20% - Accent1 5 6 6 2 3 2" xfId="1641" xr:uid="{00000000-0005-0000-0000-000065060000}"/>
    <cellStyle name="20% - Accent1 5 6 6 2 4" xfId="1642" xr:uid="{00000000-0005-0000-0000-000066060000}"/>
    <cellStyle name="20% - Accent1 5 6 6 3" xfId="1643" xr:uid="{00000000-0005-0000-0000-000067060000}"/>
    <cellStyle name="20% - Accent1 5 6 6 3 2" xfId="1644" xr:uid="{00000000-0005-0000-0000-000068060000}"/>
    <cellStyle name="20% - Accent1 5 6 6 3 2 2" xfId="1645" xr:uid="{00000000-0005-0000-0000-000069060000}"/>
    <cellStyle name="20% - Accent1 5 6 6 3 3" xfId="1646" xr:uid="{00000000-0005-0000-0000-00006A060000}"/>
    <cellStyle name="20% - Accent1 5 6 6 4" xfId="1647" xr:uid="{00000000-0005-0000-0000-00006B060000}"/>
    <cellStyle name="20% - Accent1 5 6 6 4 2" xfId="1648" xr:uid="{00000000-0005-0000-0000-00006C060000}"/>
    <cellStyle name="20% - Accent1 5 6 6 5" xfId="1649" xr:uid="{00000000-0005-0000-0000-00006D060000}"/>
    <cellStyle name="20% - Accent1 5 6 7" xfId="1650" xr:uid="{00000000-0005-0000-0000-00006E060000}"/>
    <cellStyle name="20% - Accent1 5 6 7 2" xfId="1651" xr:uid="{00000000-0005-0000-0000-00006F060000}"/>
    <cellStyle name="20% - Accent1 5 6 7 2 2" xfId="1652" xr:uid="{00000000-0005-0000-0000-000070060000}"/>
    <cellStyle name="20% - Accent1 5 6 7 2 2 2" xfId="1653" xr:uid="{00000000-0005-0000-0000-000071060000}"/>
    <cellStyle name="20% - Accent1 5 6 7 2 3" xfId="1654" xr:uid="{00000000-0005-0000-0000-000072060000}"/>
    <cellStyle name="20% - Accent1 5 6 7 3" xfId="1655" xr:uid="{00000000-0005-0000-0000-000073060000}"/>
    <cellStyle name="20% - Accent1 5 6 7 3 2" xfId="1656" xr:uid="{00000000-0005-0000-0000-000074060000}"/>
    <cellStyle name="20% - Accent1 5 6 7 4" xfId="1657" xr:uid="{00000000-0005-0000-0000-000075060000}"/>
    <cellStyle name="20% - Accent1 5 6 8" xfId="1658" xr:uid="{00000000-0005-0000-0000-000076060000}"/>
    <cellStyle name="20% - Accent1 5 6 8 2" xfId="1659" xr:uid="{00000000-0005-0000-0000-000077060000}"/>
    <cellStyle name="20% - Accent1 5 6 8 2 2" xfId="1660" xr:uid="{00000000-0005-0000-0000-000078060000}"/>
    <cellStyle name="20% - Accent1 5 6 8 2 2 2" xfId="1661" xr:uid="{00000000-0005-0000-0000-000079060000}"/>
    <cellStyle name="20% - Accent1 5 6 8 2 3" xfId="1662" xr:uid="{00000000-0005-0000-0000-00007A060000}"/>
    <cellStyle name="20% - Accent1 5 6 8 3" xfId="1663" xr:uid="{00000000-0005-0000-0000-00007B060000}"/>
    <cellStyle name="20% - Accent1 5 6 8 3 2" xfId="1664" xr:uid="{00000000-0005-0000-0000-00007C060000}"/>
    <cellStyle name="20% - Accent1 5 6 8 4" xfId="1665" xr:uid="{00000000-0005-0000-0000-00007D060000}"/>
    <cellStyle name="20% - Accent1 5 6 9" xfId="1666" xr:uid="{00000000-0005-0000-0000-00007E060000}"/>
    <cellStyle name="20% - Accent1 5 6 9 2" xfId="1667" xr:uid="{00000000-0005-0000-0000-00007F060000}"/>
    <cellStyle name="20% - Accent1 5 6 9 2 2" xfId="1668" xr:uid="{00000000-0005-0000-0000-000080060000}"/>
    <cellStyle name="20% - Accent1 5 6 9 3" xfId="1669" xr:uid="{00000000-0005-0000-0000-000081060000}"/>
    <cellStyle name="20% - Accent1 5 7" xfId="1670" xr:uid="{00000000-0005-0000-0000-000082060000}"/>
    <cellStyle name="20% - Accent1 5 7 10" xfId="1671" xr:uid="{00000000-0005-0000-0000-000083060000}"/>
    <cellStyle name="20% - Accent1 5 7 10 2" xfId="1672" xr:uid="{00000000-0005-0000-0000-000084060000}"/>
    <cellStyle name="20% - Accent1 5 7 10 2 2" xfId="1673" xr:uid="{00000000-0005-0000-0000-000085060000}"/>
    <cellStyle name="20% - Accent1 5 7 10 3" xfId="1674" xr:uid="{00000000-0005-0000-0000-000086060000}"/>
    <cellStyle name="20% - Accent1 5 7 11" xfId="1675" xr:uid="{00000000-0005-0000-0000-000087060000}"/>
    <cellStyle name="20% - Accent1 5 7 11 2" xfId="1676" xr:uid="{00000000-0005-0000-0000-000088060000}"/>
    <cellStyle name="20% - Accent1 5 7 11 2 2" xfId="1677" xr:uid="{00000000-0005-0000-0000-000089060000}"/>
    <cellStyle name="20% - Accent1 5 7 11 3" xfId="1678" xr:uid="{00000000-0005-0000-0000-00008A060000}"/>
    <cellStyle name="20% - Accent1 5 7 12" xfId="1679" xr:uid="{00000000-0005-0000-0000-00008B060000}"/>
    <cellStyle name="20% - Accent1 5 7 12 2" xfId="1680" xr:uid="{00000000-0005-0000-0000-00008C060000}"/>
    <cellStyle name="20% - Accent1 5 7 12 2 2" xfId="1681" xr:uid="{00000000-0005-0000-0000-00008D060000}"/>
    <cellStyle name="20% - Accent1 5 7 12 3" xfId="1682" xr:uid="{00000000-0005-0000-0000-00008E060000}"/>
    <cellStyle name="20% - Accent1 5 7 13" xfId="1683" xr:uid="{00000000-0005-0000-0000-00008F060000}"/>
    <cellStyle name="20% - Accent1 5 7 13 2" xfId="1684" xr:uid="{00000000-0005-0000-0000-000090060000}"/>
    <cellStyle name="20% - Accent1 5 7 14" xfId="1685" xr:uid="{00000000-0005-0000-0000-000091060000}"/>
    <cellStyle name="20% - Accent1 5 7 2" xfId="1686" xr:uid="{00000000-0005-0000-0000-000092060000}"/>
    <cellStyle name="20% - Accent1 5 7 2 2" xfId="1687" xr:uid="{00000000-0005-0000-0000-000093060000}"/>
    <cellStyle name="20% - Accent1 5 7 2 2 2" xfId="1688" xr:uid="{00000000-0005-0000-0000-000094060000}"/>
    <cellStyle name="20% - Accent1 5 7 2 2 2 2" xfId="1689" xr:uid="{00000000-0005-0000-0000-000095060000}"/>
    <cellStyle name="20% - Accent1 5 7 2 2 2 2 2" xfId="1690" xr:uid="{00000000-0005-0000-0000-000096060000}"/>
    <cellStyle name="20% - Accent1 5 7 2 2 2 3" xfId="1691" xr:uid="{00000000-0005-0000-0000-000097060000}"/>
    <cellStyle name="20% - Accent1 5 7 2 2 3" xfId="1692" xr:uid="{00000000-0005-0000-0000-000098060000}"/>
    <cellStyle name="20% - Accent1 5 7 2 2 3 2" xfId="1693" xr:uid="{00000000-0005-0000-0000-000099060000}"/>
    <cellStyle name="20% - Accent1 5 7 2 2 4" xfId="1694" xr:uid="{00000000-0005-0000-0000-00009A060000}"/>
    <cellStyle name="20% - Accent1 5 7 2 3" xfId="1695" xr:uid="{00000000-0005-0000-0000-00009B060000}"/>
    <cellStyle name="20% - Accent1 5 7 2 3 2" xfId="1696" xr:uid="{00000000-0005-0000-0000-00009C060000}"/>
    <cellStyle name="20% - Accent1 5 7 2 3 2 2" xfId="1697" xr:uid="{00000000-0005-0000-0000-00009D060000}"/>
    <cellStyle name="20% - Accent1 5 7 2 3 3" xfId="1698" xr:uid="{00000000-0005-0000-0000-00009E060000}"/>
    <cellStyle name="20% - Accent1 5 7 2 4" xfId="1699" xr:uid="{00000000-0005-0000-0000-00009F060000}"/>
    <cellStyle name="20% - Accent1 5 7 2 4 2" xfId="1700" xr:uid="{00000000-0005-0000-0000-0000A0060000}"/>
    <cellStyle name="20% - Accent1 5 7 2 4 2 2" xfId="1701" xr:uid="{00000000-0005-0000-0000-0000A1060000}"/>
    <cellStyle name="20% - Accent1 5 7 2 4 3" xfId="1702" xr:uid="{00000000-0005-0000-0000-0000A2060000}"/>
    <cellStyle name="20% - Accent1 5 7 2 5" xfId="1703" xr:uid="{00000000-0005-0000-0000-0000A3060000}"/>
    <cellStyle name="20% - Accent1 5 7 2 5 2" xfId="1704" xr:uid="{00000000-0005-0000-0000-0000A4060000}"/>
    <cellStyle name="20% - Accent1 5 7 2 5 2 2" xfId="1705" xr:uid="{00000000-0005-0000-0000-0000A5060000}"/>
    <cellStyle name="20% - Accent1 5 7 2 5 3" xfId="1706" xr:uid="{00000000-0005-0000-0000-0000A6060000}"/>
    <cellStyle name="20% - Accent1 5 7 2 6" xfId="1707" xr:uid="{00000000-0005-0000-0000-0000A7060000}"/>
    <cellStyle name="20% - Accent1 5 7 2 6 2" xfId="1708" xr:uid="{00000000-0005-0000-0000-0000A8060000}"/>
    <cellStyle name="20% - Accent1 5 7 2 6 2 2" xfId="1709" xr:uid="{00000000-0005-0000-0000-0000A9060000}"/>
    <cellStyle name="20% - Accent1 5 7 2 6 3" xfId="1710" xr:uid="{00000000-0005-0000-0000-0000AA060000}"/>
    <cellStyle name="20% - Accent1 5 7 2 7" xfId="1711" xr:uid="{00000000-0005-0000-0000-0000AB060000}"/>
    <cellStyle name="20% - Accent1 5 7 2 7 2" xfId="1712" xr:uid="{00000000-0005-0000-0000-0000AC060000}"/>
    <cellStyle name="20% - Accent1 5 7 2 8" xfId="1713" xr:uid="{00000000-0005-0000-0000-0000AD060000}"/>
    <cellStyle name="20% - Accent1 5 7 3" xfId="1714" xr:uid="{00000000-0005-0000-0000-0000AE060000}"/>
    <cellStyle name="20% - Accent1 5 7 3 2" xfId="1715" xr:uid="{00000000-0005-0000-0000-0000AF060000}"/>
    <cellStyle name="20% - Accent1 5 7 3 2 2" xfId="1716" xr:uid="{00000000-0005-0000-0000-0000B0060000}"/>
    <cellStyle name="20% - Accent1 5 7 3 2 2 2" xfId="1717" xr:uid="{00000000-0005-0000-0000-0000B1060000}"/>
    <cellStyle name="20% - Accent1 5 7 3 2 2 2 2" xfId="1718" xr:uid="{00000000-0005-0000-0000-0000B2060000}"/>
    <cellStyle name="20% - Accent1 5 7 3 2 2 3" xfId="1719" xr:uid="{00000000-0005-0000-0000-0000B3060000}"/>
    <cellStyle name="20% - Accent1 5 7 3 2 3" xfId="1720" xr:uid="{00000000-0005-0000-0000-0000B4060000}"/>
    <cellStyle name="20% - Accent1 5 7 3 2 3 2" xfId="1721" xr:uid="{00000000-0005-0000-0000-0000B5060000}"/>
    <cellStyle name="20% - Accent1 5 7 3 2 4" xfId="1722" xr:uid="{00000000-0005-0000-0000-0000B6060000}"/>
    <cellStyle name="20% - Accent1 5 7 3 3" xfId="1723" xr:uid="{00000000-0005-0000-0000-0000B7060000}"/>
    <cellStyle name="20% - Accent1 5 7 3 3 2" xfId="1724" xr:uid="{00000000-0005-0000-0000-0000B8060000}"/>
    <cellStyle name="20% - Accent1 5 7 3 3 2 2" xfId="1725" xr:uid="{00000000-0005-0000-0000-0000B9060000}"/>
    <cellStyle name="20% - Accent1 5 7 3 3 3" xfId="1726" xr:uid="{00000000-0005-0000-0000-0000BA060000}"/>
    <cellStyle name="20% - Accent1 5 7 3 4" xfId="1727" xr:uid="{00000000-0005-0000-0000-0000BB060000}"/>
    <cellStyle name="20% - Accent1 5 7 3 4 2" xfId="1728" xr:uid="{00000000-0005-0000-0000-0000BC060000}"/>
    <cellStyle name="20% - Accent1 5 7 3 4 2 2" xfId="1729" xr:uid="{00000000-0005-0000-0000-0000BD060000}"/>
    <cellStyle name="20% - Accent1 5 7 3 4 3" xfId="1730" xr:uid="{00000000-0005-0000-0000-0000BE060000}"/>
    <cellStyle name="20% - Accent1 5 7 3 5" xfId="1731" xr:uid="{00000000-0005-0000-0000-0000BF060000}"/>
    <cellStyle name="20% - Accent1 5 7 3 5 2" xfId="1732" xr:uid="{00000000-0005-0000-0000-0000C0060000}"/>
    <cellStyle name="20% - Accent1 5 7 3 5 2 2" xfId="1733" xr:uid="{00000000-0005-0000-0000-0000C1060000}"/>
    <cellStyle name="20% - Accent1 5 7 3 5 3" xfId="1734" xr:uid="{00000000-0005-0000-0000-0000C2060000}"/>
    <cellStyle name="20% - Accent1 5 7 3 6" xfId="1735" xr:uid="{00000000-0005-0000-0000-0000C3060000}"/>
    <cellStyle name="20% - Accent1 5 7 3 6 2" xfId="1736" xr:uid="{00000000-0005-0000-0000-0000C4060000}"/>
    <cellStyle name="20% - Accent1 5 7 3 6 2 2" xfId="1737" xr:uid="{00000000-0005-0000-0000-0000C5060000}"/>
    <cellStyle name="20% - Accent1 5 7 3 6 3" xfId="1738" xr:uid="{00000000-0005-0000-0000-0000C6060000}"/>
    <cellStyle name="20% - Accent1 5 7 3 7" xfId="1739" xr:uid="{00000000-0005-0000-0000-0000C7060000}"/>
    <cellStyle name="20% - Accent1 5 7 3 7 2" xfId="1740" xr:uid="{00000000-0005-0000-0000-0000C8060000}"/>
    <cellStyle name="20% - Accent1 5 7 3 8" xfId="1741" xr:uid="{00000000-0005-0000-0000-0000C9060000}"/>
    <cellStyle name="20% - Accent1 5 7 4" xfId="1742" xr:uid="{00000000-0005-0000-0000-0000CA060000}"/>
    <cellStyle name="20% - Accent1 5 7 4 2" xfId="1743" xr:uid="{00000000-0005-0000-0000-0000CB060000}"/>
    <cellStyle name="20% - Accent1 5 7 4 2 2" xfId="1744" xr:uid="{00000000-0005-0000-0000-0000CC060000}"/>
    <cellStyle name="20% - Accent1 5 7 4 2 2 2" xfId="1745" xr:uid="{00000000-0005-0000-0000-0000CD060000}"/>
    <cellStyle name="20% - Accent1 5 7 4 2 2 2 2" xfId="1746" xr:uid="{00000000-0005-0000-0000-0000CE060000}"/>
    <cellStyle name="20% - Accent1 5 7 4 2 2 3" xfId="1747" xr:uid="{00000000-0005-0000-0000-0000CF060000}"/>
    <cellStyle name="20% - Accent1 5 7 4 2 3" xfId="1748" xr:uid="{00000000-0005-0000-0000-0000D0060000}"/>
    <cellStyle name="20% - Accent1 5 7 4 2 3 2" xfId="1749" xr:uid="{00000000-0005-0000-0000-0000D1060000}"/>
    <cellStyle name="20% - Accent1 5 7 4 2 4" xfId="1750" xr:uid="{00000000-0005-0000-0000-0000D2060000}"/>
    <cellStyle name="20% - Accent1 5 7 4 3" xfId="1751" xr:uid="{00000000-0005-0000-0000-0000D3060000}"/>
    <cellStyle name="20% - Accent1 5 7 4 3 2" xfId="1752" xr:uid="{00000000-0005-0000-0000-0000D4060000}"/>
    <cellStyle name="20% - Accent1 5 7 4 3 2 2" xfId="1753" xr:uid="{00000000-0005-0000-0000-0000D5060000}"/>
    <cellStyle name="20% - Accent1 5 7 4 3 3" xfId="1754" xr:uid="{00000000-0005-0000-0000-0000D6060000}"/>
    <cellStyle name="20% - Accent1 5 7 4 4" xfId="1755" xr:uid="{00000000-0005-0000-0000-0000D7060000}"/>
    <cellStyle name="20% - Accent1 5 7 4 4 2" xfId="1756" xr:uid="{00000000-0005-0000-0000-0000D8060000}"/>
    <cellStyle name="20% - Accent1 5 7 4 4 2 2" xfId="1757" xr:uid="{00000000-0005-0000-0000-0000D9060000}"/>
    <cellStyle name="20% - Accent1 5 7 4 4 3" xfId="1758" xr:uid="{00000000-0005-0000-0000-0000DA060000}"/>
    <cellStyle name="20% - Accent1 5 7 4 5" xfId="1759" xr:uid="{00000000-0005-0000-0000-0000DB060000}"/>
    <cellStyle name="20% - Accent1 5 7 4 5 2" xfId="1760" xr:uid="{00000000-0005-0000-0000-0000DC060000}"/>
    <cellStyle name="20% - Accent1 5 7 4 5 2 2" xfId="1761" xr:uid="{00000000-0005-0000-0000-0000DD060000}"/>
    <cellStyle name="20% - Accent1 5 7 4 5 3" xfId="1762" xr:uid="{00000000-0005-0000-0000-0000DE060000}"/>
    <cellStyle name="20% - Accent1 5 7 4 6" xfId="1763" xr:uid="{00000000-0005-0000-0000-0000DF060000}"/>
    <cellStyle name="20% - Accent1 5 7 4 6 2" xfId="1764" xr:uid="{00000000-0005-0000-0000-0000E0060000}"/>
    <cellStyle name="20% - Accent1 5 7 4 6 2 2" xfId="1765" xr:uid="{00000000-0005-0000-0000-0000E1060000}"/>
    <cellStyle name="20% - Accent1 5 7 4 6 3" xfId="1766" xr:uid="{00000000-0005-0000-0000-0000E2060000}"/>
    <cellStyle name="20% - Accent1 5 7 4 7" xfId="1767" xr:uid="{00000000-0005-0000-0000-0000E3060000}"/>
    <cellStyle name="20% - Accent1 5 7 4 7 2" xfId="1768" xr:uid="{00000000-0005-0000-0000-0000E4060000}"/>
    <cellStyle name="20% - Accent1 5 7 4 8" xfId="1769" xr:uid="{00000000-0005-0000-0000-0000E5060000}"/>
    <cellStyle name="20% - Accent1 5 7 5" xfId="1770" xr:uid="{00000000-0005-0000-0000-0000E6060000}"/>
    <cellStyle name="20% - Accent1 5 7 5 2" xfId="1771" xr:uid="{00000000-0005-0000-0000-0000E7060000}"/>
    <cellStyle name="20% - Accent1 5 7 5 2 2" xfId="1772" xr:uid="{00000000-0005-0000-0000-0000E8060000}"/>
    <cellStyle name="20% - Accent1 5 7 5 2 2 2" xfId="1773" xr:uid="{00000000-0005-0000-0000-0000E9060000}"/>
    <cellStyle name="20% - Accent1 5 7 5 2 2 2 2" xfId="1774" xr:uid="{00000000-0005-0000-0000-0000EA060000}"/>
    <cellStyle name="20% - Accent1 5 7 5 2 2 3" xfId="1775" xr:uid="{00000000-0005-0000-0000-0000EB060000}"/>
    <cellStyle name="20% - Accent1 5 7 5 2 3" xfId="1776" xr:uid="{00000000-0005-0000-0000-0000EC060000}"/>
    <cellStyle name="20% - Accent1 5 7 5 2 3 2" xfId="1777" xr:uid="{00000000-0005-0000-0000-0000ED060000}"/>
    <cellStyle name="20% - Accent1 5 7 5 2 4" xfId="1778" xr:uid="{00000000-0005-0000-0000-0000EE060000}"/>
    <cellStyle name="20% - Accent1 5 7 5 3" xfId="1779" xr:uid="{00000000-0005-0000-0000-0000EF060000}"/>
    <cellStyle name="20% - Accent1 5 7 5 3 2" xfId="1780" xr:uid="{00000000-0005-0000-0000-0000F0060000}"/>
    <cellStyle name="20% - Accent1 5 7 5 3 2 2" xfId="1781" xr:uid="{00000000-0005-0000-0000-0000F1060000}"/>
    <cellStyle name="20% - Accent1 5 7 5 3 3" xfId="1782" xr:uid="{00000000-0005-0000-0000-0000F2060000}"/>
    <cellStyle name="20% - Accent1 5 7 5 4" xfId="1783" xr:uid="{00000000-0005-0000-0000-0000F3060000}"/>
    <cellStyle name="20% - Accent1 5 7 5 4 2" xfId="1784" xr:uid="{00000000-0005-0000-0000-0000F4060000}"/>
    <cellStyle name="20% - Accent1 5 7 5 5" xfId="1785" xr:uid="{00000000-0005-0000-0000-0000F5060000}"/>
    <cellStyle name="20% - Accent1 5 7 6" xfId="1786" xr:uid="{00000000-0005-0000-0000-0000F6060000}"/>
    <cellStyle name="20% - Accent1 5 7 6 2" xfId="1787" xr:uid="{00000000-0005-0000-0000-0000F7060000}"/>
    <cellStyle name="20% - Accent1 5 7 6 2 2" xfId="1788" xr:uid="{00000000-0005-0000-0000-0000F8060000}"/>
    <cellStyle name="20% - Accent1 5 7 6 2 2 2" xfId="1789" xr:uid="{00000000-0005-0000-0000-0000F9060000}"/>
    <cellStyle name="20% - Accent1 5 7 6 2 2 2 2" xfId="1790" xr:uid="{00000000-0005-0000-0000-0000FA060000}"/>
    <cellStyle name="20% - Accent1 5 7 6 2 2 3" xfId="1791" xr:uid="{00000000-0005-0000-0000-0000FB060000}"/>
    <cellStyle name="20% - Accent1 5 7 6 2 3" xfId="1792" xr:uid="{00000000-0005-0000-0000-0000FC060000}"/>
    <cellStyle name="20% - Accent1 5 7 6 2 3 2" xfId="1793" xr:uid="{00000000-0005-0000-0000-0000FD060000}"/>
    <cellStyle name="20% - Accent1 5 7 6 2 4" xfId="1794" xr:uid="{00000000-0005-0000-0000-0000FE060000}"/>
    <cellStyle name="20% - Accent1 5 7 6 3" xfId="1795" xr:uid="{00000000-0005-0000-0000-0000FF060000}"/>
    <cellStyle name="20% - Accent1 5 7 6 3 2" xfId="1796" xr:uid="{00000000-0005-0000-0000-000000070000}"/>
    <cellStyle name="20% - Accent1 5 7 6 3 2 2" xfId="1797" xr:uid="{00000000-0005-0000-0000-000001070000}"/>
    <cellStyle name="20% - Accent1 5 7 6 3 3" xfId="1798" xr:uid="{00000000-0005-0000-0000-000002070000}"/>
    <cellStyle name="20% - Accent1 5 7 6 4" xfId="1799" xr:uid="{00000000-0005-0000-0000-000003070000}"/>
    <cellStyle name="20% - Accent1 5 7 6 4 2" xfId="1800" xr:uid="{00000000-0005-0000-0000-000004070000}"/>
    <cellStyle name="20% - Accent1 5 7 6 5" xfId="1801" xr:uid="{00000000-0005-0000-0000-000005070000}"/>
    <cellStyle name="20% - Accent1 5 7 7" xfId="1802" xr:uid="{00000000-0005-0000-0000-000006070000}"/>
    <cellStyle name="20% - Accent1 5 7 7 2" xfId="1803" xr:uid="{00000000-0005-0000-0000-000007070000}"/>
    <cellStyle name="20% - Accent1 5 7 7 2 2" xfId="1804" xr:uid="{00000000-0005-0000-0000-000008070000}"/>
    <cellStyle name="20% - Accent1 5 7 7 2 2 2" xfId="1805" xr:uid="{00000000-0005-0000-0000-000009070000}"/>
    <cellStyle name="20% - Accent1 5 7 7 2 3" xfId="1806" xr:uid="{00000000-0005-0000-0000-00000A070000}"/>
    <cellStyle name="20% - Accent1 5 7 7 3" xfId="1807" xr:uid="{00000000-0005-0000-0000-00000B070000}"/>
    <cellStyle name="20% - Accent1 5 7 7 3 2" xfId="1808" xr:uid="{00000000-0005-0000-0000-00000C070000}"/>
    <cellStyle name="20% - Accent1 5 7 7 4" xfId="1809" xr:uid="{00000000-0005-0000-0000-00000D070000}"/>
    <cellStyle name="20% - Accent1 5 7 8" xfId="1810" xr:uid="{00000000-0005-0000-0000-00000E070000}"/>
    <cellStyle name="20% - Accent1 5 7 8 2" xfId="1811" xr:uid="{00000000-0005-0000-0000-00000F070000}"/>
    <cellStyle name="20% - Accent1 5 7 8 2 2" xfId="1812" xr:uid="{00000000-0005-0000-0000-000010070000}"/>
    <cellStyle name="20% - Accent1 5 7 8 2 2 2" xfId="1813" xr:uid="{00000000-0005-0000-0000-000011070000}"/>
    <cellStyle name="20% - Accent1 5 7 8 2 3" xfId="1814" xr:uid="{00000000-0005-0000-0000-000012070000}"/>
    <cellStyle name="20% - Accent1 5 7 8 3" xfId="1815" xr:uid="{00000000-0005-0000-0000-000013070000}"/>
    <cellStyle name="20% - Accent1 5 7 8 3 2" xfId="1816" xr:uid="{00000000-0005-0000-0000-000014070000}"/>
    <cellStyle name="20% - Accent1 5 7 8 4" xfId="1817" xr:uid="{00000000-0005-0000-0000-000015070000}"/>
    <cellStyle name="20% - Accent1 5 7 9" xfId="1818" xr:uid="{00000000-0005-0000-0000-000016070000}"/>
    <cellStyle name="20% - Accent1 5 7 9 2" xfId="1819" xr:uid="{00000000-0005-0000-0000-000017070000}"/>
    <cellStyle name="20% - Accent1 5 7 9 2 2" xfId="1820" xr:uid="{00000000-0005-0000-0000-000018070000}"/>
    <cellStyle name="20% - Accent1 5 7 9 3" xfId="1821" xr:uid="{00000000-0005-0000-0000-000019070000}"/>
    <cellStyle name="20% - Accent1 5 8" xfId="1822" xr:uid="{00000000-0005-0000-0000-00001A070000}"/>
    <cellStyle name="20% - Accent1 5 8 2" xfId="1823" xr:uid="{00000000-0005-0000-0000-00001B070000}"/>
    <cellStyle name="20% - Accent1 5 8 2 2" xfId="1824" xr:uid="{00000000-0005-0000-0000-00001C070000}"/>
    <cellStyle name="20% - Accent1 5 8 2 2 2" xfId="1825" xr:uid="{00000000-0005-0000-0000-00001D070000}"/>
    <cellStyle name="20% - Accent1 5 8 2 2 2 2" xfId="1826" xr:uid="{00000000-0005-0000-0000-00001E070000}"/>
    <cellStyle name="20% - Accent1 5 8 2 2 3" xfId="1827" xr:uid="{00000000-0005-0000-0000-00001F070000}"/>
    <cellStyle name="20% - Accent1 5 8 2 3" xfId="1828" xr:uid="{00000000-0005-0000-0000-000020070000}"/>
    <cellStyle name="20% - Accent1 5 8 2 3 2" xfId="1829" xr:uid="{00000000-0005-0000-0000-000021070000}"/>
    <cellStyle name="20% - Accent1 5 8 2 4" xfId="1830" xr:uid="{00000000-0005-0000-0000-000022070000}"/>
    <cellStyle name="20% - Accent1 5 8 3" xfId="1831" xr:uid="{00000000-0005-0000-0000-000023070000}"/>
    <cellStyle name="20% - Accent1 5 8 3 2" xfId="1832" xr:uid="{00000000-0005-0000-0000-000024070000}"/>
    <cellStyle name="20% - Accent1 5 8 3 2 2" xfId="1833" xr:uid="{00000000-0005-0000-0000-000025070000}"/>
    <cellStyle name="20% - Accent1 5 8 3 3" xfId="1834" xr:uid="{00000000-0005-0000-0000-000026070000}"/>
    <cellStyle name="20% - Accent1 5 8 4" xfId="1835" xr:uid="{00000000-0005-0000-0000-000027070000}"/>
    <cellStyle name="20% - Accent1 5 8 4 2" xfId="1836" xr:uid="{00000000-0005-0000-0000-000028070000}"/>
    <cellStyle name="20% - Accent1 5 8 4 2 2" xfId="1837" xr:uid="{00000000-0005-0000-0000-000029070000}"/>
    <cellStyle name="20% - Accent1 5 8 4 3" xfId="1838" xr:uid="{00000000-0005-0000-0000-00002A070000}"/>
    <cellStyle name="20% - Accent1 5 8 5" xfId="1839" xr:uid="{00000000-0005-0000-0000-00002B070000}"/>
    <cellStyle name="20% - Accent1 5 8 5 2" xfId="1840" xr:uid="{00000000-0005-0000-0000-00002C070000}"/>
    <cellStyle name="20% - Accent1 5 8 5 2 2" xfId="1841" xr:uid="{00000000-0005-0000-0000-00002D070000}"/>
    <cellStyle name="20% - Accent1 5 8 5 3" xfId="1842" xr:uid="{00000000-0005-0000-0000-00002E070000}"/>
    <cellStyle name="20% - Accent1 5 8 6" xfId="1843" xr:uid="{00000000-0005-0000-0000-00002F070000}"/>
    <cellStyle name="20% - Accent1 5 8 6 2" xfId="1844" xr:uid="{00000000-0005-0000-0000-000030070000}"/>
    <cellStyle name="20% - Accent1 5 8 6 2 2" xfId="1845" xr:uid="{00000000-0005-0000-0000-000031070000}"/>
    <cellStyle name="20% - Accent1 5 8 6 3" xfId="1846" xr:uid="{00000000-0005-0000-0000-000032070000}"/>
    <cellStyle name="20% - Accent1 5 8 7" xfId="1847" xr:uid="{00000000-0005-0000-0000-000033070000}"/>
    <cellStyle name="20% - Accent1 5 8 7 2" xfId="1848" xr:uid="{00000000-0005-0000-0000-000034070000}"/>
    <cellStyle name="20% - Accent1 5 8 8" xfId="1849" xr:uid="{00000000-0005-0000-0000-000035070000}"/>
    <cellStyle name="20% - Accent1 5 9" xfId="1850" xr:uid="{00000000-0005-0000-0000-000036070000}"/>
    <cellStyle name="20% - Accent1 5 9 2" xfId="1851" xr:uid="{00000000-0005-0000-0000-000037070000}"/>
    <cellStyle name="20% - Accent1 5 9 2 2" xfId="1852" xr:uid="{00000000-0005-0000-0000-000038070000}"/>
    <cellStyle name="20% - Accent1 5 9 2 2 2" xfId="1853" xr:uid="{00000000-0005-0000-0000-000039070000}"/>
    <cellStyle name="20% - Accent1 5 9 2 2 2 2" xfId="1854" xr:uid="{00000000-0005-0000-0000-00003A070000}"/>
    <cellStyle name="20% - Accent1 5 9 2 2 3" xfId="1855" xr:uid="{00000000-0005-0000-0000-00003B070000}"/>
    <cellStyle name="20% - Accent1 5 9 2 3" xfId="1856" xr:uid="{00000000-0005-0000-0000-00003C070000}"/>
    <cellStyle name="20% - Accent1 5 9 2 3 2" xfId="1857" xr:uid="{00000000-0005-0000-0000-00003D070000}"/>
    <cellStyle name="20% - Accent1 5 9 2 4" xfId="1858" xr:uid="{00000000-0005-0000-0000-00003E070000}"/>
    <cellStyle name="20% - Accent1 5 9 3" xfId="1859" xr:uid="{00000000-0005-0000-0000-00003F070000}"/>
    <cellStyle name="20% - Accent1 5 9 3 2" xfId="1860" xr:uid="{00000000-0005-0000-0000-000040070000}"/>
    <cellStyle name="20% - Accent1 5 9 3 2 2" xfId="1861" xr:uid="{00000000-0005-0000-0000-000041070000}"/>
    <cellStyle name="20% - Accent1 5 9 3 3" xfId="1862" xr:uid="{00000000-0005-0000-0000-000042070000}"/>
    <cellStyle name="20% - Accent1 5 9 4" xfId="1863" xr:uid="{00000000-0005-0000-0000-000043070000}"/>
    <cellStyle name="20% - Accent1 5 9 4 2" xfId="1864" xr:uid="{00000000-0005-0000-0000-000044070000}"/>
    <cellStyle name="20% - Accent1 5 9 4 2 2" xfId="1865" xr:uid="{00000000-0005-0000-0000-000045070000}"/>
    <cellStyle name="20% - Accent1 5 9 4 3" xfId="1866" xr:uid="{00000000-0005-0000-0000-000046070000}"/>
    <cellStyle name="20% - Accent1 5 9 5" xfId="1867" xr:uid="{00000000-0005-0000-0000-000047070000}"/>
    <cellStyle name="20% - Accent1 5 9 5 2" xfId="1868" xr:uid="{00000000-0005-0000-0000-000048070000}"/>
    <cellStyle name="20% - Accent1 5 9 5 2 2" xfId="1869" xr:uid="{00000000-0005-0000-0000-000049070000}"/>
    <cellStyle name="20% - Accent1 5 9 5 3" xfId="1870" xr:uid="{00000000-0005-0000-0000-00004A070000}"/>
    <cellStyle name="20% - Accent1 5 9 6" xfId="1871" xr:uid="{00000000-0005-0000-0000-00004B070000}"/>
    <cellStyle name="20% - Accent1 5 9 6 2" xfId="1872" xr:uid="{00000000-0005-0000-0000-00004C070000}"/>
    <cellStyle name="20% - Accent1 5 9 6 2 2" xfId="1873" xr:uid="{00000000-0005-0000-0000-00004D070000}"/>
    <cellStyle name="20% - Accent1 5 9 6 3" xfId="1874" xr:uid="{00000000-0005-0000-0000-00004E070000}"/>
    <cellStyle name="20% - Accent1 5 9 7" xfId="1875" xr:uid="{00000000-0005-0000-0000-00004F070000}"/>
    <cellStyle name="20% - Accent1 5 9 7 2" xfId="1876" xr:uid="{00000000-0005-0000-0000-000050070000}"/>
    <cellStyle name="20% - Accent1 5 9 8" xfId="1877" xr:uid="{00000000-0005-0000-0000-000051070000}"/>
    <cellStyle name="20% - Accent1 6" xfId="1878" xr:uid="{00000000-0005-0000-0000-000052070000}"/>
    <cellStyle name="20% - Accent2 2" xfId="1879" xr:uid="{00000000-0005-0000-0000-000053070000}"/>
    <cellStyle name="20% - Accent2 3" xfId="1880" xr:uid="{00000000-0005-0000-0000-000054070000}"/>
    <cellStyle name="20% - Accent2 4" xfId="1881" xr:uid="{00000000-0005-0000-0000-000055070000}"/>
    <cellStyle name="20% - Accent2 5" xfId="1882" xr:uid="{00000000-0005-0000-0000-000056070000}"/>
    <cellStyle name="20% - Accent2 5 10" xfId="1883" xr:uid="{00000000-0005-0000-0000-000057070000}"/>
    <cellStyle name="20% - Accent2 5 10 2" xfId="1884" xr:uid="{00000000-0005-0000-0000-000058070000}"/>
    <cellStyle name="20% - Accent2 5 10 2 2" xfId="1885" xr:uid="{00000000-0005-0000-0000-000059070000}"/>
    <cellStyle name="20% - Accent2 5 10 2 2 2" xfId="1886" xr:uid="{00000000-0005-0000-0000-00005A070000}"/>
    <cellStyle name="20% - Accent2 5 10 2 2 2 2" xfId="1887" xr:uid="{00000000-0005-0000-0000-00005B070000}"/>
    <cellStyle name="20% - Accent2 5 10 2 2 3" xfId="1888" xr:uid="{00000000-0005-0000-0000-00005C070000}"/>
    <cellStyle name="20% - Accent2 5 10 2 3" xfId="1889" xr:uid="{00000000-0005-0000-0000-00005D070000}"/>
    <cellStyle name="20% - Accent2 5 10 2 3 2" xfId="1890" xr:uid="{00000000-0005-0000-0000-00005E070000}"/>
    <cellStyle name="20% - Accent2 5 10 2 4" xfId="1891" xr:uid="{00000000-0005-0000-0000-00005F070000}"/>
    <cellStyle name="20% - Accent2 5 10 3" xfId="1892" xr:uid="{00000000-0005-0000-0000-000060070000}"/>
    <cellStyle name="20% - Accent2 5 10 3 2" xfId="1893" xr:uid="{00000000-0005-0000-0000-000061070000}"/>
    <cellStyle name="20% - Accent2 5 10 3 2 2" xfId="1894" xr:uid="{00000000-0005-0000-0000-000062070000}"/>
    <cellStyle name="20% - Accent2 5 10 3 3" xfId="1895" xr:uid="{00000000-0005-0000-0000-000063070000}"/>
    <cellStyle name="20% - Accent2 5 10 4" xfId="1896" xr:uid="{00000000-0005-0000-0000-000064070000}"/>
    <cellStyle name="20% - Accent2 5 10 4 2" xfId="1897" xr:uid="{00000000-0005-0000-0000-000065070000}"/>
    <cellStyle name="20% - Accent2 5 10 4 2 2" xfId="1898" xr:uid="{00000000-0005-0000-0000-000066070000}"/>
    <cellStyle name="20% - Accent2 5 10 4 3" xfId="1899" xr:uid="{00000000-0005-0000-0000-000067070000}"/>
    <cellStyle name="20% - Accent2 5 10 5" xfId="1900" xr:uid="{00000000-0005-0000-0000-000068070000}"/>
    <cellStyle name="20% - Accent2 5 10 5 2" xfId="1901" xr:uid="{00000000-0005-0000-0000-000069070000}"/>
    <cellStyle name="20% - Accent2 5 10 5 2 2" xfId="1902" xr:uid="{00000000-0005-0000-0000-00006A070000}"/>
    <cellStyle name="20% - Accent2 5 10 5 3" xfId="1903" xr:uid="{00000000-0005-0000-0000-00006B070000}"/>
    <cellStyle name="20% - Accent2 5 10 6" xfId="1904" xr:uid="{00000000-0005-0000-0000-00006C070000}"/>
    <cellStyle name="20% - Accent2 5 10 6 2" xfId="1905" xr:uid="{00000000-0005-0000-0000-00006D070000}"/>
    <cellStyle name="20% - Accent2 5 10 6 2 2" xfId="1906" xr:uid="{00000000-0005-0000-0000-00006E070000}"/>
    <cellStyle name="20% - Accent2 5 10 6 3" xfId="1907" xr:uid="{00000000-0005-0000-0000-00006F070000}"/>
    <cellStyle name="20% - Accent2 5 10 7" xfId="1908" xr:uid="{00000000-0005-0000-0000-000070070000}"/>
    <cellStyle name="20% - Accent2 5 10 7 2" xfId="1909" xr:uid="{00000000-0005-0000-0000-000071070000}"/>
    <cellStyle name="20% - Accent2 5 10 8" xfId="1910" xr:uid="{00000000-0005-0000-0000-000072070000}"/>
    <cellStyle name="20% - Accent2 5 11" xfId="1911" xr:uid="{00000000-0005-0000-0000-000073070000}"/>
    <cellStyle name="20% - Accent2 5 11 2" xfId="1912" xr:uid="{00000000-0005-0000-0000-000074070000}"/>
    <cellStyle name="20% - Accent2 5 11 2 2" xfId="1913" xr:uid="{00000000-0005-0000-0000-000075070000}"/>
    <cellStyle name="20% - Accent2 5 11 2 2 2" xfId="1914" xr:uid="{00000000-0005-0000-0000-000076070000}"/>
    <cellStyle name="20% - Accent2 5 11 2 2 2 2" xfId="1915" xr:uid="{00000000-0005-0000-0000-000077070000}"/>
    <cellStyle name="20% - Accent2 5 11 2 2 3" xfId="1916" xr:uid="{00000000-0005-0000-0000-000078070000}"/>
    <cellStyle name="20% - Accent2 5 11 2 3" xfId="1917" xr:uid="{00000000-0005-0000-0000-000079070000}"/>
    <cellStyle name="20% - Accent2 5 11 2 3 2" xfId="1918" xr:uid="{00000000-0005-0000-0000-00007A070000}"/>
    <cellStyle name="20% - Accent2 5 11 2 4" xfId="1919" xr:uid="{00000000-0005-0000-0000-00007B070000}"/>
    <cellStyle name="20% - Accent2 5 11 3" xfId="1920" xr:uid="{00000000-0005-0000-0000-00007C070000}"/>
    <cellStyle name="20% - Accent2 5 11 3 2" xfId="1921" xr:uid="{00000000-0005-0000-0000-00007D070000}"/>
    <cellStyle name="20% - Accent2 5 11 3 2 2" xfId="1922" xr:uid="{00000000-0005-0000-0000-00007E070000}"/>
    <cellStyle name="20% - Accent2 5 11 3 3" xfId="1923" xr:uid="{00000000-0005-0000-0000-00007F070000}"/>
    <cellStyle name="20% - Accent2 5 11 4" xfId="1924" xr:uid="{00000000-0005-0000-0000-000080070000}"/>
    <cellStyle name="20% - Accent2 5 11 4 2" xfId="1925" xr:uid="{00000000-0005-0000-0000-000081070000}"/>
    <cellStyle name="20% - Accent2 5 11 5" xfId="1926" xr:uid="{00000000-0005-0000-0000-000082070000}"/>
    <cellStyle name="20% - Accent2 5 12" xfId="1927" xr:uid="{00000000-0005-0000-0000-000083070000}"/>
    <cellStyle name="20% - Accent2 5 12 2" xfId="1928" xr:uid="{00000000-0005-0000-0000-000084070000}"/>
    <cellStyle name="20% - Accent2 5 12 2 2" xfId="1929" xr:uid="{00000000-0005-0000-0000-000085070000}"/>
    <cellStyle name="20% - Accent2 5 12 2 2 2" xfId="1930" xr:uid="{00000000-0005-0000-0000-000086070000}"/>
    <cellStyle name="20% - Accent2 5 12 2 2 2 2" xfId="1931" xr:uid="{00000000-0005-0000-0000-000087070000}"/>
    <cellStyle name="20% - Accent2 5 12 2 2 3" xfId="1932" xr:uid="{00000000-0005-0000-0000-000088070000}"/>
    <cellStyle name="20% - Accent2 5 12 2 3" xfId="1933" xr:uid="{00000000-0005-0000-0000-000089070000}"/>
    <cellStyle name="20% - Accent2 5 12 2 3 2" xfId="1934" xr:uid="{00000000-0005-0000-0000-00008A070000}"/>
    <cellStyle name="20% - Accent2 5 12 2 4" xfId="1935" xr:uid="{00000000-0005-0000-0000-00008B070000}"/>
    <cellStyle name="20% - Accent2 5 12 3" xfId="1936" xr:uid="{00000000-0005-0000-0000-00008C070000}"/>
    <cellStyle name="20% - Accent2 5 12 3 2" xfId="1937" xr:uid="{00000000-0005-0000-0000-00008D070000}"/>
    <cellStyle name="20% - Accent2 5 12 3 2 2" xfId="1938" xr:uid="{00000000-0005-0000-0000-00008E070000}"/>
    <cellStyle name="20% - Accent2 5 12 3 3" xfId="1939" xr:uid="{00000000-0005-0000-0000-00008F070000}"/>
    <cellStyle name="20% - Accent2 5 12 4" xfId="1940" xr:uid="{00000000-0005-0000-0000-000090070000}"/>
    <cellStyle name="20% - Accent2 5 12 4 2" xfId="1941" xr:uid="{00000000-0005-0000-0000-000091070000}"/>
    <cellStyle name="20% - Accent2 5 12 5" xfId="1942" xr:uid="{00000000-0005-0000-0000-000092070000}"/>
    <cellStyle name="20% - Accent2 5 13" xfId="1943" xr:uid="{00000000-0005-0000-0000-000093070000}"/>
    <cellStyle name="20% - Accent2 5 13 2" xfId="1944" xr:uid="{00000000-0005-0000-0000-000094070000}"/>
    <cellStyle name="20% - Accent2 5 13 2 2" xfId="1945" xr:uid="{00000000-0005-0000-0000-000095070000}"/>
    <cellStyle name="20% - Accent2 5 13 2 2 2" xfId="1946" xr:uid="{00000000-0005-0000-0000-000096070000}"/>
    <cellStyle name="20% - Accent2 5 13 2 2 2 2" xfId="1947" xr:uid="{00000000-0005-0000-0000-000097070000}"/>
    <cellStyle name="20% - Accent2 5 13 2 2 3" xfId="1948" xr:uid="{00000000-0005-0000-0000-000098070000}"/>
    <cellStyle name="20% - Accent2 5 13 2 3" xfId="1949" xr:uid="{00000000-0005-0000-0000-000099070000}"/>
    <cellStyle name="20% - Accent2 5 13 2 3 2" xfId="1950" xr:uid="{00000000-0005-0000-0000-00009A070000}"/>
    <cellStyle name="20% - Accent2 5 13 2 4" xfId="1951" xr:uid="{00000000-0005-0000-0000-00009B070000}"/>
    <cellStyle name="20% - Accent2 5 13 3" xfId="1952" xr:uid="{00000000-0005-0000-0000-00009C070000}"/>
    <cellStyle name="20% - Accent2 5 13 3 2" xfId="1953" xr:uid="{00000000-0005-0000-0000-00009D070000}"/>
    <cellStyle name="20% - Accent2 5 13 3 2 2" xfId="1954" xr:uid="{00000000-0005-0000-0000-00009E070000}"/>
    <cellStyle name="20% - Accent2 5 13 3 3" xfId="1955" xr:uid="{00000000-0005-0000-0000-00009F070000}"/>
    <cellStyle name="20% - Accent2 5 13 4" xfId="1956" xr:uid="{00000000-0005-0000-0000-0000A0070000}"/>
    <cellStyle name="20% - Accent2 5 13 4 2" xfId="1957" xr:uid="{00000000-0005-0000-0000-0000A1070000}"/>
    <cellStyle name="20% - Accent2 5 13 5" xfId="1958" xr:uid="{00000000-0005-0000-0000-0000A2070000}"/>
    <cellStyle name="20% - Accent2 5 14" xfId="1959" xr:uid="{00000000-0005-0000-0000-0000A3070000}"/>
    <cellStyle name="20% - Accent2 5 14 2" xfId="1960" xr:uid="{00000000-0005-0000-0000-0000A4070000}"/>
    <cellStyle name="20% - Accent2 5 14 2 2" xfId="1961" xr:uid="{00000000-0005-0000-0000-0000A5070000}"/>
    <cellStyle name="20% - Accent2 5 14 2 2 2" xfId="1962" xr:uid="{00000000-0005-0000-0000-0000A6070000}"/>
    <cellStyle name="20% - Accent2 5 14 2 3" xfId="1963" xr:uid="{00000000-0005-0000-0000-0000A7070000}"/>
    <cellStyle name="20% - Accent2 5 14 3" xfId="1964" xr:uid="{00000000-0005-0000-0000-0000A8070000}"/>
    <cellStyle name="20% - Accent2 5 14 3 2" xfId="1965" xr:uid="{00000000-0005-0000-0000-0000A9070000}"/>
    <cellStyle name="20% - Accent2 5 14 4" xfId="1966" xr:uid="{00000000-0005-0000-0000-0000AA070000}"/>
    <cellStyle name="20% - Accent2 5 15" xfId="1967" xr:uid="{00000000-0005-0000-0000-0000AB070000}"/>
    <cellStyle name="20% - Accent2 5 15 2" xfId="1968" xr:uid="{00000000-0005-0000-0000-0000AC070000}"/>
    <cellStyle name="20% - Accent2 5 15 2 2" xfId="1969" xr:uid="{00000000-0005-0000-0000-0000AD070000}"/>
    <cellStyle name="20% - Accent2 5 15 2 2 2" xfId="1970" xr:uid="{00000000-0005-0000-0000-0000AE070000}"/>
    <cellStyle name="20% - Accent2 5 15 2 3" xfId="1971" xr:uid="{00000000-0005-0000-0000-0000AF070000}"/>
    <cellStyle name="20% - Accent2 5 15 3" xfId="1972" xr:uid="{00000000-0005-0000-0000-0000B0070000}"/>
    <cellStyle name="20% - Accent2 5 15 3 2" xfId="1973" xr:uid="{00000000-0005-0000-0000-0000B1070000}"/>
    <cellStyle name="20% - Accent2 5 15 4" xfId="1974" xr:uid="{00000000-0005-0000-0000-0000B2070000}"/>
    <cellStyle name="20% - Accent2 5 16" xfId="1975" xr:uid="{00000000-0005-0000-0000-0000B3070000}"/>
    <cellStyle name="20% - Accent2 5 16 2" xfId="1976" xr:uid="{00000000-0005-0000-0000-0000B4070000}"/>
    <cellStyle name="20% - Accent2 5 16 2 2" xfId="1977" xr:uid="{00000000-0005-0000-0000-0000B5070000}"/>
    <cellStyle name="20% - Accent2 5 16 3" xfId="1978" xr:uid="{00000000-0005-0000-0000-0000B6070000}"/>
    <cellStyle name="20% - Accent2 5 17" xfId="1979" xr:uid="{00000000-0005-0000-0000-0000B7070000}"/>
    <cellStyle name="20% - Accent2 5 17 2" xfId="1980" xr:uid="{00000000-0005-0000-0000-0000B8070000}"/>
    <cellStyle name="20% - Accent2 5 17 2 2" xfId="1981" xr:uid="{00000000-0005-0000-0000-0000B9070000}"/>
    <cellStyle name="20% - Accent2 5 17 3" xfId="1982" xr:uid="{00000000-0005-0000-0000-0000BA070000}"/>
    <cellStyle name="20% - Accent2 5 18" xfId="1983" xr:uid="{00000000-0005-0000-0000-0000BB070000}"/>
    <cellStyle name="20% - Accent2 5 18 2" xfId="1984" xr:uid="{00000000-0005-0000-0000-0000BC070000}"/>
    <cellStyle name="20% - Accent2 5 18 2 2" xfId="1985" xr:uid="{00000000-0005-0000-0000-0000BD070000}"/>
    <cellStyle name="20% - Accent2 5 18 3" xfId="1986" xr:uid="{00000000-0005-0000-0000-0000BE070000}"/>
    <cellStyle name="20% - Accent2 5 19" xfId="1987" xr:uid="{00000000-0005-0000-0000-0000BF070000}"/>
    <cellStyle name="20% - Accent2 5 19 2" xfId="1988" xr:uid="{00000000-0005-0000-0000-0000C0070000}"/>
    <cellStyle name="20% - Accent2 5 19 2 2" xfId="1989" xr:uid="{00000000-0005-0000-0000-0000C1070000}"/>
    <cellStyle name="20% - Accent2 5 19 3" xfId="1990" xr:uid="{00000000-0005-0000-0000-0000C2070000}"/>
    <cellStyle name="20% - Accent2 5 2" xfId="1991" xr:uid="{00000000-0005-0000-0000-0000C3070000}"/>
    <cellStyle name="20% - Accent2 5 2 10" xfId="1992" xr:uid="{00000000-0005-0000-0000-0000C4070000}"/>
    <cellStyle name="20% - Accent2 5 2 10 2" xfId="1993" xr:uid="{00000000-0005-0000-0000-0000C5070000}"/>
    <cellStyle name="20% - Accent2 5 2 10 2 2" xfId="1994" xr:uid="{00000000-0005-0000-0000-0000C6070000}"/>
    <cellStyle name="20% - Accent2 5 2 10 2 2 2" xfId="1995" xr:uid="{00000000-0005-0000-0000-0000C7070000}"/>
    <cellStyle name="20% - Accent2 5 2 10 2 2 2 2" xfId="1996" xr:uid="{00000000-0005-0000-0000-0000C8070000}"/>
    <cellStyle name="20% - Accent2 5 2 10 2 2 3" xfId="1997" xr:uid="{00000000-0005-0000-0000-0000C9070000}"/>
    <cellStyle name="20% - Accent2 5 2 10 2 3" xfId="1998" xr:uid="{00000000-0005-0000-0000-0000CA070000}"/>
    <cellStyle name="20% - Accent2 5 2 10 2 3 2" xfId="1999" xr:uid="{00000000-0005-0000-0000-0000CB070000}"/>
    <cellStyle name="20% - Accent2 5 2 10 2 4" xfId="2000" xr:uid="{00000000-0005-0000-0000-0000CC070000}"/>
    <cellStyle name="20% - Accent2 5 2 10 3" xfId="2001" xr:uid="{00000000-0005-0000-0000-0000CD070000}"/>
    <cellStyle name="20% - Accent2 5 2 10 3 2" xfId="2002" xr:uid="{00000000-0005-0000-0000-0000CE070000}"/>
    <cellStyle name="20% - Accent2 5 2 10 3 2 2" xfId="2003" xr:uid="{00000000-0005-0000-0000-0000CF070000}"/>
    <cellStyle name="20% - Accent2 5 2 10 3 3" xfId="2004" xr:uid="{00000000-0005-0000-0000-0000D0070000}"/>
    <cellStyle name="20% - Accent2 5 2 10 4" xfId="2005" xr:uid="{00000000-0005-0000-0000-0000D1070000}"/>
    <cellStyle name="20% - Accent2 5 2 10 4 2" xfId="2006" xr:uid="{00000000-0005-0000-0000-0000D2070000}"/>
    <cellStyle name="20% - Accent2 5 2 10 5" xfId="2007" xr:uid="{00000000-0005-0000-0000-0000D3070000}"/>
    <cellStyle name="20% - Accent2 5 2 11" xfId="2008" xr:uid="{00000000-0005-0000-0000-0000D4070000}"/>
    <cellStyle name="20% - Accent2 5 2 11 2" xfId="2009" xr:uid="{00000000-0005-0000-0000-0000D5070000}"/>
    <cellStyle name="20% - Accent2 5 2 11 2 2" xfId="2010" xr:uid="{00000000-0005-0000-0000-0000D6070000}"/>
    <cellStyle name="20% - Accent2 5 2 11 2 2 2" xfId="2011" xr:uid="{00000000-0005-0000-0000-0000D7070000}"/>
    <cellStyle name="20% - Accent2 5 2 11 2 2 2 2" xfId="2012" xr:uid="{00000000-0005-0000-0000-0000D8070000}"/>
    <cellStyle name="20% - Accent2 5 2 11 2 2 3" xfId="2013" xr:uid="{00000000-0005-0000-0000-0000D9070000}"/>
    <cellStyle name="20% - Accent2 5 2 11 2 3" xfId="2014" xr:uid="{00000000-0005-0000-0000-0000DA070000}"/>
    <cellStyle name="20% - Accent2 5 2 11 2 3 2" xfId="2015" xr:uid="{00000000-0005-0000-0000-0000DB070000}"/>
    <cellStyle name="20% - Accent2 5 2 11 2 4" xfId="2016" xr:uid="{00000000-0005-0000-0000-0000DC070000}"/>
    <cellStyle name="20% - Accent2 5 2 11 3" xfId="2017" xr:uid="{00000000-0005-0000-0000-0000DD070000}"/>
    <cellStyle name="20% - Accent2 5 2 11 3 2" xfId="2018" xr:uid="{00000000-0005-0000-0000-0000DE070000}"/>
    <cellStyle name="20% - Accent2 5 2 11 3 2 2" xfId="2019" xr:uid="{00000000-0005-0000-0000-0000DF070000}"/>
    <cellStyle name="20% - Accent2 5 2 11 3 3" xfId="2020" xr:uid="{00000000-0005-0000-0000-0000E0070000}"/>
    <cellStyle name="20% - Accent2 5 2 11 4" xfId="2021" xr:uid="{00000000-0005-0000-0000-0000E1070000}"/>
    <cellStyle name="20% - Accent2 5 2 11 4 2" xfId="2022" xr:uid="{00000000-0005-0000-0000-0000E2070000}"/>
    <cellStyle name="20% - Accent2 5 2 11 5" xfId="2023" xr:uid="{00000000-0005-0000-0000-0000E3070000}"/>
    <cellStyle name="20% - Accent2 5 2 12" xfId="2024" xr:uid="{00000000-0005-0000-0000-0000E4070000}"/>
    <cellStyle name="20% - Accent2 5 2 12 2" xfId="2025" xr:uid="{00000000-0005-0000-0000-0000E5070000}"/>
    <cellStyle name="20% - Accent2 5 2 12 2 2" xfId="2026" xr:uid="{00000000-0005-0000-0000-0000E6070000}"/>
    <cellStyle name="20% - Accent2 5 2 12 2 2 2" xfId="2027" xr:uid="{00000000-0005-0000-0000-0000E7070000}"/>
    <cellStyle name="20% - Accent2 5 2 12 2 2 2 2" xfId="2028" xr:uid="{00000000-0005-0000-0000-0000E8070000}"/>
    <cellStyle name="20% - Accent2 5 2 12 2 2 3" xfId="2029" xr:uid="{00000000-0005-0000-0000-0000E9070000}"/>
    <cellStyle name="20% - Accent2 5 2 12 2 3" xfId="2030" xr:uid="{00000000-0005-0000-0000-0000EA070000}"/>
    <cellStyle name="20% - Accent2 5 2 12 2 3 2" xfId="2031" xr:uid="{00000000-0005-0000-0000-0000EB070000}"/>
    <cellStyle name="20% - Accent2 5 2 12 2 4" xfId="2032" xr:uid="{00000000-0005-0000-0000-0000EC070000}"/>
    <cellStyle name="20% - Accent2 5 2 12 3" xfId="2033" xr:uid="{00000000-0005-0000-0000-0000ED070000}"/>
    <cellStyle name="20% - Accent2 5 2 12 3 2" xfId="2034" xr:uid="{00000000-0005-0000-0000-0000EE070000}"/>
    <cellStyle name="20% - Accent2 5 2 12 3 2 2" xfId="2035" xr:uid="{00000000-0005-0000-0000-0000EF070000}"/>
    <cellStyle name="20% - Accent2 5 2 12 3 3" xfId="2036" xr:uid="{00000000-0005-0000-0000-0000F0070000}"/>
    <cellStyle name="20% - Accent2 5 2 12 4" xfId="2037" xr:uid="{00000000-0005-0000-0000-0000F1070000}"/>
    <cellStyle name="20% - Accent2 5 2 12 4 2" xfId="2038" xr:uid="{00000000-0005-0000-0000-0000F2070000}"/>
    <cellStyle name="20% - Accent2 5 2 12 5" xfId="2039" xr:uid="{00000000-0005-0000-0000-0000F3070000}"/>
    <cellStyle name="20% - Accent2 5 2 13" xfId="2040" xr:uid="{00000000-0005-0000-0000-0000F4070000}"/>
    <cellStyle name="20% - Accent2 5 2 13 2" xfId="2041" xr:uid="{00000000-0005-0000-0000-0000F5070000}"/>
    <cellStyle name="20% - Accent2 5 2 13 2 2" xfId="2042" xr:uid="{00000000-0005-0000-0000-0000F6070000}"/>
    <cellStyle name="20% - Accent2 5 2 13 2 2 2" xfId="2043" xr:uid="{00000000-0005-0000-0000-0000F7070000}"/>
    <cellStyle name="20% - Accent2 5 2 13 2 3" xfId="2044" xr:uid="{00000000-0005-0000-0000-0000F8070000}"/>
    <cellStyle name="20% - Accent2 5 2 13 3" xfId="2045" xr:uid="{00000000-0005-0000-0000-0000F9070000}"/>
    <cellStyle name="20% - Accent2 5 2 13 3 2" xfId="2046" xr:uid="{00000000-0005-0000-0000-0000FA070000}"/>
    <cellStyle name="20% - Accent2 5 2 13 4" xfId="2047" xr:uid="{00000000-0005-0000-0000-0000FB070000}"/>
    <cellStyle name="20% - Accent2 5 2 14" xfId="2048" xr:uid="{00000000-0005-0000-0000-0000FC070000}"/>
    <cellStyle name="20% - Accent2 5 2 14 2" xfId="2049" xr:uid="{00000000-0005-0000-0000-0000FD070000}"/>
    <cellStyle name="20% - Accent2 5 2 14 2 2" xfId="2050" xr:uid="{00000000-0005-0000-0000-0000FE070000}"/>
    <cellStyle name="20% - Accent2 5 2 14 2 2 2" xfId="2051" xr:uid="{00000000-0005-0000-0000-0000FF070000}"/>
    <cellStyle name="20% - Accent2 5 2 14 2 3" xfId="2052" xr:uid="{00000000-0005-0000-0000-000000080000}"/>
    <cellStyle name="20% - Accent2 5 2 14 3" xfId="2053" xr:uid="{00000000-0005-0000-0000-000001080000}"/>
    <cellStyle name="20% - Accent2 5 2 14 3 2" xfId="2054" xr:uid="{00000000-0005-0000-0000-000002080000}"/>
    <cellStyle name="20% - Accent2 5 2 14 4" xfId="2055" xr:uid="{00000000-0005-0000-0000-000003080000}"/>
    <cellStyle name="20% - Accent2 5 2 15" xfId="2056" xr:uid="{00000000-0005-0000-0000-000004080000}"/>
    <cellStyle name="20% - Accent2 5 2 15 2" xfId="2057" xr:uid="{00000000-0005-0000-0000-000005080000}"/>
    <cellStyle name="20% - Accent2 5 2 15 2 2" xfId="2058" xr:uid="{00000000-0005-0000-0000-000006080000}"/>
    <cellStyle name="20% - Accent2 5 2 15 3" xfId="2059" xr:uid="{00000000-0005-0000-0000-000007080000}"/>
    <cellStyle name="20% - Accent2 5 2 16" xfId="2060" xr:uid="{00000000-0005-0000-0000-000008080000}"/>
    <cellStyle name="20% - Accent2 5 2 16 2" xfId="2061" xr:uid="{00000000-0005-0000-0000-000009080000}"/>
    <cellStyle name="20% - Accent2 5 2 16 2 2" xfId="2062" xr:uid="{00000000-0005-0000-0000-00000A080000}"/>
    <cellStyle name="20% - Accent2 5 2 16 3" xfId="2063" xr:uid="{00000000-0005-0000-0000-00000B080000}"/>
    <cellStyle name="20% - Accent2 5 2 17" xfId="2064" xr:uid="{00000000-0005-0000-0000-00000C080000}"/>
    <cellStyle name="20% - Accent2 5 2 17 2" xfId="2065" xr:uid="{00000000-0005-0000-0000-00000D080000}"/>
    <cellStyle name="20% - Accent2 5 2 17 2 2" xfId="2066" xr:uid="{00000000-0005-0000-0000-00000E080000}"/>
    <cellStyle name="20% - Accent2 5 2 17 3" xfId="2067" xr:uid="{00000000-0005-0000-0000-00000F080000}"/>
    <cellStyle name="20% - Accent2 5 2 18" xfId="2068" xr:uid="{00000000-0005-0000-0000-000010080000}"/>
    <cellStyle name="20% - Accent2 5 2 18 2" xfId="2069" xr:uid="{00000000-0005-0000-0000-000011080000}"/>
    <cellStyle name="20% - Accent2 5 2 18 2 2" xfId="2070" xr:uid="{00000000-0005-0000-0000-000012080000}"/>
    <cellStyle name="20% - Accent2 5 2 18 3" xfId="2071" xr:uid="{00000000-0005-0000-0000-000013080000}"/>
    <cellStyle name="20% - Accent2 5 2 19" xfId="2072" xr:uid="{00000000-0005-0000-0000-000014080000}"/>
    <cellStyle name="20% - Accent2 5 2 19 2" xfId="2073" xr:uid="{00000000-0005-0000-0000-000015080000}"/>
    <cellStyle name="20% - Accent2 5 2 2" xfId="2074" xr:uid="{00000000-0005-0000-0000-000016080000}"/>
    <cellStyle name="20% - Accent2 5 2 2 10" xfId="2075" xr:uid="{00000000-0005-0000-0000-000017080000}"/>
    <cellStyle name="20% - Accent2 5 2 2 10 2" xfId="2076" xr:uid="{00000000-0005-0000-0000-000018080000}"/>
    <cellStyle name="20% - Accent2 5 2 2 10 2 2" xfId="2077" xr:uid="{00000000-0005-0000-0000-000019080000}"/>
    <cellStyle name="20% - Accent2 5 2 2 10 3" xfId="2078" xr:uid="{00000000-0005-0000-0000-00001A080000}"/>
    <cellStyle name="20% - Accent2 5 2 2 11" xfId="2079" xr:uid="{00000000-0005-0000-0000-00001B080000}"/>
    <cellStyle name="20% - Accent2 5 2 2 11 2" xfId="2080" xr:uid="{00000000-0005-0000-0000-00001C080000}"/>
    <cellStyle name="20% - Accent2 5 2 2 11 2 2" xfId="2081" xr:uid="{00000000-0005-0000-0000-00001D080000}"/>
    <cellStyle name="20% - Accent2 5 2 2 11 3" xfId="2082" xr:uid="{00000000-0005-0000-0000-00001E080000}"/>
    <cellStyle name="20% - Accent2 5 2 2 12" xfId="2083" xr:uid="{00000000-0005-0000-0000-00001F080000}"/>
    <cellStyle name="20% - Accent2 5 2 2 12 2" xfId="2084" xr:uid="{00000000-0005-0000-0000-000020080000}"/>
    <cellStyle name="20% - Accent2 5 2 2 12 2 2" xfId="2085" xr:uid="{00000000-0005-0000-0000-000021080000}"/>
    <cellStyle name="20% - Accent2 5 2 2 12 3" xfId="2086" xr:uid="{00000000-0005-0000-0000-000022080000}"/>
    <cellStyle name="20% - Accent2 5 2 2 13" xfId="2087" xr:uid="{00000000-0005-0000-0000-000023080000}"/>
    <cellStyle name="20% - Accent2 5 2 2 13 2" xfId="2088" xr:uid="{00000000-0005-0000-0000-000024080000}"/>
    <cellStyle name="20% - Accent2 5 2 2 14" xfId="2089" xr:uid="{00000000-0005-0000-0000-000025080000}"/>
    <cellStyle name="20% - Accent2 5 2 2 2" xfId="2090" xr:uid="{00000000-0005-0000-0000-000026080000}"/>
    <cellStyle name="20% - Accent2 5 2 2 2 2" xfId="2091" xr:uid="{00000000-0005-0000-0000-000027080000}"/>
    <cellStyle name="20% - Accent2 5 2 2 2 2 2" xfId="2092" xr:uid="{00000000-0005-0000-0000-000028080000}"/>
    <cellStyle name="20% - Accent2 5 2 2 2 2 2 2" xfId="2093" xr:uid="{00000000-0005-0000-0000-000029080000}"/>
    <cellStyle name="20% - Accent2 5 2 2 2 2 2 2 2" xfId="2094" xr:uid="{00000000-0005-0000-0000-00002A080000}"/>
    <cellStyle name="20% - Accent2 5 2 2 2 2 2 3" xfId="2095" xr:uid="{00000000-0005-0000-0000-00002B080000}"/>
    <cellStyle name="20% - Accent2 5 2 2 2 2 3" xfId="2096" xr:uid="{00000000-0005-0000-0000-00002C080000}"/>
    <cellStyle name="20% - Accent2 5 2 2 2 2 3 2" xfId="2097" xr:uid="{00000000-0005-0000-0000-00002D080000}"/>
    <cellStyle name="20% - Accent2 5 2 2 2 2 4" xfId="2098" xr:uid="{00000000-0005-0000-0000-00002E080000}"/>
    <cellStyle name="20% - Accent2 5 2 2 2 3" xfId="2099" xr:uid="{00000000-0005-0000-0000-00002F080000}"/>
    <cellStyle name="20% - Accent2 5 2 2 2 3 2" xfId="2100" xr:uid="{00000000-0005-0000-0000-000030080000}"/>
    <cellStyle name="20% - Accent2 5 2 2 2 3 2 2" xfId="2101" xr:uid="{00000000-0005-0000-0000-000031080000}"/>
    <cellStyle name="20% - Accent2 5 2 2 2 3 3" xfId="2102" xr:uid="{00000000-0005-0000-0000-000032080000}"/>
    <cellStyle name="20% - Accent2 5 2 2 2 4" xfId="2103" xr:uid="{00000000-0005-0000-0000-000033080000}"/>
    <cellStyle name="20% - Accent2 5 2 2 2 4 2" xfId="2104" xr:uid="{00000000-0005-0000-0000-000034080000}"/>
    <cellStyle name="20% - Accent2 5 2 2 2 4 2 2" xfId="2105" xr:uid="{00000000-0005-0000-0000-000035080000}"/>
    <cellStyle name="20% - Accent2 5 2 2 2 4 3" xfId="2106" xr:uid="{00000000-0005-0000-0000-000036080000}"/>
    <cellStyle name="20% - Accent2 5 2 2 2 5" xfId="2107" xr:uid="{00000000-0005-0000-0000-000037080000}"/>
    <cellStyle name="20% - Accent2 5 2 2 2 5 2" xfId="2108" xr:uid="{00000000-0005-0000-0000-000038080000}"/>
    <cellStyle name="20% - Accent2 5 2 2 2 5 2 2" xfId="2109" xr:uid="{00000000-0005-0000-0000-000039080000}"/>
    <cellStyle name="20% - Accent2 5 2 2 2 5 3" xfId="2110" xr:uid="{00000000-0005-0000-0000-00003A080000}"/>
    <cellStyle name="20% - Accent2 5 2 2 2 6" xfId="2111" xr:uid="{00000000-0005-0000-0000-00003B080000}"/>
    <cellStyle name="20% - Accent2 5 2 2 2 6 2" xfId="2112" xr:uid="{00000000-0005-0000-0000-00003C080000}"/>
    <cellStyle name="20% - Accent2 5 2 2 2 6 2 2" xfId="2113" xr:uid="{00000000-0005-0000-0000-00003D080000}"/>
    <cellStyle name="20% - Accent2 5 2 2 2 6 3" xfId="2114" xr:uid="{00000000-0005-0000-0000-00003E080000}"/>
    <cellStyle name="20% - Accent2 5 2 2 2 7" xfId="2115" xr:uid="{00000000-0005-0000-0000-00003F080000}"/>
    <cellStyle name="20% - Accent2 5 2 2 2 7 2" xfId="2116" xr:uid="{00000000-0005-0000-0000-000040080000}"/>
    <cellStyle name="20% - Accent2 5 2 2 2 8" xfId="2117" xr:uid="{00000000-0005-0000-0000-000041080000}"/>
    <cellStyle name="20% - Accent2 5 2 2 3" xfId="2118" xr:uid="{00000000-0005-0000-0000-000042080000}"/>
    <cellStyle name="20% - Accent2 5 2 2 3 2" xfId="2119" xr:uid="{00000000-0005-0000-0000-000043080000}"/>
    <cellStyle name="20% - Accent2 5 2 2 3 2 2" xfId="2120" xr:uid="{00000000-0005-0000-0000-000044080000}"/>
    <cellStyle name="20% - Accent2 5 2 2 3 2 2 2" xfId="2121" xr:uid="{00000000-0005-0000-0000-000045080000}"/>
    <cellStyle name="20% - Accent2 5 2 2 3 2 2 2 2" xfId="2122" xr:uid="{00000000-0005-0000-0000-000046080000}"/>
    <cellStyle name="20% - Accent2 5 2 2 3 2 2 3" xfId="2123" xr:uid="{00000000-0005-0000-0000-000047080000}"/>
    <cellStyle name="20% - Accent2 5 2 2 3 2 3" xfId="2124" xr:uid="{00000000-0005-0000-0000-000048080000}"/>
    <cellStyle name="20% - Accent2 5 2 2 3 2 3 2" xfId="2125" xr:uid="{00000000-0005-0000-0000-000049080000}"/>
    <cellStyle name="20% - Accent2 5 2 2 3 2 4" xfId="2126" xr:uid="{00000000-0005-0000-0000-00004A080000}"/>
    <cellStyle name="20% - Accent2 5 2 2 3 3" xfId="2127" xr:uid="{00000000-0005-0000-0000-00004B080000}"/>
    <cellStyle name="20% - Accent2 5 2 2 3 3 2" xfId="2128" xr:uid="{00000000-0005-0000-0000-00004C080000}"/>
    <cellStyle name="20% - Accent2 5 2 2 3 3 2 2" xfId="2129" xr:uid="{00000000-0005-0000-0000-00004D080000}"/>
    <cellStyle name="20% - Accent2 5 2 2 3 3 3" xfId="2130" xr:uid="{00000000-0005-0000-0000-00004E080000}"/>
    <cellStyle name="20% - Accent2 5 2 2 3 4" xfId="2131" xr:uid="{00000000-0005-0000-0000-00004F080000}"/>
    <cellStyle name="20% - Accent2 5 2 2 3 4 2" xfId="2132" xr:uid="{00000000-0005-0000-0000-000050080000}"/>
    <cellStyle name="20% - Accent2 5 2 2 3 4 2 2" xfId="2133" xr:uid="{00000000-0005-0000-0000-000051080000}"/>
    <cellStyle name="20% - Accent2 5 2 2 3 4 3" xfId="2134" xr:uid="{00000000-0005-0000-0000-000052080000}"/>
    <cellStyle name="20% - Accent2 5 2 2 3 5" xfId="2135" xr:uid="{00000000-0005-0000-0000-000053080000}"/>
    <cellStyle name="20% - Accent2 5 2 2 3 5 2" xfId="2136" xr:uid="{00000000-0005-0000-0000-000054080000}"/>
    <cellStyle name="20% - Accent2 5 2 2 3 5 2 2" xfId="2137" xr:uid="{00000000-0005-0000-0000-000055080000}"/>
    <cellStyle name="20% - Accent2 5 2 2 3 5 3" xfId="2138" xr:uid="{00000000-0005-0000-0000-000056080000}"/>
    <cellStyle name="20% - Accent2 5 2 2 3 6" xfId="2139" xr:uid="{00000000-0005-0000-0000-000057080000}"/>
    <cellStyle name="20% - Accent2 5 2 2 3 6 2" xfId="2140" xr:uid="{00000000-0005-0000-0000-000058080000}"/>
    <cellStyle name="20% - Accent2 5 2 2 3 6 2 2" xfId="2141" xr:uid="{00000000-0005-0000-0000-000059080000}"/>
    <cellStyle name="20% - Accent2 5 2 2 3 6 3" xfId="2142" xr:uid="{00000000-0005-0000-0000-00005A080000}"/>
    <cellStyle name="20% - Accent2 5 2 2 3 7" xfId="2143" xr:uid="{00000000-0005-0000-0000-00005B080000}"/>
    <cellStyle name="20% - Accent2 5 2 2 3 7 2" xfId="2144" xr:uid="{00000000-0005-0000-0000-00005C080000}"/>
    <cellStyle name="20% - Accent2 5 2 2 3 8" xfId="2145" xr:uid="{00000000-0005-0000-0000-00005D080000}"/>
    <cellStyle name="20% - Accent2 5 2 2 4" xfId="2146" xr:uid="{00000000-0005-0000-0000-00005E080000}"/>
    <cellStyle name="20% - Accent2 5 2 2 4 2" xfId="2147" xr:uid="{00000000-0005-0000-0000-00005F080000}"/>
    <cellStyle name="20% - Accent2 5 2 2 4 2 2" xfId="2148" xr:uid="{00000000-0005-0000-0000-000060080000}"/>
    <cellStyle name="20% - Accent2 5 2 2 4 2 2 2" xfId="2149" xr:uid="{00000000-0005-0000-0000-000061080000}"/>
    <cellStyle name="20% - Accent2 5 2 2 4 2 2 2 2" xfId="2150" xr:uid="{00000000-0005-0000-0000-000062080000}"/>
    <cellStyle name="20% - Accent2 5 2 2 4 2 2 3" xfId="2151" xr:uid="{00000000-0005-0000-0000-000063080000}"/>
    <cellStyle name="20% - Accent2 5 2 2 4 2 3" xfId="2152" xr:uid="{00000000-0005-0000-0000-000064080000}"/>
    <cellStyle name="20% - Accent2 5 2 2 4 2 3 2" xfId="2153" xr:uid="{00000000-0005-0000-0000-000065080000}"/>
    <cellStyle name="20% - Accent2 5 2 2 4 2 4" xfId="2154" xr:uid="{00000000-0005-0000-0000-000066080000}"/>
    <cellStyle name="20% - Accent2 5 2 2 4 3" xfId="2155" xr:uid="{00000000-0005-0000-0000-000067080000}"/>
    <cellStyle name="20% - Accent2 5 2 2 4 3 2" xfId="2156" xr:uid="{00000000-0005-0000-0000-000068080000}"/>
    <cellStyle name="20% - Accent2 5 2 2 4 3 2 2" xfId="2157" xr:uid="{00000000-0005-0000-0000-000069080000}"/>
    <cellStyle name="20% - Accent2 5 2 2 4 3 3" xfId="2158" xr:uid="{00000000-0005-0000-0000-00006A080000}"/>
    <cellStyle name="20% - Accent2 5 2 2 4 4" xfId="2159" xr:uid="{00000000-0005-0000-0000-00006B080000}"/>
    <cellStyle name="20% - Accent2 5 2 2 4 4 2" xfId="2160" xr:uid="{00000000-0005-0000-0000-00006C080000}"/>
    <cellStyle name="20% - Accent2 5 2 2 4 4 2 2" xfId="2161" xr:uid="{00000000-0005-0000-0000-00006D080000}"/>
    <cellStyle name="20% - Accent2 5 2 2 4 4 3" xfId="2162" xr:uid="{00000000-0005-0000-0000-00006E080000}"/>
    <cellStyle name="20% - Accent2 5 2 2 4 5" xfId="2163" xr:uid="{00000000-0005-0000-0000-00006F080000}"/>
    <cellStyle name="20% - Accent2 5 2 2 4 5 2" xfId="2164" xr:uid="{00000000-0005-0000-0000-000070080000}"/>
    <cellStyle name="20% - Accent2 5 2 2 4 5 2 2" xfId="2165" xr:uid="{00000000-0005-0000-0000-000071080000}"/>
    <cellStyle name="20% - Accent2 5 2 2 4 5 3" xfId="2166" xr:uid="{00000000-0005-0000-0000-000072080000}"/>
    <cellStyle name="20% - Accent2 5 2 2 4 6" xfId="2167" xr:uid="{00000000-0005-0000-0000-000073080000}"/>
    <cellStyle name="20% - Accent2 5 2 2 4 6 2" xfId="2168" xr:uid="{00000000-0005-0000-0000-000074080000}"/>
    <cellStyle name="20% - Accent2 5 2 2 4 6 2 2" xfId="2169" xr:uid="{00000000-0005-0000-0000-000075080000}"/>
    <cellStyle name="20% - Accent2 5 2 2 4 6 3" xfId="2170" xr:uid="{00000000-0005-0000-0000-000076080000}"/>
    <cellStyle name="20% - Accent2 5 2 2 4 7" xfId="2171" xr:uid="{00000000-0005-0000-0000-000077080000}"/>
    <cellStyle name="20% - Accent2 5 2 2 4 7 2" xfId="2172" xr:uid="{00000000-0005-0000-0000-000078080000}"/>
    <cellStyle name="20% - Accent2 5 2 2 4 8" xfId="2173" xr:uid="{00000000-0005-0000-0000-000079080000}"/>
    <cellStyle name="20% - Accent2 5 2 2 5" xfId="2174" xr:uid="{00000000-0005-0000-0000-00007A080000}"/>
    <cellStyle name="20% - Accent2 5 2 2 5 2" xfId="2175" xr:uid="{00000000-0005-0000-0000-00007B080000}"/>
    <cellStyle name="20% - Accent2 5 2 2 5 2 2" xfId="2176" xr:uid="{00000000-0005-0000-0000-00007C080000}"/>
    <cellStyle name="20% - Accent2 5 2 2 5 2 2 2" xfId="2177" xr:uid="{00000000-0005-0000-0000-00007D080000}"/>
    <cellStyle name="20% - Accent2 5 2 2 5 2 2 2 2" xfId="2178" xr:uid="{00000000-0005-0000-0000-00007E080000}"/>
    <cellStyle name="20% - Accent2 5 2 2 5 2 2 3" xfId="2179" xr:uid="{00000000-0005-0000-0000-00007F080000}"/>
    <cellStyle name="20% - Accent2 5 2 2 5 2 3" xfId="2180" xr:uid="{00000000-0005-0000-0000-000080080000}"/>
    <cellStyle name="20% - Accent2 5 2 2 5 2 3 2" xfId="2181" xr:uid="{00000000-0005-0000-0000-000081080000}"/>
    <cellStyle name="20% - Accent2 5 2 2 5 2 4" xfId="2182" xr:uid="{00000000-0005-0000-0000-000082080000}"/>
    <cellStyle name="20% - Accent2 5 2 2 5 3" xfId="2183" xr:uid="{00000000-0005-0000-0000-000083080000}"/>
    <cellStyle name="20% - Accent2 5 2 2 5 3 2" xfId="2184" xr:uid="{00000000-0005-0000-0000-000084080000}"/>
    <cellStyle name="20% - Accent2 5 2 2 5 3 2 2" xfId="2185" xr:uid="{00000000-0005-0000-0000-000085080000}"/>
    <cellStyle name="20% - Accent2 5 2 2 5 3 3" xfId="2186" xr:uid="{00000000-0005-0000-0000-000086080000}"/>
    <cellStyle name="20% - Accent2 5 2 2 5 4" xfId="2187" xr:uid="{00000000-0005-0000-0000-000087080000}"/>
    <cellStyle name="20% - Accent2 5 2 2 5 4 2" xfId="2188" xr:uid="{00000000-0005-0000-0000-000088080000}"/>
    <cellStyle name="20% - Accent2 5 2 2 5 5" xfId="2189" xr:uid="{00000000-0005-0000-0000-000089080000}"/>
    <cellStyle name="20% - Accent2 5 2 2 6" xfId="2190" xr:uid="{00000000-0005-0000-0000-00008A080000}"/>
    <cellStyle name="20% - Accent2 5 2 2 6 2" xfId="2191" xr:uid="{00000000-0005-0000-0000-00008B080000}"/>
    <cellStyle name="20% - Accent2 5 2 2 6 2 2" xfId="2192" xr:uid="{00000000-0005-0000-0000-00008C080000}"/>
    <cellStyle name="20% - Accent2 5 2 2 6 2 2 2" xfId="2193" xr:uid="{00000000-0005-0000-0000-00008D080000}"/>
    <cellStyle name="20% - Accent2 5 2 2 6 2 2 2 2" xfId="2194" xr:uid="{00000000-0005-0000-0000-00008E080000}"/>
    <cellStyle name="20% - Accent2 5 2 2 6 2 2 3" xfId="2195" xr:uid="{00000000-0005-0000-0000-00008F080000}"/>
    <cellStyle name="20% - Accent2 5 2 2 6 2 3" xfId="2196" xr:uid="{00000000-0005-0000-0000-000090080000}"/>
    <cellStyle name="20% - Accent2 5 2 2 6 2 3 2" xfId="2197" xr:uid="{00000000-0005-0000-0000-000091080000}"/>
    <cellStyle name="20% - Accent2 5 2 2 6 2 4" xfId="2198" xr:uid="{00000000-0005-0000-0000-000092080000}"/>
    <cellStyle name="20% - Accent2 5 2 2 6 3" xfId="2199" xr:uid="{00000000-0005-0000-0000-000093080000}"/>
    <cellStyle name="20% - Accent2 5 2 2 6 3 2" xfId="2200" xr:uid="{00000000-0005-0000-0000-000094080000}"/>
    <cellStyle name="20% - Accent2 5 2 2 6 3 2 2" xfId="2201" xr:uid="{00000000-0005-0000-0000-000095080000}"/>
    <cellStyle name="20% - Accent2 5 2 2 6 3 3" xfId="2202" xr:uid="{00000000-0005-0000-0000-000096080000}"/>
    <cellStyle name="20% - Accent2 5 2 2 6 4" xfId="2203" xr:uid="{00000000-0005-0000-0000-000097080000}"/>
    <cellStyle name="20% - Accent2 5 2 2 6 4 2" xfId="2204" xr:uid="{00000000-0005-0000-0000-000098080000}"/>
    <cellStyle name="20% - Accent2 5 2 2 6 5" xfId="2205" xr:uid="{00000000-0005-0000-0000-000099080000}"/>
    <cellStyle name="20% - Accent2 5 2 2 7" xfId="2206" xr:uid="{00000000-0005-0000-0000-00009A080000}"/>
    <cellStyle name="20% - Accent2 5 2 2 7 2" xfId="2207" xr:uid="{00000000-0005-0000-0000-00009B080000}"/>
    <cellStyle name="20% - Accent2 5 2 2 7 2 2" xfId="2208" xr:uid="{00000000-0005-0000-0000-00009C080000}"/>
    <cellStyle name="20% - Accent2 5 2 2 7 2 2 2" xfId="2209" xr:uid="{00000000-0005-0000-0000-00009D080000}"/>
    <cellStyle name="20% - Accent2 5 2 2 7 2 3" xfId="2210" xr:uid="{00000000-0005-0000-0000-00009E080000}"/>
    <cellStyle name="20% - Accent2 5 2 2 7 3" xfId="2211" xr:uid="{00000000-0005-0000-0000-00009F080000}"/>
    <cellStyle name="20% - Accent2 5 2 2 7 3 2" xfId="2212" xr:uid="{00000000-0005-0000-0000-0000A0080000}"/>
    <cellStyle name="20% - Accent2 5 2 2 7 4" xfId="2213" xr:uid="{00000000-0005-0000-0000-0000A1080000}"/>
    <cellStyle name="20% - Accent2 5 2 2 8" xfId="2214" xr:uid="{00000000-0005-0000-0000-0000A2080000}"/>
    <cellStyle name="20% - Accent2 5 2 2 8 2" xfId="2215" xr:uid="{00000000-0005-0000-0000-0000A3080000}"/>
    <cellStyle name="20% - Accent2 5 2 2 8 2 2" xfId="2216" xr:uid="{00000000-0005-0000-0000-0000A4080000}"/>
    <cellStyle name="20% - Accent2 5 2 2 8 2 2 2" xfId="2217" xr:uid="{00000000-0005-0000-0000-0000A5080000}"/>
    <cellStyle name="20% - Accent2 5 2 2 8 2 3" xfId="2218" xr:uid="{00000000-0005-0000-0000-0000A6080000}"/>
    <cellStyle name="20% - Accent2 5 2 2 8 3" xfId="2219" xr:uid="{00000000-0005-0000-0000-0000A7080000}"/>
    <cellStyle name="20% - Accent2 5 2 2 8 3 2" xfId="2220" xr:uid="{00000000-0005-0000-0000-0000A8080000}"/>
    <cellStyle name="20% - Accent2 5 2 2 8 4" xfId="2221" xr:uid="{00000000-0005-0000-0000-0000A9080000}"/>
    <cellStyle name="20% - Accent2 5 2 2 9" xfId="2222" xr:uid="{00000000-0005-0000-0000-0000AA080000}"/>
    <cellStyle name="20% - Accent2 5 2 2 9 2" xfId="2223" xr:uid="{00000000-0005-0000-0000-0000AB080000}"/>
    <cellStyle name="20% - Accent2 5 2 2 9 2 2" xfId="2224" xr:uid="{00000000-0005-0000-0000-0000AC080000}"/>
    <cellStyle name="20% - Accent2 5 2 2 9 3" xfId="2225" xr:uid="{00000000-0005-0000-0000-0000AD080000}"/>
    <cellStyle name="20% - Accent2 5 2 20" xfId="2226" xr:uid="{00000000-0005-0000-0000-0000AE080000}"/>
    <cellStyle name="20% - Accent2 5 2 3" xfId="2227" xr:uid="{00000000-0005-0000-0000-0000AF080000}"/>
    <cellStyle name="20% - Accent2 5 2 3 10" xfId="2228" xr:uid="{00000000-0005-0000-0000-0000B0080000}"/>
    <cellStyle name="20% - Accent2 5 2 3 10 2" xfId="2229" xr:uid="{00000000-0005-0000-0000-0000B1080000}"/>
    <cellStyle name="20% - Accent2 5 2 3 10 2 2" xfId="2230" xr:uid="{00000000-0005-0000-0000-0000B2080000}"/>
    <cellStyle name="20% - Accent2 5 2 3 10 3" xfId="2231" xr:uid="{00000000-0005-0000-0000-0000B3080000}"/>
    <cellStyle name="20% - Accent2 5 2 3 11" xfId="2232" xr:uid="{00000000-0005-0000-0000-0000B4080000}"/>
    <cellStyle name="20% - Accent2 5 2 3 11 2" xfId="2233" xr:uid="{00000000-0005-0000-0000-0000B5080000}"/>
    <cellStyle name="20% - Accent2 5 2 3 11 2 2" xfId="2234" xr:uid="{00000000-0005-0000-0000-0000B6080000}"/>
    <cellStyle name="20% - Accent2 5 2 3 11 3" xfId="2235" xr:uid="{00000000-0005-0000-0000-0000B7080000}"/>
    <cellStyle name="20% - Accent2 5 2 3 12" xfId="2236" xr:uid="{00000000-0005-0000-0000-0000B8080000}"/>
    <cellStyle name="20% - Accent2 5 2 3 12 2" xfId="2237" xr:uid="{00000000-0005-0000-0000-0000B9080000}"/>
    <cellStyle name="20% - Accent2 5 2 3 12 2 2" xfId="2238" xr:uid="{00000000-0005-0000-0000-0000BA080000}"/>
    <cellStyle name="20% - Accent2 5 2 3 12 3" xfId="2239" xr:uid="{00000000-0005-0000-0000-0000BB080000}"/>
    <cellStyle name="20% - Accent2 5 2 3 13" xfId="2240" xr:uid="{00000000-0005-0000-0000-0000BC080000}"/>
    <cellStyle name="20% - Accent2 5 2 3 13 2" xfId="2241" xr:uid="{00000000-0005-0000-0000-0000BD080000}"/>
    <cellStyle name="20% - Accent2 5 2 3 14" xfId="2242" xr:uid="{00000000-0005-0000-0000-0000BE080000}"/>
    <cellStyle name="20% - Accent2 5 2 3 2" xfId="2243" xr:uid="{00000000-0005-0000-0000-0000BF080000}"/>
    <cellStyle name="20% - Accent2 5 2 3 2 2" xfId="2244" xr:uid="{00000000-0005-0000-0000-0000C0080000}"/>
    <cellStyle name="20% - Accent2 5 2 3 2 2 2" xfId="2245" xr:uid="{00000000-0005-0000-0000-0000C1080000}"/>
    <cellStyle name="20% - Accent2 5 2 3 2 2 2 2" xfId="2246" xr:uid="{00000000-0005-0000-0000-0000C2080000}"/>
    <cellStyle name="20% - Accent2 5 2 3 2 2 2 2 2" xfId="2247" xr:uid="{00000000-0005-0000-0000-0000C3080000}"/>
    <cellStyle name="20% - Accent2 5 2 3 2 2 2 3" xfId="2248" xr:uid="{00000000-0005-0000-0000-0000C4080000}"/>
    <cellStyle name="20% - Accent2 5 2 3 2 2 3" xfId="2249" xr:uid="{00000000-0005-0000-0000-0000C5080000}"/>
    <cellStyle name="20% - Accent2 5 2 3 2 2 3 2" xfId="2250" xr:uid="{00000000-0005-0000-0000-0000C6080000}"/>
    <cellStyle name="20% - Accent2 5 2 3 2 2 4" xfId="2251" xr:uid="{00000000-0005-0000-0000-0000C7080000}"/>
    <cellStyle name="20% - Accent2 5 2 3 2 3" xfId="2252" xr:uid="{00000000-0005-0000-0000-0000C8080000}"/>
    <cellStyle name="20% - Accent2 5 2 3 2 3 2" xfId="2253" xr:uid="{00000000-0005-0000-0000-0000C9080000}"/>
    <cellStyle name="20% - Accent2 5 2 3 2 3 2 2" xfId="2254" xr:uid="{00000000-0005-0000-0000-0000CA080000}"/>
    <cellStyle name="20% - Accent2 5 2 3 2 3 3" xfId="2255" xr:uid="{00000000-0005-0000-0000-0000CB080000}"/>
    <cellStyle name="20% - Accent2 5 2 3 2 4" xfId="2256" xr:uid="{00000000-0005-0000-0000-0000CC080000}"/>
    <cellStyle name="20% - Accent2 5 2 3 2 4 2" xfId="2257" xr:uid="{00000000-0005-0000-0000-0000CD080000}"/>
    <cellStyle name="20% - Accent2 5 2 3 2 4 2 2" xfId="2258" xr:uid="{00000000-0005-0000-0000-0000CE080000}"/>
    <cellStyle name="20% - Accent2 5 2 3 2 4 3" xfId="2259" xr:uid="{00000000-0005-0000-0000-0000CF080000}"/>
    <cellStyle name="20% - Accent2 5 2 3 2 5" xfId="2260" xr:uid="{00000000-0005-0000-0000-0000D0080000}"/>
    <cellStyle name="20% - Accent2 5 2 3 2 5 2" xfId="2261" xr:uid="{00000000-0005-0000-0000-0000D1080000}"/>
    <cellStyle name="20% - Accent2 5 2 3 2 5 2 2" xfId="2262" xr:uid="{00000000-0005-0000-0000-0000D2080000}"/>
    <cellStyle name="20% - Accent2 5 2 3 2 5 3" xfId="2263" xr:uid="{00000000-0005-0000-0000-0000D3080000}"/>
    <cellStyle name="20% - Accent2 5 2 3 2 6" xfId="2264" xr:uid="{00000000-0005-0000-0000-0000D4080000}"/>
    <cellStyle name="20% - Accent2 5 2 3 2 6 2" xfId="2265" xr:uid="{00000000-0005-0000-0000-0000D5080000}"/>
    <cellStyle name="20% - Accent2 5 2 3 2 6 2 2" xfId="2266" xr:uid="{00000000-0005-0000-0000-0000D6080000}"/>
    <cellStyle name="20% - Accent2 5 2 3 2 6 3" xfId="2267" xr:uid="{00000000-0005-0000-0000-0000D7080000}"/>
    <cellStyle name="20% - Accent2 5 2 3 2 7" xfId="2268" xr:uid="{00000000-0005-0000-0000-0000D8080000}"/>
    <cellStyle name="20% - Accent2 5 2 3 2 7 2" xfId="2269" xr:uid="{00000000-0005-0000-0000-0000D9080000}"/>
    <cellStyle name="20% - Accent2 5 2 3 2 8" xfId="2270" xr:uid="{00000000-0005-0000-0000-0000DA080000}"/>
    <cellStyle name="20% - Accent2 5 2 3 3" xfId="2271" xr:uid="{00000000-0005-0000-0000-0000DB080000}"/>
    <cellStyle name="20% - Accent2 5 2 3 3 2" xfId="2272" xr:uid="{00000000-0005-0000-0000-0000DC080000}"/>
    <cellStyle name="20% - Accent2 5 2 3 3 2 2" xfId="2273" xr:uid="{00000000-0005-0000-0000-0000DD080000}"/>
    <cellStyle name="20% - Accent2 5 2 3 3 2 2 2" xfId="2274" xr:uid="{00000000-0005-0000-0000-0000DE080000}"/>
    <cellStyle name="20% - Accent2 5 2 3 3 2 2 2 2" xfId="2275" xr:uid="{00000000-0005-0000-0000-0000DF080000}"/>
    <cellStyle name="20% - Accent2 5 2 3 3 2 2 3" xfId="2276" xr:uid="{00000000-0005-0000-0000-0000E0080000}"/>
    <cellStyle name="20% - Accent2 5 2 3 3 2 3" xfId="2277" xr:uid="{00000000-0005-0000-0000-0000E1080000}"/>
    <cellStyle name="20% - Accent2 5 2 3 3 2 3 2" xfId="2278" xr:uid="{00000000-0005-0000-0000-0000E2080000}"/>
    <cellStyle name="20% - Accent2 5 2 3 3 2 4" xfId="2279" xr:uid="{00000000-0005-0000-0000-0000E3080000}"/>
    <cellStyle name="20% - Accent2 5 2 3 3 3" xfId="2280" xr:uid="{00000000-0005-0000-0000-0000E4080000}"/>
    <cellStyle name="20% - Accent2 5 2 3 3 3 2" xfId="2281" xr:uid="{00000000-0005-0000-0000-0000E5080000}"/>
    <cellStyle name="20% - Accent2 5 2 3 3 3 2 2" xfId="2282" xr:uid="{00000000-0005-0000-0000-0000E6080000}"/>
    <cellStyle name="20% - Accent2 5 2 3 3 3 3" xfId="2283" xr:uid="{00000000-0005-0000-0000-0000E7080000}"/>
    <cellStyle name="20% - Accent2 5 2 3 3 4" xfId="2284" xr:uid="{00000000-0005-0000-0000-0000E8080000}"/>
    <cellStyle name="20% - Accent2 5 2 3 3 4 2" xfId="2285" xr:uid="{00000000-0005-0000-0000-0000E9080000}"/>
    <cellStyle name="20% - Accent2 5 2 3 3 4 2 2" xfId="2286" xr:uid="{00000000-0005-0000-0000-0000EA080000}"/>
    <cellStyle name="20% - Accent2 5 2 3 3 4 3" xfId="2287" xr:uid="{00000000-0005-0000-0000-0000EB080000}"/>
    <cellStyle name="20% - Accent2 5 2 3 3 5" xfId="2288" xr:uid="{00000000-0005-0000-0000-0000EC080000}"/>
    <cellStyle name="20% - Accent2 5 2 3 3 5 2" xfId="2289" xr:uid="{00000000-0005-0000-0000-0000ED080000}"/>
    <cellStyle name="20% - Accent2 5 2 3 3 5 2 2" xfId="2290" xr:uid="{00000000-0005-0000-0000-0000EE080000}"/>
    <cellStyle name="20% - Accent2 5 2 3 3 5 3" xfId="2291" xr:uid="{00000000-0005-0000-0000-0000EF080000}"/>
    <cellStyle name="20% - Accent2 5 2 3 3 6" xfId="2292" xr:uid="{00000000-0005-0000-0000-0000F0080000}"/>
    <cellStyle name="20% - Accent2 5 2 3 3 6 2" xfId="2293" xr:uid="{00000000-0005-0000-0000-0000F1080000}"/>
    <cellStyle name="20% - Accent2 5 2 3 3 6 2 2" xfId="2294" xr:uid="{00000000-0005-0000-0000-0000F2080000}"/>
    <cellStyle name="20% - Accent2 5 2 3 3 6 3" xfId="2295" xr:uid="{00000000-0005-0000-0000-0000F3080000}"/>
    <cellStyle name="20% - Accent2 5 2 3 3 7" xfId="2296" xr:uid="{00000000-0005-0000-0000-0000F4080000}"/>
    <cellStyle name="20% - Accent2 5 2 3 3 7 2" xfId="2297" xr:uid="{00000000-0005-0000-0000-0000F5080000}"/>
    <cellStyle name="20% - Accent2 5 2 3 3 8" xfId="2298" xr:uid="{00000000-0005-0000-0000-0000F6080000}"/>
    <cellStyle name="20% - Accent2 5 2 3 4" xfId="2299" xr:uid="{00000000-0005-0000-0000-0000F7080000}"/>
    <cellStyle name="20% - Accent2 5 2 3 4 2" xfId="2300" xr:uid="{00000000-0005-0000-0000-0000F8080000}"/>
    <cellStyle name="20% - Accent2 5 2 3 4 2 2" xfId="2301" xr:uid="{00000000-0005-0000-0000-0000F9080000}"/>
    <cellStyle name="20% - Accent2 5 2 3 4 2 2 2" xfId="2302" xr:uid="{00000000-0005-0000-0000-0000FA080000}"/>
    <cellStyle name="20% - Accent2 5 2 3 4 2 2 2 2" xfId="2303" xr:uid="{00000000-0005-0000-0000-0000FB080000}"/>
    <cellStyle name="20% - Accent2 5 2 3 4 2 2 3" xfId="2304" xr:uid="{00000000-0005-0000-0000-0000FC080000}"/>
    <cellStyle name="20% - Accent2 5 2 3 4 2 3" xfId="2305" xr:uid="{00000000-0005-0000-0000-0000FD080000}"/>
    <cellStyle name="20% - Accent2 5 2 3 4 2 3 2" xfId="2306" xr:uid="{00000000-0005-0000-0000-0000FE080000}"/>
    <cellStyle name="20% - Accent2 5 2 3 4 2 4" xfId="2307" xr:uid="{00000000-0005-0000-0000-0000FF080000}"/>
    <cellStyle name="20% - Accent2 5 2 3 4 3" xfId="2308" xr:uid="{00000000-0005-0000-0000-000000090000}"/>
    <cellStyle name="20% - Accent2 5 2 3 4 3 2" xfId="2309" xr:uid="{00000000-0005-0000-0000-000001090000}"/>
    <cellStyle name="20% - Accent2 5 2 3 4 3 2 2" xfId="2310" xr:uid="{00000000-0005-0000-0000-000002090000}"/>
    <cellStyle name="20% - Accent2 5 2 3 4 3 3" xfId="2311" xr:uid="{00000000-0005-0000-0000-000003090000}"/>
    <cellStyle name="20% - Accent2 5 2 3 4 4" xfId="2312" xr:uid="{00000000-0005-0000-0000-000004090000}"/>
    <cellStyle name="20% - Accent2 5 2 3 4 4 2" xfId="2313" xr:uid="{00000000-0005-0000-0000-000005090000}"/>
    <cellStyle name="20% - Accent2 5 2 3 4 4 2 2" xfId="2314" xr:uid="{00000000-0005-0000-0000-000006090000}"/>
    <cellStyle name="20% - Accent2 5 2 3 4 4 3" xfId="2315" xr:uid="{00000000-0005-0000-0000-000007090000}"/>
    <cellStyle name="20% - Accent2 5 2 3 4 5" xfId="2316" xr:uid="{00000000-0005-0000-0000-000008090000}"/>
    <cellStyle name="20% - Accent2 5 2 3 4 5 2" xfId="2317" xr:uid="{00000000-0005-0000-0000-000009090000}"/>
    <cellStyle name="20% - Accent2 5 2 3 4 5 2 2" xfId="2318" xr:uid="{00000000-0005-0000-0000-00000A090000}"/>
    <cellStyle name="20% - Accent2 5 2 3 4 5 3" xfId="2319" xr:uid="{00000000-0005-0000-0000-00000B090000}"/>
    <cellStyle name="20% - Accent2 5 2 3 4 6" xfId="2320" xr:uid="{00000000-0005-0000-0000-00000C090000}"/>
    <cellStyle name="20% - Accent2 5 2 3 4 6 2" xfId="2321" xr:uid="{00000000-0005-0000-0000-00000D090000}"/>
    <cellStyle name="20% - Accent2 5 2 3 4 6 2 2" xfId="2322" xr:uid="{00000000-0005-0000-0000-00000E090000}"/>
    <cellStyle name="20% - Accent2 5 2 3 4 6 3" xfId="2323" xr:uid="{00000000-0005-0000-0000-00000F090000}"/>
    <cellStyle name="20% - Accent2 5 2 3 4 7" xfId="2324" xr:uid="{00000000-0005-0000-0000-000010090000}"/>
    <cellStyle name="20% - Accent2 5 2 3 4 7 2" xfId="2325" xr:uid="{00000000-0005-0000-0000-000011090000}"/>
    <cellStyle name="20% - Accent2 5 2 3 4 8" xfId="2326" xr:uid="{00000000-0005-0000-0000-000012090000}"/>
    <cellStyle name="20% - Accent2 5 2 3 5" xfId="2327" xr:uid="{00000000-0005-0000-0000-000013090000}"/>
    <cellStyle name="20% - Accent2 5 2 3 5 2" xfId="2328" xr:uid="{00000000-0005-0000-0000-000014090000}"/>
    <cellStyle name="20% - Accent2 5 2 3 5 2 2" xfId="2329" xr:uid="{00000000-0005-0000-0000-000015090000}"/>
    <cellStyle name="20% - Accent2 5 2 3 5 2 2 2" xfId="2330" xr:uid="{00000000-0005-0000-0000-000016090000}"/>
    <cellStyle name="20% - Accent2 5 2 3 5 2 2 2 2" xfId="2331" xr:uid="{00000000-0005-0000-0000-000017090000}"/>
    <cellStyle name="20% - Accent2 5 2 3 5 2 2 3" xfId="2332" xr:uid="{00000000-0005-0000-0000-000018090000}"/>
    <cellStyle name="20% - Accent2 5 2 3 5 2 3" xfId="2333" xr:uid="{00000000-0005-0000-0000-000019090000}"/>
    <cellStyle name="20% - Accent2 5 2 3 5 2 3 2" xfId="2334" xr:uid="{00000000-0005-0000-0000-00001A090000}"/>
    <cellStyle name="20% - Accent2 5 2 3 5 2 4" xfId="2335" xr:uid="{00000000-0005-0000-0000-00001B090000}"/>
    <cellStyle name="20% - Accent2 5 2 3 5 3" xfId="2336" xr:uid="{00000000-0005-0000-0000-00001C090000}"/>
    <cellStyle name="20% - Accent2 5 2 3 5 3 2" xfId="2337" xr:uid="{00000000-0005-0000-0000-00001D090000}"/>
    <cellStyle name="20% - Accent2 5 2 3 5 3 2 2" xfId="2338" xr:uid="{00000000-0005-0000-0000-00001E090000}"/>
    <cellStyle name="20% - Accent2 5 2 3 5 3 3" xfId="2339" xr:uid="{00000000-0005-0000-0000-00001F090000}"/>
    <cellStyle name="20% - Accent2 5 2 3 5 4" xfId="2340" xr:uid="{00000000-0005-0000-0000-000020090000}"/>
    <cellStyle name="20% - Accent2 5 2 3 5 4 2" xfId="2341" xr:uid="{00000000-0005-0000-0000-000021090000}"/>
    <cellStyle name="20% - Accent2 5 2 3 5 5" xfId="2342" xr:uid="{00000000-0005-0000-0000-000022090000}"/>
    <cellStyle name="20% - Accent2 5 2 3 6" xfId="2343" xr:uid="{00000000-0005-0000-0000-000023090000}"/>
    <cellStyle name="20% - Accent2 5 2 3 6 2" xfId="2344" xr:uid="{00000000-0005-0000-0000-000024090000}"/>
    <cellStyle name="20% - Accent2 5 2 3 6 2 2" xfId="2345" xr:uid="{00000000-0005-0000-0000-000025090000}"/>
    <cellStyle name="20% - Accent2 5 2 3 6 2 2 2" xfId="2346" xr:uid="{00000000-0005-0000-0000-000026090000}"/>
    <cellStyle name="20% - Accent2 5 2 3 6 2 2 2 2" xfId="2347" xr:uid="{00000000-0005-0000-0000-000027090000}"/>
    <cellStyle name="20% - Accent2 5 2 3 6 2 2 3" xfId="2348" xr:uid="{00000000-0005-0000-0000-000028090000}"/>
    <cellStyle name="20% - Accent2 5 2 3 6 2 3" xfId="2349" xr:uid="{00000000-0005-0000-0000-000029090000}"/>
    <cellStyle name="20% - Accent2 5 2 3 6 2 3 2" xfId="2350" xr:uid="{00000000-0005-0000-0000-00002A090000}"/>
    <cellStyle name="20% - Accent2 5 2 3 6 2 4" xfId="2351" xr:uid="{00000000-0005-0000-0000-00002B090000}"/>
    <cellStyle name="20% - Accent2 5 2 3 6 3" xfId="2352" xr:uid="{00000000-0005-0000-0000-00002C090000}"/>
    <cellStyle name="20% - Accent2 5 2 3 6 3 2" xfId="2353" xr:uid="{00000000-0005-0000-0000-00002D090000}"/>
    <cellStyle name="20% - Accent2 5 2 3 6 3 2 2" xfId="2354" xr:uid="{00000000-0005-0000-0000-00002E090000}"/>
    <cellStyle name="20% - Accent2 5 2 3 6 3 3" xfId="2355" xr:uid="{00000000-0005-0000-0000-00002F090000}"/>
    <cellStyle name="20% - Accent2 5 2 3 6 4" xfId="2356" xr:uid="{00000000-0005-0000-0000-000030090000}"/>
    <cellStyle name="20% - Accent2 5 2 3 6 4 2" xfId="2357" xr:uid="{00000000-0005-0000-0000-000031090000}"/>
    <cellStyle name="20% - Accent2 5 2 3 6 5" xfId="2358" xr:uid="{00000000-0005-0000-0000-000032090000}"/>
    <cellStyle name="20% - Accent2 5 2 3 7" xfId="2359" xr:uid="{00000000-0005-0000-0000-000033090000}"/>
    <cellStyle name="20% - Accent2 5 2 3 7 2" xfId="2360" xr:uid="{00000000-0005-0000-0000-000034090000}"/>
    <cellStyle name="20% - Accent2 5 2 3 7 2 2" xfId="2361" xr:uid="{00000000-0005-0000-0000-000035090000}"/>
    <cellStyle name="20% - Accent2 5 2 3 7 2 2 2" xfId="2362" xr:uid="{00000000-0005-0000-0000-000036090000}"/>
    <cellStyle name="20% - Accent2 5 2 3 7 2 3" xfId="2363" xr:uid="{00000000-0005-0000-0000-000037090000}"/>
    <cellStyle name="20% - Accent2 5 2 3 7 3" xfId="2364" xr:uid="{00000000-0005-0000-0000-000038090000}"/>
    <cellStyle name="20% - Accent2 5 2 3 7 3 2" xfId="2365" xr:uid="{00000000-0005-0000-0000-000039090000}"/>
    <cellStyle name="20% - Accent2 5 2 3 7 4" xfId="2366" xr:uid="{00000000-0005-0000-0000-00003A090000}"/>
    <cellStyle name="20% - Accent2 5 2 3 8" xfId="2367" xr:uid="{00000000-0005-0000-0000-00003B090000}"/>
    <cellStyle name="20% - Accent2 5 2 3 8 2" xfId="2368" xr:uid="{00000000-0005-0000-0000-00003C090000}"/>
    <cellStyle name="20% - Accent2 5 2 3 8 2 2" xfId="2369" xr:uid="{00000000-0005-0000-0000-00003D090000}"/>
    <cellStyle name="20% - Accent2 5 2 3 8 2 2 2" xfId="2370" xr:uid="{00000000-0005-0000-0000-00003E090000}"/>
    <cellStyle name="20% - Accent2 5 2 3 8 2 3" xfId="2371" xr:uid="{00000000-0005-0000-0000-00003F090000}"/>
    <cellStyle name="20% - Accent2 5 2 3 8 3" xfId="2372" xr:uid="{00000000-0005-0000-0000-000040090000}"/>
    <cellStyle name="20% - Accent2 5 2 3 8 3 2" xfId="2373" xr:uid="{00000000-0005-0000-0000-000041090000}"/>
    <cellStyle name="20% - Accent2 5 2 3 8 4" xfId="2374" xr:uid="{00000000-0005-0000-0000-000042090000}"/>
    <cellStyle name="20% - Accent2 5 2 3 9" xfId="2375" xr:uid="{00000000-0005-0000-0000-000043090000}"/>
    <cellStyle name="20% - Accent2 5 2 3 9 2" xfId="2376" xr:uid="{00000000-0005-0000-0000-000044090000}"/>
    <cellStyle name="20% - Accent2 5 2 3 9 2 2" xfId="2377" xr:uid="{00000000-0005-0000-0000-000045090000}"/>
    <cellStyle name="20% - Accent2 5 2 3 9 3" xfId="2378" xr:uid="{00000000-0005-0000-0000-000046090000}"/>
    <cellStyle name="20% - Accent2 5 2 4" xfId="2379" xr:uid="{00000000-0005-0000-0000-000047090000}"/>
    <cellStyle name="20% - Accent2 5 2 4 10" xfId="2380" xr:uid="{00000000-0005-0000-0000-000048090000}"/>
    <cellStyle name="20% - Accent2 5 2 4 10 2" xfId="2381" xr:uid="{00000000-0005-0000-0000-000049090000}"/>
    <cellStyle name="20% - Accent2 5 2 4 10 2 2" xfId="2382" xr:uid="{00000000-0005-0000-0000-00004A090000}"/>
    <cellStyle name="20% - Accent2 5 2 4 10 3" xfId="2383" xr:uid="{00000000-0005-0000-0000-00004B090000}"/>
    <cellStyle name="20% - Accent2 5 2 4 11" xfId="2384" xr:uid="{00000000-0005-0000-0000-00004C090000}"/>
    <cellStyle name="20% - Accent2 5 2 4 11 2" xfId="2385" xr:uid="{00000000-0005-0000-0000-00004D090000}"/>
    <cellStyle name="20% - Accent2 5 2 4 11 2 2" xfId="2386" xr:uid="{00000000-0005-0000-0000-00004E090000}"/>
    <cellStyle name="20% - Accent2 5 2 4 11 3" xfId="2387" xr:uid="{00000000-0005-0000-0000-00004F090000}"/>
    <cellStyle name="20% - Accent2 5 2 4 12" xfId="2388" xr:uid="{00000000-0005-0000-0000-000050090000}"/>
    <cellStyle name="20% - Accent2 5 2 4 12 2" xfId="2389" xr:uid="{00000000-0005-0000-0000-000051090000}"/>
    <cellStyle name="20% - Accent2 5 2 4 12 2 2" xfId="2390" xr:uid="{00000000-0005-0000-0000-000052090000}"/>
    <cellStyle name="20% - Accent2 5 2 4 12 3" xfId="2391" xr:uid="{00000000-0005-0000-0000-000053090000}"/>
    <cellStyle name="20% - Accent2 5 2 4 13" xfId="2392" xr:uid="{00000000-0005-0000-0000-000054090000}"/>
    <cellStyle name="20% - Accent2 5 2 4 13 2" xfId="2393" xr:uid="{00000000-0005-0000-0000-000055090000}"/>
    <cellStyle name="20% - Accent2 5 2 4 14" xfId="2394" xr:uid="{00000000-0005-0000-0000-000056090000}"/>
    <cellStyle name="20% - Accent2 5 2 4 2" xfId="2395" xr:uid="{00000000-0005-0000-0000-000057090000}"/>
    <cellStyle name="20% - Accent2 5 2 4 2 2" xfId="2396" xr:uid="{00000000-0005-0000-0000-000058090000}"/>
    <cellStyle name="20% - Accent2 5 2 4 2 2 2" xfId="2397" xr:uid="{00000000-0005-0000-0000-000059090000}"/>
    <cellStyle name="20% - Accent2 5 2 4 2 2 2 2" xfId="2398" xr:uid="{00000000-0005-0000-0000-00005A090000}"/>
    <cellStyle name="20% - Accent2 5 2 4 2 2 2 2 2" xfId="2399" xr:uid="{00000000-0005-0000-0000-00005B090000}"/>
    <cellStyle name="20% - Accent2 5 2 4 2 2 2 3" xfId="2400" xr:uid="{00000000-0005-0000-0000-00005C090000}"/>
    <cellStyle name="20% - Accent2 5 2 4 2 2 3" xfId="2401" xr:uid="{00000000-0005-0000-0000-00005D090000}"/>
    <cellStyle name="20% - Accent2 5 2 4 2 2 3 2" xfId="2402" xr:uid="{00000000-0005-0000-0000-00005E090000}"/>
    <cellStyle name="20% - Accent2 5 2 4 2 2 4" xfId="2403" xr:uid="{00000000-0005-0000-0000-00005F090000}"/>
    <cellStyle name="20% - Accent2 5 2 4 2 3" xfId="2404" xr:uid="{00000000-0005-0000-0000-000060090000}"/>
    <cellStyle name="20% - Accent2 5 2 4 2 3 2" xfId="2405" xr:uid="{00000000-0005-0000-0000-000061090000}"/>
    <cellStyle name="20% - Accent2 5 2 4 2 3 2 2" xfId="2406" xr:uid="{00000000-0005-0000-0000-000062090000}"/>
    <cellStyle name="20% - Accent2 5 2 4 2 3 3" xfId="2407" xr:uid="{00000000-0005-0000-0000-000063090000}"/>
    <cellStyle name="20% - Accent2 5 2 4 2 4" xfId="2408" xr:uid="{00000000-0005-0000-0000-000064090000}"/>
    <cellStyle name="20% - Accent2 5 2 4 2 4 2" xfId="2409" xr:uid="{00000000-0005-0000-0000-000065090000}"/>
    <cellStyle name="20% - Accent2 5 2 4 2 4 2 2" xfId="2410" xr:uid="{00000000-0005-0000-0000-000066090000}"/>
    <cellStyle name="20% - Accent2 5 2 4 2 4 3" xfId="2411" xr:uid="{00000000-0005-0000-0000-000067090000}"/>
    <cellStyle name="20% - Accent2 5 2 4 2 5" xfId="2412" xr:uid="{00000000-0005-0000-0000-000068090000}"/>
    <cellStyle name="20% - Accent2 5 2 4 2 5 2" xfId="2413" xr:uid="{00000000-0005-0000-0000-000069090000}"/>
    <cellStyle name="20% - Accent2 5 2 4 2 5 2 2" xfId="2414" xr:uid="{00000000-0005-0000-0000-00006A090000}"/>
    <cellStyle name="20% - Accent2 5 2 4 2 5 3" xfId="2415" xr:uid="{00000000-0005-0000-0000-00006B090000}"/>
    <cellStyle name="20% - Accent2 5 2 4 2 6" xfId="2416" xr:uid="{00000000-0005-0000-0000-00006C090000}"/>
    <cellStyle name="20% - Accent2 5 2 4 2 6 2" xfId="2417" xr:uid="{00000000-0005-0000-0000-00006D090000}"/>
    <cellStyle name="20% - Accent2 5 2 4 2 6 2 2" xfId="2418" xr:uid="{00000000-0005-0000-0000-00006E090000}"/>
    <cellStyle name="20% - Accent2 5 2 4 2 6 3" xfId="2419" xr:uid="{00000000-0005-0000-0000-00006F090000}"/>
    <cellStyle name="20% - Accent2 5 2 4 2 7" xfId="2420" xr:uid="{00000000-0005-0000-0000-000070090000}"/>
    <cellStyle name="20% - Accent2 5 2 4 2 7 2" xfId="2421" xr:uid="{00000000-0005-0000-0000-000071090000}"/>
    <cellStyle name="20% - Accent2 5 2 4 2 8" xfId="2422" xr:uid="{00000000-0005-0000-0000-000072090000}"/>
    <cellStyle name="20% - Accent2 5 2 4 3" xfId="2423" xr:uid="{00000000-0005-0000-0000-000073090000}"/>
    <cellStyle name="20% - Accent2 5 2 4 3 2" xfId="2424" xr:uid="{00000000-0005-0000-0000-000074090000}"/>
    <cellStyle name="20% - Accent2 5 2 4 3 2 2" xfId="2425" xr:uid="{00000000-0005-0000-0000-000075090000}"/>
    <cellStyle name="20% - Accent2 5 2 4 3 2 2 2" xfId="2426" xr:uid="{00000000-0005-0000-0000-000076090000}"/>
    <cellStyle name="20% - Accent2 5 2 4 3 2 2 2 2" xfId="2427" xr:uid="{00000000-0005-0000-0000-000077090000}"/>
    <cellStyle name="20% - Accent2 5 2 4 3 2 2 3" xfId="2428" xr:uid="{00000000-0005-0000-0000-000078090000}"/>
    <cellStyle name="20% - Accent2 5 2 4 3 2 3" xfId="2429" xr:uid="{00000000-0005-0000-0000-000079090000}"/>
    <cellStyle name="20% - Accent2 5 2 4 3 2 3 2" xfId="2430" xr:uid="{00000000-0005-0000-0000-00007A090000}"/>
    <cellStyle name="20% - Accent2 5 2 4 3 2 4" xfId="2431" xr:uid="{00000000-0005-0000-0000-00007B090000}"/>
    <cellStyle name="20% - Accent2 5 2 4 3 3" xfId="2432" xr:uid="{00000000-0005-0000-0000-00007C090000}"/>
    <cellStyle name="20% - Accent2 5 2 4 3 3 2" xfId="2433" xr:uid="{00000000-0005-0000-0000-00007D090000}"/>
    <cellStyle name="20% - Accent2 5 2 4 3 3 2 2" xfId="2434" xr:uid="{00000000-0005-0000-0000-00007E090000}"/>
    <cellStyle name="20% - Accent2 5 2 4 3 3 3" xfId="2435" xr:uid="{00000000-0005-0000-0000-00007F090000}"/>
    <cellStyle name="20% - Accent2 5 2 4 3 4" xfId="2436" xr:uid="{00000000-0005-0000-0000-000080090000}"/>
    <cellStyle name="20% - Accent2 5 2 4 3 4 2" xfId="2437" xr:uid="{00000000-0005-0000-0000-000081090000}"/>
    <cellStyle name="20% - Accent2 5 2 4 3 4 2 2" xfId="2438" xr:uid="{00000000-0005-0000-0000-000082090000}"/>
    <cellStyle name="20% - Accent2 5 2 4 3 4 3" xfId="2439" xr:uid="{00000000-0005-0000-0000-000083090000}"/>
    <cellStyle name="20% - Accent2 5 2 4 3 5" xfId="2440" xr:uid="{00000000-0005-0000-0000-000084090000}"/>
    <cellStyle name="20% - Accent2 5 2 4 3 5 2" xfId="2441" xr:uid="{00000000-0005-0000-0000-000085090000}"/>
    <cellStyle name="20% - Accent2 5 2 4 3 5 2 2" xfId="2442" xr:uid="{00000000-0005-0000-0000-000086090000}"/>
    <cellStyle name="20% - Accent2 5 2 4 3 5 3" xfId="2443" xr:uid="{00000000-0005-0000-0000-000087090000}"/>
    <cellStyle name="20% - Accent2 5 2 4 3 6" xfId="2444" xr:uid="{00000000-0005-0000-0000-000088090000}"/>
    <cellStyle name="20% - Accent2 5 2 4 3 6 2" xfId="2445" xr:uid="{00000000-0005-0000-0000-000089090000}"/>
    <cellStyle name="20% - Accent2 5 2 4 3 6 2 2" xfId="2446" xr:uid="{00000000-0005-0000-0000-00008A090000}"/>
    <cellStyle name="20% - Accent2 5 2 4 3 6 3" xfId="2447" xr:uid="{00000000-0005-0000-0000-00008B090000}"/>
    <cellStyle name="20% - Accent2 5 2 4 3 7" xfId="2448" xr:uid="{00000000-0005-0000-0000-00008C090000}"/>
    <cellStyle name="20% - Accent2 5 2 4 3 7 2" xfId="2449" xr:uid="{00000000-0005-0000-0000-00008D090000}"/>
    <cellStyle name="20% - Accent2 5 2 4 3 8" xfId="2450" xr:uid="{00000000-0005-0000-0000-00008E090000}"/>
    <cellStyle name="20% - Accent2 5 2 4 4" xfId="2451" xr:uid="{00000000-0005-0000-0000-00008F090000}"/>
    <cellStyle name="20% - Accent2 5 2 4 4 2" xfId="2452" xr:uid="{00000000-0005-0000-0000-000090090000}"/>
    <cellStyle name="20% - Accent2 5 2 4 4 2 2" xfId="2453" xr:uid="{00000000-0005-0000-0000-000091090000}"/>
    <cellStyle name="20% - Accent2 5 2 4 4 2 2 2" xfId="2454" xr:uid="{00000000-0005-0000-0000-000092090000}"/>
    <cellStyle name="20% - Accent2 5 2 4 4 2 2 2 2" xfId="2455" xr:uid="{00000000-0005-0000-0000-000093090000}"/>
    <cellStyle name="20% - Accent2 5 2 4 4 2 2 3" xfId="2456" xr:uid="{00000000-0005-0000-0000-000094090000}"/>
    <cellStyle name="20% - Accent2 5 2 4 4 2 3" xfId="2457" xr:uid="{00000000-0005-0000-0000-000095090000}"/>
    <cellStyle name="20% - Accent2 5 2 4 4 2 3 2" xfId="2458" xr:uid="{00000000-0005-0000-0000-000096090000}"/>
    <cellStyle name="20% - Accent2 5 2 4 4 2 4" xfId="2459" xr:uid="{00000000-0005-0000-0000-000097090000}"/>
    <cellStyle name="20% - Accent2 5 2 4 4 3" xfId="2460" xr:uid="{00000000-0005-0000-0000-000098090000}"/>
    <cellStyle name="20% - Accent2 5 2 4 4 3 2" xfId="2461" xr:uid="{00000000-0005-0000-0000-000099090000}"/>
    <cellStyle name="20% - Accent2 5 2 4 4 3 2 2" xfId="2462" xr:uid="{00000000-0005-0000-0000-00009A090000}"/>
    <cellStyle name="20% - Accent2 5 2 4 4 3 3" xfId="2463" xr:uid="{00000000-0005-0000-0000-00009B090000}"/>
    <cellStyle name="20% - Accent2 5 2 4 4 4" xfId="2464" xr:uid="{00000000-0005-0000-0000-00009C090000}"/>
    <cellStyle name="20% - Accent2 5 2 4 4 4 2" xfId="2465" xr:uid="{00000000-0005-0000-0000-00009D090000}"/>
    <cellStyle name="20% - Accent2 5 2 4 4 4 2 2" xfId="2466" xr:uid="{00000000-0005-0000-0000-00009E090000}"/>
    <cellStyle name="20% - Accent2 5 2 4 4 4 3" xfId="2467" xr:uid="{00000000-0005-0000-0000-00009F090000}"/>
    <cellStyle name="20% - Accent2 5 2 4 4 5" xfId="2468" xr:uid="{00000000-0005-0000-0000-0000A0090000}"/>
    <cellStyle name="20% - Accent2 5 2 4 4 5 2" xfId="2469" xr:uid="{00000000-0005-0000-0000-0000A1090000}"/>
    <cellStyle name="20% - Accent2 5 2 4 4 5 2 2" xfId="2470" xr:uid="{00000000-0005-0000-0000-0000A2090000}"/>
    <cellStyle name="20% - Accent2 5 2 4 4 5 3" xfId="2471" xr:uid="{00000000-0005-0000-0000-0000A3090000}"/>
    <cellStyle name="20% - Accent2 5 2 4 4 6" xfId="2472" xr:uid="{00000000-0005-0000-0000-0000A4090000}"/>
    <cellStyle name="20% - Accent2 5 2 4 4 6 2" xfId="2473" xr:uid="{00000000-0005-0000-0000-0000A5090000}"/>
    <cellStyle name="20% - Accent2 5 2 4 4 6 2 2" xfId="2474" xr:uid="{00000000-0005-0000-0000-0000A6090000}"/>
    <cellStyle name="20% - Accent2 5 2 4 4 6 3" xfId="2475" xr:uid="{00000000-0005-0000-0000-0000A7090000}"/>
    <cellStyle name="20% - Accent2 5 2 4 4 7" xfId="2476" xr:uid="{00000000-0005-0000-0000-0000A8090000}"/>
    <cellStyle name="20% - Accent2 5 2 4 4 7 2" xfId="2477" xr:uid="{00000000-0005-0000-0000-0000A9090000}"/>
    <cellStyle name="20% - Accent2 5 2 4 4 8" xfId="2478" xr:uid="{00000000-0005-0000-0000-0000AA090000}"/>
    <cellStyle name="20% - Accent2 5 2 4 5" xfId="2479" xr:uid="{00000000-0005-0000-0000-0000AB090000}"/>
    <cellStyle name="20% - Accent2 5 2 4 5 2" xfId="2480" xr:uid="{00000000-0005-0000-0000-0000AC090000}"/>
    <cellStyle name="20% - Accent2 5 2 4 5 2 2" xfId="2481" xr:uid="{00000000-0005-0000-0000-0000AD090000}"/>
    <cellStyle name="20% - Accent2 5 2 4 5 2 2 2" xfId="2482" xr:uid="{00000000-0005-0000-0000-0000AE090000}"/>
    <cellStyle name="20% - Accent2 5 2 4 5 2 2 2 2" xfId="2483" xr:uid="{00000000-0005-0000-0000-0000AF090000}"/>
    <cellStyle name="20% - Accent2 5 2 4 5 2 2 3" xfId="2484" xr:uid="{00000000-0005-0000-0000-0000B0090000}"/>
    <cellStyle name="20% - Accent2 5 2 4 5 2 3" xfId="2485" xr:uid="{00000000-0005-0000-0000-0000B1090000}"/>
    <cellStyle name="20% - Accent2 5 2 4 5 2 3 2" xfId="2486" xr:uid="{00000000-0005-0000-0000-0000B2090000}"/>
    <cellStyle name="20% - Accent2 5 2 4 5 2 4" xfId="2487" xr:uid="{00000000-0005-0000-0000-0000B3090000}"/>
    <cellStyle name="20% - Accent2 5 2 4 5 3" xfId="2488" xr:uid="{00000000-0005-0000-0000-0000B4090000}"/>
    <cellStyle name="20% - Accent2 5 2 4 5 3 2" xfId="2489" xr:uid="{00000000-0005-0000-0000-0000B5090000}"/>
    <cellStyle name="20% - Accent2 5 2 4 5 3 2 2" xfId="2490" xr:uid="{00000000-0005-0000-0000-0000B6090000}"/>
    <cellStyle name="20% - Accent2 5 2 4 5 3 3" xfId="2491" xr:uid="{00000000-0005-0000-0000-0000B7090000}"/>
    <cellStyle name="20% - Accent2 5 2 4 5 4" xfId="2492" xr:uid="{00000000-0005-0000-0000-0000B8090000}"/>
    <cellStyle name="20% - Accent2 5 2 4 5 4 2" xfId="2493" xr:uid="{00000000-0005-0000-0000-0000B9090000}"/>
    <cellStyle name="20% - Accent2 5 2 4 5 5" xfId="2494" xr:uid="{00000000-0005-0000-0000-0000BA090000}"/>
    <cellStyle name="20% - Accent2 5 2 4 6" xfId="2495" xr:uid="{00000000-0005-0000-0000-0000BB090000}"/>
    <cellStyle name="20% - Accent2 5 2 4 6 2" xfId="2496" xr:uid="{00000000-0005-0000-0000-0000BC090000}"/>
    <cellStyle name="20% - Accent2 5 2 4 6 2 2" xfId="2497" xr:uid="{00000000-0005-0000-0000-0000BD090000}"/>
    <cellStyle name="20% - Accent2 5 2 4 6 2 2 2" xfId="2498" xr:uid="{00000000-0005-0000-0000-0000BE090000}"/>
    <cellStyle name="20% - Accent2 5 2 4 6 2 2 2 2" xfId="2499" xr:uid="{00000000-0005-0000-0000-0000BF090000}"/>
    <cellStyle name="20% - Accent2 5 2 4 6 2 2 3" xfId="2500" xr:uid="{00000000-0005-0000-0000-0000C0090000}"/>
    <cellStyle name="20% - Accent2 5 2 4 6 2 3" xfId="2501" xr:uid="{00000000-0005-0000-0000-0000C1090000}"/>
    <cellStyle name="20% - Accent2 5 2 4 6 2 3 2" xfId="2502" xr:uid="{00000000-0005-0000-0000-0000C2090000}"/>
    <cellStyle name="20% - Accent2 5 2 4 6 2 4" xfId="2503" xr:uid="{00000000-0005-0000-0000-0000C3090000}"/>
    <cellStyle name="20% - Accent2 5 2 4 6 3" xfId="2504" xr:uid="{00000000-0005-0000-0000-0000C4090000}"/>
    <cellStyle name="20% - Accent2 5 2 4 6 3 2" xfId="2505" xr:uid="{00000000-0005-0000-0000-0000C5090000}"/>
    <cellStyle name="20% - Accent2 5 2 4 6 3 2 2" xfId="2506" xr:uid="{00000000-0005-0000-0000-0000C6090000}"/>
    <cellStyle name="20% - Accent2 5 2 4 6 3 3" xfId="2507" xr:uid="{00000000-0005-0000-0000-0000C7090000}"/>
    <cellStyle name="20% - Accent2 5 2 4 6 4" xfId="2508" xr:uid="{00000000-0005-0000-0000-0000C8090000}"/>
    <cellStyle name="20% - Accent2 5 2 4 6 4 2" xfId="2509" xr:uid="{00000000-0005-0000-0000-0000C9090000}"/>
    <cellStyle name="20% - Accent2 5 2 4 6 5" xfId="2510" xr:uid="{00000000-0005-0000-0000-0000CA090000}"/>
    <cellStyle name="20% - Accent2 5 2 4 7" xfId="2511" xr:uid="{00000000-0005-0000-0000-0000CB090000}"/>
    <cellStyle name="20% - Accent2 5 2 4 7 2" xfId="2512" xr:uid="{00000000-0005-0000-0000-0000CC090000}"/>
    <cellStyle name="20% - Accent2 5 2 4 7 2 2" xfId="2513" xr:uid="{00000000-0005-0000-0000-0000CD090000}"/>
    <cellStyle name="20% - Accent2 5 2 4 7 2 2 2" xfId="2514" xr:uid="{00000000-0005-0000-0000-0000CE090000}"/>
    <cellStyle name="20% - Accent2 5 2 4 7 2 3" xfId="2515" xr:uid="{00000000-0005-0000-0000-0000CF090000}"/>
    <cellStyle name="20% - Accent2 5 2 4 7 3" xfId="2516" xr:uid="{00000000-0005-0000-0000-0000D0090000}"/>
    <cellStyle name="20% - Accent2 5 2 4 7 3 2" xfId="2517" xr:uid="{00000000-0005-0000-0000-0000D1090000}"/>
    <cellStyle name="20% - Accent2 5 2 4 7 4" xfId="2518" xr:uid="{00000000-0005-0000-0000-0000D2090000}"/>
    <cellStyle name="20% - Accent2 5 2 4 8" xfId="2519" xr:uid="{00000000-0005-0000-0000-0000D3090000}"/>
    <cellStyle name="20% - Accent2 5 2 4 8 2" xfId="2520" xr:uid="{00000000-0005-0000-0000-0000D4090000}"/>
    <cellStyle name="20% - Accent2 5 2 4 8 2 2" xfId="2521" xr:uid="{00000000-0005-0000-0000-0000D5090000}"/>
    <cellStyle name="20% - Accent2 5 2 4 8 2 2 2" xfId="2522" xr:uid="{00000000-0005-0000-0000-0000D6090000}"/>
    <cellStyle name="20% - Accent2 5 2 4 8 2 3" xfId="2523" xr:uid="{00000000-0005-0000-0000-0000D7090000}"/>
    <cellStyle name="20% - Accent2 5 2 4 8 3" xfId="2524" xr:uid="{00000000-0005-0000-0000-0000D8090000}"/>
    <cellStyle name="20% - Accent2 5 2 4 8 3 2" xfId="2525" xr:uid="{00000000-0005-0000-0000-0000D9090000}"/>
    <cellStyle name="20% - Accent2 5 2 4 8 4" xfId="2526" xr:uid="{00000000-0005-0000-0000-0000DA090000}"/>
    <cellStyle name="20% - Accent2 5 2 4 9" xfId="2527" xr:uid="{00000000-0005-0000-0000-0000DB090000}"/>
    <cellStyle name="20% - Accent2 5 2 4 9 2" xfId="2528" xr:uid="{00000000-0005-0000-0000-0000DC090000}"/>
    <cellStyle name="20% - Accent2 5 2 4 9 2 2" xfId="2529" xr:uid="{00000000-0005-0000-0000-0000DD090000}"/>
    <cellStyle name="20% - Accent2 5 2 4 9 3" xfId="2530" xr:uid="{00000000-0005-0000-0000-0000DE090000}"/>
    <cellStyle name="20% - Accent2 5 2 5" xfId="2531" xr:uid="{00000000-0005-0000-0000-0000DF090000}"/>
    <cellStyle name="20% - Accent2 5 2 5 10" xfId="2532" xr:uid="{00000000-0005-0000-0000-0000E0090000}"/>
    <cellStyle name="20% - Accent2 5 2 5 10 2" xfId="2533" xr:uid="{00000000-0005-0000-0000-0000E1090000}"/>
    <cellStyle name="20% - Accent2 5 2 5 10 2 2" xfId="2534" xr:uid="{00000000-0005-0000-0000-0000E2090000}"/>
    <cellStyle name="20% - Accent2 5 2 5 10 3" xfId="2535" xr:uid="{00000000-0005-0000-0000-0000E3090000}"/>
    <cellStyle name="20% - Accent2 5 2 5 11" xfId="2536" xr:uid="{00000000-0005-0000-0000-0000E4090000}"/>
    <cellStyle name="20% - Accent2 5 2 5 11 2" xfId="2537" xr:uid="{00000000-0005-0000-0000-0000E5090000}"/>
    <cellStyle name="20% - Accent2 5 2 5 11 2 2" xfId="2538" xr:uid="{00000000-0005-0000-0000-0000E6090000}"/>
    <cellStyle name="20% - Accent2 5 2 5 11 3" xfId="2539" xr:uid="{00000000-0005-0000-0000-0000E7090000}"/>
    <cellStyle name="20% - Accent2 5 2 5 12" xfId="2540" xr:uid="{00000000-0005-0000-0000-0000E8090000}"/>
    <cellStyle name="20% - Accent2 5 2 5 12 2" xfId="2541" xr:uid="{00000000-0005-0000-0000-0000E9090000}"/>
    <cellStyle name="20% - Accent2 5 2 5 12 2 2" xfId="2542" xr:uid="{00000000-0005-0000-0000-0000EA090000}"/>
    <cellStyle name="20% - Accent2 5 2 5 12 3" xfId="2543" xr:uid="{00000000-0005-0000-0000-0000EB090000}"/>
    <cellStyle name="20% - Accent2 5 2 5 13" xfId="2544" xr:uid="{00000000-0005-0000-0000-0000EC090000}"/>
    <cellStyle name="20% - Accent2 5 2 5 13 2" xfId="2545" xr:uid="{00000000-0005-0000-0000-0000ED090000}"/>
    <cellStyle name="20% - Accent2 5 2 5 14" xfId="2546" xr:uid="{00000000-0005-0000-0000-0000EE090000}"/>
    <cellStyle name="20% - Accent2 5 2 5 2" xfId="2547" xr:uid="{00000000-0005-0000-0000-0000EF090000}"/>
    <cellStyle name="20% - Accent2 5 2 5 2 2" xfId="2548" xr:uid="{00000000-0005-0000-0000-0000F0090000}"/>
    <cellStyle name="20% - Accent2 5 2 5 2 2 2" xfId="2549" xr:uid="{00000000-0005-0000-0000-0000F1090000}"/>
    <cellStyle name="20% - Accent2 5 2 5 2 2 2 2" xfId="2550" xr:uid="{00000000-0005-0000-0000-0000F2090000}"/>
    <cellStyle name="20% - Accent2 5 2 5 2 2 2 2 2" xfId="2551" xr:uid="{00000000-0005-0000-0000-0000F3090000}"/>
    <cellStyle name="20% - Accent2 5 2 5 2 2 2 3" xfId="2552" xr:uid="{00000000-0005-0000-0000-0000F4090000}"/>
    <cellStyle name="20% - Accent2 5 2 5 2 2 3" xfId="2553" xr:uid="{00000000-0005-0000-0000-0000F5090000}"/>
    <cellStyle name="20% - Accent2 5 2 5 2 2 3 2" xfId="2554" xr:uid="{00000000-0005-0000-0000-0000F6090000}"/>
    <cellStyle name="20% - Accent2 5 2 5 2 2 4" xfId="2555" xr:uid="{00000000-0005-0000-0000-0000F7090000}"/>
    <cellStyle name="20% - Accent2 5 2 5 2 3" xfId="2556" xr:uid="{00000000-0005-0000-0000-0000F8090000}"/>
    <cellStyle name="20% - Accent2 5 2 5 2 3 2" xfId="2557" xr:uid="{00000000-0005-0000-0000-0000F9090000}"/>
    <cellStyle name="20% - Accent2 5 2 5 2 3 2 2" xfId="2558" xr:uid="{00000000-0005-0000-0000-0000FA090000}"/>
    <cellStyle name="20% - Accent2 5 2 5 2 3 3" xfId="2559" xr:uid="{00000000-0005-0000-0000-0000FB090000}"/>
    <cellStyle name="20% - Accent2 5 2 5 2 4" xfId="2560" xr:uid="{00000000-0005-0000-0000-0000FC090000}"/>
    <cellStyle name="20% - Accent2 5 2 5 2 4 2" xfId="2561" xr:uid="{00000000-0005-0000-0000-0000FD090000}"/>
    <cellStyle name="20% - Accent2 5 2 5 2 4 2 2" xfId="2562" xr:uid="{00000000-0005-0000-0000-0000FE090000}"/>
    <cellStyle name="20% - Accent2 5 2 5 2 4 3" xfId="2563" xr:uid="{00000000-0005-0000-0000-0000FF090000}"/>
    <cellStyle name="20% - Accent2 5 2 5 2 5" xfId="2564" xr:uid="{00000000-0005-0000-0000-0000000A0000}"/>
    <cellStyle name="20% - Accent2 5 2 5 2 5 2" xfId="2565" xr:uid="{00000000-0005-0000-0000-0000010A0000}"/>
    <cellStyle name="20% - Accent2 5 2 5 2 5 2 2" xfId="2566" xr:uid="{00000000-0005-0000-0000-0000020A0000}"/>
    <cellStyle name="20% - Accent2 5 2 5 2 5 3" xfId="2567" xr:uid="{00000000-0005-0000-0000-0000030A0000}"/>
    <cellStyle name="20% - Accent2 5 2 5 2 6" xfId="2568" xr:uid="{00000000-0005-0000-0000-0000040A0000}"/>
    <cellStyle name="20% - Accent2 5 2 5 2 6 2" xfId="2569" xr:uid="{00000000-0005-0000-0000-0000050A0000}"/>
    <cellStyle name="20% - Accent2 5 2 5 2 6 2 2" xfId="2570" xr:uid="{00000000-0005-0000-0000-0000060A0000}"/>
    <cellStyle name="20% - Accent2 5 2 5 2 6 3" xfId="2571" xr:uid="{00000000-0005-0000-0000-0000070A0000}"/>
    <cellStyle name="20% - Accent2 5 2 5 2 7" xfId="2572" xr:uid="{00000000-0005-0000-0000-0000080A0000}"/>
    <cellStyle name="20% - Accent2 5 2 5 2 7 2" xfId="2573" xr:uid="{00000000-0005-0000-0000-0000090A0000}"/>
    <cellStyle name="20% - Accent2 5 2 5 2 8" xfId="2574" xr:uid="{00000000-0005-0000-0000-00000A0A0000}"/>
    <cellStyle name="20% - Accent2 5 2 5 3" xfId="2575" xr:uid="{00000000-0005-0000-0000-00000B0A0000}"/>
    <cellStyle name="20% - Accent2 5 2 5 3 2" xfId="2576" xr:uid="{00000000-0005-0000-0000-00000C0A0000}"/>
    <cellStyle name="20% - Accent2 5 2 5 3 2 2" xfId="2577" xr:uid="{00000000-0005-0000-0000-00000D0A0000}"/>
    <cellStyle name="20% - Accent2 5 2 5 3 2 2 2" xfId="2578" xr:uid="{00000000-0005-0000-0000-00000E0A0000}"/>
    <cellStyle name="20% - Accent2 5 2 5 3 2 2 2 2" xfId="2579" xr:uid="{00000000-0005-0000-0000-00000F0A0000}"/>
    <cellStyle name="20% - Accent2 5 2 5 3 2 2 3" xfId="2580" xr:uid="{00000000-0005-0000-0000-0000100A0000}"/>
    <cellStyle name="20% - Accent2 5 2 5 3 2 3" xfId="2581" xr:uid="{00000000-0005-0000-0000-0000110A0000}"/>
    <cellStyle name="20% - Accent2 5 2 5 3 2 3 2" xfId="2582" xr:uid="{00000000-0005-0000-0000-0000120A0000}"/>
    <cellStyle name="20% - Accent2 5 2 5 3 2 4" xfId="2583" xr:uid="{00000000-0005-0000-0000-0000130A0000}"/>
    <cellStyle name="20% - Accent2 5 2 5 3 3" xfId="2584" xr:uid="{00000000-0005-0000-0000-0000140A0000}"/>
    <cellStyle name="20% - Accent2 5 2 5 3 3 2" xfId="2585" xr:uid="{00000000-0005-0000-0000-0000150A0000}"/>
    <cellStyle name="20% - Accent2 5 2 5 3 3 2 2" xfId="2586" xr:uid="{00000000-0005-0000-0000-0000160A0000}"/>
    <cellStyle name="20% - Accent2 5 2 5 3 3 3" xfId="2587" xr:uid="{00000000-0005-0000-0000-0000170A0000}"/>
    <cellStyle name="20% - Accent2 5 2 5 3 4" xfId="2588" xr:uid="{00000000-0005-0000-0000-0000180A0000}"/>
    <cellStyle name="20% - Accent2 5 2 5 3 4 2" xfId="2589" xr:uid="{00000000-0005-0000-0000-0000190A0000}"/>
    <cellStyle name="20% - Accent2 5 2 5 3 4 2 2" xfId="2590" xr:uid="{00000000-0005-0000-0000-00001A0A0000}"/>
    <cellStyle name="20% - Accent2 5 2 5 3 4 3" xfId="2591" xr:uid="{00000000-0005-0000-0000-00001B0A0000}"/>
    <cellStyle name="20% - Accent2 5 2 5 3 5" xfId="2592" xr:uid="{00000000-0005-0000-0000-00001C0A0000}"/>
    <cellStyle name="20% - Accent2 5 2 5 3 5 2" xfId="2593" xr:uid="{00000000-0005-0000-0000-00001D0A0000}"/>
    <cellStyle name="20% - Accent2 5 2 5 3 5 2 2" xfId="2594" xr:uid="{00000000-0005-0000-0000-00001E0A0000}"/>
    <cellStyle name="20% - Accent2 5 2 5 3 5 3" xfId="2595" xr:uid="{00000000-0005-0000-0000-00001F0A0000}"/>
    <cellStyle name="20% - Accent2 5 2 5 3 6" xfId="2596" xr:uid="{00000000-0005-0000-0000-0000200A0000}"/>
    <cellStyle name="20% - Accent2 5 2 5 3 6 2" xfId="2597" xr:uid="{00000000-0005-0000-0000-0000210A0000}"/>
    <cellStyle name="20% - Accent2 5 2 5 3 6 2 2" xfId="2598" xr:uid="{00000000-0005-0000-0000-0000220A0000}"/>
    <cellStyle name="20% - Accent2 5 2 5 3 6 3" xfId="2599" xr:uid="{00000000-0005-0000-0000-0000230A0000}"/>
    <cellStyle name="20% - Accent2 5 2 5 3 7" xfId="2600" xr:uid="{00000000-0005-0000-0000-0000240A0000}"/>
    <cellStyle name="20% - Accent2 5 2 5 3 7 2" xfId="2601" xr:uid="{00000000-0005-0000-0000-0000250A0000}"/>
    <cellStyle name="20% - Accent2 5 2 5 3 8" xfId="2602" xr:uid="{00000000-0005-0000-0000-0000260A0000}"/>
    <cellStyle name="20% - Accent2 5 2 5 4" xfId="2603" xr:uid="{00000000-0005-0000-0000-0000270A0000}"/>
    <cellStyle name="20% - Accent2 5 2 5 4 2" xfId="2604" xr:uid="{00000000-0005-0000-0000-0000280A0000}"/>
    <cellStyle name="20% - Accent2 5 2 5 4 2 2" xfId="2605" xr:uid="{00000000-0005-0000-0000-0000290A0000}"/>
    <cellStyle name="20% - Accent2 5 2 5 4 2 2 2" xfId="2606" xr:uid="{00000000-0005-0000-0000-00002A0A0000}"/>
    <cellStyle name="20% - Accent2 5 2 5 4 2 2 2 2" xfId="2607" xr:uid="{00000000-0005-0000-0000-00002B0A0000}"/>
    <cellStyle name="20% - Accent2 5 2 5 4 2 2 3" xfId="2608" xr:uid="{00000000-0005-0000-0000-00002C0A0000}"/>
    <cellStyle name="20% - Accent2 5 2 5 4 2 3" xfId="2609" xr:uid="{00000000-0005-0000-0000-00002D0A0000}"/>
    <cellStyle name="20% - Accent2 5 2 5 4 2 3 2" xfId="2610" xr:uid="{00000000-0005-0000-0000-00002E0A0000}"/>
    <cellStyle name="20% - Accent2 5 2 5 4 2 4" xfId="2611" xr:uid="{00000000-0005-0000-0000-00002F0A0000}"/>
    <cellStyle name="20% - Accent2 5 2 5 4 3" xfId="2612" xr:uid="{00000000-0005-0000-0000-0000300A0000}"/>
    <cellStyle name="20% - Accent2 5 2 5 4 3 2" xfId="2613" xr:uid="{00000000-0005-0000-0000-0000310A0000}"/>
    <cellStyle name="20% - Accent2 5 2 5 4 3 2 2" xfId="2614" xr:uid="{00000000-0005-0000-0000-0000320A0000}"/>
    <cellStyle name="20% - Accent2 5 2 5 4 3 3" xfId="2615" xr:uid="{00000000-0005-0000-0000-0000330A0000}"/>
    <cellStyle name="20% - Accent2 5 2 5 4 4" xfId="2616" xr:uid="{00000000-0005-0000-0000-0000340A0000}"/>
    <cellStyle name="20% - Accent2 5 2 5 4 4 2" xfId="2617" xr:uid="{00000000-0005-0000-0000-0000350A0000}"/>
    <cellStyle name="20% - Accent2 5 2 5 4 4 2 2" xfId="2618" xr:uid="{00000000-0005-0000-0000-0000360A0000}"/>
    <cellStyle name="20% - Accent2 5 2 5 4 4 3" xfId="2619" xr:uid="{00000000-0005-0000-0000-0000370A0000}"/>
    <cellStyle name="20% - Accent2 5 2 5 4 5" xfId="2620" xr:uid="{00000000-0005-0000-0000-0000380A0000}"/>
    <cellStyle name="20% - Accent2 5 2 5 4 5 2" xfId="2621" xr:uid="{00000000-0005-0000-0000-0000390A0000}"/>
    <cellStyle name="20% - Accent2 5 2 5 4 5 2 2" xfId="2622" xr:uid="{00000000-0005-0000-0000-00003A0A0000}"/>
    <cellStyle name="20% - Accent2 5 2 5 4 5 3" xfId="2623" xr:uid="{00000000-0005-0000-0000-00003B0A0000}"/>
    <cellStyle name="20% - Accent2 5 2 5 4 6" xfId="2624" xr:uid="{00000000-0005-0000-0000-00003C0A0000}"/>
    <cellStyle name="20% - Accent2 5 2 5 4 6 2" xfId="2625" xr:uid="{00000000-0005-0000-0000-00003D0A0000}"/>
    <cellStyle name="20% - Accent2 5 2 5 4 6 2 2" xfId="2626" xr:uid="{00000000-0005-0000-0000-00003E0A0000}"/>
    <cellStyle name="20% - Accent2 5 2 5 4 6 3" xfId="2627" xr:uid="{00000000-0005-0000-0000-00003F0A0000}"/>
    <cellStyle name="20% - Accent2 5 2 5 4 7" xfId="2628" xr:uid="{00000000-0005-0000-0000-0000400A0000}"/>
    <cellStyle name="20% - Accent2 5 2 5 4 7 2" xfId="2629" xr:uid="{00000000-0005-0000-0000-0000410A0000}"/>
    <cellStyle name="20% - Accent2 5 2 5 4 8" xfId="2630" xr:uid="{00000000-0005-0000-0000-0000420A0000}"/>
    <cellStyle name="20% - Accent2 5 2 5 5" xfId="2631" xr:uid="{00000000-0005-0000-0000-0000430A0000}"/>
    <cellStyle name="20% - Accent2 5 2 5 5 2" xfId="2632" xr:uid="{00000000-0005-0000-0000-0000440A0000}"/>
    <cellStyle name="20% - Accent2 5 2 5 5 2 2" xfId="2633" xr:uid="{00000000-0005-0000-0000-0000450A0000}"/>
    <cellStyle name="20% - Accent2 5 2 5 5 2 2 2" xfId="2634" xr:uid="{00000000-0005-0000-0000-0000460A0000}"/>
    <cellStyle name="20% - Accent2 5 2 5 5 2 2 2 2" xfId="2635" xr:uid="{00000000-0005-0000-0000-0000470A0000}"/>
    <cellStyle name="20% - Accent2 5 2 5 5 2 2 3" xfId="2636" xr:uid="{00000000-0005-0000-0000-0000480A0000}"/>
    <cellStyle name="20% - Accent2 5 2 5 5 2 3" xfId="2637" xr:uid="{00000000-0005-0000-0000-0000490A0000}"/>
    <cellStyle name="20% - Accent2 5 2 5 5 2 3 2" xfId="2638" xr:uid="{00000000-0005-0000-0000-00004A0A0000}"/>
    <cellStyle name="20% - Accent2 5 2 5 5 2 4" xfId="2639" xr:uid="{00000000-0005-0000-0000-00004B0A0000}"/>
    <cellStyle name="20% - Accent2 5 2 5 5 3" xfId="2640" xr:uid="{00000000-0005-0000-0000-00004C0A0000}"/>
    <cellStyle name="20% - Accent2 5 2 5 5 3 2" xfId="2641" xr:uid="{00000000-0005-0000-0000-00004D0A0000}"/>
    <cellStyle name="20% - Accent2 5 2 5 5 3 2 2" xfId="2642" xr:uid="{00000000-0005-0000-0000-00004E0A0000}"/>
    <cellStyle name="20% - Accent2 5 2 5 5 3 3" xfId="2643" xr:uid="{00000000-0005-0000-0000-00004F0A0000}"/>
    <cellStyle name="20% - Accent2 5 2 5 5 4" xfId="2644" xr:uid="{00000000-0005-0000-0000-0000500A0000}"/>
    <cellStyle name="20% - Accent2 5 2 5 5 4 2" xfId="2645" xr:uid="{00000000-0005-0000-0000-0000510A0000}"/>
    <cellStyle name="20% - Accent2 5 2 5 5 5" xfId="2646" xr:uid="{00000000-0005-0000-0000-0000520A0000}"/>
    <cellStyle name="20% - Accent2 5 2 5 6" xfId="2647" xr:uid="{00000000-0005-0000-0000-0000530A0000}"/>
    <cellStyle name="20% - Accent2 5 2 5 6 2" xfId="2648" xr:uid="{00000000-0005-0000-0000-0000540A0000}"/>
    <cellStyle name="20% - Accent2 5 2 5 6 2 2" xfId="2649" xr:uid="{00000000-0005-0000-0000-0000550A0000}"/>
    <cellStyle name="20% - Accent2 5 2 5 6 2 2 2" xfId="2650" xr:uid="{00000000-0005-0000-0000-0000560A0000}"/>
    <cellStyle name="20% - Accent2 5 2 5 6 2 2 2 2" xfId="2651" xr:uid="{00000000-0005-0000-0000-0000570A0000}"/>
    <cellStyle name="20% - Accent2 5 2 5 6 2 2 3" xfId="2652" xr:uid="{00000000-0005-0000-0000-0000580A0000}"/>
    <cellStyle name="20% - Accent2 5 2 5 6 2 3" xfId="2653" xr:uid="{00000000-0005-0000-0000-0000590A0000}"/>
    <cellStyle name="20% - Accent2 5 2 5 6 2 3 2" xfId="2654" xr:uid="{00000000-0005-0000-0000-00005A0A0000}"/>
    <cellStyle name="20% - Accent2 5 2 5 6 2 4" xfId="2655" xr:uid="{00000000-0005-0000-0000-00005B0A0000}"/>
    <cellStyle name="20% - Accent2 5 2 5 6 3" xfId="2656" xr:uid="{00000000-0005-0000-0000-00005C0A0000}"/>
    <cellStyle name="20% - Accent2 5 2 5 6 3 2" xfId="2657" xr:uid="{00000000-0005-0000-0000-00005D0A0000}"/>
    <cellStyle name="20% - Accent2 5 2 5 6 3 2 2" xfId="2658" xr:uid="{00000000-0005-0000-0000-00005E0A0000}"/>
    <cellStyle name="20% - Accent2 5 2 5 6 3 3" xfId="2659" xr:uid="{00000000-0005-0000-0000-00005F0A0000}"/>
    <cellStyle name="20% - Accent2 5 2 5 6 4" xfId="2660" xr:uid="{00000000-0005-0000-0000-0000600A0000}"/>
    <cellStyle name="20% - Accent2 5 2 5 6 4 2" xfId="2661" xr:uid="{00000000-0005-0000-0000-0000610A0000}"/>
    <cellStyle name="20% - Accent2 5 2 5 6 5" xfId="2662" xr:uid="{00000000-0005-0000-0000-0000620A0000}"/>
    <cellStyle name="20% - Accent2 5 2 5 7" xfId="2663" xr:uid="{00000000-0005-0000-0000-0000630A0000}"/>
    <cellStyle name="20% - Accent2 5 2 5 7 2" xfId="2664" xr:uid="{00000000-0005-0000-0000-0000640A0000}"/>
    <cellStyle name="20% - Accent2 5 2 5 7 2 2" xfId="2665" xr:uid="{00000000-0005-0000-0000-0000650A0000}"/>
    <cellStyle name="20% - Accent2 5 2 5 7 2 2 2" xfId="2666" xr:uid="{00000000-0005-0000-0000-0000660A0000}"/>
    <cellStyle name="20% - Accent2 5 2 5 7 2 3" xfId="2667" xr:uid="{00000000-0005-0000-0000-0000670A0000}"/>
    <cellStyle name="20% - Accent2 5 2 5 7 3" xfId="2668" xr:uid="{00000000-0005-0000-0000-0000680A0000}"/>
    <cellStyle name="20% - Accent2 5 2 5 7 3 2" xfId="2669" xr:uid="{00000000-0005-0000-0000-0000690A0000}"/>
    <cellStyle name="20% - Accent2 5 2 5 7 4" xfId="2670" xr:uid="{00000000-0005-0000-0000-00006A0A0000}"/>
    <cellStyle name="20% - Accent2 5 2 5 8" xfId="2671" xr:uid="{00000000-0005-0000-0000-00006B0A0000}"/>
    <cellStyle name="20% - Accent2 5 2 5 8 2" xfId="2672" xr:uid="{00000000-0005-0000-0000-00006C0A0000}"/>
    <cellStyle name="20% - Accent2 5 2 5 8 2 2" xfId="2673" xr:uid="{00000000-0005-0000-0000-00006D0A0000}"/>
    <cellStyle name="20% - Accent2 5 2 5 8 2 2 2" xfId="2674" xr:uid="{00000000-0005-0000-0000-00006E0A0000}"/>
    <cellStyle name="20% - Accent2 5 2 5 8 2 3" xfId="2675" xr:uid="{00000000-0005-0000-0000-00006F0A0000}"/>
    <cellStyle name="20% - Accent2 5 2 5 8 3" xfId="2676" xr:uid="{00000000-0005-0000-0000-0000700A0000}"/>
    <cellStyle name="20% - Accent2 5 2 5 8 3 2" xfId="2677" xr:uid="{00000000-0005-0000-0000-0000710A0000}"/>
    <cellStyle name="20% - Accent2 5 2 5 8 4" xfId="2678" xr:uid="{00000000-0005-0000-0000-0000720A0000}"/>
    <cellStyle name="20% - Accent2 5 2 5 9" xfId="2679" xr:uid="{00000000-0005-0000-0000-0000730A0000}"/>
    <cellStyle name="20% - Accent2 5 2 5 9 2" xfId="2680" xr:uid="{00000000-0005-0000-0000-0000740A0000}"/>
    <cellStyle name="20% - Accent2 5 2 5 9 2 2" xfId="2681" xr:uid="{00000000-0005-0000-0000-0000750A0000}"/>
    <cellStyle name="20% - Accent2 5 2 5 9 3" xfId="2682" xr:uid="{00000000-0005-0000-0000-0000760A0000}"/>
    <cellStyle name="20% - Accent2 5 2 6" xfId="2683" xr:uid="{00000000-0005-0000-0000-0000770A0000}"/>
    <cellStyle name="20% - Accent2 5 2 6 10" xfId="2684" xr:uid="{00000000-0005-0000-0000-0000780A0000}"/>
    <cellStyle name="20% - Accent2 5 2 6 10 2" xfId="2685" xr:uid="{00000000-0005-0000-0000-0000790A0000}"/>
    <cellStyle name="20% - Accent2 5 2 6 10 2 2" xfId="2686" xr:uid="{00000000-0005-0000-0000-00007A0A0000}"/>
    <cellStyle name="20% - Accent2 5 2 6 10 3" xfId="2687" xr:uid="{00000000-0005-0000-0000-00007B0A0000}"/>
    <cellStyle name="20% - Accent2 5 2 6 11" xfId="2688" xr:uid="{00000000-0005-0000-0000-00007C0A0000}"/>
    <cellStyle name="20% - Accent2 5 2 6 11 2" xfId="2689" xr:uid="{00000000-0005-0000-0000-00007D0A0000}"/>
    <cellStyle name="20% - Accent2 5 2 6 11 2 2" xfId="2690" xr:uid="{00000000-0005-0000-0000-00007E0A0000}"/>
    <cellStyle name="20% - Accent2 5 2 6 11 3" xfId="2691" xr:uid="{00000000-0005-0000-0000-00007F0A0000}"/>
    <cellStyle name="20% - Accent2 5 2 6 12" xfId="2692" xr:uid="{00000000-0005-0000-0000-0000800A0000}"/>
    <cellStyle name="20% - Accent2 5 2 6 12 2" xfId="2693" xr:uid="{00000000-0005-0000-0000-0000810A0000}"/>
    <cellStyle name="20% - Accent2 5 2 6 12 2 2" xfId="2694" xr:uid="{00000000-0005-0000-0000-0000820A0000}"/>
    <cellStyle name="20% - Accent2 5 2 6 12 3" xfId="2695" xr:uid="{00000000-0005-0000-0000-0000830A0000}"/>
    <cellStyle name="20% - Accent2 5 2 6 13" xfId="2696" xr:uid="{00000000-0005-0000-0000-0000840A0000}"/>
    <cellStyle name="20% - Accent2 5 2 6 13 2" xfId="2697" xr:uid="{00000000-0005-0000-0000-0000850A0000}"/>
    <cellStyle name="20% - Accent2 5 2 6 14" xfId="2698" xr:uid="{00000000-0005-0000-0000-0000860A0000}"/>
    <cellStyle name="20% - Accent2 5 2 6 2" xfId="2699" xr:uid="{00000000-0005-0000-0000-0000870A0000}"/>
    <cellStyle name="20% - Accent2 5 2 6 2 2" xfId="2700" xr:uid="{00000000-0005-0000-0000-0000880A0000}"/>
    <cellStyle name="20% - Accent2 5 2 6 2 2 2" xfId="2701" xr:uid="{00000000-0005-0000-0000-0000890A0000}"/>
    <cellStyle name="20% - Accent2 5 2 6 2 2 2 2" xfId="2702" xr:uid="{00000000-0005-0000-0000-00008A0A0000}"/>
    <cellStyle name="20% - Accent2 5 2 6 2 2 2 2 2" xfId="2703" xr:uid="{00000000-0005-0000-0000-00008B0A0000}"/>
    <cellStyle name="20% - Accent2 5 2 6 2 2 2 3" xfId="2704" xr:uid="{00000000-0005-0000-0000-00008C0A0000}"/>
    <cellStyle name="20% - Accent2 5 2 6 2 2 3" xfId="2705" xr:uid="{00000000-0005-0000-0000-00008D0A0000}"/>
    <cellStyle name="20% - Accent2 5 2 6 2 2 3 2" xfId="2706" xr:uid="{00000000-0005-0000-0000-00008E0A0000}"/>
    <cellStyle name="20% - Accent2 5 2 6 2 2 4" xfId="2707" xr:uid="{00000000-0005-0000-0000-00008F0A0000}"/>
    <cellStyle name="20% - Accent2 5 2 6 2 3" xfId="2708" xr:uid="{00000000-0005-0000-0000-0000900A0000}"/>
    <cellStyle name="20% - Accent2 5 2 6 2 3 2" xfId="2709" xr:uid="{00000000-0005-0000-0000-0000910A0000}"/>
    <cellStyle name="20% - Accent2 5 2 6 2 3 2 2" xfId="2710" xr:uid="{00000000-0005-0000-0000-0000920A0000}"/>
    <cellStyle name="20% - Accent2 5 2 6 2 3 3" xfId="2711" xr:uid="{00000000-0005-0000-0000-0000930A0000}"/>
    <cellStyle name="20% - Accent2 5 2 6 2 4" xfId="2712" xr:uid="{00000000-0005-0000-0000-0000940A0000}"/>
    <cellStyle name="20% - Accent2 5 2 6 2 4 2" xfId="2713" xr:uid="{00000000-0005-0000-0000-0000950A0000}"/>
    <cellStyle name="20% - Accent2 5 2 6 2 4 2 2" xfId="2714" xr:uid="{00000000-0005-0000-0000-0000960A0000}"/>
    <cellStyle name="20% - Accent2 5 2 6 2 4 3" xfId="2715" xr:uid="{00000000-0005-0000-0000-0000970A0000}"/>
    <cellStyle name="20% - Accent2 5 2 6 2 5" xfId="2716" xr:uid="{00000000-0005-0000-0000-0000980A0000}"/>
    <cellStyle name="20% - Accent2 5 2 6 2 5 2" xfId="2717" xr:uid="{00000000-0005-0000-0000-0000990A0000}"/>
    <cellStyle name="20% - Accent2 5 2 6 2 5 2 2" xfId="2718" xr:uid="{00000000-0005-0000-0000-00009A0A0000}"/>
    <cellStyle name="20% - Accent2 5 2 6 2 5 3" xfId="2719" xr:uid="{00000000-0005-0000-0000-00009B0A0000}"/>
    <cellStyle name="20% - Accent2 5 2 6 2 6" xfId="2720" xr:uid="{00000000-0005-0000-0000-00009C0A0000}"/>
    <cellStyle name="20% - Accent2 5 2 6 2 6 2" xfId="2721" xr:uid="{00000000-0005-0000-0000-00009D0A0000}"/>
    <cellStyle name="20% - Accent2 5 2 6 2 6 2 2" xfId="2722" xr:uid="{00000000-0005-0000-0000-00009E0A0000}"/>
    <cellStyle name="20% - Accent2 5 2 6 2 6 3" xfId="2723" xr:uid="{00000000-0005-0000-0000-00009F0A0000}"/>
    <cellStyle name="20% - Accent2 5 2 6 2 7" xfId="2724" xr:uid="{00000000-0005-0000-0000-0000A00A0000}"/>
    <cellStyle name="20% - Accent2 5 2 6 2 7 2" xfId="2725" xr:uid="{00000000-0005-0000-0000-0000A10A0000}"/>
    <cellStyle name="20% - Accent2 5 2 6 2 8" xfId="2726" xr:uid="{00000000-0005-0000-0000-0000A20A0000}"/>
    <cellStyle name="20% - Accent2 5 2 6 3" xfId="2727" xr:uid="{00000000-0005-0000-0000-0000A30A0000}"/>
    <cellStyle name="20% - Accent2 5 2 6 3 2" xfId="2728" xr:uid="{00000000-0005-0000-0000-0000A40A0000}"/>
    <cellStyle name="20% - Accent2 5 2 6 3 2 2" xfId="2729" xr:uid="{00000000-0005-0000-0000-0000A50A0000}"/>
    <cellStyle name="20% - Accent2 5 2 6 3 2 2 2" xfId="2730" xr:uid="{00000000-0005-0000-0000-0000A60A0000}"/>
    <cellStyle name="20% - Accent2 5 2 6 3 2 2 2 2" xfId="2731" xr:uid="{00000000-0005-0000-0000-0000A70A0000}"/>
    <cellStyle name="20% - Accent2 5 2 6 3 2 2 3" xfId="2732" xr:uid="{00000000-0005-0000-0000-0000A80A0000}"/>
    <cellStyle name="20% - Accent2 5 2 6 3 2 3" xfId="2733" xr:uid="{00000000-0005-0000-0000-0000A90A0000}"/>
    <cellStyle name="20% - Accent2 5 2 6 3 2 3 2" xfId="2734" xr:uid="{00000000-0005-0000-0000-0000AA0A0000}"/>
    <cellStyle name="20% - Accent2 5 2 6 3 2 4" xfId="2735" xr:uid="{00000000-0005-0000-0000-0000AB0A0000}"/>
    <cellStyle name="20% - Accent2 5 2 6 3 3" xfId="2736" xr:uid="{00000000-0005-0000-0000-0000AC0A0000}"/>
    <cellStyle name="20% - Accent2 5 2 6 3 3 2" xfId="2737" xr:uid="{00000000-0005-0000-0000-0000AD0A0000}"/>
    <cellStyle name="20% - Accent2 5 2 6 3 3 2 2" xfId="2738" xr:uid="{00000000-0005-0000-0000-0000AE0A0000}"/>
    <cellStyle name="20% - Accent2 5 2 6 3 3 3" xfId="2739" xr:uid="{00000000-0005-0000-0000-0000AF0A0000}"/>
    <cellStyle name="20% - Accent2 5 2 6 3 4" xfId="2740" xr:uid="{00000000-0005-0000-0000-0000B00A0000}"/>
    <cellStyle name="20% - Accent2 5 2 6 3 4 2" xfId="2741" xr:uid="{00000000-0005-0000-0000-0000B10A0000}"/>
    <cellStyle name="20% - Accent2 5 2 6 3 4 2 2" xfId="2742" xr:uid="{00000000-0005-0000-0000-0000B20A0000}"/>
    <cellStyle name="20% - Accent2 5 2 6 3 4 3" xfId="2743" xr:uid="{00000000-0005-0000-0000-0000B30A0000}"/>
    <cellStyle name="20% - Accent2 5 2 6 3 5" xfId="2744" xr:uid="{00000000-0005-0000-0000-0000B40A0000}"/>
    <cellStyle name="20% - Accent2 5 2 6 3 5 2" xfId="2745" xr:uid="{00000000-0005-0000-0000-0000B50A0000}"/>
    <cellStyle name="20% - Accent2 5 2 6 3 5 2 2" xfId="2746" xr:uid="{00000000-0005-0000-0000-0000B60A0000}"/>
    <cellStyle name="20% - Accent2 5 2 6 3 5 3" xfId="2747" xr:uid="{00000000-0005-0000-0000-0000B70A0000}"/>
    <cellStyle name="20% - Accent2 5 2 6 3 6" xfId="2748" xr:uid="{00000000-0005-0000-0000-0000B80A0000}"/>
    <cellStyle name="20% - Accent2 5 2 6 3 6 2" xfId="2749" xr:uid="{00000000-0005-0000-0000-0000B90A0000}"/>
    <cellStyle name="20% - Accent2 5 2 6 3 6 2 2" xfId="2750" xr:uid="{00000000-0005-0000-0000-0000BA0A0000}"/>
    <cellStyle name="20% - Accent2 5 2 6 3 6 3" xfId="2751" xr:uid="{00000000-0005-0000-0000-0000BB0A0000}"/>
    <cellStyle name="20% - Accent2 5 2 6 3 7" xfId="2752" xr:uid="{00000000-0005-0000-0000-0000BC0A0000}"/>
    <cellStyle name="20% - Accent2 5 2 6 3 7 2" xfId="2753" xr:uid="{00000000-0005-0000-0000-0000BD0A0000}"/>
    <cellStyle name="20% - Accent2 5 2 6 3 8" xfId="2754" xr:uid="{00000000-0005-0000-0000-0000BE0A0000}"/>
    <cellStyle name="20% - Accent2 5 2 6 4" xfId="2755" xr:uid="{00000000-0005-0000-0000-0000BF0A0000}"/>
    <cellStyle name="20% - Accent2 5 2 6 4 2" xfId="2756" xr:uid="{00000000-0005-0000-0000-0000C00A0000}"/>
    <cellStyle name="20% - Accent2 5 2 6 4 2 2" xfId="2757" xr:uid="{00000000-0005-0000-0000-0000C10A0000}"/>
    <cellStyle name="20% - Accent2 5 2 6 4 2 2 2" xfId="2758" xr:uid="{00000000-0005-0000-0000-0000C20A0000}"/>
    <cellStyle name="20% - Accent2 5 2 6 4 2 2 2 2" xfId="2759" xr:uid="{00000000-0005-0000-0000-0000C30A0000}"/>
    <cellStyle name="20% - Accent2 5 2 6 4 2 2 3" xfId="2760" xr:uid="{00000000-0005-0000-0000-0000C40A0000}"/>
    <cellStyle name="20% - Accent2 5 2 6 4 2 3" xfId="2761" xr:uid="{00000000-0005-0000-0000-0000C50A0000}"/>
    <cellStyle name="20% - Accent2 5 2 6 4 2 3 2" xfId="2762" xr:uid="{00000000-0005-0000-0000-0000C60A0000}"/>
    <cellStyle name="20% - Accent2 5 2 6 4 2 4" xfId="2763" xr:uid="{00000000-0005-0000-0000-0000C70A0000}"/>
    <cellStyle name="20% - Accent2 5 2 6 4 3" xfId="2764" xr:uid="{00000000-0005-0000-0000-0000C80A0000}"/>
    <cellStyle name="20% - Accent2 5 2 6 4 3 2" xfId="2765" xr:uid="{00000000-0005-0000-0000-0000C90A0000}"/>
    <cellStyle name="20% - Accent2 5 2 6 4 3 2 2" xfId="2766" xr:uid="{00000000-0005-0000-0000-0000CA0A0000}"/>
    <cellStyle name="20% - Accent2 5 2 6 4 3 3" xfId="2767" xr:uid="{00000000-0005-0000-0000-0000CB0A0000}"/>
    <cellStyle name="20% - Accent2 5 2 6 4 4" xfId="2768" xr:uid="{00000000-0005-0000-0000-0000CC0A0000}"/>
    <cellStyle name="20% - Accent2 5 2 6 4 4 2" xfId="2769" xr:uid="{00000000-0005-0000-0000-0000CD0A0000}"/>
    <cellStyle name="20% - Accent2 5 2 6 4 4 2 2" xfId="2770" xr:uid="{00000000-0005-0000-0000-0000CE0A0000}"/>
    <cellStyle name="20% - Accent2 5 2 6 4 4 3" xfId="2771" xr:uid="{00000000-0005-0000-0000-0000CF0A0000}"/>
    <cellStyle name="20% - Accent2 5 2 6 4 5" xfId="2772" xr:uid="{00000000-0005-0000-0000-0000D00A0000}"/>
    <cellStyle name="20% - Accent2 5 2 6 4 5 2" xfId="2773" xr:uid="{00000000-0005-0000-0000-0000D10A0000}"/>
    <cellStyle name="20% - Accent2 5 2 6 4 5 2 2" xfId="2774" xr:uid="{00000000-0005-0000-0000-0000D20A0000}"/>
    <cellStyle name="20% - Accent2 5 2 6 4 5 3" xfId="2775" xr:uid="{00000000-0005-0000-0000-0000D30A0000}"/>
    <cellStyle name="20% - Accent2 5 2 6 4 6" xfId="2776" xr:uid="{00000000-0005-0000-0000-0000D40A0000}"/>
    <cellStyle name="20% - Accent2 5 2 6 4 6 2" xfId="2777" xr:uid="{00000000-0005-0000-0000-0000D50A0000}"/>
    <cellStyle name="20% - Accent2 5 2 6 4 6 2 2" xfId="2778" xr:uid="{00000000-0005-0000-0000-0000D60A0000}"/>
    <cellStyle name="20% - Accent2 5 2 6 4 6 3" xfId="2779" xr:uid="{00000000-0005-0000-0000-0000D70A0000}"/>
    <cellStyle name="20% - Accent2 5 2 6 4 7" xfId="2780" xr:uid="{00000000-0005-0000-0000-0000D80A0000}"/>
    <cellStyle name="20% - Accent2 5 2 6 4 7 2" xfId="2781" xr:uid="{00000000-0005-0000-0000-0000D90A0000}"/>
    <cellStyle name="20% - Accent2 5 2 6 4 8" xfId="2782" xr:uid="{00000000-0005-0000-0000-0000DA0A0000}"/>
    <cellStyle name="20% - Accent2 5 2 6 5" xfId="2783" xr:uid="{00000000-0005-0000-0000-0000DB0A0000}"/>
    <cellStyle name="20% - Accent2 5 2 6 5 2" xfId="2784" xr:uid="{00000000-0005-0000-0000-0000DC0A0000}"/>
    <cellStyle name="20% - Accent2 5 2 6 5 2 2" xfId="2785" xr:uid="{00000000-0005-0000-0000-0000DD0A0000}"/>
    <cellStyle name="20% - Accent2 5 2 6 5 2 2 2" xfId="2786" xr:uid="{00000000-0005-0000-0000-0000DE0A0000}"/>
    <cellStyle name="20% - Accent2 5 2 6 5 2 2 2 2" xfId="2787" xr:uid="{00000000-0005-0000-0000-0000DF0A0000}"/>
    <cellStyle name="20% - Accent2 5 2 6 5 2 2 3" xfId="2788" xr:uid="{00000000-0005-0000-0000-0000E00A0000}"/>
    <cellStyle name="20% - Accent2 5 2 6 5 2 3" xfId="2789" xr:uid="{00000000-0005-0000-0000-0000E10A0000}"/>
    <cellStyle name="20% - Accent2 5 2 6 5 2 3 2" xfId="2790" xr:uid="{00000000-0005-0000-0000-0000E20A0000}"/>
    <cellStyle name="20% - Accent2 5 2 6 5 2 4" xfId="2791" xr:uid="{00000000-0005-0000-0000-0000E30A0000}"/>
    <cellStyle name="20% - Accent2 5 2 6 5 3" xfId="2792" xr:uid="{00000000-0005-0000-0000-0000E40A0000}"/>
    <cellStyle name="20% - Accent2 5 2 6 5 3 2" xfId="2793" xr:uid="{00000000-0005-0000-0000-0000E50A0000}"/>
    <cellStyle name="20% - Accent2 5 2 6 5 3 2 2" xfId="2794" xr:uid="{00000000-0005-0000-0000-0000E60A0000}"/>
    <cellStyle name="20% - Accent2 5 2 6 5 3 3" xfId="2795" xr:uid="{00000000-0005-0000-0000-0000E70A0000}"/>
    <cellStyle name="20% - Accent2 5 2 6 5 4" xfId="2796" xr:uid="{00000000-0005-0000-0000-0000E80A0000}"/>
    <cellStyle name="20% - Accent2 5 2 6 5 4 2" xfId="2797" xr:uid="{00000000-0005-0000-0000-0000E90A0000}"/>
    <cellStyle name="20% - Accent2 5 2 6 5 5" xfId="2798" xr:uid="{00000000-0005-0000-0000-0000EA0A0000}"/>
    <cellStyle name="20% - Accent2 5 2 6 6" xfId="2799" xr:uid="{00000000-0005-0000-0000-0000EB0A0000}"/>
    <cellStyle name="20% - Accent2 5 2 6 6 2" xfId="2800" xr:uid="{00000000-0005-0000-0000-0000EC0A0000}"/>
    <cellStyle name="20% - Accent2 5 2 6 6 2 2" xfId="2801" xr:uid="{00000000-0005-0000-0000-0000ED0A0000}"/>
    <cellStyle name="20% - Accent2 5 2 6 6 2 2 2" xfId="2802" xr:uid="{00000000-0005-0000-0000-0000EE0A0000}"/>
    <cellStyle name="20% - Accent2 5 2 6 6 2 2 2 2" xfId="2803" xr:uid="{00000000-0005-0000-0000-0000EF0A0000}"/>
    <cellStyle name="20% - Accent2 5 2 6 6 2 2 3" xfId="2804" xr:uid="{00000000-0005-0000-0000-0000F00A0000}"/>
    <cellStyle name="20% - Accent2 5 2 6 6 2 3" xfId="2805" xr:uid="{00000000-0005-0000-0000-0000F10A0000}"/>
    <cellStyle name="20% - Accent2 5 2 6 6 2 3 2" xfId="2806" xr:uid="{00000000-0005-0000-0000-0000F20A0000}"/>
    <cellStyle name="20% - Accent2 5 2 6 6 2 4" xfId="2807" xr:uid="{00000000-0005-0000-0000-0000F30A0000}"/>
    <cellStyle name="20% - Accent2 5 2 6 6 3" xfId="2808" xr:uid="{00000000-0005-0000-0000-0000F40A0000}"/>
    <cellStyle name="20% - Accent2 5 2 6 6 3 2" xfId="2809" xr:uid="{00000000-0005-0000-0000-0000F50A0000}"/>
    <cellStyle name="20% - Accent2 5 2 6 6 3 2 2" xfId="2810" xr:uid="{00000000-0005-0000-0000-0000F60A0000}"/>
    <cellStyle name="20% - Accent2 5 2 6 6 3 3" xfId="2811" xr:uid="{00000000-0005-0000-0000-0000F70A0000}"/>
    <cellStyle name="20% - Accent2 5 2 6 6 4" xfId="2812" xr:uid="{00000000-0005-0000-0000-0000F80A0000}"/>
    <cellStyle name="20% - Accent2 5 2 6 6 4 2" xfId="2813" xr:uid="{00000000-0005-0000-0000-0000F90A0000}"/>
    <cellStyle name="20% - Accent2 5 2 6 6 5" xfId="2814" xr:uid="{00000000-0005-0000-0000-0000FA0A0000}"/>
    <cellStyle name="20% - Accent2 5 2 6 7" xfId="2815" xr:uid="{00000000-0005-0000-0000-0000FB0A0000}"/>
    <cellStyle name="20% - Accent2 5 2 6 7 2" xfId="2816" xr:uid="{00000000-0005-0000-0000-0000FC0A0000}"/>
    <cellStyle name="20% - Accent2 5 2 6 7 2 2" xfId="2817" xr:uid="{00000000-0005-0000-0000-0000FD0A0000}"/>
    <cellStyle name="20% - Accent2 5 2 6 7 2 2 2" xfId="2818" xr:uid="{00000000-0005-0000-0000-0000FE0A0000}"/>
    <cellStyle name="20% - Accent2 5 2 6 7 2 3" xfId="2819" xr:uid="{00000000-0005-0000-0000-0000FF0A0000}"/>
    <cellStyle name="20% - Accent2 5 2 6 7 3" xfId="2820" xr:uid="{00000000-0005-0000-0000-0000000B0000}"/>
    <cellStyle name="20% - Accent2 5 2 6 7 3 2" xfId="2821" xr:uid="{00000000-0005-0000-0000-0000010B0000}"/>
    <cellStyle name="20% - Accent2 5 2 6 7 4" xfId="2822" xr:uid="{00000000-0005-0000-0000-0000020B0000}"/>
    <cellStyle name="20% - Accent2 5 2 6 8" xfId="2823" xr:uid="{00000000-0005-0000-0000-0000030B0000}"/>
    <cellStyle name="20% - Accent2 5 2 6 8 2" xfId="2824" xr:uid="{00000000-0005-0000-0000-0000040B0000}"/>
    <cellStyle name="20% - Accent2 5 2 6 8 2 2" xfId="2825" xr:uid="{00000000-0005-0000-0000-0000050B0000}"/>
    <cellStyle name="20% - Accent2 5 2 6 8 2 2 2" xfId="2826" xr:uid="{00000000-0005-0000-0000-0000060B0000}"/>
    <cellStyle name="20% - Accent2 5 2 6 8 2 3" xfId="2827" xr:uid="{00000000-0005-0000-0000-0000070B0000}"/>
    <cellStyle name="20% - Accent2 5 2 6 8 3" xfId="2828" xr:uid="{00000000-0005-0000-0000-0000080B0000}"/>
    <cellStyle name="20% - Accent2 5 2 6 8 3 2" xfId="2829" xr:uid="{00000000-0005-0000-0000-0000090B0000}"/>
    <cellStyle name="20% - Accent2 5 2 6 8 4" xfId="2830" xr:uid="{00000000-0005-0000-0000-00000A0B0000}"/>
    <cellStyle name="20% - Accent2 5 2 6 9" xfId="2831" xr:uid="{00000000-0005-0000-0000-00000B0B0000}"/>
    <cellStyle name="20% - Accent2 5 2 6 9 2" xfId="2832" xr:uid="{00000000-0005-0000-0000-00000C0B0000}"/>
    <cellStyle name="20% - Accent2 5 2 6 9 2 2" xfId="2833" xr:uid="{00000000-0005-0000-0000-00000D0B0000}"/>
    <cellStyle name="20% - Accent2 5 2 6 9 3" xfId="2834" xr:uid="{00000000-0005-0000-0000-00000E0B0000}"/>
    <cellStyle name="20% - Accent2 5 2 7" xfId="2835" xr:uid="{00000000-0005-0000-0000-00000F0B0000}"/>
    <cellStyle name="20% - Accent2 5 2 7 2" xfId="2836" xr:uid="{00000000-0005-0000-0000-0000100B0000}"/>
    <cellStyle name="20% - Accent2 5 2 7 2 2" xfId="2837" xr:uid="{00000000-0005-0000-0000-0000110B0000}"/>
    <cellStyle name="20% - Accent2 5 2 7 2 2 2" xfId="2838" xr:uid="{00000000-0005-0000-0000-0000120B0000}"/>
    <cellStyle name="20% - Accent2 5 2 7 2 2 2 2" xfId="2839" xr:uid="{00000000-0005-0000-0000-0000130B0000}"/>
    <cellStyle name="20% - Accent2 5 2 7 2 2 3" xfId="2840" xr:uid="{00000000-0005-0000-0000-0000140B0000}"/>
    <cellStyle name="20% - Accent2 5 2 7 2 3" xfId="2841" xr:uid="{00000000-0005-0000-0000-0000150B0000}"/>
    <cellStyle name="20% - Accent2 5 2 7 2 3 2" xfId="2842" xr:uid="{00000000-0005-0000-0000-0000160B0000}"/>
    <cellStyle name="20% - Accent2 5 2 7 2 4" xfId="2843" xr:uid="{00000000-0005-0000-0000-0000170B0000}"/>
    <cellStyle name="20% - Accent2 5 2 7 3" xfId="2844" xr:uid="{00000000-0005-0000-0000-0000180B0000}"/>
    <cellStyle name="20% - Accent2 5 2 7 3 2" xfId="2845" xr:uid="{00000000-0005-0000-0000-0000190B0000}"/>
    <cellStyle name="20% - Accent2 5 2 7 3 2 2" xfId="2846" xr:uid="{00000000-0005-0000-0000-00001A0B0000}"/>
    <cellStyle name="20% - Accent2 5 2 7 3 3" xfId="2847" xr:uid="{00000000-0005-0000-0000-00001B0B0000}"/>
    <cellStyle name="20% - Accent2 5 2 7 4" xfId="2848" xr:uid="{00000000-0005-0000-0000-00001C0B0000}"/>
    <cellStyle name="20% - Accent2 5 2 7 4 2" xfId="2849" xr:uid="{00000000-0005-0000-0000-00001D0B0000}"/>
    <cellStyle name="20% - Accent2 5 2 7 4 2 2" xfId="2850" xr:uid="{00000000-0005-0000-0000-00001E0B0000}"/>
    <cellStyle name="20% - Accent2 5 2 7 4 3" xfId="2851" xr:uid="{00000000-0005-0000-0000-00001F0B0000}"/>
    <cellStyle name="20% - Accent2 5 2 7 5" xfId="2852" xr:uid="{00000000-0005-0000-0000-0000200B0000}"/>
    <cellStyle name="20% - Accent2 5 2 7 5 2" xfId="2853" xr:uid="{00000000-0005-0000-0000-0000210B0000}"/>
    <cellStyle name="20% - Accent2 5 2 7 5 2 2" xfId="2854" xr:uid="{00000000-0005-0000-0000-0000220B0000}"/>
    <cellStyle name="20% - Accent2 5 2 7 5 3" xfId="2855" xr:uid="{00000000-0005-0000-0000-0000230B0000}"/>
    <cellStyle name="20% - Accent2 5 2 7 6" xfId="2856" xr:uid="{00000000-0005-0000-0000-0000240B0000}"/>
    <cellStyle name="20% - Accent2 5 2 7 6 2" xfId="2857" xr:uid="{00000000-0005-0000-0000-0000250B0000}"/>
    <cellStyle name="20% - Accent2 5 2 7 6 2 2" xfId="2858" xr:uid="{00000000-0005-0000-0000-0000260B0000}"/>
    <cellStyle name="20% - Accent2 5 2 7 6 3" xfId="2859" xr:uid="{00000000-0005-0000-0000-0000270B0000}"/>
    <cellStyle name="20% - Accent2 5 2 7 7" xfId="2860" xr:uid="{00000000-0005-0000-0000-0000280B0000}"/>
    <cellStyle name="20% - Accent2 5 2 7 7 2" xfId="2861" xr:uid="{00000000-0005-0000-0000-0000290B0000}"/>
    <cellStyle name="20% - Accent2 5 2 7 8" xfId="2862" xr:uid="{00000000-0005-0000-0000-00002A0B0000}"/>
    <cellStyle name="20% - Accent2 5 2 8" xfId="2863" xr:uid="{00000000-0005-0000-0000-00002B0B0000}"/>
    <cellStyle name="20% - Accent2 5 2 8 2" xfId="2864" xr:uid="{00000000-0005-0000-0000-00002C0B0000}"/>
    <cellStyle name="20% - Accent2 5 2 8 2 2" xfId="2865" xr:uid="{00000000-0005-0000-0000-00002D0B0000}"/>
    <cellStyle name="20% - Accent2 5 2 8 2 2 2" xfId="2866" xr:uid="{00000000-0005-0000-0000-00002E0B0000}"/>
    <cellStyle name="20% - Accent2 5 2 8 2 2 2 2" xfId="2867" xr:uid="{00000000-0005-0000-0000-00002F0B0000}"/>
    <cellStyle name="20% - Accent2 5 2 8 2 2 3" xfId="2868" xr:uid="{00000000-0005-0000-0000-0000300B0000}"/>
    <cellStyle name="20% - Accent2 5 2 8 2 3" xfId="2869" xr:uid="{00000000-0005-0000-0000-0000310B0000}"/>
    <cellStyle name="20% - Accent2 5 2 8 2 3 2" xfId="2870" xr:uid="{00000000-0005-0000-0000-0000320B0000}"/>
    <cellStyle name="20% - Accent2 5 2 8 2 4" xfId="2871" xr:uid="{00000000-0005-0000-0000-0000330B0000}"/>
    <cellStyle name="20% - Accent2 5 2 8 3" xfId="2872" xr:uid="{00000000-0005-0000-0000-0000340B0000}"/>
    <cellStyle name="20% - Accent2 5 2 8 3 2" xfId="2873" xr:uid="{00000000-0005-0000-0000-0000350B0000}"/>
    <cellStyle name="20% - Accent2 5 2 8 3 2 2" xfId="2874" xr:uid="{00000000-0005-0000-0000-0000360B0000}"/>
    <cellStyle name="20% - Accent2 5 2 8 3 3" xfId="2875" xr:uid="{00000000-0005-0000-0000-0000370B0000}"/>
    <cellStyle name="20% - Accent2 5 2 8 4" xfId="2876" xr:uid="{00000000-0005-0000-0000-0000380B0000}"/>
    <cellStyle name="20% - Accent2 5 2 8 4 2" xfId="2877" xr:uid="{00000000-0005-0000-0000-0000390B0000}"/>
    <cellStyle name="20% - Accent2 5 2 8 4 2 2" xfId="2878" xr:uid="{00000000-0005-0000-0000-00003A0B0000}"/>
    <cellStyle name="20% - Accent2 5 2 8 4 3" xfId="2879" xr:uid="{00000000-0005-0000-0000-00003B0B0000}"/>
    <cellStyle name="20% - Accent2 5 2 8 5" xfId="2880" xr:uid="{00000000-0005-0000-0000-00003C0B0000}"/>
    <cellStyle name="20% - Accent2 5 2 8 5 2" xfId="2881" xr:uid="{00000000-0005-0000-0000-00003D0B0000}"/>
    <cellStyle name="20% - Accent2 5 2 8 5 2 2" xfId="2882" xr:uid="{00000000-0005-0000-0000-00003E0B0000}"/>
    <cellStyle name="20% - Accent2 5 2 8 5 3" xfId="2883" xr:uid="{00000000-0005-0000-0000-00003F0B0000}"/>
    <cellStyle name="20% - Accent2 5 2 8 6" xfId="2884" xr:uid="{00000000-0005-0000-0000-0000400B0000}"/>
    <cellStyle name="20% - Accent2 5 2 8 6 2" xfId="2885" xr:uid="{00000000-0005-0000-0000-0000410B0000}"/>
    <cellStyle name="20% - Accent2 5 2 8 6 2 2" xfId="2886" xr:uid="{00000000-0005-0000-0000-0000420B0000}"/>
    <cellStyle name="20% - Accent2 5 2 8 6 3" xfId="2887" xr:uid="{00000000-0005-0000-0000-0000430B0000}"/>
    <cellStyle name="20% - Accent2 5 2 8 7" xfId="2888" xr:uid="{00000000-0005-0000-0000-0000440B0000}"/>
    <cellStyle name="20% - Accent2 5 2 8 7 2" xfId="2889" xr:uid="{00000000-0005-0000-0000-0000450B0000}"/>
    <cellStyle name="20% - Accent2 5 2 8 8" xfId="2890" xr:uid="{00000000-0005-0000-0000-0000460B0000}"/>
    <cellStyle name="20% - Accent2 5 2 9" xfId="2891" xr:uid="{00000000-0005-0000-0000-0000470B0000}"/>
    <cellStyle name="20% - Accent2 5 2 9 2" xfId="2892" xr:uid="{00000000-0005-0000-0000-0000480B0000}"/>
    <cellStyle name="20% - Accent2 5 2 9 2 2" xfId="2893" xr:uid="{00000000-0005-0000-0000-0000490B0000}"/>
    <cellStyle name="20% - Accent2 5 2 9 2 2 2" xfId="2894" xr:uid="{00000000-0005-0000-0000-00004A0B0000}"/>
    <cellStyle name="20% - Accent2 5 2 9 2 2 2 2" xfId="2895" xr:uid="{00000000-0005-0000-0000-00004B0B0000}"/>
    <cellStyle name="20% - Accent2 5 2 9 2 2 3" xfId="2896" xr:uid="{00000000-0005-0000-0000-00004C0B0000}"/>
    <cellStyle name="20% - Accent2 5 2 9 2 3" xfId="2897" xr:uid="{00000000-0005-0000-0000-00004D0B0000}"/>
    <cellStyle name="20% - Accent2 5 2 9 2 3 2" xfId="2898" xr:uid="{00000000-0005-0000-0000-00004E0B0000}"/>
    <cellStyle name="20% - Accent2 5 2 9 2 4" xfId="2899" xr:uid="{00000000-0005-0000-0000-00004F0B0000}"/>
    <cellStyle name="20% - Accent2 5 2 9 3" xfId="2900" xr:uid="{00000000-0005-0000-0000-0000500B0000}"/>
    <cellStyle name="20% - Accent2 5 2 9 3 2" xfId="2901" xr:uid="{00000000-0005-0000-0000-0000510B0000}"/>
    <cellStyle name="20% - Accent2 5 2 9 3 2 2" xfId="2902" xr:uid="{00000000-0005-0000-0000-0000520B0000}"/>
    <cellStyle name="20% - Accent2 5 2 9 3 3" xfId="2903" xr:uid="{00000000-0005-0000-0000-0000530B0000}"/>
    <cellStyle name="20% - Accent2 5 2 9 4" xfId="2904" xr:uid="{00000000-0005-0000-0000-0000540B0000}"/>
    <cellStyle name="20% - Accent2 5 2 9 4 2" xfId="2905" xr:uid="{00000000-0005-0000-0000-0000550B0000}"/>
    <cellStyle name="20% - Accent2 5 2 9 4 2 2" xfId="2906" xr:uid="{00000000-0005-0000-0000-0000560B0000}"/>
    <cellStyle name="20% - Accent2 5 2 9 4 3" xfId="2907" xr:uid="{00000000-0005-0000-0000-0000570B0000}"/>
    <cellStyle name="20% - Accent2 5 2 9 5" xfId="2908" xr:uid="{00000000-0005-0000-0000-0000580B0000}"/>
    <cellStyle name="20% - Accent2 5 2 9 5 2" xfId="2909" xr:uid="{00000000-0005-0000-0000-0000590B0000}"/>
    <cellStyle name="20% - Accent2 5 2 9 5 2 2" xfId="2910" xr:uid="{00000000-0005-0000-0000-00005A0B0000}"/>
    <cellStyle name="20% - Accent2 5 2 9 5 3" xfId="2911" xr:uid="{00000000-0005-0000-0000-00005B0B0000}"/>
    <cellStyle name="20% - Accent2 5 2 9 6" xfId="2912" xr:uid="{00000000-0005-0000-0000-00005C0B0000}"/>
    <cellStyle name="20% - Accent2 5 2 9 6 2" xfId="2913" xr:uid="{00000000-0005-0000-0000-00005D0B0000}"/>
    <cellStyle name="20% - Accent2 5 2 9 6 2 2" xfId="2914" xr:uid="{00000000-0005-0000-0000-00005E0B0000}"/>
    <cellStyle name="20% - Accent2 5 2 9 6 3" xfId="2915" xr:uid="{00000000-0005-0000-0000-00005F0B0000}"/>
    <cellStyle name="20% - Accent2 5 2 9 7" xfId="2916" xr:uid="{00000000-0005-0000-0000-0000600B0000}"/>
    <cellStyle name="20% - Accent2 5 2 9 7 2" xfId="2917" xr:uid="{00000000-0005-0000-0000-0000610B0000}"/>
    <cellStyle name="20% - Accent2 5 2 9 8" xfId="2918" xr:uid="{00000000-0005-0000-0000-0000620B0000}"/>
    <cellStyle name="20% - Accent2 5 20" xfId="2919" xr:uid="{00000000-0005-0000-0000-0000630B0000}"/>
    <cellStyle name="20% - Accent2 5 20 2" xfId="2920" xr:uid="{00000000-0005-0000-0000-0000640B0000}"/>
    <cellStyle name="20% - Accent2 5 21" xfId="2921" xr:uid="{00000000-0005-0000-0000-0000650B0000}"/>
    <cellStyle name="20% - Accent2 5 3" xfId="2922" xr:uid="{00000000-0005-0000-0000-0000660B0000}"/>
    <cellStyle name="20% - Accent2 5 3 10" xfId="2923" xr:uid="{00000000-0005-0000-0000-0000670B0000}"/>
    <cellStyle name="20% - Accent2 5 3 10 2" xfId="2924" xr:uid="{00000000-0005-0000-0000-0000680B0000}"/>
    <cellStyle name="20% - Accent2 5 3 10 2 2" xfId="2925" xr:uid="{00000000-0005-0000-0000-0000690B0000}"/>
    <cellStyle name="20% - Accent2 5 3 10 3" xfId="2926" xr:uid="{00000000-0005-0000-0000-00006A0B0000}"/>
    <cellStyle name="20% - Accent2 5 3 11" xfId="2927" xr:uid="{00000000-0005-0000-0000-00006B0B0000}"/>
    <cellStyle name="20% - Accent2 5 3 11 2" xfId="2928" xr:uid="{00000000-0005-0000-0000-00006C0B0000}"/>
    <cellStyle name="20% - Accent2 5 3 11 2 2" xfId="2929" xr:uid="{00000000-0005-0000-0000-00006D0B0000}"/>
    <cellStyle name="20% - Accent2 5 3 11 3" xfId="2930" xr:uid="{00000000-0005-0000-0000-00006E0B0000}"/>
    <cellStyle name="20% - Accent2 5 3 12" xfId="2931" xr:uid="{00000000-0005-0000-0000-00006F0B0000}"/>
    <cellStyle name="20% - Accent2 5 3 12 2" xfId="2932" xr:uid="{00000000-0005-0000-0000-0000700B0000}"/>
    <cellStyle name="20% - Accent2 5 3 12 2 2" xfId="2933" xr:uid="{00000000-0005-0000-0000-0000710B0000}"/>
    <cellStyle name="20% - Accent2 5 3 12 3" xfId="2934" xr:uid="{00000000-0005-0000-0000-0000720B0000}"/>
    <cellStyle name="20% - Accent2 5 3 13" xfId="2935" xr:uid="{00000000-0005-0000-0000-0000730B0000}"/>
    <cellStyle name="20% - Accent2 5 3 13 2" xfId="2936" xr:uid="{00000000-0005-0000-0000-0000740B0000}"/>
    <cellStyle name="20% - Accent2 5 3 14" xfId="2937" xr:uid="{00000000-0005-0000-0000-0000750B0000}"/>
    <cellStyle name="20% - Accent2 5 3 2" xfId="2938" xr:uid="{00000000-0005-0000-0000-0000760B0000}"/>
    <cellStyle name="20% - Accent2 5 3 2 2" xfId="2939" xr:uid="{00000000-0005-0000-0000-0000770B0000}"/>
    <cellStyle name="20% - Accent2 5 3 2 2 2" xfId="2940" xr:uid="{00000000-0005-0000-0000-0000780B0000}"/>
    <cellStyle name="20% - Accent2 5 3 2 2 2 2" xfId="2941" xr:uid="{00000000-0005-0000-0000-0000790B0000}"/>
    <cellStyle name="20% - Accent2 5 3 2 2 2 2 2" xfId="2942" xr:uid="{00000000-0005-0000-0000-00007A0B0000}"/>
    <cellStyle name="20% - Accent2 5 3 2 2 2 3" xfId="2943" xr:uid="{00000000-0005-0000-0000-00007B0B0000}"/>
    <cellStyle name="20% - Accent2 5 3 2 2 3" xfId="2944" xr:uid="{00000000-0005-0000-0000-00007C0B0000}"/>
    <cellStyle name="20% - Accent2 5 3 2 2 3 2" xfId="2945" xr:uid="{00000000-0005-0000-0000-00007D0B0000}"/>
    <cellStyle name="20% - Accent2 5 3 2 2 4" xfId="2946" xr:uid="{00000000-0005-0000-0000-00007E0B0000}"/>
    <cellStyle name="20% - Accent2 5 3 2 3" xfId="2947" xr:uid="{00000000-0005-0000-0000-00007F0B0000}"/>
    <cellStyle name="20% - Accent2 5 3 2 3 2" xfId="2948" xr:uid="{00000000-0005-0000-0000-0000800B0000}"/>
    <cellStyle name="20% - Accent2 5 3 2 3 2 2" xfId="2949" xr:uid="{00000000-0005-0000-0000-0000810B0000}"/>
    <cellStyle name="20% - Accent2 5 3 2 3 3" xfId="2950" xr:uid="{00000000-0005-0000-0000-0000820B0000}"/>
    <cellStyle name="20% - Accent2 5 3 2 4" xfId="2951" xr:uid="{00000000-0005-0000-0000-0000830B0000}"/>
    <cellStyle name="20% - Accent2 5 3 2 4 2" xfId="2952" xr:uid="{00000000-0005-0000-0000-0000840B0000}"/>
    <cellStyle name="20% - Accent2 5 3 2 4 2 2" xfId="2953" xr:uid="{00000000-0005-0000-0000-0000850B0000}"/>
    <cellStyle name="20% - Accent2 5 3 2 4 3" xfId="2954" xr:uid="{00000000-0005-0000-0000-0000860B0000}"/>
    <cellStyle name="20% - Accent2 5 3 2 5" xfId="2955" xr:uid="{00000000-0005-0000-0000-0000870B0000}"/>
    <cellStyle name="20% - Accent2 5 3 2 5 2" xfId="2956" xr:uid="{00000000-0005-0000-0000-0000880B0000}"/>
    <cellStyle name="20% - Accent2 5 3 2 5 2 2" xfId="2957" xr:uid="{00000000-0005-0000-0000-0000890B0000}"/>
    <cellStyle name="20% - Accent2 5 3 2 5 3" xfId="2958" xr:uid="{00000000-0005-0000-0000-00008A0B0000}"/>
    <cellStyle name="20% - Accent2 5 3 2 6" xfId="2959" xr:uid="{00000000-0005-0000-0000-00008B0B0000}"/>
    <cellStyle name="20% - Accent2 5 3 2 6 2" xfId="2960" xr:uid="{00000000-0005-0000-0000-00008C0B0000}"/>
    <cellStyle name="20% - Accent2 5 3 2 6 2 2" xfId="2961" xr:uid="{00000000-0005-0000-0000-00008D0B0000}"/>
    <cellStyle name="20% - Accent2 5 3 2 6 3" xfId="2962" xr:uid="{00000000-0005-0000-0000-00008E0B0000}"/>
    <cellStyle name="20% - Accent2 5 3 2 7" xfId="2963" xr:uid="{00000000-0005-0000-0000-00008F0B0000}"/>
    <cellStyle name="20% - Accent2 5 3 2 7 2" xfId="2964" xr:uid="{00000000-0005-0000-0000-0000900B0000}"/>
    <cellStyle name="20% - Accent2 5 3 2 8" xfId="2965" xr:uid="{00000000-0005-0000-0000-0000910B0000}"/>
    <cellStyle name="20% - Accent2 5 3 3" xfId="2966" xr:uid="{00000000-0005-0000-0000-0000920B0000}"/>
    <cellStyle name="20% - Accent2 5 3 3 2" xfId="2967" xr:uid="{00000000-0005-0000-0000-0000930B0000}"/>
    <cellStyle name="20% - Accent2 5 3 3 2 2" xfId="2968" xr:uid="{00000000-0005-0000-0000-0000940B0000}"/>
    <cellStyle name="20% - Accent2 5 3 3 2 2 2" xfId="2969" xr:uid="{00000000-0005-0000-0000-0000950B0000}"/>
    <cellStyle name="20% - Accent2 5 3 3 2 2 2 2" xfId="2970" xr:uid="{00000000-0005-0000-0000-0000960B0000}"/>
    <cellStyle name="20% - Accent2 5 3 3 2 2 3" xfId="2971" xr:uid="{00000000-0005-0000-0000-0000970B0000}"/>
    <cellStyle name="20% - Accent2 5 3 3 2 3" xfId="2972" xr:uid="{00000000-0005-0000-0000-0000980B0000}"/>
    <cellStyle name="20% - Accent2 5 3 3 2 3 2" xfId="2973" xr:uid="{00000000-0005-0000-0000-0000990B0000}"/>
    <cellStyle name="20% - Accent2 5 3 3 2 4" xfId="2974" xr:uid="{00000000-0005-0000-0000-00009A0B0000}"/>
    <cellStyle name="20% - Accent2 5 3 3 3" xfId="2975" xr:uid="{00000000-0005-0000-0000-00009B0B0000}"/>
    <cellStyle name="20% - Accent2 5 3 3 3 2" xfId="2976" xr:uid="{00000000-0005-0000-0000-00009C0B0000}"/>
    <cellStyle name="20% - Accent2 5 3 3 3 2 2" xfId="2977" xr:uid="{00000000-0005-0000-0000-00009D0B0000}"/>
    <cellStyle name="20% - Accent2 5 3 3 3 3" xfId="2978" xr:uid="{00000000-0005-0000-0000-00009E0B0000}"/>
    <cellStyle name="20% - Accent2 5 3 3 4" xfId="2979" xr:uid="{00000000-0005-0000-0000-00009F0B0000}"/>
    <cellStyle name="20% - Accent2 5 3 3 4 2" xfId="2980" xr:uid="{00000000-0005-0000-0000-0000A00B0000}"/>
    <cellStyle name="20% - Accent2 5 3 3 4 2 2" xfId="2981" xr:uid="{00000000-0005-0000-0000-0000A10B0000}"/>
    <cellStyle name="20% - Accent2 5 3 3 4 3" xfId="2982" xr:uid="{00000000-0005-0000-0000-0000A20B0000}"/>
    <cellStyle name="20% - Accent2 5 3 3 5" xfId="2983" xr:uid="{00000000-0005-0000-0000-0000A30B0000}"/>
    <cellStyle name="20% - Accent2 5 3 3 5 2" xfId="2984" xr:uid="{00000000-0005-0000-0000-0000A40B0000}"/>
    <cellStyle name="20% - Accent2 5 3 3 5 2 2" xfId="2985" xr:uid="{00000000-0005-0000-0000-0000A50B0000}"/>
    <cellStyle name="20% - Accent2 5 3 3 5 3" xfId="2986" xr:uid="{00000000-0005-0000-0000-0000A60B0000}"/>
    <cellStyle name="20% - Accent2 5 3 3 6" xfId="2987" xr:uid="{00000000-0005-0000-0000-0000A70B0000}"/>
    <cellStyle name="20% - Accent2 5 3 3 6 2" xfId="2988" xr:uid="{00000000-0005-0000-0000-0000A80B0000}"/>
    <cellStyle name="20% - Accent2 5 3 3 6 2 2" xfId="2989" xr:uid="{00000000-0005-0000-0000-0000A90B0000}"/>
    <cellStyle name="20% - Accent2 5 3 3 6 3" xfId="2990" xr:uid="{00000000-0005-0000-0000-0000AA0B0000}"/>
    <cellStyle name="20% - Accent2 5 3 3 7" xfId="2991" xr:uid="{00000000-0005-0000-0000-0000AB0B0000}"/>
    <cellStyle name="20% - Accent2 5 3 3 7 2" xfId="2992" xr:uid="{00000000-0005-0000-0000-0000AC0B0000}"/>
    <cellStyle name="20% - Accent2 5 3 3 8" xfId="2993" xr:uid="{00000000-0005-0000-0000-0000AD0B0000}"/>
    <cellStyle name="20% - Accent2 5 3 4" xfId="2994" xr:uid="{00000000-0005-0000-0000-0000AE0B0000}"/>
    <cellStyle name="20% - Accent2 5 3 4 2" xfId="2995" xr:uid="{00000000-0005-0000-0000-0000AF0B0000}"/>
    <cellStyle name="20% - Accent2 5 3 4 2 2" xfId="2996" xr:uid="{00000000-0005-0000-0000-0000B00B0000}"/>
    <cellStyle name="20% - Accent2 5 3 4 2 2 2" xfId="2997" xr:uid="{00000000-0005-0000-0000-0000B10B0000}"/>
    <cellStyle name="20% - Accent2 5 3 4 2 2 2 2" xfId="2998" xr:uid="{00000000-0005-0000-0000-0000B20B0000}"/>
    <cellStyle name="20% - Accent2 5 3 4 2 2 3" xfId="2999" xr:uid="{00000000-0005-0000-0000-0000B30B0000}"/>
    <cellStyle name="20% - Accent2 5 3 4 2 3" xfId="3000" xr:uid="{00000000-0005-0000-0000-0000B40B0000}"/>
    <cellStyle name="20% - Accent2 5 3 4 2 3 2" xfId="3001" xr:uid="{00000000-0005-0000-0000-0000B50B0000}"/>
    <cellStyle name="20% - Accent2 5 3 4 2 4" xfId="3002" xr:uid="{00000000-0005-0000-0000-0000B60B0000}"/>
    <cellStyle name="20% - Accent2 5 3 4 3" xfId="3003" xr:uid="{00000000-0005-0000-0000-0000B70B0000}"/>
    <cellStyle name="20% - Accent2 5 3 4 3 2" xfId="3004" xr:uid="{00000000-0005-0000-0000-0000B80B0000}"/>
    <cellStyle name="20% - Accent2 5 3 4 3 2 2" xfId="3005" xr:uid="{00000000-0005-0000-0000-0000B90B0000}"/>
    <cellStyle name="20% - Accent2 5 3 4 3 3" xfId="3006" xr:uid="{00000000-0005-0000-0000-0000BA0B0000}"/>
    <cellStyle name="20% - Accent2 5 3 4 4" xfId="3007" xr:uid="{00000000-0005-0000-0000-0000BB0B0000}"/>
    <cellStyle name="20% - Accent2 5 3 4 4 2" xfId="3008" xr:uid="{00000000-0005-0000-0000-0000BC0B0000}"/>
    <cellStyle name="20% - Accent2 5 3 4 4 2 2" xfId="3009" xr:uid="{00000000-0005-0000-0000-0000BD0B0000}"/>
    <cellStyle name="20% - Accent2 5 3 4 4 3" xfId="3010" xr:uid="{00000000-0005-0000-0000-0000BE0B0000}"/>
    <cellStyle name="20% - Accent2 5 3 4 5" xfId="3011" xr:uid="{00000000-0005-0000-0000-0000BF0B0000}"/>
    <cellStyle name="20% - Accent2 5 3 4 5 2" xfId="3012" xr:uid="{00000000-0005-0000-0000-0000C00B0000}"/>
    <cellStyle name="20% - Accent2 5 3 4 5 2 2" xfId="3013" xr:uid="{00000000-0005-0000-0000-0000C10B0000}"/>
    <cellStyle name="20% - Accent2 5 3 4 5 3" xfId="3014" xr:uid="{00000000-0005-0000-0000-0000C20B0000}"/>
    <cellStyle name="20% - Accent2 5 3 4 6" xfId="3015" xr:uid="{00000000-0005-0000-0000-0000C30B0000}"/>
    <cellStyle name="20% - Accent2 5 3 4 6 2" xfId="3016" xr:uid="{00000000-0005-0000-0000-0000C40B0000}"/>
    <cellStyle name="20% - Accent2 5 3 4 6 2 2" xfId="3017" xr:uid="{00000000-0005-0000-0000-0000C50B0000}"/>
    <cellStyle name="20% - Accent2 5 3 4 6 3" xfId="3018" xr:uid="{00000000-0005-0000-0000-0000C60B0000}"/>
    <cellStyle name="20% - Accent2 5 3 4 7" xfId="3019" xr:uid="{00000000-0005-0000-0000-0000C70B0000}"/>
    <cellStyle name="20% - Accent2 5 3 4 7 2" xfId="3020" xr:uid="{00000000-0005-0000-0000-0000C80B0000}"/>
    <cellStyle name="20% - Accent2 5 3 4 8" xfId="3021" xr:uid="{00000000-0005-0000-0000-0000C90B0000}"/>
    <cellStyle name="20% - Accent2 5 3 5" xfId="3022" xr:uid="{00000000-0005-0000-0000-0000CA0B0000}"/>
    <cellStyle name="20% - Accent2 5 3 5 2" xfId="3023" xr:uid="{00000000-0005-0000-0000-0000CB0B0000}"/>
    <cellStyle name="20% - Accent2 5 3 5 2 2" xfId="3024" xr:uid="{00000000-0005-0000-0000-0000CC0B0000}"/>
    <cellStyle name="20% - Accent2 5 3 5 2 2 2" xfId="3025" xr:uid="{00000000-0005-0000-0000-0000CD0B0000}"/>
    <cellStyle name="20% - Accent2 5 3 5 2 2 2 2" xfId="3026" xr:uid="{00000000-0005-0000-0000-0000CE0B0000}"/>
    <cellStyle name="20% - Accent2 5 3 5 2 2 3" xfId="3027" xr:uid="{00000000-0005-0000-0000-0000CF0B0000}"/>
    <cellStyle name="20% - Accent2 5 3 5 2 3" xfId="3028" xr:uid="{00000000-0005-0000-0000-0000D00B0000}"/>
    <cellStyle name="20% - Accent2 5 3 5 2 3 2" xfId="3029" xr:uid="{00000000-0005-0000-0000-0000D10B0000}"/>
    <cellStyle name="20% - Accent2 5 3 5 2 4" xfId="3030" xr:uid="{00000000-0005-0000-0000-0000D20B0000}"/>
    <cellStyle name="20% - Accent2 5 3 5 3" xfId="3031" xr:uid="{00000000-0005-0000-0000-0000D30B0000}"/>
    <cellStyle name="20% - Accent2 5 3 5 3 2" xfId="3032" xr:uid="{00000000-0005-0000-0000-0000D40B0000}"/>
    <cellStyle name="20% - Accent2 5 3 5 3 2 2" xfId="3033" xr:uid="{00000000-0005-0000-0000-0000D50B0000}"/>
    <cellStyle name="20% - Accent2 5 3 5 3 3" xfId="3034" xr:uid="{00000000-0005-0000-0000-0000D60B0000}"/>
    <cellStyle name="20% - Accent2 5 3 5 4" xfId="3035" xr:uid="{00000000-0005-0000-0000-0000D70B0000}"/>
    <cellStyle name="20% - Accent2 5 3 5 4 2" xfId="3036" xr:uid="{00000000-0005-0000-0000-0000D80B0000}"/>
    <cellStyle name="20% - Accent2 5 3 5 5" xfId="3037" xr:uid="{00000000-0005-0000-0000-0000D90B0000}"/>
    <cellStyle name="20% - Accent2 5 3 6" xfId="3038" xr:uid="{00000000-0005-0000-0000-0000DA0B0000}"/>
    <cellStyle name="20% - Accent2 5 3 6 2" xfId="3039" xr:uid="{00000000-0005-0000-0000-0000DB0B0000}"/>
    <cellStyle name="20% - Accent2 5 3 6 2 2" xfId="3040" xr:uid="{00000000-0005-0000-0000-0000DC0B0000}"/>
    <cellStyle name="20% - Accent2 5 3 6 2 2 2" xfId="3041" xr:uid="{00000000-0005-0000-0000-0000DD0B0000}"/>
    <cellStyle name="20% - Accent2 5 3 6 2 2 2 2" xfId="3042" xr:uid="{00000000-0005-0000-0000-0000DE0B0000}"/>
    <cellStyle name="20% - Accent2 5 3 6 2 2 3" xfId="3043" xr:uid="{00000000-0005-0000-0000-0000DF0B0000}"/>
    <cellStyle name="20% - Accent2 5 3 6 2 3" xfId="3044" xr:uid="{00000000-0005-0000-0000-0000E00B0000}"/>
    <cellStyle name="20% - Accent2 5 3 6 2 3 2" xfId="3045" xr:uid="{00000000-0005-0000-0000-0000E10B0000}"/>
    <cellStyle name="20% - Accent2 5 3 6 2 4" xfId="3046" xr:uid="{00000000-0005-0000-0000-0000E20B0000}"/>
    <cellStyle name="20% - Accent2 5 3 6 3" xfId="3047" xr:uid="{00000000-0005-0000-0000-0000E30B0000}"/>
    <cellStyle name="20% - Accent2 5 3 6 3 2" xfId="3048" xr:uid="{00000000-0005-0000-0000-0000E40B0000}"/>
    <cellStyle name="20% - Accent2 5 3 6 3 2 2" xfId="3049" xr:uid="{00000000-0005-0000-0000-0000E50B0000}"/>
    <cellStyle name="20% - Accent2 5 3 6 3 3" xfId="3050" xr:uid="{00000000-0005-0000-0000-0000E60B0000}"/>
    <cellStyle name="20% - Accent2 5 3 6 4" xfId="3051" xr:uid="{00000000-0005-0000-0000-0000E70B0000}"/>
    <cellStyle name="20% - Accent2 5 3 6 4 2" xfId="3052" xr:uid="{00000000-0005-0000-0000-0000E80B0000}"/>
    <cellStyle name="20% - Accent2 5 3 6 5" xfId="3053" xr:uid="{00000000-0005-0000-0000-0000E90B0000}"/>
    <cellStyle name="20% - Accent2 5 3 7" xfId="3054" xr:uid="{00000000-0005-0000-0000-0000EA0B0000}"/>
    <cellStyle name="20% - Accent2 5 3 7 2" xfId="3055" xr:uid="{00000000-0005-0000-0000-0000EB0B0000}"/>
    <cellStyle name="20% - Accent2 5 3 7 2 2" xfId="3056" xr:uid="{00000000-0005-0000-0000-0000EC0B0000}"/>
    <cellStyle name="20% - Accent2 5 3 7 2 2 2" xfId="3057" xr:uid="{00000000-0005-0000-0000-0000ED0B0000}"/>
    <cellStyle name="20% - Accent2 5 3 7 2 3" xfId="3058" xr:uid="{00000000-0005-0000-0000-0000EE0B0000}"/>
    <cellStyle name="20% - Accent2 5 3 7 3" xfId="3059" xr:uid="{00000000-0005-0000-0000-0000EF0B0000}"/>
    <cellStyle name="20% - Accent2 5 3 7 3 2" xfId="3060" xr:uid="{00000000-0005-0000-0000-0000F00B0000}"/>
    <cellStyle name="20% - Accent2 5 3 7 4" xfId="3061" xr:uid="{00000000-0005-0000-0000-0000F10B0000}"/>
    <cellStyle name="20% - Accent2 5 3 8" xfId="3062" xr:uid="{00000000-0005-0000-0000-0000F20B0000}"/>
    <cellStyle name="20% - Accent2 5 3 8 2" xfId="3063" xr:uid="{00000000-0005-0000-0000-0000F30B0000}"/>
    <cellStyle name="20% - Accent2 5 3 8 2 2" xfId="3064" xr:uid="{00000000-0005-0000-0000-0000F40B0000}"/>
    <cellStyle name="20% - Accent2 5 3 8 2 2 2" xfId="3065" xr:uid="{00000000-0005-0000-0000-0000F50B0000}"/>
    <cellStyle name="20% - Accent2 5 3 8 2 3" xfId="3066" xr:uid="{00000000-0005-0000-0000-0000F60B0000}"/>
    <cellStyle name="20% - Accent2 5 3 8 3" xfId="3067" xr:uid="{00000000-0005-0000-0000-0000F70B0000}"/>
    <cellStyle name="20% - Accent2 5 3 8 3 2" xfId="3068" xr:uid="{00000000-0005-0000-0000-0000F80B0000}"/>
    <cellStyle name="20% - Accent2 5 3 8 4" xfId="3069" xr:uid="{00000000-0005-0000-0000-0000F90B0000}"/>
    <cellStyle name="20% - Accent2 5 3 9" xfId="3070" xr:uid="{00000000-0005-0000-0000-0000FA0B0000}"/>
    <cellStyle name="20% - Accent2 5 3 9 2" xfId="3071" xr:uid="{00000000-0005-0000-0000-0000FB0B0000}"/>
    <cellStyle name="20% - Accent2 5 3 9 2 2" xfId="3072" xr:uid="{00000000-0005-0000-0000-0000FC0B0000}"/>
    <cellStyle name="20% - Accent2 5 3 9 3" xfId="3073" xr:uid="{00000000-0005-0000-0000-0000FD0B0000}"/>
    <cellStyle name="20% - Accent2 5 4" xfId="3074" xr:uid="{00000000-0005-0000-0000-0000FE0B0000}"/>
    <cellStyle name="20% - Accent2 5 4 10" xfId="3075" xr:uid="{00000000-0005-0000-0000-0000FF0B0000}"/>
    <cellStyle name="20% - Accent2 5 4 10 2" xfId="3076" xr:uid="{00000000-0005-0000-0000-0000000C0000}"/>
    <cellStyle name="20% - Accent2 5 4 10 2 2" xfId="3077" xr:uid="{00000000-0005-0000-0000-0000010C0000}"/>
    <cellStyle name="20% - Accent2 5 4 10 3" xfId="3078" xr:uid="{00000000-0005-0000-0000-0000020C0000}"/>
    <cellStyle name="20% - Accent2 5 4 11" xfId="3079" xr:uid="{00000000-0005-0000-0000-0000030C0000}"/>
    <cellStyle name="20% - Accent2 5 4 11 2" xfId="3080" xr:uid="{00000000-0005-0000-0000-0000040C0000}"/>
    <cellStyle name="20% - Accent2 5 4 11 2 2" xfId="3081" xr:uid="{00000000-0005-0000-0000-0000050C0000}"/>
    <cellStyle name="20% - Accent2 5 4 11 3" xfId="3082" xr:uid="{00000000-0005-0000-0000-0000060C0000}"/>
    <cellStyle name="20% - Accent2 5 4 12" xfId="3083" xr:uid="{00000000-0005-0000-0000-0000070C0000}"/>
    <cellStyle name="20% - Accent2 5 4 12 2" xfId="3084" xr:uid="{00000000-0005-0000-0000-0000080C0000}"/>
    <cellStyle name="20% - Accent2 5 4 12 2 2" xfId="3085" xr:uid="{00000000-0005-0000-0000-0000090C0000}"/>
    <cellStyle name="20% - Accent2 5 4 12 3" xfId="3086" xr:uid="{00000000-0005-0000-0000-00000A0C0000}"/>
    <cellStyle name="20% - Accent2 5 4 13" xfId="3087" xr:uid="{00000000-0005-0000-0000-00000B0C0000}"/>
    <cellStyle name="20% - Accent2 5 4 13 2" xfId="3088" xr:uid="{00000000-0005-0000-0000-00000C0C0000}"/>
    <cellStyle name="20% - Accent2 5 4 14" xfId="3089" xr:uid="{00000000-0005-0000-0000-00000D0C0000}"/>
    <cellStyle name="20% - Accent2 5 4 2" xfId="3090" xr:uid="{00000000-0005-0000-0000-00000E0C0000}"/>
    <cellStyle name="20% - Accent2 5 4 2 2" xfId="3091" xr:uid="{00000000-0005-0000-0000-00000F0C0000}"/>
    <cellStyle name="20% - Accent2 5 4 2 2 2" xfId="3092" xr:uid="{00000000-0005-0000-0000-0000100C0000}"/>
    <cellStyle name="20% - Accent2 5 4 2 2 2 2" xfId="3093" xr:uid="{00000000-0005-0000-0000-0000110C0000}"/>
    <cellStyle name="20% - Accent2 5 4 2 2 2 2 2" xfId="3094" xr:uid="{00000000-0005-0000-0000-0000120C0000}"/>
    <cellStyle name="20% - Accent2 5 4 2 2 2 3" xfId="3095" xr:uid="{00000000-0005-0000-0000-0000130C0000}"/>
    <cellStyle name="20% - Accent2 5 4 2 2 3" xfId="3096" xr:uid="{00000000-0005-0000-0000-0000140C0000}"/>
    <cellStyle name="20% - Accent2 5 4 2 2 3 2" xfId="3097" xr:uid="{00000000-0005-0000-0000-0000150C0000}"/>
    <cellStyle name="20% - Accent2 5 4 2 2 4" xfId="3098" xr:uid="{00000000-0005-0000-0000-0000160C0000}"/>
    <cellStyle name="20% - Accent2 5 4 2 3" xfId="3099" xr:uid="{00000000-0005-0000-0000-0000170C0000}"/>
    <cellStyle name="20% - Accent2 5 4 2 3 2" xfId="3100" xr:uid="{00000000-0005-0000-0000-0000180C0000}"/>
    <cellStyle name="20% - Accent2 5 4 2 3 2 2" xfId="3101" xr:uid="{00000000-0005-0000-0000-0000190C0000}"/>
    <cellStyle name="20% - Accent2 5 4 2 3 3" xfId="3102" xr:uid="{00000000-0005-0000-0000-00001A0C0000}"/>
    <cellStyle name="20% - Accent2 5 4 2 4" xfId="3103" xr:uid="{00000000-0005-0000-0000-00001B0C0000}"/>
    <cellStyle name="20% - Accent2 5 4 2 4 2" xfId="3104" xr:uid="{00000000-0005-0000-0000-00001C0C0000}"/>
    <cellStyle name="20% - Accent2 5 4 2 4 2 2" xfId="3105" xr:uid="{00000000-0005-0000-0000-00001D0C0000}"/>
    <cellStyle name="20% - Accent2 5 4 2 4 3" xfId="3106" xr:uid="{00000000-0005-0000-0000-00001E0C0000}"/>
    <cellStyle name="20% - Accent2 5 4 2 5" xfId="3107" xr:uid="{00000000-0005-0000-0000-00001F0C0000}"/>
    <cellStyle name="20% - Accent2 5 4 2 5 2" xfId="3108" xr:uid="{00000000-0005-0000-0000-0000200C0000}"/>
    <cellStyle name="20% - Accent2 5 4 2 5 2 2" xfId="3109" xr:uid="{00000000-0005-0000-0000-0000210C0000}"/>
    <cellStyle name="20% - Accent2 5 4 2 5 3" xfId="3110" xr:uid="{00000000-0005-0000-0000-0000220C0000}"/>
    <cellStyle name="20% - Accent2 5 4 2 6" xfId="3111" xr:uid="{00000000-0005-0000-0000-0000230C0000}"/>
    <cellStyle name="20% - Accent2 5 4 2 6 2" xfId="3112" xr:uid="{00000000-0005-0000-0000-0000240C0000}"/>
    <cellStyle name="20% - Accent2 5 4 2 6 2 2" xfId="3113" xr:uid="{00000000-0005-0000-0000-0000250C0000}"/>
    <cellStyle name="20% - Accent2 5 4 2 6 3" xfId="3114" xr:uid="{00000000-0005-0000-0000-0000260C0000}"/>
    <cellStyle name="20% - Accent2 5 4 2 7" xfId="3115" xr:uid="{00000000-0005-0000-0000-0000270C0000}"/>
    <cellStyle name="20% - Accent2 5 4 2 7 2" xfId="3116" xr:uid="{00000000-0005-0000-0000-0000280C0000}"/>
    <cellStyle name="20% - Accent2 5 4 2 8" xfId="3117" xr:uid="{00000000-0005-0000-0000-0000290C0000}"/>
    <cellStyle name="20% - Accent2 5 4 3" xfId="3118" xr:uid="{00000000-0005-0000-0000-00002A0C0000}"/>
    <cellStyle name="20% - Accent2 5 4 3 2" xfId="3119" xr:uid="{00000000-0005-0000-0000-00002B0C0000}"/>
    <cellStyle name="20% - Accent2 5 4 3 2 2" xfId="3120" xr:uid="{00000000-0005-0000-0000-00002C0C0000}"/>
    <cellStyle name="20% - Accent2 5 4 3 2 2 2" xfId="3121" xr:uid="{00000000-0005-0000-0000-00002D0C0000}"/>
    <cellStyle name="20% - Accent2 5 4 3 2 2 2 2" xfId="3122" xr:uid="{00000000-0005-0000-0000-00002E0C0000}"/>
    <cellStyle name="20% - Accent2 5 4 3 2 2 3" xfId="3123" xr:uid="{00000000-0005-0000-0000-00002F0C0000}"/>
    <cellStyle name="20% - Accent2 5 4 3 2 3" xfId="3124" xr:uid="{00000000-0005-0000-0000-0000300C0000}"/>
    <cellStyle name="20% - Accent2 5 4 3 2 3 2" xfId="3125" xr:uid="{00000000-0005-0000-0000-0000310C0000}"/>
    <cellStyle name="20% - Accent2 5 4 3 2 4" xfId="3126" xr:uid="{00000000-0005-0000-0000-0000320C0000}"/>
    <cellStyle name="20% - Accent2 5 4 3 3" xfId="3127" xr:uid="{00000000-0005-0000-0000-0000330C0000}"/>
    <cellStyle name="20% - Accent2 5 4 3 3 2" xfId="3128" xr:uid="{00000000-0005-0000-0000-0000340C0000}"/>
    <cellStyle name="20% - Accent2 5 4 3 3 2 2" xfId="3129" xr:uid="{00000000-0005-0000-0000-0000350C0000}"/>
    <cellStyle name="20% - Accent2 5 4 3 3 3" xfId="3130" xr:uid="{00000000-0005-0000-0000-0000360C0000}"/>
    <cellStyle name="20% - Accent2 5 4 3 4" xfId="3131" xr:uid="{00000000-0005-0000-0000-0000370C0000}"/>
    <cellStyle name="20% - Accent2 5 4 3 4 2" xfId="3132" xr:uid="{00000000-0005-0000-0000-0000380C0000}"/>
    <cellStyle name="20% - Accent2 5 4 3 4 2 2" xfId="3133" xr:uid="{00000000-0005-0000-0000-0000390C0000}"/>
    <cellStyle name="20% - Accent2 5 4 3 4 3" xfId="3134" xr:uid="{00000000-0005-0000-0000-00003A0C0000}"/>
    <cellStyle name="20% - Accent2 5 4 3 5" xfId="3135" xr:uid="{00000000-0005-0000-0000-00003B0C0000}"/>
    <cellStyle name="20% - Accent2 5 4 3 5 2" xfId="3136" xr:uid="{00000000-0005-0000-0000-00003C0C0000}"/>
    <cellStyle name="20% - Accent2 5 4 3 5 2 2" xfId="3137" xr:uid="{00000000-0005-0000-0000-00003D0C0000}"/>
    <cellStyle name="20% - Accent2 5 4 3 5 3" xfId="3138" xr:uid="{00000000-0005-0000-0000-00003E0C0000}"/>
    <cellStyle name="20% - Accent2 5 4 3 6" xfId="3139" xr:uid="{00000000-0005-0000-0000-00003F0C0000}"/>
    <cellStyle name="20% - Accent2 5 4 3 6 2" xfId="3140" xr:uid="{00000000-0005-0000-0000-0000400C0000}"/>
    <cellStyle name="20% - Accent2 5 4 3 6 2 2" xfId="3141" xr:uid="{00000000-0005-0000-0000-0000410C0000}"/>
    <cellStyle name="20% - Accent2 5 4 3 6 3" xfId="3142" xr:uid="{00000000-0005-0000-0000-0000420C0000}"/>
    <cellStyle name="20% - Accent2 5 4 3 7" xfId="3143" xr:uid="{00000000-0005-0000-0000-0000430C0000}"/>
    <cellStyle name="20% - Accent2 5 4 3 7 2" xfId="3144" xr:uid="{00000000-0005-0000-0000-0000440C0000}"/>
    <cellStyle name="20% - Accent2 5 4 3 8" xfId="3145" xr:uid="{00000000-0005-0000-0000-0000450C0000}"/>
    <cellStyle name="20% - Accent2 5 4 4" xfId="3146" xr:uid="{00000000-0005-0000-0000-0000460C0000}"/>
    <cellStyle name="20% - Accent2 5 4 4 2" xfId="3147" xr:uid="{00000000-0005-0000-0000-0000470C0000}"/>
    <cellStyle name="20% - Accent2 5 4 4 2 2" xfId="3148" xr:uid="{00000000-0005-0000-0000-0000480C0000}"/>
    <cellStyle name="20% - Accent2 5 4 4 2 2 2" xfId="3149" xr:uid="{00000000-0005-0000-0000-0000490C0000}"/>
    <cellStyle name="20% - Accent2 5 4 4 2 2 2 2" xfId="3150" xr:uid="{00000000-0005-0000-0000-00004A0C0000}"/>
    <cellStyle name="20% - Accent2 5 4 4 2 2 3" xfId="3151" xr:uid="{00000000-0005-0000-0000-00004B0C0000}"/>
    <cellStyle name="20% - Accent2 5 4 4 2 3" xfId="3152" xr:uid="{00000000-0005-0000-0000-00004C0C0000}"/>
    <cellStyle name="20% - Accent2 5 4 4 2 3 2" xfId="3153" xr:uid="{00000000-0005-0000-0000-00004D0C0000}"/>
    <cellStyle name="20% - Accent2 5 4 4 2 4" xfId="3154" xr:uid="{00000000-0005-0000-0000-00004E0C0000}"/>
    <cellStyle name="20% - Accent2 5 4 4 3" xfId="3155" xr:uid="{00000000-0005-0000-0000-00004F0C0000}"/>
    <cellStyle name="20% - Accent2 5 4 4 3 2" xfId="3156" xr:uid="{00000000-0005-0000-0000-0000500C0000}"/>
    <cellStyle name="20% - Accent2 5 4 4 3 2 2" xfId="3157" xr:uid="{00000000-0005-0000-0000-0000510C0000}"/>
    <cellStyle name="20% - Accent2 5 4 4 3 3" xfId="3158" xr:uid="{00000000-0005-0000-0000-0000520C0000}"/>
    <cellStyle name="20% - Accent2 5 4 4 4" xfId="3159" xr:uid="{00000000-0005-0000-0000-0000530C0000}"/>
    <cellStyle name="20% - Accent2 5 4 4 4 2" xfId="3160" xr:uid="{00000000-0005-0000-0000-0000540C0000}"/>
    <cellStyle name="20% - Accent2 5 4 4 4 2 2" xfId="3161" xr:uid="{00000000-0005-0000-0000-0000550C0000}"/>
    <cellStyle name="20% - Accent2 5 4 4 4 3" xfId="3162" xr:uid="{00000000-0005-0000-0000-0000560C0000}"/>
    <cellStyle name="20% - Accent2 5 4 4 5" xfId="3163" xr:uid="{00000000-0005-0000-0000-0000570C0000}"/>
    <cellStyle name="20% - Accent2 5 4 4 5 2" xfId="3164" xr:uid="{00000000-0005-0000-0000-0000580C0000}"/>
    <cellStyle name="20% - Accent2 5 4 4 5 2 2" xfId="3165" xr:uid="{00000000-0005-0000-0000-0000590C0000}"/>
    <cellStyle name="20% - Accent2 5 4 4 5 3" xfId="3166" xr:uid="{00000000-0005-0000-0000-00005A0C0000}"/>
    <cellStyle name="20% - Accent2 5 4 4 6" xfId="3167" xr:uid="{00000000-0005-0000-0000-00005B0C0000}"/>
    <cellStyle name="20% - Accent2 5 4 4 6 2" xfId="3168" xr:uid="{00000000-0005-0000-0000-00005C0C0000}"/>
    <cellStyle name="20% - Accent2 5 4 4 6 2 2" xfId="3169" xr:uid="{00000000-0005-0000-0000-00005D0C0000}"/>
    <cellStyle name="20% - Accent2 5 4 4 6 3" xfId="3170" xr:uid="{00000000-0005-0000-0000-00005E0C0000}"/>
    <cellStyle name="20% - Accent2 5 4 4 7" xfId="3171" xr:uid="{00000000-0005-0000-0000-00005F0C0000}"/>
    <cellStyle name="20% - Accent2 5 4 4 7 2" xfId="3172" xr:uid="{00000000-0005-0000-0000-0000600C0000}"/>
    <cellStyle name="20% - Accent2 5 4 4 8" xfId="3173" xr:uid="{00000000-0005-0000-0000-0000610C0000}"/>
    <cellStyle name="20% - Accent2 5 4 5" xfId="3174" xr:uid="{00000000-0005-0000-0000-0000620C0000}"/>
    <cellStyle name="20% - Accent2 5 4 5 2" xfId="3175" xr:uid="{00000000-0005-0000-0000-0000630C0000}"/>
    <cellStyle name="20% - Accent2 5 4 5 2 2" xfId="3176" xr:uid="{00000000-0005-0000-0000-0000640C0000}"/>
    <cellStyle name="20% - Accent2 5 4 5 2 2 2" xfId="3177" xr:uid="{00000000-0005-0000-0000-0000650C0000}"/>
    <cellStyle name="20% - Accent2 5 4 5 2 2 2 2" xfId="3178" xr:uid="{00000000-0005-0000-0000-0000660C0000}"/>
    <cellStyle name="20% - Accent2 5 4 5 2 2 3" xfId="3179" xr:uid="{00000000-0005-0000-0000-0000670C0000}"/>
    <cellStyle name="20% - Accent2 5 4 5 2 3" xfId="3180" xr:uid="{00000000-0005-0000-0000-0000680C0000}"/>
    <cellStyle name="20% - Accent2 5 4 5 2 3 2" xfId="3181" xr:uid="{00000000-0005-0000-0000-0000690C0000}"/>
    <cellStyle name="20% - Accent2 5 4 5 2 4" xfId="3182" xr:uid="{00000000-0005-0000-0000-00006A0C0000}"/>
    <cellStyle name="20% - Accent2 5 4 5 3" xfId="3183" xr:uid="{00000000-0005-0000-0000-00006B0C0000}"/>
    <cellStyle name="20% - Accent2 5 4 5 3 2" xfId="3184" xr:uid="{00000000-0005-0000-0000-00006C0C0000}"/>
    <cellStyle name="20% - Accent2 5 4 5 3 2 2" xfId="3185" xr:uid="{00000000-0005-0000-0000-00006D0C0000}"/>
    <cellStyle name="20% - Accent2 5 4 5 3 3" xfId="3186" xr:uid="{00000000-0005-0000-0000-00006E0C0000}"/>
    <cellStyle name="20% - Accent2 5 4 5 4" xfId="3187" xr:uid="{00000000-0005-0000-0000-00006F0C0000}"/>
    <cellStyle name="20% - Accent2 5 4 5 4 2" xfId="3188" xr:uid="{00000000-0005-0000-0000-0000700C0000}"/>
    <cellStyle name="20% - Accent2 5 4 5 5" xfId="3189" xr:uid="{00000000-0005-0000-0000-0000710C0000}"/>
    <cellStyle name="20% - Accent2 5 4 6" xfId="3190" xr:uid="{00000000-0005-0000-0000-0000720C0000}"/>
    <cellStyle name="20% - Accent2 5 4 6 2" xfId="3191" xr:uid="{00000000-0005-0000-0000-0000730C0000}"/>
    <cellStyle name="20% - Accent2 5 4 6 2 2" xfId="3192" xr:uid="{00000000-0005-0000-0000-0000740C0000}"/>
    <cellStyle name="20% - Accent2 5 4 6 2 2 2" xfId="3193" xr:uid="{00000000-0005-0000-0000-0000750C0000}"/>
    <cellStyle name="20% - Accent2 5 4 6 2 2 2 2" xfId="3194" xr:uid="{00000000-0005-0000-0000-0000760C0000}"/>
    <cellStyle name="20% - Accent2 5 4 6 2 2 3" xfId="3195" xr:uid="{00000000-0005-0000-0000-0000770C0000}"/>
    <cellStyle name="20% - Accent2 5 4 6 2 3" xfId="3196" xr:uid="{00000000-0005-0000-0000-0000780C0000}"/>
    <cellStyle name="20% - Accent2 5 4 6 2 3 2" xfId="3197" xr:uid="{00000000-0005-0000-0000-0000790C0000}"/>
    <cellStyle name="20% - Accent2 5 4 6 2 4" xfId="3198" xr:uid="{00000000-0005-0000-0000-00007A0C0000}"/>
    <cellStyle name="20% - Accent2 5 4 6 3" xfId="3199" xr:uid="{00000000-0005-0000-0000-00007B0C0000}"/>
    <cellStyle name="20% - Accent2 5 4 6 3 2" xfId="3200" xr:uid="{00000000-0005-0000-0000-00007C0C0000}"/>
    <cellStyle name="20% - Accent2 5 4 6 3 2 2" xfId="3201" xr:uid="{00000000-0005-0000-0000-00007D0C0000}"/>
    <cellStyle name="20% - Accent2 5 4 6 3 3" xfId="3202" xr:uid="{00000000-0005-0000-0000-00007E0C0000}"/>
    <cellStyle name="20% - Accent2 5 4 6 4" xfId="3203" xr:uid="{00000000-0005-0000-0000-00007F0C0000}"/>
    <cellStyle name="20% - Accent2 5 4 6 4 2" xfId="3204" xr:uid="{00000000-0005-0000-0000-0000800C0000}"/>
    <cellStyle name="20% - Accent2 5 4 6 5" xfId="3205" xr:uid="{00000000-0005-0000-0000-0000810C0000}"/>
    <cellStyle name="20% - Accent2 5 4 7" xfId="3206" xr:uid="{00000000-0005-0000-0000-0000820C0000}"/>
    <cellStyle name="20% - Accent2 5 4 7 2" xfId="3207" xr:uid="{00000000-0005-0000-0000-0000830C0000}"/>
    <cellStyle name="20% - Accent2 5 4 7 2 2" xfId="3208" xr:uid="{00000000-0005-0000-0000-0000840C0000}"/>
    <cellStyle name="20% - Accent2 5 4 7 2 2 2" xfId="3209" xr:uid="{00000000-0005-0000-0000-0000850C0000}"/>
    <cellStyle name="20% - Accent2 5 4 7 2 3" xfId="3210" xr:uid="{00000000-0005-0000-0000-0000860C0000}"/>
    <cellStyle name="20% - Accent2 5 4 7 3" xfId="3211" xr:uid="{00000000-0005-0000-0000-0000870C0000}"/>
    <cellStyle name="20% - Accent2 5 4 7 3 2" xfId="3212" xr:uid="{00000000-0005-0000-0000-0000880C0000}"/>
    <cellStyle name="20% - Accent2 5 4 7 4" xfId="3213" xr:uid="{00000000-0005-0000-0000-0000890C0000}"/>
    <cellStyle name="20% - Accent2 5 4 8" xfId="3214" xr:uid="{00000000-0005-0000-0000-00008A0C0000}"/>
    <cellStyle name="20% - Accent2 5 4 8 2" xfId="3215" xr:uid="{00000000-0005-0000-0000-00008B0C0000}"/>
    <cellStyle name="20% - Accent2 5 4 8 2 2" xfId="3216" xr:uid="{00000000-0005-0000-0000-00008C0C0000}"/>
    <cellStyle name="20% - Accent2 5 4 8 2 2 2" xfId="3217" xr:uid="{00000000-0005-0000-0000-00008D0C0000}"/>
    <cellStyle name="20% - Accent2 5 4 8 2 3" xfId="3218" xr:uid="{00000000-0005-0000-0000-00008E0C0000}"/>
    <cellStyle name="20% - Accent2 5 4 8 3" xfId="3219" xr:uid="{00000000-0005-0000-0000-00008F0C0000}"/>
    <cellStyle name="20% - Accent2 5 4 8 3 2" xfId="3220" xr:uid="{00000000-0005-0000-0000-0000900C0000}"/>
    <cellStyle name="20% - Accent2 5 4 8 4" xfId="3221" xr:uid="{00000000-0005-0000-0000-0000910C0000}"/>
    <cellStyle name="20% - Accent2 5 4 9" xfId="3222" xr:uid="{00000000-0005-0000-0000-0000920C0000}"/>
    <cellStyle name="20% - Accent2 5 4 9 2" xfId="3223" xr:uid="{00000000-0005-0000-0000-0000930C0000}"/>
    <cellStyle name="20% - Accent2 5 4 9 2 2" xfId="3224" xr:uid="{00000000-0005-0000-0000-0000940C0000}"/>
    <cellStyle name="20% - Accent2 5 4 9 3" xfId="3225" xr:uid="{00000000-0005-0000-0000-0000950C0000}"/>
    <cellStyle name="20% - Accent2 5 5" xfId="3226" xr:uid="{00000000-0005-0000-0000-0000960C0000}"/>
    <cellStyle name="20% - Accent2 5 5 10" xfId="3227" xr:uid="{00000000-0005-0000-0000-0000970C0000}"/>
    <cellStyle name="20% - Accent2 5 5 10 2" xfId="3228" xr:uid="{00000000-0005-0000-0000-0000980C0000}"/>
    <cellStyle name="20% - Accent2 5 5 10 2 2" xfId="3229" xr:uid="{00000000-0005-0000-0000-0000990C0000}"/>
    <cellStyle name="20% - Accent2 5 5 10 3" xfId="3230" xr:uid="{00000000-0005-0000-0000-00009A0C0000}"/>
    <cellStyle name="20% - Accent2 5 5 11" xfId="3231" xr:uid="{00000000-0005-0000-0000-00009B0C0000}"/>
    <cellStyle name="20% - Accent2 5 5 11 2" xfId="3232" xr:uid="{00000000-0005-0000-0000-00009C0C0000}"/>
    <cellStyle name="20% - Accent2 5 5 11 2 2" xfId="3233" xr:uid="{00000000-0005-0000-0000-00009D0C0000}"/>
    <cellStyle name="20% - Accent2 5 5 11 3" xfId="3234" xr:uid="{00000000-0005-0000-0000-00009E0C0000}"/>
    <cellStyle name="20% - Accent2 5 5 12" xfId="3235" xr:uid="{00000000-0005-0000-0000-00009F0C0000}"/>
    <cellStyle name="20% - Accent2 5 5 12 2" xfId="3236" xr:uid="{00000000-0005-0000-0000-0000A00C0000}"/>
    <cellStyle name="20% - Accent2 5 5 12 2 2" xfId="3237" xr:uid="{00000000-0005-0000-0000-0000A10C0000}"/>
    <cellStyle name="20% - Accent2 5 5 12 3" xfId="3238" xr:uid="{00000000-0005-0000-0000-0000A20C0000}"/>
    <cellStyle name="20% - Accent2 5 5 13" xfId="3239" xr:uid="{00000000-0005-0000-0000-0000A30C0000}"/>
    <cellStyle name="20% - Accent2 5 5 13 2" xfId="3240" xr:uid="{00000000-0005-0000-0000-0000A40C0000}"/>
    <cellStyle name="20% - Accent2 5 5 14" xfId="3241" xr:uid="{00000000-0005-0000-0000-0000A50C0000}"/>
    <cellStyle name="20% - Accent2 5 5 2" xfId="3242" xr:uid="{00000000-0005-0000-0000-0000A60C0000}"/>
    <cellStyle name="20% - Accent2 5 5 2 2" xfId="3243" xr:uid="{00000000-0005-0000-0000-0000A70C0000}"/>
    <cellStyle name="20% - Accent2 5 5 2 2 2" xfId="3244" xr:uid="{00000000-0005-0000-0000-0000A80C0000}"/>
    <cellStyle name="20% - Accent2 5 5 2 2 2 2" xfId="3245" xr:uid="{00000000-0005-0000-0000-0000A90C0000}"/>
    <cellStyle name="20% - Accent2 5 5 2 2 2 2 2" xfId="3246" xr:uid="{00000000-0005-0000-0000-0000AA0C0000}"/>
    <cellStyle name="20% - Accent2 5 5 2 2 2 3" xfId="3247" xr:uid="{00000000-0005-0000-0000-0000AB0C0000}"/>
    <cellStyle name="20% - Accent2 5 5 2 2 3" xfId="3248" xr:uid="{00000000-0005-0000-0000-0000AC0C0000}"/>
    <cellStyle name="20% - Accent2 5 5 2 2 3 2" xfId="3249" xr:uid="{00000000-0005-0000-0000-0000AD0C0000}"/>
    <cellStyle name="20% - Accent2 5 5 2 2 4" xfId="3250" xr:uid="{00000000-0005-0000-0000-0000AE0C0000}"/>
    <cellStyle name="20% - Accent2 5 5 2 3" xfId="3251" xr:uid="{00000000-0005-0000-0000-0000AF0C0000}"/>
    <cellStyle name="20% - Accent2 5 5 2 3 2" xfId="3252" xr:uid="{00000000-0005-0000-0000-0000B00C0000}"/>
    <cellStyle name="20% - Accent2 5 5 2 3 2 2" xfId="3253" xr:uid="{00000000-0005-0000-0000-0000B10C0000}"/>
    <cellStyle name="20% - Accent2 5 5 2 3 3" xfId="3254" xr:uid="{00000000-0005-0000-0000-0000B20C0000}"/>
    <cellStyle name="20% - Accent2 5 5 2 4" xfId="3255" xr:uid="{00000000-0005-0000-0000-0000B30C0000}"/>
    <cellStyle name="20% - Accent2 5 5 2 4 2" xfId="3256" xr:uid="{00000000-0005-0000-0000-0000B40C0000}"/>
    <cellStyle name="20% - Accent2 5 5 2 4 2 2" xfId="3257" xr:uid="{00000000-0005-0000-0000-0000B50C0000}"/>
    <cellStyle name="20% - Accent2 5 5 2 4 3" xfId="3258" xr:uid="{00000000-0005-0000-0000-0000B60C0000}"/>
    <cellStyle name="20% - Accent2 5 5 2 5" xfId="3259" xr:uid="{00000000-0005-0000-0000-0000B70C0000}"/>
    <cellStyle name="20% - Accent2 5 5 2 5 2" xfId="3260" xr:uid="{00000000-0005-0000-0000-0000B80C0000}"/>
    <cellStyle name="20% - Accent2 5 5 2 5 2 2" xfId="3261" xr:uid="{00000000-0005-0000-0000-0000B90C0000}"/>
    <cellStyle name="20% - Accent2 5 5 2 5 3" xfId="3262" xr:uid="{00000000-0005-0000-0000-0000BA0C0000}"/>
    <cellStyle name="20% - Accent2 5 5 2 6" xfId="3263" xr:uid="{00000000-0005-0000-0000-0000BB0C0000}"/>
    <cellStyle name="20% - Accent2 5 5 2 6 2" xfId="3264" xr:uid="{00000000-0005-0000-0000-0000BC0C0000}"/>
    <cellStyle name="20% - Accent2 5 5 2 6 2 2" xfId="3265" xr:uid="{00000000-0005-0000-0000-0000BD0C0000}"/>
    <cellStyle name="20% - Accent2 5 5 2 6 3" xfId="3266" xr:uid="{00000000-0005-0000-0000-0000BE0C0000}"/>
    <cellStyle name="20% - Accent2 5 5 2 7" xfId="3267" xr:uid="{00000000-0005-0000-0000-0000BF0C0000}"/>
    <cellStyle name="20% - Accent2 5 5 2 7 2" xfId="3268" xr:uid="{00000000-0005-0000-0000-0000C00C0000}"/>
    <cellStyle name="20% - Accent2 5 5 2 8" xfId="3269" xr:uid="{00000000-0005-0000-0000-0000C10C0000}"/>
    <cellStyle name="20% - Accent2 5 5 3" xfId="3270" xr:uid="{00000000-0005-0000-0000-0000C20C0000}"/>
    <cellStyle name="20% - Accent2 5 5 3 2" xfId="3271" xr:uid="{00000000-0005-0000-0000-0000C30C0000}"/>
    <cellStyle name="20% - Accent2 5 5 3 2 2" xfId="3272" xr:uid="{00000000-0005-0000-0000-0000C40C0000}"/>
    <cellStyle name="20% - Accent2 5 5 3 2 2 2" xfId="3273" xr:uid="{00000000-0005-0000-0000-0000C50C0000}"/>
    <cellStyle name="20% - Accent2 5 5 3 2 2 2 2" xfId="3274" xr:uid="{00000000-0005-0000-0000-0000C60C0000}"/>
    <cellStyle name="20% - Accent2 5 5 3 2 2 3" xfId="3275" xr:uid="{00000000-0005-0000-0000-0000C70C0000}"/>
    <cellStyle name="20% - Accent2 5 5 3 2 3" xfId="3276" xr:uid="{00000000-0005-0000-0000-0000C80C0000}"/>
    <cellStyle name="20% - Accent2 5 5 3 2 3 2" xfId="3277" xr:uid="{00000000-0005-0000-0000-0000C90C0000}"/>
    <cellStyle name="20% - Accent2 5 5 3 2 4" xfId="3278" xr:uid="{00000000-0005-0000-0000-0000CA0C0000}"/>
    <cellStyle name="20% - Accent2 5 5 3 3" xfId="3279" xr:uid="{00000000-0005-0000-0000-0000CB0C0000}"/>
    <cellStyle name="20% - Accent2 5 5 3 3 2" xfId="3280" xr:uid="{00000000-0005-0000-0000-0000CC0C0000}"/>
    <cellStyle name="20% - Accent2 5 5 3 3 2 2" xfId="3281" xr:uid="{00000000-0005-0000-0000-0000CD0C0000}"/>
    <cellStyle name="20% - Accent2 5 5 3 3 3" xfId="3282" xr:uid="{00000000-0005-0000-0000-0000CE0C0000}"/>
    <cellStyle name="20% - Accent2 5 5 3 4" xfId="3283" xr:uid="{00000000-0005-0000-0000-0000CF0C0000}"/>
    <cellStyle name="20% - Accent2 5 5 3 4 2" xfId="3284" xr:uid="{00000000-0005-0000-0000-0000D00C0000}"/>
    <cellStyle name="20% - Accent2 5 5 3 4 2 2" xfId="3285" xr:uid="{00000000-0005-0000-0000-0000D10C0000}"/>
    <cellStyle name="20% - Accent2 5 5 3 4 3" xfId="3286" xr:uid="{00000000-0005-0000-0000-0000D20C0000}"/>
    <cellStyle name="20% - Accent2 5 5 3 5" xfId="3287" xr:uid="{00000000-0005-0000-0000-0000D30C0000}"/>
    <cellStyle name="20% - Accent2 5 5 3 5 2" xfId="3288" xr:uid="{00000000-0005-0000-0000-0000D40C0000}"/>
    <cellStyle name="20% - Accent2 5 5 3 5 2 2" xfId="3289" xr:uid="{00000000-0005-0000-0000-0000D50C0000}"/>
    <cellStyle name="20% - Accent2 5 5 3 5 3" xfId="3290" xr:uid="{00000000-0005-0000-0000-0000D60C0000}"/>
    <cellStyle name="20% - Accent2 5 5 3 6" xfId="3291" xr:uid="{00000000-0005-0000-0000-0000D70C0000}"/>
    <cellStyle name="20% - Accent2 5 5 3 6 2" xfId="3292" xr:uid="{00000000-0005-0000-0000-0000D80C0000}"/>
    <cellStyle name="20% - Accent2 5 5 3 6 2 2" xfId="3293" xr:uid="{00000000-0005-0000-0000-0000D90C0000}"/>
    <cellStyle name="20% - Accent2 5 5 3 6 3" xfId="3294" xr:uid="{00000000-0005-0000-0000-0000DA0C0000}"/>
    <cellStyle name="20% - Accent2 5 5 3 7" xfId="3295" xr:uid="{00000000-0005-0000-0000-0000DB0C0000}"/>
    <cellStyle name="20% - Accent2 5 5 3 7 2" xfId="3296" xr:uid="{00000000-0005-0000-0000-0000DC0C0000}"/>
    <cellStyle name="20% - Accent2 5 5 3 8" xfId="3297" xr:uid="{00000000-0005-0000-0000-0000DD0C0000}"/>
    <cellStyle name="20% - Accent2 5 5 4" xfId="3298" xr:uid="{00000000-0005-0000-0000-0000DE0C0000}"/>
    <cellStyle name="20% - Accent2 5 5 4 2" xfId="3299" xr:uid="{00000000-0005-0000-0000-0000DF0C0000}"/>
    <cellStyle name="20% - Accent2 5 5 4 2 2" xfId="3300" xr:uid="{00000000-0005-0000-0000-0000E00C0000}"/>
    <cellStyle name="20% - Accent2 5 5 4 2 2 2" xfId="3301" xr:uid="{00000000-0005-0000-0000-0000E10C0000}"/>
    <cellStyle name="20% - Accent2 5 5 4 2 2 2 2" xfId="3302" xr:uid="{00000000-0005-0000-0000-0000E20C0000}"/>
    <cellStyle name="20% - Accent2 5 5 4 2 2 3" xfId="3303" xr:uid="{00000000-0005-0000-0000-0000E30C0000}"/>
    <cellStyle name="20% - Accent2 5 5 4 2 3" xfId="3304" xr:uid="{00000000-0005-0000-0000-0000E40C0000}"/>
    <cellStyle name="20% - Accent2 5 5 4 2 3 2" xfId="3305" xr:uid="{00000000-0005-0000-0000-0000E50C0000}"/>
    <cellStyle name="20% - Accent2 5 5 4 2 4" xfId="3306" xr:uid="{00000000-0005-0000-0000-0000E60C0000}"/>
    <cellStyle name="20% - Accent2 5 5 4 3" xfId="3307" xr:uid="{00000000-0005-0000-0000-0000E70C0000}"/>
    <cellStyle name="20% - Accent2 5 5 4 3 2" xfId="3308" xr:uid="{00000000-0005-0000-0000-0000E80C0000}"/>
    <cellStyle name="20% - Accent2 5 5 4 3 2 2" xfId="3309" xr:uid="{00000000-0005-0000-0000-0000E90C0000}"/>
    <cellStyle name="20% - Accent2 5 5 4 3 3" xfId="3310" xr:uid="{00000000-0005-0000-0000-0000EA0C0000}"/>
    <cellStyle name="20% - Accent2 5 5 4 4" xfId="3311" xr:uid="{00000000-0005-0000-0000-0000EB0C0000}"/>
    <cellStyle name="20% - Accent2 5 5 4 4 2" xfId="3312" xr:uid="{00000000-0005-0000-0000-0000EC0C0000}"/>
    <cellStyle name="20% - Accent2 5 5 4 4 2 2" xfId="3313" xr:uid="{00000000-0005-0000-0000-0000ED0C0000}"/>
    <cellStyle name="20% - Accent2 5 5 4 4 3" xfId="3314" xr:uid="{00000000-0005-0000-0000-0000EE0C0000}"/>
    <cellStyle name="20% - Accent2 5 5 4 5" xfId="3315" xr:uid="{00000000-0005-0000-0000-0000EF0C0000}"/>
    <cellStyle name="20% - Accent2 5 5 4 5 2" xfId="3316" xr:uid="{00000000-0005-0000-0000-0000F00C0000}"/>
    <cellStyle name="20% - Accent2 5 5 4 5 2 2" xfId="3317" xr:uid="{00000000-0005-0000-0000-0000F10C0000}"/>
    <cellStyle name="20% - Accent2 5 5 4 5 3" xfId="3318" xr:uid="{00000000-0005-0000-0000-0000F20C0000}"/>
    <cellStyle name="20% - Accent2 5 5 4 6" xfId="3319" xr:uid="{00000000-0005-0000-0000-0000F30C0000}"/>
    <cellStyle name="20% - Accent2 5 5 4 6 2" xfId="3320" xr:uid="{00000000-0005-0000-0000-0000F40C0000}"/>
    <cellStyle name="20% - Accent2 5 5 4 6 2 2" xfId="3321" xr:uid="{00000000-0005-0000-0000-0000F50C0000}"/>
    <cellStyle name="20% - Accent2 5 5 4 6 3" xfId="3322" xr:uid="{00000000-0005-0000-0000-0000F60C0000}"/>
    <cellStyle name="20% - Accent2 5 5 4 7" xfId="3323" xr:uid="{00000000-0005-0000-0000-0000F70C0000}"/>
    <cellStyle name="20% - Accent2 5 5 4 7 2" xfId="3324" xr:uid="{00000000-0005-0000-0000-0000F80C0000}"/>
    <cellStyle name="20% - Accent2 5 5 4 8" xfId="3325" xr:uid="{00000000-0005-0000-0000-0000F90C0000}"/>
    <cellStyle name="20% - Accent2 5 5 5" xfId="3326" xr:uid="{00000000-0005-0000-0000-0000FA0C0000}"/>
    <cellStyle name="20% - Accent2 5 5 5 2" xfId="3327" xr:uid="{00000000-0005-0000-0000-0000FB0C0000}"/>
    <cellStyle name="20% - Accent2 5 5 5 2 2" xfId="3328" xr:uid="{00000000-0005-0000-0000-0000FC0C0000}"/>
    <cellStyle name="20% - Accent2 5 5 5 2 2 2" xfId="3329" xr:uid="{00000000-0005-0000-0000-0000FD0C0000}"/>
    <cellStyle name="20% - Accent2 5 5 5 2 2 2 2" xfId="3330" xr:uid="{00000000-0005-0000-0000-0000FE0C0000}"/>
    <cellStyle name="20% - Accent2 5 5 5 2 2 3" xfId="3331" xr:uid="{00000000-0005-0000-0000-0000FF0C0000}"/>
    <cellStyle name="20% - Accent2 5 5 5 2 3" xfId="3332" xr:uid="{00000000-0005-0000-0000-0000000D0000}"/>
    <cellStyle name="20% - Accent2 5 5 5 2 3 2" xfId="3333" xr:uid="{00000000-0005-0000-0000-0000010D0000}"/>
    <cellStyle name="20% - Accent2 5 5 5 2 4" xfId="3334" xr:uid="{00000000-0005-0000-0000-0000020D0000}"/>
    <cellStyle name="20% - Accent2 5 5 5 3" xfId="3335" xr:uid="{00000000-0005-0000-0000-0000030D0000}"/>
    <cellStyle name="20% - Accent2 5 5 5 3 2" xfId="3336" xr:uid="{00000000-0005-0000-0000-0000040D0000}"/>
    <cellStyle name="20% - Accent2 5 5 5 3 2 2" xfId="3337" xr:uid="{00000000-0005-0000-0000-0000050D0000}"/>
    <cellStyle name="20% - Accent2 5 5 5 3 3" xfId="3338" xr:uid="{00000000-0005-0000-0000-0000060D0000}"/>
    <cellStyle name="20% - Accent2 5 5 5 4" xfId="3339" xr:uid="{00000000-0005-0000-0000-0000070D0000}"/>
    <cellStyle name="20% - Accent2 5 5 5 4 2" xfId="3340" xr:uid="{00000000-0005-0000-0000-0000080D0000}"/>
    <cellStyle name="20% - Accent2 5 5 5 5" xfId="3341" xr:uid="{00000000-0005-0000-0000-0000090D0000}"/>
    <cellStyle name="20% - Accent2 5 5 6" xfId="3342" xr:uid="{00000000-0005-0000-0000-00000A0D0000}"/>
    <cellStyle name="20% - Accent2 5 5 6 2" xfId="3343" xr:uid="{00000000-0005-0000-0000-00000B0D0000}"/>
    <cellStyle name="20% - Accent2 5 5 6 2 2" xfId="3344" xr:uid="{00000000-0005-0000-0000-00000C0D0000}"/>
    <cellStyle name="20% - Accent2 5 5 6 2 2 2" xfId="3345" xr:uid="{00000000-0005-0000-0000-00000D0D0000}"/>
    <cellStyle name="20% - Accent2 5 5 6 2 2 2 2" xfId="3346" xr:uid="{00000000-0005-0000-0000-00000E0D0000}"/>
    <cellStyle name="20% - Accent2 5 5 6 2 2 3" xfId="3347" xr:uid="{00000000-0005-0000-0000-00000F0D0000}"/>
    <cellStyle name="20% - Accent2 5 5 6 2 3" xfId="3348" xr:uid="{00000000-0005-0000-0000-0000100D0000}"/>
    <cellStyle name="20% - Accent2 5 5 6 2 3 2" xfId="3349" xr:uid="{00000000-0005-0000-0000-0000110D0000}"/>
    <cellStyle name="20% - Accent2 5 5 6 2 4" xfId="3350" xr:uid="{00000000-0005-0000-0000-0000120D0000}"/>
    <cellStyle name="20% - Accent2 5 5 6 3" xfId="3351" xr:uid="{00000000-0005-0000-0000-0000130D0000}"/>
    <cellStyle name="20% - Accent2 5 5 6 3 2" xfId="3352" xr:uid="{00000000-0005-0000-0000-0000140D0000}"/>
    <cellStyle name="20% - Accent2 5 5 6 3 2 2" xfId="3353" xr:uid="{00000000-0005-0000-0000-0000150D0000}"/>
    <cellStyle name="20% - Accent2 5 5 6 3 3" xfId="3354" xr:uid="{00000000-0005-0000-0000-0000160D0000}"/>
    <cellStyle name="20% - Accent2 5 5 6 4" xfId="3355" xr:uid="{00000000-0005-0000-0000-0000170D0000}"/>
    <cellStyle name="20% - Accent2 5 5 6 4 2" xfId="3356" xr:uid="{00000000-0005-0000-0000-0000180D0000}"/>
    <cellStyle name="20% - Accent2 5 5 6 5" xfId="3357" xr:uid="{00000000-0005-0000-0000-0000190D0000}"/>
    <cellStyle name="20% - Accent2 5 5 7" xfId="3358" xr:uid="{00000000-0005-0000-0000-00001A0D0000}"/>
    <cellStyle name="20% - Accent2 5 5 7 2" xfId="3359" xr:uid="{00000000-0005-0000-0000-00001B0D0000}"/>
    <cellStyle name="20% - Accent2 5 5 7 2 2" xfId="3360" xr:uid="{00000000-0005-0000-0000-00001C0D0000}"/>
    <cellStyle name="20% - Accent2 5 5 7 2 2 2" xfId="3361" xr:uid="{00000000-0005-0000-0000-00001D0D0000}"/>
    <cellStyle name="20% - Accent2 5 5 7 2 3" xfId="3362" xr:uid="{00000000-0005-0000-0000-00001E0D0000}"/>
    <cellStyle name="20% - Accent2 5 5 7 3" xfId="3363" xr:uid="{00000000-0005-0000-0000-00001F0D0000}"/>
    <cellStyle name="20% - Accent2 5 5 7 3 2" xfId="3364" xr:uid="{00000000-0005-0000-0000-0000200D0000}"/>
    <cellStyle name="20% - Accent2 5 5 7 4" xfId="3365" xr:uid="{00000000-0005-0000-0000-0000210D0000}"/>
    <cellStyle name="20% - Accent2 5 5 8" xfId="3366" xr:uid="{00000000-0005-0000-0000-0000220D0000}"/>
    <cellStyle name="20% - Accent2 5 5 8 2" xfId="3367" xr:uid="{00000000-0005-0000-0000-0000230D0000}"/>
    <cellStyle name="20% - Accent2 5 5 8 2 2" xfId="3368" xr:uid="{00000000-0005-0000-0000-0000240D0000}"/>
    <cellStyle name="20% - Accent2 5 5 8 2 2 2" xfId="3369" xr:uid="{00000000-0005-0000-0000-0000250D0000}"/>
    <cellStyle name="20% - Accent2 5 5 8 2 3" xfId="3370" xr:uid="{00000000-0005-0000-0000-0000260D0000}"/>
    <cellStyle name="20% - Accent2 5 5 8 3" xfId="3371" xr:uid="{00000000-0005-0000-0000-0000270D0000}"/>
    <cellStyle name="20% - Accent2 5 5 8 3 2" xfId="3372" xr:uid="{00000000-0005-0000-0000-0000280D0000}"/>
    <cellStyle name="20% - Accent2 5 5 8 4" xfId="3373" xr:uid="{00000000-0005-0000-0000-0000290D0000}"/>
    <cellStyle name="20% - Accent2 5 5 9" xfId="3374" xr:uid="{00000000-0005-0000-0000-00002A0D0000}"/>
    <cellStyle name="20% - Accent2 5 5 9 2" xfId="3375" xr:uid="{00000000-0005-0000-0000-00002B0D0000}"/>
    <cellStyle name="20% - Accent2 5 5 9 2 2" xfId="3376" xr:uid="{00000000-0005-0000-0000-00002C0D0000}"/>
    <cellStyle name="20% - Accent2 5 5 9 3" xfId="3377" xr:uid="{00000000-0005-0000-0000-00002D0D0000}"/>
    <cellStyle name="20% - Accent2 5 6" xfId="3378" xr:uid="{00000000-0005-0000-0000-00002E0D0000}"/>
    <cellStyle name="20% - Accent2 5 6 10" xfId="3379" xr:uid="{00000000-0005-0000-0000-00002F0D0000}"/>
    <cellStyle name="20% - Accent2 5 6 10 2" xfId="3380" xr:uid="{00000000-0005-0000-0000-0000300D0000}"/>
    <cellStyle name="20% - Accent2 5 6 10 2 2" xfId="3381" xr:uid="{00000000-0005-0000-0000-0000310D0000}"/>
    <cellStyle name="20% - Accent2 5 6 10 3" xfId="3382" xr:uid="{00000000-0005-0000-0000-0000320D0000}"/>
    <cellStyle name="20% - Accent2 5 6 11" xfId="3383" xr:uid="{00000000-0005-0000-0000-0000330D0000}"/>
    <cellStyle name="20% - Accent2 5 6 11 2" xfId="3384" xr:uid="{00000000-0005-0000-0000-0000340D0000}"/>
    <cellStyle name="20% - Accent2 5 6 11 2 2" xfId="3385" xr:uid="{00000000-0005-0000-0000-0000350D0000}"/>
    <cellStyle name="20% - Accent2 5 6 11 3" xfId="3386" xr:uid="{00000000-0005-0000-0000-0000360D0000}"/>
    <cellStyle name="20% - Accent2 5 6 12" xfId="3387" xr:uid="{00000000-0005-0000-0000-0000370D0000}"/>
    <cellStyle name="20% - Accent2 5 6 12 2" xfId="3388" xr:uid="{00000000-0005-0000-0000-0000380D0000}"/>
    <cellStyle name="20% - Accent2 5 6 12 2 2" xfId="3389" xr:uid="{00000000-0005-0000-0000-0000390D0000}"/>
    <cellStyle name="20% - Accent2 5 6 12 3" xfId="3390" xr:uid="{00000000-0005-0000-0000-00003A0D0000}"/>
    <cellStyle name="20% - Accent2 5 6 13" xfId="3391" xr:uid="{00000000-0005-0000-0000-00003B0D0000}"/>
    <cellStyle name="20% - Accent2 5 6 13 2" xfId="3392" xr:uid="{00000000-0005-0000-0000-00003C0D0000}"/>
    <cellStyle name="20% - Accent2 5 6 14" xfId="3393" xr:uid="{00000000-0005-0000-0000-00003D0D0000}"/>
    <cellStyle name="20% - Accent2 5 6 2" xfId="3394" xr:uid="{00000000-0005-0000-0000-00003E0D0000}"/>
    <cellStyle name="20% - Accent2 5 6 2 2" xfId="3395" xr:uid="{00000000-0005-0000-0000-00003F0D0000}"/>
    <cellStyle name="20% - Accent2 5 6 2 2 2" xfId="3396" xr:uid="{00000000-0005-0000-0000-0000400D0000}"/>
    <cellStyle name="20% - Accent2 5 6 2 2 2 2" xfId="3397" xr:uid="{00000000-0005-0000-0000-0000410D0000}"/>
    <cellStyle name="20% - Accent2 5 6 2 2 2 2 2" xfId="3398" xr:uid="{00000000-0005-0000-0000-0000420D0000}"/>
    <cellStyle name="20% - Accent2 5 6 2 2 2 3" xfId="3399" xr:uid="{00000000-0005-0000-0000-0000430D0000}"/>
    <cellStyle name="20% - Accent2 5 6 2 2 3" xfId="3400" xr:uid="{00000000-0005-0000-0000-0000440D0000}"/>
    <cellStyle name="20% - Accent2 5 6 2 2 3 2" xfId="3401" xr:uid="{00000000-0005-0000-0000-0000450D0000}"/>
    <cellStyle name="20% - Accent2 5 6 2 2 4" xfId="3402" xr:uid="{00000000-0005-0000-0000-0000460D0000}"/>
    <cellStyle name="20% - Accent2 5 6 2 3" xfId="3403" xr:uid="{00000000-0005-0000-0000-0000470D0000}"/>
    <cellStyle name="20% - Accent2 5 6 2 3 2" xfId="3404" xr:uid="{00000000-0005-0000-0000-0000480D0000}"/>
    <cellStyle name="20% - Accent2 5 6 2 3 2 2" xfId="3405" xr:uid="{00000000-0005-0000-0000-0000490D0000}"/>
    <cellStyle name="20% - Accent2 5 6 2 3 3" xfId="3406" xr:uid="{00000000-0005-0000-0000-00004A0D0000}"/>
    <cellStyle name="20% - Accent2 5 6 2 4" xfId="3407" xr:uid="{00000000-0005-0000-0000-00004B0D0000}"/>
    <cellStyle name="20% - Accent2 5 6 2 4 2" xfId="3408" xr:uid="{00000000-0005-0000-0000-00004C0D0000}"/>
    <cellStyle name="20% - Accent2 5 6 2 4 2 2" xfId="3409" xr:uid="{00000000-0005-0000-0000-00004D0D0000}"/>
    <cellStyle name="20% - Accent2 5 6 2 4 3" xfId="3410" xr:uid="{00000000-0005-0000-0000-00004E0D0000}"/>
    <cellStyle name="20% - Accent2 5 6 2 5" xfId="3411" xr:uid="{00000000-0005-0000-0000-00004F0D0000}"/>
    <cellStyle name="20% - Accent2 5 6 2 5 2" xfId="3412" xr:uid="{00000000-0005-0000-0000-0000500D0000}"/>
    <cellStyle name="20% - Accent2 5 6 2 5 2 2" xfId="3413" xr:uid="{00000000-0005-0000-0000-0000510D0000}"/>
    <cellStyle name="20% - Accent2 5 6 2 5 3" xfId="3414" xr:uid="{00000000-0005-0000-0000-0000520D0000}"/>
    <cellStyle name="20% - Accent2 5 6 2 6" xfId="3415" xr:uid="{00000000-0005-0000-0000-0000530D0000}"/>
    <cellStyle name="20% - Accent2 5 6 2 6 2" xfId="3416" xr:uid="{00000000-0005-0000-0000-0000540D0000}"/>
    <cellStyle name="20% - Accent2 5 6 2 6 2 2" xfId="3417" xr:uid="{00000000-0005-0000-0000-0000550D0000}"/>
    <cellStyle name="20% - Accent2 5 6 2 6 3" xfId="3418" xr:uid="{00000000-0005-0000-0000-0000560D0000}"/>
    <cellStyle name="20% - Accent2 5 6 2 7" xfId="3419" xr:uid="{00000000-0005-0000-0000-0000570D0000}"/>
    <cellStyle name="20% - Accent2 5 6 2 7 2" xfId="3420" xr:uid="{00000000-0005-0000-0000-0000580D0000}"/>
    <cellStyle name="20% - Accent2 5 6 2 8" xfId="3421" xr:uid="{00000000-0005-0000-0000-0000590D0000}"/>
    <cellStyle name="20% - Accent2 5 6 3" xfId="3422" xr:uid="{00000000-0005-0000-0000-00005A0D0000}"/>
    <cellStyle name="20% - Accent2 5 6 3 2" xfId="3423" xr:uid="{00000000-0005-0000-0000-00005B0D0000}"/>
    <cellStyle name="20% - Accent2 5 6 3 2 2" xfId="3424" xr:uid="{00000000-0005-0000-0000-00005C0D0000}"/>
    <cellStyle name="20% - Accent2 5 6 3 2 2 2" xfId="3425" xr:uid="{00000000-0005-0000-0000-00005D0D0000}"/>
    <cellStyle name="20% - Accent2 5 6 3 2 2 2 2" xfId="3426" xr:uid="{00000000-0005-0000-0000-00005E0D0000}"/>
    <cellStyle name="20% - Accent2 5 6 3 2 2 3" xfId="3427" xr:uid="{00000000-0005-0000-0000-00005F0D0000}"/>
    <cellStyle name="20% - Accent2 5 6 3 2 3" xfId="3428" xr:uid="{00000000-0005-0000-0000-0000600D0000}"/>
    <cellStyle name="20% - Accent2 5 6 3 2 3 2" xfId="3429" xr:uid="{00000000-0005-0000-0000-0000610D0000}"/>
    <cellStyle name="20% - Accent2 5 6 3 2 4" xfId="3430" xr:uid="{00000000-0005-0000-0000-0000620D0000}"/>
    <cellStyle name="20% - Accent2 5 6 3 3" xfId="3431" xr:uid="{00000000-0005-0000-0000-0000630D0000}"/>
    <cellStyle name="20% - Accent2 5 6 3 3 2" xfId="3432" xr:uid="{00000000-0005-0000-0000-0000640D0000}"/>
    <cellStyle name="20% - Accent2 5 6 3 3 2 2" xfId="3433" xr:uid="{00000000-0005-0000-0000-0000650D0000}"/>
    <cellStyle name="20% - Accent2 5 6 3 3 3" xfId="3434" xr:uid="{00000000-0005-0000-0000-0000660D0000}"/>
    <cellStyle name="20% - Accent2 5 6 3 4" xfId="3435" xr:uid="{00000000-0005-0000-0000-0000670D0000}"/>
    <cellStyle name="20% - Accent2 5 6 3 4 2" xfId="3436" xr:uid="{00000000-0005-0000-0000-0000680D0000}"/>
    <cellStyle name="20% - Accent2 5 6 3 4 2 2" xfId="3437" xr:uid="{00000000-0005-0000-0000-0000690D0000}"/>
    <cellStyle name="20% - Accent2 5 6 3 4 3" xfId="3438" xr:uid="{00000000-0005-0000-0000-00006A0D0000}"/>
    <cellStyle name="20% - Accent2 5 6 3 5" xfId="3439" xr:uid="{00000000-0005-0000-0000-00006B0D0000}"/>
    <cellStyle name="20% - Accent2 5 6 3 5 2" xfId="3440" xr:uid="{00000000-0005-0000-0000-00006C0D0000}"/>
    <cellStyle name="20% - Accent2 5 6 3 5 2 2" xfId="3441" xr:uid="{00000000-0005-0000-0000-00006D0D0000}"/>
    <cellStyle name="20% - Accent2 5 6 3 5 3" xfId="3442" xr:uid="{00000000-0005-0000-0000-00006E0D0000}"/>
    <cellStyle name="20% - Accent2 5 6 3 6" xfId="3443" xr:uid="{00000000-0005-0000-0000-00006F0D0000}"/>
    <cellStyle name="20% - Accent2 5 6 3 6 2" xfId="3444" xr:uid="{00000000-0005-0000-0000-0000700D0000}"/>
    <cellStyle name="20% - Accent2 5 6 3 6 2 2" xfId="3445" xr:uid="{00000000-0005-0000-0000-0000710D0000}"/>
    <cellStyle name="20% - Accent2 5 6 3 6 3" xfId="3446" xr:uid="{00000000-0005-0000-0000-0000720D0000}"/>
    <cellStyle name="20% - Accent2 5 6 3 7" xfId="3447" xr:uid="{00000000-0005-0000-0000-0000730D0000}"/>
    <cellStyle name="20% - Accent2 5 6 3 7 2" xfId="3448" xr:uid="{00000000-0005-0000-0000-0000740D0000}"/>
    <cellStyle name="20% - Accent2 5 6 3 8" xfId="3449" xr:uid="{00000000-0005-0000-0000-0000750D0000}"/>
    <cellStyle name="20% - Accent2 5 6 4" xfId="3450" xr:uid="{00000000-0005-0000-0000-0000760D0000}"/>
    <cellStyle name="20% - Accent2 5 6 4 2" xfId="3451" xr:uid="{00000000-0005-0000-0000-0000770D0000}"/>
    <cellStyle name="20% - Accent2 5 6 4 2 2" xfId="3452" xr:uid="{00000000-0005-0000-0000-0000780D0000}"/>
    <cellStyle name="20% - Accent2 5 6 4 2 2 2" xfId="3453" xr:uid="{00000000-0005-0000-0000-0000790D0000}"/>
    <cellStyle name="20% - Accent2 5 6 4 2 2 2 2" xfId="3454" xr:uid="{00000000-0005-0000-0000-00007A0D0000}"/>
    <cellStyle name="20% - Accent2 5 6 4 2 2 3" xfId="3455" xr:uid="{00000000-0005-0000-0000-00007B0D0000}"/>
    <cellStyle name="20% - Accent2 5 6 4 2 3" xfId="3456" xr:uid="{00000000-0005-0000-0000-00007C0D0000}"/>
    <cellStyle name="20% - Accent2 5 6 4 2 3 2" xfId="3457" xr:uid="{00000000-0005-0000-0000-00007D0D0000}"/>
    <cellStyle name="20% - Accent2 5 6 4 2 4" xfId="3458" xr:uid="{00000000-0005-0000-0000-00007E0D0000}"/>
    <cellStyle name="20% - Accent2 5 6 4 3" xfId="3459" xr:uid="{00000000-0005-0000-0000-00007F0D0000}"/>
    <cellStyle name="20% - Accent2 5 6 4 3 2" xfId="3460" xr:uid="{00000000-0005-0000-0000-0000800D0000}"/>
    <cellStyle name="20% - Accent2 5 6 4 3 2 2" xfId="3461" xr:uid="{00000000-0005-0000-0000-0000810D0000}"/>
    <cellStyle name="20% - Accent2 5 6 4 3 3" xfId="3462" xr:uid="{00000000-0005-0000-0000-0000820D0000}"/>
    <cellStyle name="20% - Accent2 5 6 4 4" xfId="3463" xr:uid="{00000000-0005-0000-0000-0000830D0000}"/>
    <cellStyle name="20% - Accent2 5 6 4 4 2" xfId="3464" xr:uid="{00000000-0005-0000-0000-0000840D0000}"/>
    <cellStyle name="20% - Accent2 5 6 4 4 2 2" xfId="3465" xr:uid="{00000000-0005-0000-0000-0000850D0000}"/>
    <cellStyle name="20% - Accent2 5 6 4 4 3" xfId="3466" xr:uid="{00000000-0005-0000-0000-0000860D0000}"/>
    <cellStyle name="20% - Accent2 5 6 4 5" xfId="3467" xr:uid="{00000000-0005-0000-0000-0000870D0000}"/>
    <cellStyle name="20% - Accent2 5 6 4 5 2" xfId="3468" xr:uid="{00000000-0005-0000-0000-0000880D0000}"/>
    <cellStyle name="20% - Accent2 5 6 4 5 2 2" xfId="3469" xr:uid="{00000000-0005-0000-0000-0000890D0000}"/>
    <cellStyle name="20% - Accent2 5 6 4 5 3" xfId="3470" xr:uid="{00000000-0005-0000-0000-00008A0D0000}"/>
    <cellStyle name="20% - Accent2 5 6 4 6" xfId="3471" xr:uid="{00000000-0005-0000-0000-00008B0D0000}"/>
    <cellStyle name="20% - Accent2 5 6 4 6 2" xfId="3472" xr:uid="{00000000-0005-0000-0000-00008C0D0000}"/>
    <cellStyle name="20% - Accent2 5 6 4 6 2 2" xfId="3473" xr:uid="{00000000-0005-0000-0000-00008D0D0000}"/>
    <cellStyle name="20% - Accent2 5 6 4 6 3" xfId="3474" xr:uid="{00000000-0005-0000-0000-00008E0D0000}"/>
    <cellStyle name="20% - Accent2 5 6 4 7" xfId="3475" xr:uid="{00000000-0005-0000-0000-00008F0D0000}"/>
    <cellStyle name="20% - Accent2 5 6 4 7 2" xfId="3476" xr:uid="{00000000-0005-0000-0000-0000900D0000}"/>
    <cellStyle name="20% - Accent2 5 6 4 8" xfId="3477" xr:uid="{00000000-0005-0000-0000-0000910D0000}"/>
    <cellStyle name="20% - Accent2 5 6 5" xfId="3478" xr:uid="{00000000-0005-0000-0000-0000920D0000}"/>
    <cellStyle name="20% - Accent2 5 6 5 2" xfId="3479" xr:uid="{00000000-0005-0000-0000-0000930D0000}"/>
    <cellStyle name="20% - Accent2 5 6 5 2 2" xfId="3480" xr:uid="{00000000-0005-0000-0000-0000940D0000}"/>
    <cellStyle name="20% - Accent2 5 6 5 2 2 2" xfId="3481" xr:uid="{00000000-0005-0000-0000-0000950D0000}"/>
    <cellStyle name="20% - Accent2 5 6 5 2 2 2 2" xfId="3482" xr:uid="{00000000-0005-0000-0000-0000960D0000}"/>
    <cellStyle name="20% - Accent2 5 6 5 2 2 3" xfId="3483" xr:uid="{00000000-0005-0000-0000-0000970D0000}"/>
    <cellStyle name="20% - Accent2 5 6 5 2 3" xfId="3484" xr:uid="{00000000-0005-0000-0000-0000980D0000}"/>
    <cellStyle name="20% - Accent2 5 6 5 2 3 2" xfId="3485" xr:uid="{00000000-0005-0000-0000-0000990D0000}"/>
    <cellStyle name="20% - Accent2 5 6 5 2 4" xfId="3486" xr:uid="{00000000-0005-0000-0000-00009A0D0000}"/>
    <cellStyle name="20% - Accent2 5 6 5 3" xfId="3487" xr:uid="{00000000-0005-0000-0000-00009B0D0000}"/>
    <cellStyle name="20% - Accent2 5 6 5 3 2" xfId="3488" xr:uid="{00000000-0005-0000-0000-00009C0D0000}"/>
    <cellStyle name="20% - Accent2 5 6 5 3 2 2" xfId="3489" xr:uid="{00000000-0005-0000-0000-00009D0D0000}"/>
    <cellStyle name="20% - Accent2 5 6 5 3 3" xfId="3490" xr:uid="{00000000-0005-0000-0000-00009E0D0000}"/>
    <cellStyle name="20% - Accent2 5 6 5 4" xfId="3491" xr:uid="{00000000-0005-0000-0000-00009F0D0000}"/>
    <cellStyle name="20% - Accent2 5 6 5 4 2" xfId="3492" xr:uid="{00000000-0005-0000-0000-0000A00D0000}"/>
    <cellStyle name="20% - Accent2 5 6 5 5" xfId="3493" xr:uid="{00000000-0005-0000-0000-0000A10D0000}"/>
    <cellStyle name="20% - Accent2 5 6 6" xfId="3494" xr:uid="{00000000-0005-0000-0000-0000A20D0000}"/>
    <cellStyle name="20% - Accent2 5 6 6 2" xfId="3495" xr:uid="{00000000-0005-0000-0000-0000A30D0000}"/>
    <cellStyle name="20% - Accent2 5 6 6 2 2" xfId="3496" xr:uid="{00000000-0005-0000-0000-0000A40D0000}"/>
    <cellStyle name="20% - Accent2 5 6 6 2 2 2" xfId="3497" xr:uid="{00000000-0005-0000-0000-0000A50D0000}"/>
    <cellStyle name="20% - Accent2 5 6 6 2 2 2 2" xfId="3498" xr:uid="{00000000-0005-0000-0000-0000A60D0000}"/>
    <cellStyle name="20% - Accent2 5 6 6 2 2 3" xfId="3499" xr:uid="{00000000-0005-0000-0000-0000A70D0000}"/>
    <cellStyle name="20% - Accent2 5 6 6 2 3" xfId="3500" xr:uid="{00000000-0005-0000-0000-0000A80D0000}"/>
    <cellStyle name="20% - Accent2 5 6 6 2 3 2" xfId="3501" xr:uid="{00000000-0005-0000-0000-0000A90D0000}"/>
    <cellStyle name="20% - Accent2 5 6 6 2 4" xfId="3502" xr:uid="{00000000-0005-0000-0000-0000AA0D0000}"/>
    <cellStyle name="20% - Accent2 5 6 6 3" xfId="3503" xr:uid="{00000000-0005-0000-0000-0000AB0D0000}"/>
    <cellStyle name="20% - Accent2 5 6 6 3 2" xfId="3504" xr:uid="{00000000-0005-0000-0000-0000AC0D0000}"/>
    <cellStyle name="20% - Accent2 5 6 6 3 2 2" xfId="3505" xr:uid="{00000000-0005-0000-0000-0000AD0D0000}"/>
    <cellStyle name="20% - Accent2 5 6 6 3 3" xfId="3506" xr:uid="{00000000-0005-0000-0000-0000AE0D0000}"/>
    <cellStyle name="20% - Accent2 5 6 6 4" xfId="3507" xr:uid="{00000000-0005-0000-0000-0000AF0D0000}"/>
    <cellStyle name="20% - Accent2 5 6 6 4 2" xfId="3508" xr:uid="{00000000-0005-0000-0000-0000B00D0000}"/>
    <cellStyle name="20% - Accent2 5 6 6 5" xfId="3509" xr:uid="{00000000-0005-0000-0000-0000B10D0000}"/>
    <cellStyle name="20% - Accent2 5 6 7" xfId="3510" xr:uid="{00000000-0005-0000-0000-0000B20D0000}"/>
    <cellStyle name="20% - Accent2 5 6 7 2" xfId="3511" xr:uid="{00000000-0005-0000-0000-0000B30D0000}"/>
    <cellStyle name="20% - Accent2 5 6 7 2 2" xfId="3512" xr:uid="{00000000-0005-0000-0000-0000B40D0000}"/>
    <cellStyle name="20% - Accent2 5 6 7 2 2 2" xfId="3513" xr:uid="{00000000-0005-0000-0000-0000B50D0000}"/>
    <cellStyle name="20% - Accent2 5 6 7 2 3" xfId="3514" xr:uid="{00000000-0005-0000-0000-0000B60D0000}"/>
    <cellStyle name="20% - Accent2 5 6 7 3" xfId="3515" xr:uid="{00000000-0005-0000-0000-0000B70D0000}"/>
    <cellStyle name="20% - Accent2 5 6 7 3 2" xfId="3516" xr:uid="{00000000-0005-0000-0000-0000B80D0000}"/>
    <cellStyle name="20% - Accent2 5 6 7 4" xfId="3517" xr:uid="{00000000-0005-0000-0000-0000B90D0000}"/>
    <cellStyle name="20% - Accent2 5 6 8" xfId="3518" xr:uid="{00000000-0005-0000-0000-0000BA0D0000}"/>
    <cellStyle name="20% - Accent2 5 6 8 2" xfId="3519" xr:uid="{00000000-0005-0000-0000-0000BB0D0000}"/>
    <cellStyle name="20% - Accent2 5 6 8 2 2" xfId="3520" xr:uid="{00000000-0005-0000-0000-0000BC0D0000}"/>
    <cellStyle name="20% - Accent2 5 6 8 2 2 2" xfId="3521" xr:uid="{00000000-0005-0000-0000-0000BD0D0000}"/>
    <cellStyle name="20% - Accent2 5 6 8 2 3" xfId="3522" xr:uid="{00000000-0005-0000-0000-0000BE0D0000}"/>
    <cellStyle name="20% - Accent2 5 6 8 3" xfId="3523" xr:uid="{00000000-0005-0000-0000-0000BF0D0000}"/>
    <cellStyle name="20% - Accent2 5 6 8 3 2" xfId="3524" xr:uid="{00000000-0005-0000-0000-0000C00D0000}"/>
    <cellStyle name="20% - Accent2 5 6 8 4" xfId="3525" xr:uid="{00000000-0005-0000-0000-0000C10D0000}"/>
    <cellStyle name="20% - Accent2 5 6 9" xfId="3526" xr:uid="{00000000-0005-0000-0000-0000C20D0000}"/>
    <cellStyle name="20% - Accent2 5 6 9 2" xfId="3527" xr:uid="{00000000-0005-0000-0000-0000C30D0000}"/>
    <cellStyle name="20% - Accent2 5 6 9 2 2" xfId="3528" xr:uid="{00000000-0005-0000-0000-0000C40D0000}"/>
    <cellStyle name="20% - Accent2 5 6 9 3" xfId="3529" xr:uid="{00000000-0005-0000-0000-0000C50D0000}"/>
    <cellStyle name="20% - Accent2 5 7" xfId="3530" xr:uid="{00000000-0005-0000-0000-0000C60D0000}"/>
    <cellStyle name="20% - Accent2 5 7 10" xfId="3531" xr:uid="{00000000-0005-0000-0000-0000C70D0000}"/>
    <cellStyle name="20% - Accent2 5 7 10 2" xfId="3532" xr:uid="{00000000-0005-0000-0000-0000C80D0000}"/>
    <cellStyle name="20% - Accent2 5 7 10 2 2" xfId="3533" xr:uid="{00000000-0005-0000-0000-0000C90D0000}"/>
    <cellStyle name="20% - Accent2 5 7 10 3" xfId="3534" xr:uid="{00000000-0005-0000-0000-0000CA0D0000}"/>
    <cellStyle name="20% - Accent2 5 7 11" xfId="3535" xr:uid="{00000000-0005-0000-0000-0000CB0D0000}"/>
    <cellStyle name="20% - Accent2 5 7 11 2" xfId="3536" xr:uid="{00000000-0005-0000-0000-0000CC0D0000}"/>
    <cellStyle name="20% - Accent2 5 7 11 2 2" xfId="3537" xr:uid="{00000000-0005-0000-0000-0000CD0D0000}"/>
    <cellStyle name="20% - Accent2 5 7 11 3" xfId="3538" xr:uid="{00000000-0005-0000-0000-0000CE0D0000}"/>
    <cellStyle name="20% - Accent2 5 7 12" xfId="3539" xr:uid="{00000000-0005-0000-0000-0000CF0D0000}"/>
    <cellStyle name="20% - Accent2 5 7 12 2" xfId="3540" xr:uid="{00000000-0005-0000-0000-0000D00D0000}"/>
    <cellStyle name="20% - Accent2 5 7 12 2 2" xfId="3541" xr:uid="{00000000-0005-0000-0000-0000D10D0000}"/>
    <cellStyle name="20% - Accent2 5 7 12 3" xfId="3542" xr:uid="{00000000-0005-0000-0000-0000D20D0000}"/>
    <cellStyle name="20% - Accent2 5 7 13" xfId="3543" xr:uid="{00000000-0005-0000-0000-0000D30D0000}"/>
    <cellStyle name="20% - Accent2 5 7 13 2" xfId="3544" xr:uid="{00000000-0005-0000-0000-0000D40D0000}"/>
    <cellStyle name="20% - Accent2 5 7 14" xfId="3545" xr:uid="{00000000-0005-0000-0000-0000D50D0000}"/>
    <cellStyle name="20% - Accent2 5 7 2" xfId="3546" xr:uid="{00000000-0005-0000-0000-0000D60D0000}"/>
    <cellStyle name="20% - Accent2 5 7 2 2" xfId="3547" xr:uid="{00000000-0005-0000-0000-0000D70D0000}"/>
    <cellStyle name="20% - Accent2 5 7 2 2 2" xfId="3548" xr:uid="{00000000-0005-0000-0000-0000D80D0000}"/>
    <cellStyle name="20% - Accent2 5 7 2 2 2 2" xfId="3549" xr:uid="{00000000-0005-0000-0000-0000D90D0000}"/>
    <cellStyle name="20% - Accent2 5 7 2 2 2 2 2" xfId="3550" xr:uid="{00000000-0005-0000-0000-0000DA0D0000}"/>
    <cellStyle name="20% - Accent2 5 7 2 2 2 3" xfId="3551" xr:uid="{00000000-0005-0000-0000-0000DB0D0000}"/>
    <cellStyle name="20% - Accent2 5 7 2 2 3" xfId="3552" xr:uid="{00000000-0005-0000-0000-0000DC0D0000}"/>
    <cellStyle name="20% - Accent2 5 7 2 2 3 2" xfId="3553" xr:uid="{00000000-0005-0000-0000-0000DD0D0000}"/>
    <cellStyle name="20% - Accent2 5 7 2 2 4" xfId="3554" xr:uid="{00000000-0005-0000-0000-0000DE0D0000}"/>
    <cellStyle name="20% - Accent2 5 7 2 3" xfId="3555" xr:uid="{00000000-0005-0000-0000-0000DF0D0000}"/>
    <cellStyle name="20% - Accent2 5 7 2 3 2" xfId="3556" xr:uid="{00000000-0005-0000-0000-0000E00D0000}"/>
    <cellStyle name="20% - Accent2 5 7 2 3 2 2" xfId="3557" xr:uid="{00000000-0005-0000-0000-0000E10D0000}"/>
    <cellStyle name="20% - Accent2 5 7 2 3 3" xfId="3558" xr:uid="{00000000-0005-0000-0000-0000E20D0000}"/>
    <cellStyle name="20% - Accent2 5 7 2 4" xfId="3559" xr:uid="{00000000-0005-0000-0000-0000E30D0000}"/>
    <cellStyle name="20% - Accent2 5 7 2 4 2" xfId="3560" xr:uid="{00000000-0005-0000-0000-0000E40D0000}"/>
    <cellStyle name="20% - Accent2 5 7 2 4 2 2" xfId="3561" xr:uid="{00000000-0005-0000-0000-0000E50D0000}"/>
    <cellStyle name="20% - Accent2 5 7 2 4 3" xfId="3562" xr:uid="{00000000-0005-0000-0000-0000E60D0000}"/>
    <cellStyle name="20% - Accent2 5 7 2 5" xfId="3563" xr:uid="{00000000-0005-0000-0000-0000E70D0000}"/>
    <cellStyle name="20% - Accent2 5 7 2 5 2" xfId="3564" xr:uid="{00000000-0005-0000-0000-0000E80D0000}"/>
    <cellStyle name="20% - Accent2 5 7 2 5 2 2" xfId="3565" xr:uid="{00000000-0005-0000-0000-0000E90D0000}"/>
    <cellStyle name="20% - Accent2 5 7 2 5 3" xfId="3566" xr:uid="{00000000-0005-0000-0000-0000EA0D0000}"/>
    <cellStyle name="20% - Accent2 5 7 2 6" xfId="3567" xr:uid="{00000000-0005-0000-0000-0000EB0D0000}"/>
    <cellStyle name="20% - Accent2 5 7 2 6 2" xfId="3568" xr:uid="{00000000-0005-0000-0000-0000EC0D0000}"/>
    <cellStyle name="20% - Accent2 5 7 2 6 2 2" xfId="3569" xr:uid="{00000000-0005-0000-0000-0000ED0D0000}"/>
    <cellStyle name="20% - Accent2 5 7 2 6 3" xfId="3570" xr:uid="{00000000-0005-0000-0000-0000EE0D0000}"/>
    <cellStyle name="20% - Accent2 5 7 2 7" xfId="3571" xr:uid="{00000000-0005-0000-0000-0000EF0D0000}"/>
    <cellStyle name="20% - Accent2 5 7 2 7 2" xfId="3572" xr:uid="{00000000-0005-0000-0000-0000F00D0000}"/>
    <cellStyle name="20% - Accent2 5 7 2 8" xfId="3573" xr:uid="{00000000-0005-0000-0000-0000F10D0000}"/>
    <cellStyle name="20% - Accent2 5 7 3" xfId="3574" xr:uid="{00000000-0005-0000-0000-0000F20D0000}"/>
    <cellStyle name="20% - Accent2 5 7 3 2" xfId="3575" xr:uid="{00000000-0005-0000-0000-0000F30D0000}"/>
    <cellStyle name="20% - Accent2 5 7 3 2 2" xfId="3576" xr:uid="{00000000-0005-0000-0000-0000F40D0000}"/>
    <cellStyle name="20% - Accent2 5 7 3 2 2 2" xfId="3577" xr:uid="{00000000-0005-0000-0000-0000F50D0000}"/>
    <cellStyle name="20% - Accent2 5 7 3 2 2 2 2" xfId="3578" xr:uid="{00000000-0005-0000-0000-0000F60D0000}"/>
    <cellStyle name="20% - Accent2 5 7 3 2 2 3" xfId="3579" xr:uid="{00000000-0005-0000-0000-0000F70D0000}"/>
    <cellStyle name="20% - Accent2 5 7 3 2 3" xfId="3580" xr:uid="{00000000-0005-0000-0000-0000F80D0000}"/>
    <cellStyle name="20% - Accent2 5 7 3 2 3 2" xfId="3581" xr:uid="{00000000-0005-0000-0000-0000F90D0000}"/>
    <cellStyle name="20% - Accent2 5 7 3 2 4" xfId="3582" xr:uid="{00000000-0005-0000-0000-0000FA0D0000}"/>
    <cellStyle name="20% - Accent2 5 7 3 3" xfId="3583" xr:uid="{00000000-0005-0000-0000-0000FB0D0000}"/>
    <cellStyle name="20% - Accent2 5 7 3 3 2" xfId="3584" xr:uid="{00000000-0005-0000-0000-0000FC0D0000}"/>
    <cellStyle name="20% - Accent2 5 7 3 3 2 2" xfId="3585" xr:uid="{00000000-0005-0000-0000-0000FD0D0000}"/>
    <cellStyle name="20% - Accent2 5 7 3 3 3" xfId="3586" xr:uid="{00000000-0005-0000-0000-0000FE0D0000}"/>
    <cellStyle name="20% - Accent2 5 7 3 4" xfId="3587" xr:uid="{00000000-0005-0000-0000-0000FF0D0000}"/>
    <cellStyle name="20% - Accent2 5 7 3 4 2" xfId="3588" xr:uid="{00000000-0005-0000-0000-0000000E0000}"/>
    <cellStyle name="20% - Accent2 5 7 3 4 2 2" xfId="3589" xr:uid="{00000000-0005-0000-0000-0000010E0000}"/>
    <cellStyle name="20% - Accent2 5 7 3 4 3" xfId="3590" xr:uid="{00000000-0005-0000-0000-0000020E0000}"/>
    <cellStyle name="20% - Accent2 5 7 3 5" xfId="3591" xr:uid="{00000000-0005-0000-0000-0000030E0000}"/>
    <cellStyle name="20% - Accent2 5 7 3 5 2" xfId="3592" xr:uid="{00000000-0005-0000-0000-0000040E0000}"/>
    <cellStyle name="20% - Accent2 5 7 3 5 2 2" xfId="3593" xr:uid="{00000000-0005-0000-0000-0000050E0000}"/>
    <cellStyle name="20% - Accent2 5 7 3 5 3" xfId="3594" xr:uid="{00000000-0005-0000-0000-0000060E0000}"/>
    <cellStyle name="20% - Accent2 5 7 3 6" xfId="3595" xr:uid="{00000000-0005-0000-0000-0000070E0000}"/>
    <cellStyle name="20% - Accent2 5 7 3 6 2" xfId="3596" xr:uid="{00000000-0005-0000-0000-0000080E0000}"/>
    <cellStyle name="20% - Accent2 5 7 3 6 2 2" xfId="3597" xr:uid="{00000000-0005-0000-0000-0000090E0000}"/>
    <cellStyle name="20% - Accent2 5 7 3 6 3" xfId="3598" xr:uid="{00000000-0005-0000-0000-00000A0E0000}"/>
    <cellStyle name="20% - Accent2 5 7 3 7" xfId="3599" xr:uid="{00000000-0005-0000-0000-00000B0E0000}"/>
    <cellStyle name="20% - Accent2 5 7 3 7 2" xfId="3600" xr:uid="{00000000-0005-0000-0000-00000C0E0000}"/>
    <cellStyle name="20% - Accent2 5 7 3 8" xfId="3601" xr:uid="{00000000-0005-0000-0000-00000D0E0000}"/>
    <cellStyle name="20% - Accent2 5 7 4" xfId="3602" xr:uid="{00000000-0005-0000-0000-00000E0E0000}"/>
    <cellStyle name="20% - Accent2 5 7 4 2" xfId="3603" xr:uid="{00000000-0005-0000-0000-00000F0E0000}"/>
    <cellStyle name="20% - Accent2 5 7 4 2 2" xfId="3604" xr:uid="{00000000-0005-0000-0000-0000100E0000}"/>
    <cellStyle name="20% - Accent2 5 7 4 2 2 2" xfId="3605" xr:uid="{00000000-0005-0000-0000-0000110E0000}"/>
    <cellStyle name="20% - Accent2 5 7 4 2 2 2 2" xfId="3606" xr:uid="{00000000-0005-0000-0000-0000120E0000}"/>
    <cellStyle name="20% - Accent2 5 7 4 2 2 3" xfId="3607" xr:uid="{00000000-0005-0000-0000-0000130E0000}"/>
    <cellStyle name="20% - Accent2 5 7 4 2 3" xfId="3608" xr:uid="{00000000-0005-0000-0000-0000140E0000}"/>
    <cellStyle name="20% - Accent2 5 7 4 2 3 2" xfId="3609" xr:uid="{00000000-0005-0000-0000-0000150E0000}"/>
    <cellStyle name="20% - Accent2 5 7 4 2 4" xfId="3610" xr:uid="{00000000-0005-0000-0000-0000160E0000}"/>
    <cellStyle name="20% - Accent2 5 7 4 3" xfId="3611" xr:uid="{00000000-0005-0000-0000-0000170E0000}"/>
    <cellStyle name="20% - Accent2 5 7 4 3 2" xfId="3612" xr:uid="{00000000-0005-0000-0000-0000180E0000}"/>
    <cellStyle name="20% - Accent2 5 7 4 3 2 2" xfId="3613" xr:uid="{00000000-0005-0000-0000-0000190E0000}"/>
    <cellStyle name="20% - Accent2 5 7 4 3 3" xfId="3614" xr:uid="{00000000-0005-0000-0000-00001A0E0000}"/>
    <cellStyle name="20% - Accent2 5 7 4 4" xfId="3615" xr:uid="{00000000-0005-0000-0000-00001B0E0000}"/>
    <cellStyle name="20% - Accent2 5 7 4 4 2" xfId="3616" xr:uid="{00000000-0005-0000-0000-00001C0E0000}"/>
    <cellStyle name="20% - Accent2 5 7 4 4 2 2" xfId="3617" xr:uid="{00000000-0005-0000-0000-00001D0E0000}"/>
    <cellStyle name="20% - Accent2 5 7 4 4 3" xfId="3618" xr:uid="{00000000-0005-0000-0000-00001E0E0000}"/>
    <cellStyle name="20% - Accent2 5 7 4 5" xfId="3619" xr:uid="{00000000-0005-0000-0000-00001F0E0000}"/>
    <cellStyle name="20% - Accent2 5 7 4 5 2" xfId="3620" xr:uid="{00000000-0005-0000-0000-0000200E0000}"/>
    <cellStyle name="20% - Accent2 5 7 4 5 2 2" xfId="3621" xr:uid="{00000000-0005-0000-0000-0000210E0000}"/>
    <cellStyle name="20% - Accent2 5 7 4 5 3" xfId="3622" xr:uid="{00000000-0005-0000-0000-0000220E0000}"/>
    <cellStyle name="20% - Accent2 5 7 4 6" xfId="3623" xr:uid="{00000000-0005-0000-0000-0000230E0000}"/>
    <cellStyle name="20% - Accent2 5 7 4 6 2" xfId="3624" xr:uid="{00000000-0005-0000-0000-0000240E0000}"/>
    <cellStyle name="20% - Accent2 5 7 4 6 2 2" xfId="3625" xr:uid="{00000000-0005-0000-0000-0000250E0000}"/>
    <cellStyle name="20% - Accent2 5 7 4 6 3" xfId="3626" xr:uid="{00000000-0005-0000-0000-0000260E0000}"/>
    <cellStyle name="20% - Accent2 5 7 4 7" xfId="3627" xr:uid="{00000000-0005-0000-0000-0000270E0000}"/>
    <cellStyle name="20% - Accent2 5 7 4 7 2" xfId="3628" xr:uid="{00000000-0005-0000-0000-0000280E0000}"/>
    <cellStyle name="20% - Accent2 5 7 4 8" xfId="3629" xr:uid="{00000000-0005-0000-0000-0000290E0000}"/>
    <cellStyle name="20% - Accent2 5 7 5" xfId="3630" xr:uid="{00000000-0005-0000-0000-00002A0E0000}"/>
    <cellStyle name="20% - Accent2 5 7 5 2" xfId="3631" xr:uid="{00000000-0005-0000-0000-00002B0E0000}"/>
    <cellStyle name="20% - Accent2 5 7 5 2 2" xfId="3632" xr:uid="{00000000-0005-0000-0000-00002C0E0000}"/>
    <cellStyle name="20% - Accent2 5 7 5 2 2 2" xfId="3633" xr:uid="{00000000-0005-0000-0000-00002D0E0000}"/>
    <cellStyle name="20% - Accent2 5 7 5 2 2 2 2" xfId="3634" xr:uid="{00000000-0005-0000-0000-00002E0E0000}"/>
    <cellStyle name="20% - Accent2 5 7 5 2 2 3" xfId="3635" xr:uid="{00000000-0005-0000-0000-00002F0E0000}"/>
    <cellStyle name="20% - Accent2 5 7 5 2 3" xfId="3636" xr:uid="{00000000-0005-0000-0000-0000300E0000}"/>
    <cellStyle name="20% - Accent2 5 7 5 2 3 2" xfId="3637" xr:uid="{00000000-0005-0000-0000-0000310E0000}"/>
    <cellStyle name="20% - Accent2 5 7 5 2 4" xfId="3638" xr:uid="{00000000-0005-0000-0000-0000320E0000}"/>
    <cellStyle name="20% - Accent2 5 7 5 3" xfId="3639" xr:uid="{00000000-0005-0000-0000-0000330E0000}"/>
    <cellStyle name="20% - Accent2 5 7 5 3 2" xfId="3640" xr:uid="{00000000-0005-0000-0000-0000340E0000}"/>
    <cellStyle name="20% - Accent2 5 7 5 3 2 2" xfId="3641" xr:uid="{00000000-0005-0000-0000-0000350E0000}"/>
    <cellStyle name="20% - Accent2 5 7 5 3 3" xfId="3642" xr:uid="{00000000-0005-0000-0000-0000360E0000}"/>
    <cellStyle name="20% - Accent2 5 7 5 4" xfId="3643" xr:uid="{00000000-0005-0000-0000-0000370E0000}"/>
    <cellStyle name="20% - Accent2 5 7 5 4 2" xfId="3644" xr:uid="{00000000-0005-0000-0000-0000380E0000}"/>
    <cellStyle name="20% - Accent2 5 7 5 5" xfId="3645" xr:uid="{00000000-0005-0000-0000-0000390E0000}"/>
    <cellStyle name="20% - Accent2 5 7 6" xfId="3646" xr:uid="{00000000-0005-0000-0000-00003A0E0000}"/>
    <cellStyle name="20% - Accent2 5 7 6 2" xfId="3647" xr:uid="{00000000-0005-0000-0000-00003B0E0000}"/>
    <cellStyle name="20% - Accent2 5 7 6 2 2" xfId="3648" xr:uid="{00000000-0005-0000-0000-00003C0E0000}"/>
    <cellStyle name="20% - Accent2 5 7 6 2 2 2" xfId="3649" xr:uid="{00000000-0005-0000-0000-00003D0E0000}"/>
    <cellStyle name="20% - Accent2 5 7 6 2 2 2 2" xfId="3650" xr:uid="{00000000-0005-0000-0000-00003E0E0000}"/>
    <cellStyle name="20% - Accent2 5 7 6 2 2 3" xfId="3651" xr:uid="{00000000-0005-0000-0000-00003F0E0000}"/>
    <cellStyle name="20% - Accent2 5 7 6 2 3" xfId="3652" xr:uid="{00000000-0005-0000-0000-0000400E0000}"/>
    <cellStyle name="20% - Accent2 5 7 6 2 3 2" xfId="3653" xr:uid="{00000000-0005-0000-0000-0000410E0000}"/>
    <cellStyle name="20% - Accent2 5 7 6 2 4" xfId="3654" xr:uid="{00000000-0005-0000-0000-0000420E0000}"/>
    <cellStyle name="20% - Accent2 5 7 6 3" xfId="3655" xr:uid="{00000000-0005-0000-0000-0000430E0000}"/>
    <cellStyle name="20% - Accent2 5 7 6 3 2" xfId="3656" xr:uid="{00000000-0005-0000-0000-0000440E0000}"/>
    <cellStyle name="20% - Accent2 5 7 6 3 2 2" xfId="3657" xr:uid="{00000000-0005-0000-0000-0000450E0000}"/>
    <cellStyle name="20% - Accent2 5 7 6 3 3" xfId="3658" xr:uid="{00000000-0005-0000-0000-0000460E0000}"/>
    <cellStyle name="20% - Accent2 5 7 6 4" xfId="3659" xr:uid="{00000000-0005-0000-0000-0000470E0000}"/>
    <cellStyle name="20% - Accent2 5 7 6 4 2" xfId="3660" xr:uid="{00000000-0005-0000-0000-0000480E0000}"/>
    <cellStyle name="20% - Accent2 5 7 6 5" xfId="3661" xr:uid="{00000000-0005-0000-0000-0000490E0000}"/>
    <cellStyle name="20% - Accent2 5 7 7" xfId="3662" xr:uid="{00000000-0005-0000-0000-00004A0E0000}"/>
    <cellStyle name="20% - Accent2 5 7 7 2" xfId="3663" xr:uid="{00000000-0005-0000-0000-00004B0E0000}"/>
    <cellStyle name="20% - Accent2 5 7 7 2 2" xfId="3664" xr:uid="{00000000-0005-0000-0000-00004C0E0000}"/>
    <cellStyle name="20% - Accent2 5 7 7 2 2 2" xfId="3665" xr:uid="{00000000-0005-0000-0000-00004D0E0000}"/>
    <cellStyle name="20% - Accent2 5 7 7 2 3" xfId="3666" xr:uid="{00000000-0005-0000-0000-00004E0E0000}"/>
    <cellStyle name="20% - Accent2 5 7 7 3" xfId="3667" xr:uid="{00000000-0005-0000-0000-00004F0E0000}"/>
    <cellStyle name="20% - Accent2 5 7 7 3 2" xfId="3668" xr:uid="{00000000-0005-0000-0000-0000500E0000}"/>
    <cellStyle name="20% - Accent2 5 7 7 4" xfId="3669" xr:uid="{00000000-0005-0000-0000-0000510E0000}"/>
    <cellStyle name="20% - Accent2 5 7 8" xfId="3670" xr:uid="{00000000-0005-0000-0000-0000520E0000}"/>
    <cellStyle name="20% - Accent2 5 7 8 2" xfId="3671" xr:uid="{00000000-0005-0000-0000-0000530E0000}"/>
    <cellStyle name="20% - Accent2 5 7 8 2 2" xfId="3672" xr:uid="{00000000-0005-0000-0000-0000540E0000}"/>
    <cellStyle name="20% - Accent2 5 7 8 2 2 2" xfId="3673" xr:uid="{00000000-0005-0000-0000-0000550E0000}"/>
    <cellStyle name="20% - Accent2 5 7 8 2 3" xfId="3674" xr:uid="{00000000-0005-0000-0000-0000560E0000}"/>
    <cellStyle name="20% - Accent2 5 7 8 3" xfId="3675" xr:uid="{00000000-0005-0000-0000-0000570E0000}"/>
    <cellStyle name="20% - Accent2 5 7 8 3 2" xfId="3676" xr:uid="{00000000-0005-0000-0000-0000580E0000}"/>
    <cellStyle name="20% - Accent2 5 7 8 4" xfId="3677" xr:uid="{00000000-0005-0000-0000-0000590E0000}"/>
    <cellStyle name="20% - Accent2 5 7 9" xfId="3678" xr:uid="{00000000-0005-0000-0000-00005A0E0000}"/>
    <cellStyle name="20% - Accent2 5 7 9 2" xfId="3679" xr:uid="{00000000-0005-0000-0000-00005B0E0000}"/>
    <cellStyle name="20% - Accent2 5 7 9 2 2" xfId="3680" xr:uid="{00000000-0005-0000-0000-00005C0E0000}"/>
    <cellStyle name="20% - Accent2 5 7 9 3" xfId="3681" xr:uid="{00000000-0005-0000-0000-00005D0E0000}"/>
    <cellStyle name="20% - Accent2 5 8" xfId="3682" xr:uid="{00000000-0005-0000-0000-00005E0E0000}"/>
    <cellStyle name="20% - Accent2 5 8 2" xfId="3683" xr:uid="{00000000-0005-0000-0000-00005F0E0000}"/>
    <cellStyle name="20% - Accent2 5 8 2 2" xfId="3684" xr:uid="{00000000-0005-0000-0000-0000600E0000}"/>
    <cellStyle name="20% - Accent2 5 8 2 2 2" xfId="3685" xr:uid="{00000000-0005-0000-0000-0000610E0000}"/>
    <cellStyle name="20% - Accent2 5 8 2 2 2 2" xfId="3686" xr:uid="{00000000-0005-0000-0000-0000620E0000}"/>
    <cellStyle name="20% - Accent2 5 8 2 2 3" xfId="3687" xr:uid="{00000000-0005-0000-0000-0000630E0000}"/>
    <cellStyle name="20% - Accent2 5 8 2 3" xfId="3688" xr:uid="{00000000-0005-0000-0000-0000640E0000}"/>
    <cellStyle name="20% - Accent2 5 8 2 3 2" xfId="3689" xr:uid="{00000000-0005-0000-0000-0000650E0000}"/>
    <cellStyle name="20% - Accent2 5 8 2 4" xfId="3690" xr:uid="{00000000-0005-0000-0000-0000660E0000}"/>
    <cellStyle name="20% - Accent2 5 8 3" xfId="3691" xr:uid="{00000000-0005-0000-0000-0000670E0000}"/>
    <cellStyle name="20% - Accent2 5 8 3 2" xfId="3692" xr:uid="{00000000-0005-0000-0000-0000680E0000}"/>
    <cellStyle name="20% - Accent2 5 8 3 2 2" xfId="3693" xr:uid="{00000000-0005-0000-0000-0000690E0000}"/>
    <cellStyle name="20% - Accent2 5 8 3 3" xfId="3694" xr:uid="{00000000-0005-0000-0000-00006A0E0000}"/>
    <cellStyle name="20% - Accent2 5 8 4" xfId="3695" xr:uid="{00000000-0005-0000-0000-00006B0E0000}"/>
    <cellStyle name="20% - Accent2 5 8 4 2" xfId="3696" xr:uid="{00000000-0005-0000-0000-00006C0E0000}"/>
    <cellStyle name="20% - Accent2 5 8 4 2 2" xfId="3697" xr:uid="{00000000-0005-0000-0000-00006D0E0000}"/>
    <cellStyle name="20% - Accent2 5 8 4 3" xfId="3698" xr:uid="{00000000-0005-0000-0000-00006E0E0000}"/>
    <cellStyle name="20% - Accent2 5 8 5" xfId="3699" xr:uid="{00000000-0005-0000-0000-00006F0E0000}"/>
    <cellStyle name="20% - Accent2 5 8 5 2" xfId="3700" xr:uid="{00000000-0005-0000-0000-0000700E0000}"/>
    <cellStyle name="20% - Accent2 5 8 5 2 2" xfId="3701" xr:uid="{00000000-0005-0000-0000-0000710E0000}"/>
    <cellStyle name="20% - Accent2 5 8 5 3" xfId="3702" xr:uid="{00000000-0005-0000-0000-0000720E0000}"/>
    <cellStyle name="20% - Accent2 5 8 6" xfId="3703" xr:uid="{00000000-0005-0000-0000-0000730E0000}"/>
    <cellStyle name="20% - Accent2 5 8 6 2" xfId="3704" xr:uid="{00000000-0005-0000-0000-0000740E0000}"/>
    <cellStyle name="20% - Accent2 5 8 6 2 2" xfId="3705" xr:uid="{00000000-0005-0000-0000-0000750E0000}"/>
    <cellStyle name="20% - Accent2 5 8 6 3" xfId="3706" xr:uid="{00000000-0005-0000-0000-0000760E0000}"/>
    <cellStyle name="20% - Accent2 5 8 7" xfId="3707" xr:uid="{00000000-0005-0000-0000-0000770E0000}"/>
    <cellStyle name="20% - Accent2 5 8 7 2" xfId="3708" xr:uid="{00000000-0005-0000-0000-0000780E0000}"/>
    <cellStyle name="20% - Accent2 5 8 8" xfId="3709" xr:uid="{00000000-0005-0000-0000-0000790E0000}"/>
    <cellStyle name="20% - Accent2 5 9" xfId="3710" xr:uid="{00000000-0005-0000-0000-00007A0E0000}"/>
    <cellStyle name="20% - Accent2 5 9 2" xfId="3711" xr:uid="{00000000-0005-0000-0000-00007B0E0000}"/>
    <cellStyle name="20% - Accent2 5 9 2 2" xfId="3712" xr:uid="{00000000-0005-0000-0000-00007C0E0000}"/>
    <cellStyle name="20% - Accent2 5 9 2 2 2" xfId="3713" xr:uid="{00000000-0005-0000-0000-00007D0E0000}"/>
    <cellStyle name="20% - Accent2 5 9 2 2 2 2" xfId="3714" xr:uid="{00000000-0005-0000-0000-00007E0E0000}"/>
    <cellStyle name="20% - Accent2 5 9 2 2 3" xfId="3715" xr:uid="{00000000-0005-0000-0000-00007F0E0000}"/>
    <cellStyle name="20% - Accent2 5 9 2 3" xfId="3716" xr:uid="{00000000-0005-0000-0000-0000800E0000}"/>
    <cellStyle name="20% - Accent2 5 9 2 3 2" xfId="3717" xr:uid="{00000000-0005-0000-0000-0000810E0000}"/>
    <cellStyle name="20% - Accent2 5 9 2 4" xfId="3718" xr:uid="{00000000-0005-0000-0000-0000820E0000}"/>
    <cellStyle name="20% - Accent2 5 9 3" xfId="3719" xr:uid="{00000000-0005-0000-0000-0000830E0000}"/>
    <cellStyle name="20% - Accent2 5 9 3 2" xfId="3720" xr:uid="{00000000-0005-0000-0000-0000840E0000}"/>
    <cellStyle name="20% - Accent2 5 9 3 2 2" xfId="3721" xr:uid="{00000000-0005-0000-0000-0000850E0000}"/>
    <cellStyle name="20% - Accent2 5 9 3 3" xfId="3722" xr:uid="{00000000-0005-0000-0000-0000860E0000}"/>
    <cellStyle name="20% - Accent2 5 9 4" xfId="3723" xr:uid="{00000000-0005-0000-0000-0000870E0000}"/>
    <cellStyle name="20% - Accent2 5 9 4 2" xfId="3724" xr:uid="{00000000-0005-0000-0000-0000880E0000}"/>
    <cellStyle name="20% - Accent2 5 9 4 2 2" xfId="3725" xr:uid="{00000000-0005-0000-0000-0000890E0000}"/>
    <cellStyle name="20% - Accent2 5 9 4 3" xfId="3726" xr:uid="{00000000-0005-0000-0000-00008A0E0000}"/>
    <cellStyle name="20% - Accent2 5 9 5" xfId="3727" xr:uid="{00000000-0005-0000-0000-00008B0E0000}"/>
    <cellStyle name="20% - Accent2 5 9 5 2" xfId="3728" xr:uid="{00000000-0005-0000-0000-00008C0E0000}"/>
    <cellStyle name="20% - Accent2 5 9 5 2 2" xfId="3729" xr:uid="{00000000-0005-0000-0000-00008D0E0000}"/>
    <cellStyle name="20% - Accent2 5 9 5 3" xfId="3730" xr:uid="{00000000-0005-0000-0000-00008E0E0000}"/>
    <cellStyle name="20% - Accent2 5 9 6" xfId="3731" xr:uid="{00000000-0005-0000-0000-00008F0E0000}"/>
    <cellStyle name="20% - Accent2 5 9 6 2" xfId="3732" xr:uid="{00000000-0005-0000-0000-0000900E0000}"/>
    <cellStyle name="20% - Accent2 5 9 6 2 2" xfId="3733" xr:uid="{00000000-0005-0000-0000-0000910E0000}"/>
    <cellStyle name="20% - Accent2 5 9 6 3" xfId="3734" xr:uid="{00000000-0005-0000-0000-0000920E0000}"/>
    <cellStyle name="20% - Accent2 5 9 7" xfId="3735" xr:uid="{00000000-0005-0000-0000-0000930E0000}"/>
    <cellStyle name="20% - Accent2 5 9 7 2" xfId="3736" xr:uid="{00000000-0005-0000-0000-0000940E0000}"/>
    <cellStyle name="20% - Accent2 5 9 8" xfId="3737" xr:uid="{00000000-0005-0000-0000-0000950E0000}"/>
    <cellStyle name="20% - Accent2 6" xfId="3738" xr:uid="{00000000-0005-0000-0000-0000960E0000}"/>
    <cellStyle name="20% - Accent3 2" xfId="3739" xr:uid="{00000000-0005-0000-0000-0000970E0000}"/>
    <cellStyle name="20% - Accent3 3" xfId="3740" xr:uid="{00000000-0005-0000-0000-0000980E0000}"/>
    <cellStyle name="20% - Accent3 4" xfId="3741" xr:uid="{00000000-0005-0000-0000-0000990E0000}"/>
    <cellStyle name="20% - Accent3 5" xfId="3742" xr:uid="{00000000-0005-0000-0000-00009A0E0000}"/>
    <cellStyle name="20% - Accent3 5 10" xfId="3743" xr:uid="{00000000-0005-0000-0000-00009B0E0000}"/>
    <cellStyle name="20% - Accent3 5 10 2" xfId="3744" xr:uid="{00000000-0005-0000-0000-00009C0E0000}"/>
    <cellStyle name="20% - Accent3 5 10 2 2" xfId="3745" xr:uid="{00000000-0005-0000-0000-00009D0E0000}"/>
    <cellStyle name="20% - Accent3 5 10 2 2 2" xfId="3746" xr:uid="{00000000-0005-0000-0000-00009E0E0000}"/>
    <cellStyle name="20% - Accent3 5 10 2 2 2 2" xfId="3747" xr:uid="{00000000-0005-0000-0000-00009F0E0000}"/>
    <cellStyle name="20% - Accent3 5 10 2 2 3" xfId="3748" xr:uid="{00000000-0005-0000-0000-0000A00E0000}"/>
    <cellStyle name="20% - Accent3 5 10 2 3" xfId="3749" xr:uid="{00000000-0005-0000-0000-0000A10E0000}"/>
    <cellStyle name="20% - Accent3 5 10 2 3 2" xfId="3750" xr:uid="{00000000-0005-0000-0000-0000A20E0000}"/>
    <cellStyle name="20% - Accent3 5 10 2 4" xfId="3751" xr:uid="{00000000-0005-0000-0000-0000A30E0000}"/>
    <cellStyle name="20% - Accent3 5 10 3" xfId="3752" xr:uid="{00000000-0005-0000-0000-0000A40E0000}"/>
    <cellStyle name="20% - Accent3 5 10 3 2" xfId="3753" xr:uid="{00000000-0005-0000-0000-0000A50E0000}"/>
    <cellStyle name="20% - Accent3 5 10 3 2 2" xfId="3754" xr:uid="{00000000-0005-0000-0000-0000A60E0000}"/>
    <cellStyle name="20% - Accent3 5 10 3 3" xfId="3755" xr:uid="{00000000-0005-0000-0000-0000A70E0000}"/>
    <cellStyle name="20% - Accent3 5 10 4" xfId="3756" xr:uid="{00000000-0005-0000-0000-0000A80E0000}"/>
    <cellStyle name="20% - Accent3 5 10 4 2" xfId="3757" xr:uid="{00000000-0005-0000-0000-0000A90E0000}"/>
    <cellStyle name="20% - Accent3 5 10 4 2 2" xfId="3758" xr:uid="{00000000-0005-0000-0000-0000AA0E0000}"/>
    <cellStyle name="20% - Accent3 5 10 4 3" xfId="3759" xr:uid="{00000000-0005-0000-0000-0000AB0E0000}"/>
    <cellStyle name="20% - Accent3 5 10 5" xfId="3760" xr:uid="{00000000-0005-0000-0000-0000AC0E0000}"/>
    <cellStyle name="20% - Accent3 5 10 5 2" xfId="3761" xr:uid="{00000000-0005-0000-0000-0000AD0E0000}"/>
    <cellStyle name="20% - Accent3 5 10 5 2 2" xfId="3762" xr:uid="{00000000-0005-0000-0000-0000AE0E0000}"/>
    <cellStyle name="20% - Accent3 5 10 5 3" xfId="3763" xr:uid="{00000000-0005-0000-0000-0000AF0E0000}"/>
    <cellStyle name="20% - Accent3 5 10 6" xfId="3764" xr:uid="{00000000-0005-0000-0000-0000B00E0000}"/>
    <cellStyle name="20% - Accent3 5 10 6 2" xfId="3765" xr:uid="{00000000-0005-0000-0000-0000B10E0000}"/>
    <cellStyle name="20% - Accent3 5 10 6 2 2" xfId="3766" xr:uid="{00000000-0005-0000-0000-0000B20E0000}"/>
    <cellStyle name="20% - Accent3 5 10 6 3" xfId="3767" xr:uid="{00000000-0005-0000-0000-0000B30E0000}"/>
    <cellStyle name="20% - Accent3 5 10 7" xfId="3768" xr:uid="{00000000-0005-0000-0000-0000B40E0000}"/>
    <cellStyle name="20% - Accent3 5 10 7 2" xfId="3769" xr:uid="{00000000-0005-0000-0000-0000B50E0000}"/>
    <cellStyle name="20% - Accent3 5 10 8" xfId="3770" xr:uid="{00000000-0005-0000-0000-0000B60E0000}"/>
    <cellStyle name="20% - Accent3 5 11" xfId="3771" xr:uid="{00000000-0005-0000-0000-0000B70E0000}"/>
    <cellStyle name="20% - Accent3 5 11 2" xfId="3772" xr:uid="{00000000-0005-0000-0000-0000B80E0000}"/>
    <cellStyle name="20% - Accent3 5 11 2 2" xfId="3773" xr:uid="{00000000-0005-0000-0000-0000B90E0000}"/>
    <cellStyle name="20% - Accent3 5 11 2 2 2" xfId="3774" xr:uid="{00000000-0005-0000-0000-0000BA0E0000}"/>
    <cellStyle name="20% - Accent3 5 11 2 2 2 2" xfId="3775" xr:uid="{00000000-0005-0000-0000-0000BB0E0000}"/>
    <cellStyle name="20% - Accent3 5 11 2 2 3" xfId="3776" xr:uid="{00000000-0005-0000-0000-0000BC0E0000}"/>
    <cellStyle name="20% - Accent3 5 11 2 3" xfId="3777" xr:uid="{00000000-0005-0000-0000-0000BD0E0000}"/>
    <cellStyle name="20% - Accent3 5 11 2 3 2" xfId="3778" xr:uid="{00000000-0005-0000-0000-0000BE0E0000}"/>
    <cellStyle name="20% - Accent3 5 11 2 4" xfId="3779" xr:uid="{00000000-0005-0000-0000-0000BF0E0000}"/>
    <cellStyle name="20% - Accent3 5 11 3" xfId="3780" xr:uid="{00000000-0005-0000-0000-0000C00E0000}"/>
    <cellStyle name="20% - Accent3 5 11 3 2" xfId="3781" xr:uid="{00000000-0005-0000-0000-0000C10E0000}"/>
    <cellStyle name="20% - Accent3 5 11 3 2 2" xfId="3782" xr:uid="{00000000-0005-0000-0000-0000C20E0000}"/>
    <cellStyle name="20% - Accent3 5 11 3 3" xfId="3783" xr:uid="{00000000-0005-0000-0000-0000C30E0000}"/>
    <cellStyle name="20% - Accent3 5 11 4" xfId="3784" xr:uid="{00000000-0005-0000-0000-0000C40E0000}"/>
    <cellStyle name="20% - Accent3 5 11 4 2" xfId="3785" xr:uid="{00000000-0005-0000-0000-0000C50E0000}"/>
    <cellStyle name="20% - Accent3 5 11 5" xfId="3786" xr:uid="{00000000-0005-0000-0000-0000C60E0000}"/>
    <cellStyle name="20% - Accent3 5 12" xfId="3787" xr:uid="{00000000-0005-0000-0000-0000C70E0000}"/>
    <cellStyle name="20% - Accent3 5 12 2" xfId="3788" xr:uid="{00000000-0005-0000-0000-0000C80E0000}"/>
    <cellStyle name="20% - Accent3 5 12 2 2" xfId="3789" xr:uid="{00000000-0005-0000-0000-0000C90E0000}"/>
    <cellStyle name="20% - Accent3 5 12 2 2 2" xfId="3790" xr:uid="{00000000-0005-0000-0000-0000CA0E0000}"/>
    <cellStyle name="20% - Accent3 5 12 2 2 2 2" xfId="3791" xr:uid="{00000000-0005-0000-0000-0000CB0E0000}"/>
    <cellStyle name="20% - Accent3 5 12 2 2 3" xfId="3792" xr:uid="{00000000-0005-0000-0000-0000CC0E0000}"/>
    <cellStyle name="20% - Accent3 5 12 2 3" xfId="3793" xr:uid="{00000000-0005-0000-0000-0000CD0E0000}"/>
    <cellStyle name="20% - Accent3 5 12 2 3 2" xfId="3794" xr:uid="{00000000-0005-0000-0000-0000CE0E0000}"/>
    <cellStyle name="20% - Accent3 5 12 2 4" xfId="3795" xr:uid="{00000000-0005-0000-0000-0000CF0E0000}"/>
    <cellStyle name="20% - Accent3 5 12 3" xfId="3796" xr:uid="{00000000-0005-0000-0000-0000D00E0000}"/>
    <cellStyle name="20% - Accent3 5 12 3 2" xfId="3797" xr:uid="{00000000-0005-0000-0000-0000D10E0000}"/>
    <cellStyle name="20% - Accent3 5 12 3 2 2" xfId="3798" xr:uid="{00000000-0005-0000-0000-0000D20E0000}"/>
    <cellStyle name="20% - Accent3 5 12 3 3" xfId="3799" xr:uid="{00000000-0005-0000-0000-0000D30E0000}"/>
    <cellStyle name="20% - Accent3 5 12 4" xfId="3800" xr:uid="{00000000-0005-0000-0000-0000D40E0000}"/>
    <cellStyle name="20% - Accent3 5 12 4 2" xfId="3801" xr:uid="{00000000-0005-0000-0000-0000D50E0000}"/>
    <cellStyle name="20% - Accent3 5 12 5" xfId="3802" xr:uid="{00000000-0005-0000-0000-0000D60E0000}"/>
    <cellStyle name="20% - Accent3 5 13" xfId="3803" xr:uid="{00000000-0005-0000-0000-0000D70E0000}"/>
    <cellStyle name="20% - Accent3 5 13 2" xfId="3804" xr:uid="{00000000-0005-0000-0000-0000D80E0000}"/>
    <cellStyle name="20% - Accent3 5 13 2 2" xfId="3805" xr:uid="{00000000-0005-0000-0000-0000D90E0000}"/>
    <cellStyle name="20% - Accent3 5 13 2 2 2" xfId="3806" xr:uid="{00000000-0005-0000-0000-0000DA0E0000}"/>
    <cellStyle name="20% - Accent3 5 13 2 2 2 2" xfId="3807" xr:uid="{00000000-0005-0000-0000-0000DB0E0000}"/>
    <cellStyle name="20% - Accent3 5 13 2 2 3" xfId="3808" xr:uid="{00000000-0005-0000-0000-0000DC0E0000}"/>
    <cellStyle name="20% - Accent3 5 13 2 3" xfId="3809" xr:uid="{00000000-0005-0000-0000-0000DD0E0000}"/>
    <cellStyle name="20% - Accent3 5 13 2 3 2" xfId="3810" xr:uid="{00000000-0005-0000-0000-0000DE0E0000}"/>
    <cellStyle name="20% - Accent3 5 13 2 4" xfId="3811" xr:uid="{00000000-0005-0000-0000-0000DF0E0000}"/>
    <cellStyle name="20% - Accent3 5 13 3" xfId="3812" xr:uid="{00000000-0005-0000-0000-0000E00E0000}"/>
    <cellStyle name="20% - Accent3 5 13 3 2" xfId="3813" xr:uid="{00000000-0005-0000-0000-0000E10E0000}"/>
    <cellStyle name="20% - Accent3 5 13 3 2 2" xfId="3814" xr:uid="{00000000-0005-0000-0000-0000E20E0000}"/>
    <cellStyle name="20% - Accent3 5 13 3 3" xfId="3815" xr:uid="{00000000-0005-0000-0000-0000E30E0000}"/>
    <cellStyle name="20% - Accent3 5 13 4" xfId="3816" xr:uid="{00000000-0005-0000-0000-0000E40E0000}"/>
    <cellStyle name="20% - Accent3 5 13 4 2" xfId="3817" xr:uid="{00000000-0005-0000-0000-0000E50E0000}"/>
    <cellStyle name="20% - Accent3 5 13 5" xfId="3818" xr:uid="{00000000-0005-0000-0000-0000E60E0000}"/>
    <cellStyle name="20% - Accent3 5 14" xfId="3819" xr:uid="{00000000-0005-0000-0000-0000E70E0000}"/>
    <cellStyle name="20% - Accent3 5 14 2" xfId="3820" xr:uid="{00000000-0005-0000-0000-0000E80E0000}"/>
    <cellStyle name="20% - Accent3 5 14 2 2" xfId="3821" xr:uid="{00000000-0005-0000-0000-0000E90E0000}"/>
    <cellStyle name="20% - Accent3 5 14 2 2 2" xfId="3822" xr:uid="{00000000-0005-0000-0000-0000EA0E0000}"/>
    <cellStyle name="20% - Accent3 5 14 2 3" xfId="3823" xr:uid="{00000000-0005-0000-0000-0000EB0E0000}"/>
    <cellStyle name="20% - Accent3 5 14 3" xfId="3824" xr:uid="{00000000-0005-0000-0000-0000EC0E0000}"/>
    <cellStyle name="20% - Accent3 5 14 3 2" xfId="3825" xr:uid="{00000000-0005-0000-0000-0000ED0E0000}"/>
    <cellStyle name="20% - Accent3 5 14 4" xfId="3826" xr:uid="{00000000-0005-0000-0000-0000EE0E0000}"/>
    <cellStyle name="20% - Accent3 5 15" xfId="3827" xr:uid="{00000000-0005-0000-0000-0000EF0E0000}"/>
    <cellStyle name="20% - Accent3 5 15 2" xfId="3828" xr:uid="{00000000-0005-0000-0000-0000F00E0000}"/>
    <cellStyle name="20% - Accent3 5 15 2 2" xfId="3829" xr:uid="{00000000-0005-0000-0000-0000F10E0000}"/>
    <cellStyle name="20% - Accent3 5 15 2 2 2" xfId="3830" xr:uid="{00000000-0005-0000-0000-0000F20E0000}"/>
    <cellStyle name="20% - Accent3 5 15 2 3" xfId="3831" xr:uid="{00000000-0005-0000-0000-0000F30E0000}"/>
    <cellStyle name="20% - Accent3 5 15 3" xfId="3832" xr:uid="{00000000-0005-0000-0000-0000F40E0000}"/>
    <cellStyle name="20% - Accent3 5 15 3 2" xfId="3833" xr:uid="{00000000-0005-0000-0000-0000F50E0000}"/>
    <cellStyle name="20% - Accent3 5 15 4" xfId="3834" xr:uid="{00000000-0005-0000-0000-0000F60E0000}"/>
    <cellStyle name="20% - Accent3 5 16" xfId="3835" xr:uid="{00000000-0005-0000-0000-0000F70E0000}"/>
    <cellStyle name="20% - Accent3 5 16 2" xfId="3836" xr:uid="{00000000-0005-0000-0000-0000F80E0000}"/>
    <cellStyle name="20% - Accent3 5 16 2 2" xfId="3837" xr:uid="{00000000-0005-0000-0000-0000F90E0000}"/>
    <cellStyle name="20% - Accent3 5 16 3" xfId="3838" xr:uid="{00000000-0005-0000-0000-0000FA0E0000}"/>
    <cellStyle name="20% - Accent3 5 17" xfId="3839" xr:uid="{00000000-0005-0000-0000-0000FB0E0000}"/>
    <cellStyle name="20% - Accent3 5 17 2" xfId="3840" xr:uid="{00000000-0005-0000-0000-0000FC0E0000}"/>
    <cellStyle name="20% - Accent3 5 17 2 2" xfId="3841" xr:uid="{00000000-0005-0000-0000-0000FD0E0000}"/>
    <cellStyle name="20% - Accent3 5 17 3" xfId="3842" xr:uid="{00000000-0005-0000-0000-0000FE0E0000}"/>
    <cellStyle name="20% - Accent3 5 18" xfId="3843" xr:uid="{00000000-0005-0000-0000-0000FF0E0000}"/>
    <cellStyle name="20% - Accent3 5 18 2" xfId="3844" xr:uid="{00000000-0005-0000-0000-0000000F0000}"/>
    <cellStyle name="20% - Accent3 5 18 2 2" xfId="3845" xr:uid="{00000000-0005-0000-0000-0000010F0000}"/>
    <cellStyle name="20% - Accent3 5 18 3" xfId="3846" xr:uid="{00000000-0005-0000-0000-0000020F0000}"/>
    <cellStyle name="20% - Accent3 5 19" xfId="3847" xr:uid="{00000000-0005-0000-0000-0000030F0000}"/>
    <cellStyle name="20% - Accent3 5 19 2" xfId="3848" xr:uid="{00000000-0005-0000-0000-0000040F0000}"/>
    <cellStyle name="20% - Accent3 5 19 2 2" xfId="3849" xr:uid="{00000000-0005-0000-0000-0000050F0000}"/>
    <cellStyle name="20% - Accent3 5 19 3" xfId="3850" xr:uid="{00000000-0005-0000-0000-0000060F0000}"/>
    <cellStyle name="20% - Accent3 5 2" xfId="3851" xr:uid="{00000000-0005-0000-0000-0000070F0000}"/>
    <cellStyle name="20% - Accent3 5 2 10" xfId="3852" xr:uid="{00000000-0005-0000-0000-0000080F0000}"/>
    <cellStyle name="20% - Accent3 5 2 10 2" xfId="3853" xr:uid="{00000000-0005-0000-0000-0000090F0000}"/>
    <cellStyle name="20% - Accent3 5 2 10 2 2" xfId="3854" xr:uid="{00000000-0005-0000-0000-00000A0F0000}"/>
    <cellStyle name="20% - Accent3 5 2 10 2 2 2" xfId="3855" xr:uid="{00000000-0005-0000-0000-00000B0F0000}"/>
    <cellStyle name="20% - Accent3 5 2 10 2 2 2 2" xfId="3856" xr:uid="{00000000-0005-0000-0000-00000C0F0000}"/>
    <cellStyle name="20% - Accent3 5 2 10 2 2 3" xfId="3857" xr:uid="{00000000-0005-0000-0000-00000D0F0000}"/>
    <cellStyle name="20% - Accent3 5 2 10 2 3" xfId="3858" xr:uid="{00000000-0005-0000-0000-00000E0F0000}"/>
    <cellStyle name="20% - Accent3 5 2 10 2 3 2" xfId="3859" xr:uid="{00000000-0005-0000-0000-00000F0F0000}"/>
    <cellStyle name="20% - Accent3 5 2 10 2 4" xfId="3860" xr:uid="{00000000-0005-0000-0000-0000100F0000}"/>
    <cellStyle name="20% - Accent3 5 2 10 3" xfId="3861" xr:uid="{00000000-0005-0000-0000-0000110F0000}"/>
    <cellStyle name="20% - Accent3 5 2 10 3 2" xfId="3862" xr:uid="{00000000-0005-0000-0000-0000120F0000}"/>
    <cellStyle name="20% - Accent3 5 2 10 3 2 2" xfId="3863" xr:uid="{00000000-0005-0000-0000-0000130F0000}"/>
    <cellStyle name="20% - Accent3 5 2 10 3 3" xfId="3864" xr:uid="{00000000-0005-0000-0000-0000140F0000}"/>
    <cellStyle name="20% - Accent3 5 2 10 4" xfId="3865" xr:uid="{00000000-0005-0000-0000-0000150F0000}"/>
    <cellStyle name="20% - Accent3 5 2 10 4 2" xfId="3866" xr:uid="{00000000-0005-0000-0000-0000160F0000}"/>
    <cellStyle name="20% - Accent3 5 2 10 5" xfId="3867" xr:uid="{00000000-0005-0000-0000-0000170F0000}"/>
    <cellStyle name="20% - Accent3 5 2 11" xfId="3868" xr:uid="{00000000-0005-0000-0000-0000180F0000}"/>
    <cellStyle name="20% - Accent3 5 2 11 2" xfId="3869" xr:uid="{00000000-0005-0000-0000-0000190F0000}"/>
    <cellStyle name="20% - Accent3 5 2 11 2 2" xfId="3870" xr:uid="{00000000-0005-0000-0000-00001A0F0000}"/>
    <cellStyle name="20% - Accent3 5 2 11 2 2 2" xfId="3871" xr:uid="{00000000-0005-0000-0000-00001B0F0000}"/>
    <cellStyle name="20% - Accent3 5 2 11 2 2 2 2" xfId="3872" xr:uid="{00000000-0005-0000-0000-00001C0F0000}"/>
    <cellStyle name="20% - Accent3 5 2 11 2 2 3" xfId="3873" xr:uid="{00000000-0005-0000-0000-00001D0F0000}"/>
    <cellStyle name="20% - Accent3 5 2 11 2 3" xfId="3874" xr:uid="{00000000-0005-0000-0000-00001E0F0000}"/>
    <cellStyle name="20% - Accent3 5 2 11 2 3 2" xfId="3875" xr:uid="{00000000-0005-0000-0000-00001F0F0000}"/>
    <cellStyle name="20% - Accent3 5 2 11 2 4" xfId="3876" xr:uid="{00000000-0005-0000-0000-0000200F0000}"/>
    <cellStyle name="20% - Accent3 5 2 11 3" xfId="3877" xr:uid="{00000000-0005-0000-0000-0000210F0000}"/>
    <cellStyle name="20% - Accent3 5 2 11 3 2" xfId="3878" xr:uid="{00000000-0005-0000-0000-0000220F0000}"/>
    <cellStyle name="20% - Accent3 5 2 11 3 2 2" xfId="3879" xr:uid="{00000000-0005-0000-0000-0000230F0000}"/>
    <cellStyle name="20% - Accent3 5 2 11 3 3" xfId="3880" xr:uid="{00000000-0005-0000-0000-0000240F0000}"/>
    <cellStyle name="20% - Accent3 5 2 11 4" xfId="3881" xr:uid="{00000000-0005-0000-0000-0000250F0000}"/>
    <cellStyle name="20% - Accent3 5 2 11 4 2" xfId="3882" xr:uid="{00000000-0005-0000-0000-0000260F0000}"/>
    <cellStyle name="20% - Accent3 5 2 11 5" xfId="3883" xr:uid="{00000000-0005-0000-0000-0000270F0000}"/>
    <cellStyle name="20% - Accent3 5 2 12" xfId="3884" xr:uid="{00000000-0005-0000-0000-0000280F0000}"/>
    <cellStyle name="20% - Accent3 5 2 12 2" xfId="3885" xr:uid="{00000000-0005-0000-0000-0000290F0000}"/>
    <cellStyle name="20% - Accent3 5 2 12 2 2" xfId="3886" xr:uid="{00000000-0005-0000-0000-00002A0F0000}"/>
    <cellStyle name="20% - Accent3 5 2 12 2 2 2" xfId="3887" xr:uid="{00000000-0005-0000-0000-00002B0F0000}"/>
    <cellStyle name="20% - Accent3 5 2 12 2 2 2 2" xfId="3888" xr:uid="{00000000-0005-0000-0000-00002C0F0000}"/>
    <cellStyle name="20% - Accent3 5 2 12 2 2 3" xfId="3889" xr:uid="{00000000-0005-0000-0000-00002D0F0000}"/>
    <cellStyle name="20% - Accent3 5 2 12 2 3" xfId="3890" xr:uid="{00000000-0005-0000-0000-00002E0F0000}"/>
    <cellStyle name="20% - Accent3 5 2 12 2 3 2" xfId="3891" xr:uid="{00000000-0005-0000-0000-00002F0F0000}"/>
    <cellStyle name="20% - Accent3 5 2 12 2 4" xfId="3892" xr:uid="{00000000-0005-0000-0000-0000300F0000}"/>
    <cellStyle name="20% - Accent3 5 2 12 3" xfId="3893" xr:uid="{00000000-0005-0000-0000-0000310F0000}"/>
    <cellStyle name="20% - Accent3 5 2 12 3 2" xfId="3894" xr:uid="{00000000-0005-0000-0000-0000320F0000}"/>
    <cellStyle name="20% - Accent3 5 2 12 3 2 2" xfId="3895" xr:uid="{00000000-0005-0000-0000-0000330F0000}"/>
    <cellStyle name="20% - Accent3 5 2 12 3 3" xfId="3896" xr:uid="{00000000-0005-0000-0000-0000340F0000}"/>
    <cellStyle name="20% - Accent3 5 2 12 4" xfId="3897" xr:uid="{00000000-0005-0000-0000-0000350F0000}"/>
    <cellStyle name="20% - Accent3 5 2 12 4 2" xfId="3898" xr:uid="{00000000-0005-0000-0000-0000360F0000}"/>
    <cellStyle name="20% - Accent3 5 2 12 5" xfId="3899" xr:uid="{00000000-0005-0000-0000-0000370F0000}"/>
    <cellStyle name="20% - Accent3 5 2 13" xfId="3900" xr:uid="{00000000-0005-0000-0000-0000380F0000}"/>
    <cellStyle name="20% - Accent3 5 2 13 2" xfId="3901" xr:uid="{00000000-0005-0000-0000-0000390F0000}"/>
    <cellStyle name="20% - Accent3 5 2 13 2 2" xfId="3902" xr:uid="{00000000-0005-0000-0000-00003A0F0000}"/>
    <cellStyle name="20% - Accent3 5 2 13 2 2 2" xfId="3903" xr:uid="{00000000-0005-0000-0000-00003B0F0000}"/>
    <cellStyle name="20% - Accent3 5 2 13 2 3" xfId="3904" xr:uid="{00000000-0005-0000-0000-00003C0F0000}"/>
    <cellStyle name="20% - Accent3 5 2 13 3" xfId="3905" xr:uid="{00000000-0005-0000-0000-00003D0F0000}"/>
    <cellStyle name="20% - Accent3 5 2 13 3 2" xfId="3906" xr:uid="{00000000-0005-0000-0000-00003E0F0000}"/>
    <cellStyle name="20% - Accent3 5 2 13 4" xfId="3907" xr:uid="{00000000-0005-0000-0000-00003F0F0000}"/>
    <cellStyle name="20% - Accent3 5 2 14" xfId="3908" xr:uid="{00000000-0005-0000-0000-0000400F0000}"/>
    <cellStyle name="20% - Accent3 5 2 14 2" xfId="3909" xr:uid="{00000000-0005-0000-0000-0000410F0000}"/>
    <cellStyle name="20% - Accent3 5 2 14 2 2" xfId="3910" xr:uid="{00000000-0005-0000-0000-0000420F0000}"/>
    <cellStyle name="20% - Accent3 5 2 14 2 2 2" xfId="3911" xr:uid="{00000000-0005-0000-0000-0000430F0000}"/>
    <cellStyle name="20% - Accent3 5 2 14 2 3" xfId="3912" xr:uid="{00000000-0005-0000-0000-0000440F0000}"/>
    <cellStyle name="20% - Accent3 5 2 14 3" xfId="3913" xr:uid="{00000000-0005-0000-0000-0000450F0000}"/>
    <cellStyle name="20% - Accent3 5 2 14 3 2" xfId="3914" xr:uid="{00000000-0005-0000-0000-0000460F0000}"/>
    <cellStyle name="20% - Accent3 5 2 14 4" xfId="3915" xr:uid="{00000000-0005-0000-0000-0000470F0000}"/>
    <cellStyle name="20% - Accent3 5 2 15" xfId="3916" xr:uid="{00000000-0005-0000-0000-0000480F0000}"/>
    <cellStyle name="20% - Accent3 5 2 15 2" xfId="3917" xr:uid="{00000000-0005-0000-0000-0000490F0000}"/>
    <cellStyle name="20% - Accent3 5 2 15 2 2" xfId="3918" xr:uid="{00000000-0005-0000-0000-00004A0F0000}"/>
    <cellStyle name="20% - Accent3 5 2 15 3" xfId="3919" xr:uid="{00000000-0005-0000-0000-00004B0F0000}"/>
    <cellStyle name="20% - Accent3 5 2 16" xfId="3920" xr:uid="{00000000-0005-0000-0000-00004C0F0000}"/>
    <cellStyle name="20% - Accent3 5 2 16 2" xfId="3921" xr:uid="{00000000-0005-0000-0000-00004D0F0000}"/>
    <cellStyle name="20% - Accent3 5 2 16 2 2" xfId="3922" xr:uid="{00000000-0005-0000-0000-00004E0F0000}"/>
    <cellStyle name="20% - Accent3 5 2 16 3" xfId="3923" xr:uid="{00000000-0005-0000-0000-00004F0F0000}"/>
    <cellStyle name="20% - Accent3 5 2 17" xfId="3924" xr:uid="{00000000-0005-0000-0000-0000500F0000}"/>
    <cellStyle name="20% - Accent3 5 2 17 2" xfId="3925" xr:uid="{00000000-0005-0000-0000-0000510F0000}"/>
    <cellStyle name="20% - Accent3 5 2 17 2 2" xfId="3926" xr:uid="{00000000-0005-0000-0000-0000520F0000}"/>
    <cellStyle name="20% - Accent3 5 2 17 3" xfId="3927" xr:uid="{00000000-0005-0000-0000-0000530F0000}"/>
    <cellStyle name="20% - Accent3 5 2 18" xfId="3928" xr:uid="{00000000-0005-0000-0000-0000540F0000}"/>
    <cellStyle name="20% - Accent3 5 2 18 2" xfId="3929" xr:uid="{00000000-0005-0000-0000-0000550F0000}"/>
    <cellStyle name="20% - Accent3 5 2 18 2 2" xfId="3930" xr:uid="{00000000-0005-0000-0000-0000560F0000}"/>
    <cellStyle name="20% - Accent3 5 2 18 3" xfId="3931" xr:uid="{00000000-0005-0000-0000-0000570F0000}"/>
    <cellStyle name="20% - Accent3 5 2 19" xfId="3932" xr:uid="{00000000-0005-0000-0000-0000580F0000}"/>
    <cellStyle name="20% - Accent3 5 2 19 2" xfId="3933" xr:uid="{00000000-0005-0000-0000-0000590F0000}"/>
    <cellStyle name="20% - Accent3 5 2 2" xfId="3934" xr:uid="{00000000-0005-0000-0000-00005A0F0000}"/>
    <cellStyle name="20% - Accent3 5 2 2 10" xfId="3935" xr:uid="{00000000-0005-0000-0000-00005B0F0000}"/>
    <cellStyle name="20% - Accent3 5 2 2 10 2" xfId="3936" xr:uid="{00000000-0005-0000-0000-00005C0F0000}"/>
    <cellStyle name="20% - Accent3 5 2 2 10 2 2" xfId="3937" xr:uid="{00000000-0005-0000-0000-00005D0F0000}"/>
    <cellStyle name="20% - Accent3 5 2 2 10 3" xfId="3938" xr:uid="{00000000-0005-0000-0000-00005E0F0000}"/>
    <cellStyle name="20% - Accent3 5 2 2 11" xfId="3939" xr:uid="{00000000-0005-0000-0000-00005F0F0000}"/>
    <cellStyle name="20% - Accent3 5 2 2 11 2" xfId="3940" xr:uid="{00000000-0005-0000-0000-0000600F0000}"/>
    <cellStyle name="20% - Accent3 5 2 2 11 2 2" xfId="3941" xr:uid="{00000000-0005-0000-0000-0000610F0000}"/>
    <cellStyle name="20% - Accent3 5 2 2 11 3" xfId="3942" xr:uid="{00000000-0005-0000-0000-0000620F0000}"/>
    <cellStyle name="20% - Accent3 5 2 2 12" xfId="3943" xr:uid="{00000000-0005-0000-0000-0000630F0000}"/>
    <cellStyle name="20% - Accent3 5 2 2 12 2" xfId="3944" xr:uid="{00000000-0005-0000-0000-0000640F0000}"/>
    <cellStyle name="20% - Accent3 5 2 2 12 2 2" xfId="3945" xr:uid="{00000000-0005-0000-0000-0000650F0000}"/>
    <cellStyle name="20% - Accent3 5 2 2 12 3" xfId="3946" xr:uid="{00000000-0005-0000-0000-0000660F0000}"/>
    <cellStyle name="20% - Accent3 5 2 2 13" xfId="3947" xr:uid="{00000000-0005-0000-0000-0000670F0000}"/>
    <cellStyle name="20% - Accent3 5 2 2 13 2" xfId="3948" xr:uid="{00000000-0005-0000-0000-0000680F0000}"/>
    <cellStyle name="20% - Accent3 5 2 2 14" xfId="3949" xr:uid="{00000000-0005-0000-0000-0000690F0000}"/>
    <cellStyle name="20% - Accent3 5 2 2 2" xfId="3950" xr:uid="{00000000-0005-0000-0000-00006A0F0000}"/>
    <cellStyle name="20% - Accent3 5 2 2 2 2" xfId="3951" xr:uid="{00000000-0005-0000-0000-00006B0F0000}"/>
    <cellStyle name="20% - Accent3 5 2 2 2 2 2" xfId="3952" xr:uid="{00000000-0005-0000-0000-00006C0F0000}"/>
    <cellStyle name="20% - Accent3 5 2 2 2 2 2 2" xfId="3953" xr:uid="{00000000-0005-0000-0000-00006D0F0000}"/>
    <cellStyle name="20% - Accent3 5 2 2 2 2 2 2 2" xfId="3954" xr:uid="{00000000-0005-0000-0000-00006E0F0000}"/>
    <cellStyle name="20% - Accent3 5 2 2 2 2 2 3" xfId="3955" xr:uid="{00000000-0005-0000-0000-00006F0F0000}"/>
    <cellStyle name="20% - Accent3 5 2 2 2 2 3" xfId="3956" xr:uid="{00000000-0005-0000-0000-0000700F0000}"/>
    <cellStyle name="20% - Accent3 5 2 2 2 2 3 2" xfId="3957" xr:uid="{00000000-0005-0000-0000-0000710F0000}"/>
    <cellStyle name="20% - Accent3 5 2 2 2 2 4" xfId="3958" xr:uid="{00000000-0005-0000-0000-0000720F0000}"/>
    <cellStyle name="20% - Accent3 5 2 2 2 3" xfId="3959" xr:uid="{00000000-0005-0000-0000-0000730F0000}"/>
    <cellStyle name="20% - Accent3 5 2 2 2 3 2" xfId="3960" xr:uid="{00000000-0005-0000-0000-0000740F0000}"/>
    <cellStyle name="20% - Accent3 5 2 2 2 3 2 2" xfId="3961" xr:uid="{00000000-0005-0000-0000-0000750F0000}"/>
    <cellStyle name="20% - Accent3 5 2 2 2 3 3" xfId="3962" xr:uid="{00000000-0005-0000-0000-0000760F0000}"/>
    <cellStyle name="20% - Accent3 5 2 2 2 4" xfId="3963" xr:uid="{00000000-0005-0000-0000-0000770F0000}"/>
    <cellStyle name="20% - Accent3 5 2 2 2 4 2" xfId="3964" xr:uid="{00000000-0005-0000-0000-0000780F0000}"/>
    <cellStyle name="20% - Accent3 5 2 2 2 4 2 2" xfId="3965" xr:uid="{00000000-0005-0000-0000-0000790F0000}"/>
    <cellStyle name="20% - Accent3 5 2 2 2 4 3" xfId="3966" xr:uid="{00000000-0005-0000-0000-00007A0F0000}"/>
    <cellStyle name="20% - Accent3 5 2 2 2 5" xfId="3967" xr:uid="{00000000-0005-0000-0000-00007B0F0000}"/>
    <cellStyle name="20% - Accent3 5 2 2 2 5 2" xfId="3968" xr:uid="{00000000-0005-0000-0000-00007C0F0000}"/>
    <cellStyle name="20% - Accent3 5 2 2 2 5 2 2" xfId="3969" xr:uid="{00000000-0005-0000-0000-00007D0F0000}"/>
    <cellStyle name="20% - Accent3 5 2 2 2 5 3" xfId="3970" xr:uid="{00000000-0005-0000-0000-00007E0F0000}"/>
    <cellStyle name="20% - Accent3 5 2 2 2 6" xfId="3971" xr:uid="{00000000-0005-0000-0000-00007F0F0000}"/>
    <cellStyle name="20% - Accent3 5 2 2 2 6 2" xfId="3972" xr:uid="{00000000-0005-0000-0000-0000800F0000}"/>
    <cellStyle name="20% - Accent3 5 2 2 2 6 2 2" xfId="3973" xr:uid="{00000000-0005-0000-0000-0000810F0000}"/>
    <cellStyle name="20% - Accent3 5 2 2 2 6 3" xfId="3974" xr:uid="{00000000-0005-0000-0000-0000820F0000}"/>
    <cellStyle name="20% - Accent3 5 2 2 2 7" xfId="3975" xr:uid="{00000000-0005-0000-0000-0000830F0000}"/>
    <cellStyle name="20% - Accent3 5 2 2 2 7 2" xfId="3976" xr:uid="{00000000-0005-0000-0000-0000840F0000}"/>
    <cellStyle name="20% - Accent3 5 2 2 2 8" xfId="3977" xr:uid="{00000000-0005-0000-0000-0000850F0000}"/>
    <cellStyle name="20% - Accent3 5 2 2 3" xfId="3978" xr:uid="{00000000-0005-0000-0000-0000860F0000}"/>
    <cellStyle name="20% - Accent3 5 2 2 3 2" xfId="3979" xr:uid="{00000000-0005-0000-0000-0000870F0000}"/>
    <cellStyle name="20% - Accent3 5 2 2 3 2 2" xfId="3980" xr:uid="{00000000-0005-0000-0000-0000880F0000}"/>
    <cellStyle name="20% - Accent3 5 2 2 3 2 2 2" xfId="3981" xr:uid="{00000000-0005-0000-0000-0000890F0000}"/>
    <cellStyle name="20% - Accent3 5 2 2 3 2 2 2 2" xfId="3982" xr:uid="{00000000-0005-0000-0000-00008A0F0000}"/>
    <cellStyle name="20% - Accent3 5 2 2 3 2 2 3" xfId="3983" xr:uid="{00000000-0005-0000-0000-00008B0F0000}"/>
    <cellStyle name="20% - Accent3 5 2 2 3 2 3" xfId="3984" xr:uid="{00000000-0005-0000-0000-00008C0F0000}"/>
    <cellStyle name="20% - Accent3 5 2 2 3 2 3 2" xfId="3985" xr:uid="{00000000-0005-0000-0000-00008D0F0000}"/>
    <cellStyle name="20% - Accent3 5 2 2 3 2 4" xfId="3986" xr:uid="{00000000-0005-0000-0000-00008E0F0000}"/>
    <cellStyle name="20% - Accent3 5 2 2 3 3" xfId="3987" xr:uid="{00000000-0005-0000-0000-00008F0F0000}"/>
    <cellStyle name="20% - Accent3 5 2 2 3 3 2" xfId="3988" xr:uid="{00000000-0005-0000-0000-0000900F0000}"/>
    <cellStyle name="20% - Accent3 5 2 2 3 3 2 2" xfId="3989" xr:uid="{00000000-0005-0000-0000-0000910F0000}"/>
    <cellStyle name="20% - Accent3 5 2 2 3 3 3" xfId="3990" xr:uid="{00000000-0005-0000-0000-0000920F0000}"/>
    <cellStyle name="20% - Accent3 5 2 2 3 4" xfId="3991" xr:uid="{00000000-0005-0000-0000-0000930F0000}"/>
    <cellStyle name="20% - Accent3 5 2 2 3 4 2" xfId="3992" xr:uid="{00000000-0005-0000-0000-0000940F0000}"/>
    <cellStyle name="20% - Accent3 5 2 2 3 4 2 2" xfId="3993" xr:uid="{00000000-0005-0000-0000-0000950F0000}"/>
    <cellStyle name="20% - Accent3 5 2 2 3 4 3" xfId="3994" xr:uid="{00000000-0005-0000-0000-0000960F0000}"/>
    <cellStyle name="20% - Accent3 5 2 2 3 5" xfId="3995" xr:uid="{00000000-0005-0000-0000-0000970F0000}"/>
    <cellStyle name="20% - Accent3 5 2 2 3 5 2" xfId="3996" xr:uid="{00000000-0005-0000-0000-0000980F0000}"/>
    <cellStyle name="20% - Accent3 5 2 2 3 5 2 2" xfId="3997" xr:uid="{00000000-0005-0000-0000-0000990F0000}"/>
    <cellStyle name="20% - Accent3 5 2 2 3 5 3" xfId="3998" xr:uid="{00000000-0005-0000-0000-00009A0F0000}"/>
    <cellStyle name="20% - Accent3 5 2 2 3 6" xfId="3999" xr:uid="{00000000-0005-0000-0000-00009B0F0000}"/>
    <cellStyle name="20% - Accent3 5 2 2 3 6 2" xfId="4000" xr:uid="{00000000-0005-0000-0000-00009C0F0000}"/>
    <cellStyle name="20% - Accent3 5 2 2 3 6 2 2" xfId="4001" xr:uid="{00000000-0005-0000-0000-00009D0F0000}"/>
    <cellStyle name="20% - Accent3 5 2 2 3 6 3" xfId="4002" xr:uid="{00000000-0005-0000-0000-00009E0F0000}"/>
    <cellStyle name="20% - Accent3 5 2 2 3 7" xfId="4003" xr:uid="{00000000-0005-0000-0000-00009F0F0000}"/>
    <cellStyle name="20% - Accent3 5 2 2 3 7 2" xfId="4004" xr:uid="{00000000-0005-0000-0000-0000A00F0000}"/>
    <cellStyle name="20% - Accent3 5 2 2 3 8" xfId="4005" xr:uid="{00000000-0005-0000-0000-0000A10F0000}"/>
    <cellStyle name="20% - Accent3 5 2 2 4" xfId="4006" xr:uid="{00000000-0005-0000-0000-0000A20F0000}"/>
    <cellStyle name="20% - Accent3 5 2 2 4 2" xfId="4007" xr:uid="{00000000-0005-0000-0000-0000A30F0000}"/>
    <cellStyle name="20% - Accent3 5 2 2 4 2 2" xfId="4008" xr:uid="{00000000-0005-0000-0000-0000A40F0000}"/>
    <cellStyle name="20% - Accent3 5 2 2 4 2 2 2" xfId="4009" xr:uid="{00000000-0005-0000-0000-0000A50F0000}"/>
    <cellStyle name="20% - Accent3 5 2 2 4 2 2 2 2" xfId="4010" xr:uid="{00000000-0005-0000-0000-0000A60F0000}"/>
    <cellStyle name="20% - Accent3 5 2 2 4 2 2 3" xfId="4011" xr:uid="{00000000-0005-0000-0000-0000A70F0000}"/>
    <cellStyle name="20% - Accent3 5 2 2 4 2 3" xfId="4012" xr:uid="{00000000-0005-0000-0000-0000A80F0000}"/>
    <cellStyle name="20% - Accent3 5 2 2 4 2 3 2" xfId="4013" xr:uid="{00000000-0005-0000-0000-0000A90F0000}"/>
    <cellStyle name="20% - Accent3 5 2 2 4 2 4" xfId="4014" xr:uid="{00000000-0005-0000-0000-0000AA0F0000}"/>
    <cellStyle name="20% - Accent3 5 2 2 4 3" xfId="4015" xr:uid="{00000000-0005-0000-0000-0000AB0F0000}"/>
    <cellStyle name="20% - Accent3 5 2 2 4 3 2" xfId="4016" xr:uid="{00000000-0005-0000-0000-0000AC0F0000}"/>
    <cellStyle name="20% - Accent3 5 2 2 4 3 2 2" xfId="4017" xr:uid="{00000000-0005-0000-0000-0000AD0F0000}"/>
    <cellStyle name="20% - Accent3 5 2 2 4 3 3" xfId="4018" xr:uid="{00000000-0005-0000-0000-0000AE0F0000}"/>
    <cellStyle name="20% - Accent3 5 2 2 4 4" xfId="4019" xr:uid="{00000000-0005-0000-0000-0000AF0F0000}"/>
    <cellStyle name="20% - Accent3 5 2 2 4 4 2" xfId="4020" xr:uid="{00000000-0005-0000-0000-0000B00F0000}"/>
    <cellStyle name="20% - Accent3 5 2 2 4 4 2 2" xfId="4021" xr:uid="{00000000-0005-0000-0000-0000B10F0000}"/>
    <cellStyle name="20% - Accent3 5 2 2 4 4 3" xfId="4022" xr:uid="{00000000-0005-0000-0000-0000B20F0000}"/>
    <cellStyle name="20% - Accent3 5 2 2 4 5" xfId="4023" xr:uid="{00000000-0005-0000-0000-0000B30F0000}"/>
    <cellStyle name="20% - Accent3 5 2 2 4 5 2" xfId="4024" xr:uid="{00000000-0005-0000-0000-0000B40F0000}"/>
    <cellStyle name="20% - Accent3 5 2 2 4 5 2 2" xfId="4025" xr:uid="{00000000-0005-0000-0000-0000B50F0000}"/>
    <cellStyle name="20% - Accent3 5 2 2 4 5 3" xfId="4026" xr:uid="{00000000-0005-0000-0000-0000B60F0000}"/>
    <cellStyle name="20% - Accent3 5 2 2 4 6" xfId="4027" xr:uid="{00000000-0005-0000-0000-0000B70F0000}"/>
    <cellStyle name="20% - Accent3 5 2 2 4 6 2" xfId="4028" xr:uid="{00000000-0005-0000-0000-0000B80F0000}"/>
    <cellStyle name="20% - Accent3 5 2 2 4 6 2 2" xfId="4029" xr:uid="{00000000-0005-0000-0000-0000B90F0000}"/>
    <cellStyle name="20% - Accent3 5 2 2 4 6 3" xfId="4030" xr:uid="{00000000-0005-0000-0000-0000BA0F0000}"/>
    <cellStyle name="20% - Accent3 5 2 2 4 7" xfId="4031" xr:uid="{00000000-0005-0000-0000-0000BB0F0000}"/>
    <cellStyle name="20% - Accent3 5 2 2 4 7 2" xfId="4032" xr:uid="{00000000-0005-0000-0000-0000BC0F0000}"/>
    <cellStyle name="20% - Accent3 5 2 2 4 8" xfId="4033" xr:uid="{00000000-0005-0000-0000-0000BD0F0000}"/>
    <cellStyle name="20% - Accent3 5 2 2 5" xfId="4034" xr:uid="{00000000-0005-0000-0000-0000BE0F0000}"/>
    <cellStyle name="20% - Accent3 5 2 2 5 2" xfId="4035" xr:uid="{00000000-0005-0000-0000-0000BF0F0000}"/>
    <cellStyle name="20% - Accent3 5 2 2 5 2 2" xfId="4036" xr:uid="{00000000-0005-0000-0000-0000C00F0000}"/>
    <cellStyle name="20% - Accent3 5 2 2 5 2 2 2" xfId="4037" xr:uid="{00000000-0005-0000-0000-0000C10F0000}"/>
    <cellStyle name="20% - Accent3 5 2 2 5 2 2 2 2" xfId="4038" xr:uid="{00000000-0005-0000-0000-0000C20F0000}"/>
    <cellStyle name="20% - Accent3 5 2 2 5 2 2 3" xfId="4039" xr:uid="{00000000-0005-0000-0000-0000C30F0000}"/>
    <cellStyle name="20% - Accent3 5 2 2 5 2 3" xfId="4040" xr:uid="{00000000-0005-0000-0000-0000C40F0000}"/>
    <cellStyle name="20% - Accent3 5 2 2 5 2 3 2" xfId="4041" xr:uid="{00000000-0005-0000-0000-0000C50F0000}"/>
    <cellStyle name="20% - Accent3 5 2 2 5 2 4" xfId="4042" xr:uid="{00000000-0005-0000-0000-0000C60F0000}"/>
    <cellStyle name="20% - Accent3 5 2 2 5 3" xfId="4043" xr:uid="{00000000-0005-0000-0000-0000C70F0000}"/>
    <cellStyle name="20% - Accent3 5 2 2 5 3 2" xfId="4044" xr:uid="{00000000-0005-0000-0000-0000C80F0000}"/>
    <cellStyle name="20% - Accent3 5 2 2 5 3 2 2" xfId="4045" xr:uid="{00000000-0005-0000-0000-0000C90F0000}"/>
    <cellStyle name="20% - Accent3 5 2 2 5 3 3" xfId="4046" xr:uid="{00000000-0005-0000-0000-0000CA0F0000}"/>
    <cellStyle name="20% - Accent3 5 2 2 5 4" xfId="4047" xr:uid="{00000000-0005-0000-0000-0000CB0F0000}"/>
    <cellStyle name="20% - Accent3 5 2 2 5 4 2" xfId="4048" xr:uid="{00000000-0005-0000-0000-0000CC0F0000}"/>
    <cellStyle name="20% - Accent3 5 2 2 5 5" xfId="4049" xr:uid="{00000000-0005-0000-0000-0000CD0F0000}"/>
    <cellStyle name="20% - Accent3 5 2 2 6" xfId="4050" xr:uid="{00000000-0005-0000-0000-0000CE0F0000}"/>
    <cellStyle name="20% - Accent3 5 2 2 6 2" xfId="4051" xr:uid="{00000000-0005-0000-0000-0000CF0F0000}"/>
    <cellStyle name="20% - Accent3 5 2 2 6 2 2" xfId="4052" xr:uid="{00000000-0005-0000-0000-0000D00F0000}"/>
    <cellStyle name="20% - Accent3 5 2 2 6 2 2 2" xfId="4053" xr:uid="{00000000-0005-0000-0000-0000D10F0000}"/>
    <cellStyle name="20% - Accent3 5 2 2 6 2 2 2 2" xfId="4054" xr:uid="{00000000-0005-0000-0000-0000D20F0000}"/>
    <cellStyle name="20% - Accent3 5 2 2 6 2 2 3" xfId="4055" xr:uid="{00000000-0005-0000-0000-0000D30F0000}"/>
    <cellStyle name="20% - Accent3 5 2 2 6 2 3" xfId="4056" xr:uid="{00000000-0005-0000-0000-0000D40F0000}"/>
    <cellStyle name="20% - Accent3 5 2 2 6 2 3 2" xfId="4057" xr:uid="{00000000-0005-0000-0000-0000D50F0000}"/>
    <cellStyle name="20% - Accent3 5 2 2 6 2 4" xfId="4058" xr:uid="{00000000-0005-0000-0000-0000D60F0000}"/>
    <cellStyle name="20% - Accent3 5 2 2 6 3" xfId="4059" xr:uid="{00000000-0005-0000-0000-0000D70F0000}"/>
    <cellStyle name="20% - Accent3 5 2 2 6 3 2" xfId="4060" xr:uid="{00000000-0005-0000-0000-0000D80F0000}"/>
    <cellStyle name="20% - Accent3 5 2 2 6 3 2 2" xfId="4061" xr:uid="{00000000-0005-0000-0000-0000D90F0000}"/>
    <cellStyle name="20% - Accent3 5 2 2 6 3 3" xfId="4062" xr:uid="{00000000-0005-0000-0000-0000DA0F0000}"/>
    <cellStyle name="20% - Accent3 5 2 2 6 4" xfId="4063" xr:uid="{00000000-0005-0000-0000-0000DB0F0000}"/>
    <cellStyle name="20% - Accent3 5 2 2 6 4 2" xfId="4064" xr:uid="{00000000-0005-0000-0000-0000DC0F0000}"/>
    <cellStyle name="20% - Accent3 5 2 2 6 5" xfId="4065" xr:uid="{00000000-0005-0000-0000-0000DD0F0000}"/>
    <cellStyle name="20% - Accent3 5 2 2 7" xfId="4066" xr:uid="{00000000-0005-0000-0000-0000DE0F0000}"/>
    <cellStyle name="20% - Accent3 5 2 2 7 2" xfId="4067" xr:uid="{00000000-0005-0000-0000-0000DF0F0000}"/>
    <cellStyle name="20% - Accent3 5 2 2 7 2 2" xfId="4068" xr:uid="{00000000-0005-0000-0000-0000E00F0000}"/>
    <cellStyle name="20% - Accent3 5 2 2 7 2 2 2" xfId="4069" xr:uid="{00000000-0005-0000-0000-0000E10F0000}"/>
    <cellStyle name="20% - Accent3 5 2 2 7 2 3" xfId="4070" xr:uid="{00000000-0005-0000-0000-0000E20F0000}"/>
    <cellStyle name="20% - Accent3 5 2 2 7 3" xfId="4071" xr:uid="{00000000-0005-0000-0000-0000E30F0000}"/>
    <cellStyle name="20% - Accent3 5 2 2 7 3 2" xfId="4072" xr:uid="{00000000-0005-0000-0000-0000E40F0000}"/>
    <cellStyle name="20% - Accent3 5 2 2 7 4" xfId="4073" xr:uid="{00000000-0005-0000-0000-0000E50F0000}"/>
    <cellStyle name="20% - Accent3 5 2 2 8" xfId="4074" xr:uid="{00000000-0005-0000-0000-0000E60F0000}"/>
    <cellStyle name="20% - Accent3 5 2 2 8 2" xfId="4075" xr:uid="{00000000-0005-0000-0000-0000E70F0000}"/>
    <cellStyle name="20% - Accent3 5 2 2 8 2 2" xfId="4076" xr:uid="{00000000-0005-0000-0000-0000E80F0000}"/>
    <cellStyle name="20% - Accent3 5 2 2 8 2 2 2" xfId="4077" xr:uid="{00000000-0005-0000-0000-0000E90F0000}"/>
    <cellStyle name="20% - Accent3 5 2 2 8 2 3" xfId="4078" xr:uid="{00000000-0005-0000-0000-0000EA0F0000}"/>
    <cellStyle name="20% - Accent3 5 2 2 8 3" xfId="4079" xr:uid="{00000000-0005-0000-0000-0000EB0F0000}"/>
    <cellStyle name="20% - Accent3 5 2 2 8 3 2" xfId="4080" xr:uid="{00000000-0005-0000-0000-0000EC0F0000}"/>
    <cellStyle name="20% - Accent3 5 2 2 8 4" xfId="4081" xr:uid="{00000000-0005-0000-0000-0000ED0F0000}"/>
    <cellStyle name="20% - Accent3 5 2 2 9" xfId="4082" xr:uid="{00000000-0005-0000-0000-0000EE0F0000}"/>
    <cellStyle name="20% - Accent3 5 2 2 9 2" xfId="4083" xr:uid="{00000000-0005-0000-0000-0000EF0F0000}"/>
    <cellStyle name="20% - Accent3 5 2 2 9 2 2" xfId="4084" xr:uid="{00000000-0005-0000-0000-0000F00F0000}"/>
    <cellStyle name="20% - Accent3 5 2 2 9 3" xfId="4085" xr:uid="{00000000-0005-0000-0000-0000F10F0000}"/>
    <cellStyle name="20% - Accent3 5 2 20" xfId="4086" xr:uid="{00000000-0005-0000-0000-0000F20F0000}"/>
    <cellStyle name="20% - Accent3 5 2 3" xfId="4087" xr:uid="{00000000-0005-0000-0000-0000F30F0000}"/>
    <cellStyle name="20% - Accent3 5 2 3 10" xfId="4088" xr:uid="{00000000-0005-0000-0000-0000F40F0000}"/>
    <cellStyle name="20% - Accent3 5 2 3 10 2" xfId="4089" xr:uid="{00000000-0005-0000-0000-0000F50F0000}"/>
    <cellStyle name="20% - Accent3 5 2 3 10 2 2" xfId="4090" xr:uid="{00000000-0005-0000-0000-0000F60F0000}"/>
    <cellStyle name="20% - Accent3 5 2 3 10 3" xfId="4091" xr:uid="{00000000-0005-0000-0000-0000F70F0000}"/>
    <cellStyle name="20% - Accent3 5 2 3 11" xfId="4092" xr:uid="{00000000-0005-0000-0000-0000F80F0000}"/>
    <cellStyle name="20% - Accent3 5 2 3 11 2" xfId="4093" xr:uid="{00000000-0005-0000-0000-0000F90F0000}"/>
    <cellStyle name="20% - Accent3 5 2 3 11 2 2" xfId="4094" xr:uid="{00000000-0005-0000-0000-0000FA0F0000}"/>
    <cellStyle name="20% - Accent3 5 2 3 11 3" xfId="4095" xr:uid="{00000000-0005-0000-0000-0000FB0F0000}"/>
    <cellStyle name="20% - Accent3 5 2 3 12" xfId="4096" xr:uid="{00000000-0005-0000-0000-0000FC0F0000}"/>
    <cellStyle name="20% - Accent3 5 2 3 12 2" xfId="4097" xr:uid="{00000000-0005-0000-0000-0000FD0F0000}"/>
    <cellStyle name="20% - Accent3 5 2 3 12 2 2" xfId="4098" xr:uid="{00000000-0005-0000-0000-0000FE0F0000}"/>
    <cellStyle name="20% - Accent3 5 2 3 12 3" xfId="4099" xr:uid="{00000000-0005-0000-0000-0000FF0F0000}"/>
    <cellStyle name="20% - Accent3 5 2 3 13" xfId="4100" xr:uid="{00000000-0005-0000-0000-000000100000}"/>
    <cellStyle name="20% - Accent3 5 2 3 13 2" xfId="4101" xr:uid="{00000000-0005-0000-0000-000001100000}"/>
    <cellStyle name="20% - Accent3 5 2 3 14" xfId="4102" xr:uid="{00000000-0005-0000-0000-000002100000}"/>
    <cellStyle name="20% - Accent3 5 2 3 2" xfId="4103" xr:uid="{00000000-0005-0000-0000-000003100000}"/>
    <cellStyle name="20% - Accent3 5 2 3 2 2" xfId="4104" xr:uid="{00000000-0005-0000-0000-000004100000}"/>
    <cellStyle name="20% - Accent3 5 2 3 2 2 2" xfId="4105" xr:uid="{00000000-0005-0000-0000-000005100000}"/>
    <cellStyle name="20% - Accent3 5 2 3 2 2 2 2" xfId="4106" xr:uid="{00000000-0005-0000-0000-000006100000}"/>
    <cellStyle name="20% - Accent3 5 2 3 2 2 2 2 2" xfId="4107" xr:uid="{00000000-0005-0000-0000-000007100000}"/>
    <cellStyle name="20% - Accent3 5 2 3 2 2 2 3" xfId="4108" xr:uid="{00000000-0005-0000-0000-000008100000}"/>
    <cellStyle name="20% - Accent3 5 2 3 2 2 3" xfId="4109" xr:uid="{00000000-0005-0000-0000-000009100000}"/>
    <cellStyle name="20% - Accent3 5 2 3 2 2 3 2" xfId="4110" xr:uid="{00000000-0005-0000-0000-00000A100000}"/>
    <cellStyle name="20% - Accent3 5 2 3 2 2 4" xfId="4111" xr:uid="{00000000-0005-0000-0000-00000B100000}"/>
    <cellStyle name="20% - Accent3 5 2 3 2 3" xfId="4112" xr:uid="{00000000-0005-0000-0000-00000C100000}"/>
    <cellStyle name="20% - Accent3 5 2 3 2 3 2" xfId="4113" xr:uid="{00000000-0005-0000-0000-00000D100000}"/>
    <cellStyle name="20% - Accent3 5 2 3 2 3 2 2" xfId="4114" xr:uid="{00000000-0005-0000-0000-00000E100000}"/>
    <cellStyle name="20% - Accent3 5 2 3 2 3 3" xfId="4115" xr:uid="{00000000-0005-0000-0000-00000F100000}"/>
    <cellStyle name="20% - Accent3 5 2 3 2 4" xfId="4116" xr:uid="{00000000-0005-0000-0000-000010100000}"/>
    <cellStyle name="20% - Accent3 5 2 3 2 4 2" xfId="4117" xr:uid="{00000000-0005-0000-0000-000011100000}"/>
    <cellStyle name="20% - Accent3 5 2 3 2 4 2 2" xfId="4118" xr:uid="{00000000-0005-0000-0000-000012100000}"/>
    <cellStyle name="20% - Accent3 5 2 3 2 4 3" xfId="4119" xr:uid="{00000000-0005-0000-0000-000013100000}"/>
    <cellStyle name="20% - Accent3 5 2 3 2 5" xfId="4120" xr:uid="{00000000-0005-0000-0000-000014100000}"/>
    <cellStyle name="20% - Accent3 5 2 3 2 5 2" xfId="4121" xr:uid="{00000000-0005-0000-0000-000015100000}"/>
    <cellStyle name="20% - Accent3 5 2 3 2 5 2 2" xfId="4122" xr:uid="{00000000-0005-0000-0000-000016100000}"/>
    <cellStyle name="20% - Accent3 5 2 3 2 5 3" xfId="4123" xr:uid="{00000000-0005-0000-0000-000017100000}"/>
    <cellStyle name="20% - Accent3 5 2 3 2 6" xfId="4124" xr:uid="{00000000-0005-0000-0000-000018100000}"/>
    <cellStyle name="20% - Accent3 5 2 3 2 6 2" xfId="4125" xr:uid="{00000000-0005-0000-0000-000019100000}"/>
    <cellStyle name="20% - Accent3 5 2 3 2 6 2 2" xfId="4126" xr:uid="{00000000-0005-0000-0000-00001A100000}"/>
    <cellStyle name="20% - Accent3 5 2 3 2 6 3" xfId="4127" xr:uid="{00000000-0005-0000-0000-00001B100000}"/>
    <cellStyle name="20% - Accent3 5 2 3 2 7" xfId="4128" xr:uid="{00000000-0005-0000-0000-00001C100000}"/>
    <cellStyle name="20% - Accent3 5 2 3 2 7 2" xfId="4129" xr:uid="{00000000-0005-0000-0000-00001D100000}"/>
    <cellStyle name="20% - Accent3 5 2 3 2 8" xfId="4130" xr:uid="{00000000-0005-0000-0000-00001E100000}"/>
    <cellStyle name="20% - Accent3 5 2 3 3" xfId="4131" xr:uid="{00000000-0005-0000-0000-00001F100000}"/>
    <cellStyle name="20% - Accent3 5 2 3 3 2" xfId="4132" xr:uid="{00000000-0005-0000-0000-000020100000}"/>
    <cellStyle name="20% - Accent3 5 2 3 3 2 2" xfId="4133" xr:uid="{00000000-0005-0000-0000-000021100000}"/>
    <cellStyle name="20% - Accent3 5 2 3 3 2 2 2" xfId="4134" xr:uid="{00000000-0005-0000-0000-000022100000}"/>
    <cellStyle name="20% - Accent3 5 2 3 3 2 2 2 2" xfId="4135" xr:uid="{00000000-0005-0000-0000-000023100000}"/>
    <cellStyle name="20% - Accent3 5 2 3 3 2 2 3" xfId="4136" xr:uid="{00000000-0005-0000-0000-000024100000}"/>
    <cellStyle name="20% - Accent3 5 2 3 3 2 3" xfId="4137" xr:uid="{00000000-0005-0000-0000-000025100000}"/>
    <cellStyle name="20% - Accent3 5 2 3 3 2 3 2" xfId="4138" xr:uid="{00000000-0005-0000-0000-000026100000}"/>
    <cellStyle name="20% - Accent3 5 2 3 3 2 4" xfId="4139" xr:uid="{00000000-0005-0000-0000-000027100000}"/>
    <cellStyle name="20% - Accent3 5 2 3 3 3" xfId="4140" xr:uid="{00000000-0005-0000-0000-000028100000}"/>
    <cellStyle name="20% - Accent3 5 2 3 3 3 2" xfId="4141" xr:uid="{00000000-0005-0000-0000-000029100000}"/>
    <cellStyle name="20% - Accent3 5 2 3 3 3 2 2" xfId="4142" xr:uid="{00000000-0005-0000-0000-00002A100000}"/>
    <cellStyle name="20% - Accent3 5 2 3 3 3 3" xfId="4143" xr:uid="{00000000-0005-0000-0000-00002B100000}"/>
    <cellStyle name="20% - Accent3 5 2 3 3 4" xfId="4144" xr:uid="{00000000-0005-0000-0000-00002C100000}"/>
    <cellStyle name="20% - Accent3 5 2 3 3 4 2" xfId="4145" xr:uid="{00000000-0005-0000-0000-00002D100000}"/>
    <cellStyle name="20% - Accent3 5 2 3 3 4 2 2" xfId="4146" xr:uid="{00000000-0005-0000-0000-00002E100000}"/>
    <cellStyle name="20% - Accent3 5 2 3 3 4 3" xfId="4147" xr:uid="{00000000-0005-0000-0000-00002F100000}"/>
    <cellStyle name="20% - Accent3 5 2 3 3 5" xfId="4148" xr:uid="{00000000-0005-0000-0000-000030100000}"/>
    <cellStyle name="20% - Accent3 5 2 3 3 5 2" xfId="4149" xr:uid="{00000000-0005-0000-0000-000031100000}"/>
    <cellStyle name="20% - Accent3 5 2 3 3 5 2 2" xfId="4150" xr:uid="{00000000-0005-0000-0000-000032100000}"/>
    <cellStyle name="20% - Accent3 5 2 3 3 5 3" xfId="4151" xr:uid="{00000000-0005-0000-0000-000033100000}"/>
    <cellStyle name="20% - Accent3 5 2 3 3 6" xfId="4152" xr:uid="{00000000-0005-0000-0000-000034100000}"/>
    <cellStyle name="20% - Accent3 5 2 3 3 6 2" xfId="4153" xr:uid="{00000000-0005-0000-0000-000035100000}"/>
    <cellStyle name="20% - Accent3 5 2 3 3 6 2 2" xfId="4154" xr:uid="{00000000-0005-0000-0000-000036100000}"/>
    <cellStyle name="20% - Accent3 5 2 3 3 6 3" xfId="4155" xr:uid="{00000000-0005-0000-0000-000037100000}"/>
    <cellStyle name="20% - Accent3 5 2 3 3 7" xfId="4156" xr:uid="{00000000-0005-0000-0000-000038100000}"/>
    <cellStyle name="20% - Accent3 5 2 3 3 7 2" xfId="4157" xr:uid="{00000000-0005-0000-0000-000039100000}"/>
    <cellStyle name="20% - Accent3 5 2 3 3 8" xfId="4158" xr:uid="{00000000-0005-0000-0000-00003A100000}"/>
    <cellStyle name="20% - Accent3 5 2 3 4" xfId="4159" xr:uid="{00000000-0005-0000-0000-00003B100000}"/>
    <cellStyle name="20% - Accent3 5 2 3 4 2" xfId="4160" xr:uid="{00000000-0005-0000-0000-00003C100000}"/>
    <cellStyle name="20% - Accent3 5 2 3 4 2 2" xfId="4161" xr:uid="{00000000-0005-0000-0000-00003D100000}"/>
    <cellStyle name="20% - Accent3 5 2 3 4 2 2 2" xfId="4162" xr:uid="{00000000-0005-0000-0000-00003E100000}"/>
    <cellStyle name="20% - Accent3 5 2 3 4 2 2 2 2" xfId="4163" xr:uid="{00000000-0005-0000-0000-00003F100000}"/>
    <cellStyle name="20% - Accent3 5 2 3 4 2 2 3" xfId="4164" xr:uid="{00000000-0005-0000-0000-000040100000}"/>
    <cellStyle name="20% - Accent3 5 2 3 4 2 3" xfId="4165" xr:uid="{00000000-0005-0000-0000-000041100000}"/>
    <cellStyle name="20% - Accent3 5 2 3 4 2 3 2" xfId="4166" xr:uid="{00000000-0005-0000-0000-000042100000}"/>
    <cellStyle name="20% - Accent3 5 2 3 4 2 4" xfId="4167" xr:uid="{00000000-0005-0000-0000-000043100000}"/>
    <cellStyle name="20% - Accent3 5 2 3 4 3" xfId="4168" xr:uid="{00000000-0005-0000-0000-000044100000}"/>
    <cellStyle name="20% - Accent3 5 2 3 4 3 2" xfId="4169" xr:uid="{00000000-0005-0000-0000-000045100000}"/>
    <cellStyle name="20% - Accent3 5 2 3 4 3 2 2" xfId="4170" xr:uid="{00000000-0005-0000-0000-000046100000}"/>
    <cellStyle name="20% - Accent3 5 2 3 4 3 3" xfId="4171" xr:uid="{00000000-0005-0000-0000-000047100000}"/>
    <cellStyle name="20% - Accent3 5 2 3 4 4" xfId="4172" xr:uid="{00000000-0005-0000-0000-000048100000}"/>
    <cellStyle name="20% - Accent3 5 2 3 4 4 2" xfId="4173" xr:uid="{00000000-0005-0000-0000-000049100000}"/>
    <cellStyle name="20% - Accent3 5 2 3 4 4 2 2" xfId="4174" xr:uid="{00000000-0005-0000-0000-00004A100000}"/>
    <cellStyle name="20% - Accent3 5 2 3 4 4 3" xfId="4175" xr:uid="{00000000-0005-0000-0000-00004B100000}"/>
    <cellStyle name="20% - Accent3 5 2 3 4 5" xfId="4176" xr:uid="{00000000-0005-0000-0000-00004C100000}"/>
    <cellStyle name="20% - Accent3 5 2 3 4 5 2" xfId="4177" xr:uid="{00000000-0005-0000-0000-00004D100000}"/>
    <cellStyle name="20% - Accent3 5 2 3 4 5 2 2" xfId="4178" xr:uid="{00000000-0005-0000-0000-00004E100000}"/>
    <cellStyle name="20% - Accent3 5 2 3 4 5 3" xfId="4179" xr:uid="{00000000-0005-0000-0000-00004F100000}"/>
    <cellStyle name="20% - Accent3 5 2 3 4 6" xfId="4180" xr:uid="{00000000-0005-0000-0000-000050100000}"/>
    <cellStyle name="20% - Accent3 5 2 3 4 6 2" xfId="4181" xr:uid="{00000000-0005-0000-0000-000051100000}"/>
    <cellStyle name="20% - Accent3 5 2 3 4 6 2 2" xfId="4182" xr:uid="{00000000-0005-0000-0000-000052100000}"/>
    <cellStyle name="20% - Accent3 5 2 3 4 6 3" xfId="4183" xr:uid="{00000000-0005-0000-0000-000053100000}"/>
    <cellStyle name="20% - Accent3 5 2 3 4 7" xfId="4184" xr:uid="{00000000-0005-0000-0000-000054100000}"/>
    <cellStyle name="20% - Accent3 5 2 3 4 7 2" xfId="4185" xr:uid="{00000000-0005-0000-0000-000055100000}"/>
    <cellStyle name="20% - Accent3 5 2 3 4 8" xfId="4186" xr:uid="{00000000-0005-0000-0000-000056100000}"/>
    <cellStyle name="20% - Accent3 5 2 3 5" xfId="4187" xr:uid="{00000000-0005-0000-0000-000057100000}"/>
    <cellStyle name="20% - Accent3 5 2 3 5 2" xfId="4188" xr:uid="{00000000-0005-0000-0000-000058100000}"/>
    <cellStyle name="20% - Accent3 5 2 3 5 2 2" xfId="4189" xr:uid="{00000000-0005-0000-0000-000059100000}"/>
    <cellStyle name="20% - Accent3 5 2 3 5 2 2 2" xfId="4190" xr:uid="{00000000-0005-0000-0000-00005A100000}"/>
    <cellStyle name="20% - Accent3 5 2 3 5 2 2 2 2" xfId="4191" xr:uid="{00000000-0005-0000-0000-00005B100000}"/>
    <cellStyle name="20% - Accent3 5 2 3 5 2 2 3" xfId="4192" xr:uid="{00000000-0005-0000-0000-00005C100000}"/>
    <cellStyle name="20% - Accent3 5 2 3 5 2 3" xfId="4193" xr:uid="{00000000-0005-0000-0000-00005D100000}"/>
    <cellStyle name="20% - Accent3 5 2 3 5 2 3 2" xfId="4194" xr:uid="{00000000-0005-0000-0000-00005E100000}"/>
    <cellStyle name="20% - Accent3 5 2 3 5 2 4" xfId="4195" xr:uid="{00000000-0005-0000-0000-00005F100000}"/>
    <cellStyle name="20% - Accent3 5 2 3 5 3" xfId="4196" xr:uid="{00000000-0005-0000-0000-000060100000}"/>
    <cellStyle name="20% - Accent3 5 2 3 5 3 2" xfId="4197" xr:uid="{00000000-0005-0000-0000-000061100000}"/>
    <cellStyle name="20% - Accent3 5 2 3 5 3 2 2" xfId="4198" xr:uid="{00000000-0005-0000-0000-000062100000}"/>
    <cellStyle name="20% - Accent3 5 2 3 5 3 3" xfId="4199" xr:uid="{00000000-0005-0000-0000-000063100000}"/>
    <cellStyle name="20% - Accent3 5 2 3 5 4" xfId="4200" xr:uid="{00000000-0005-0000-0000-000064100000}"/>
    <cellStyle name="20% - Accent3 5 2 3 5 4 2" xfId="4201" xr:uid="{00000000-0005-0000-0000-000065100000}"/>
    <cellStyle name="20% - Accent3 5 2 3 5 5" xfId="4202" xr:uid="{00000000-0005-0000-0000-000066100000}"/>
    <cellStyle name="20% - Accent3 5 2 3 6" xfId="4203" xr:uid="{00000000-0005-0000-0000-000067100000}"/>
    <cellStyle name="20% - Accent3 5 2 3 6 2" xfId="4204" xr:uid="{00000000-0005-0000-0000-000068100000}"/>
    <cellStyle name="20% - Accent3 5 2 3 6 2 2" xfId="4205" xr:uid="{00000000-0005-0000-0000-000069100000}"/>
    <cellStyle name="20% - Accent3 5 2 3 6 2 2 2" xfId="4206" xr:uid="{00000000-0005-0000-0000-00006A100000}"/>
    <cellStyle name="20% - Accent3 5 2 3 6 2 2 2 2" xfId="4207" xr:uid="{00000000-0005-0000-0000-00006B100000}"/>
    <cellStyle name="20% - Accent3 5 2 3 6 2 2 3" xfId="4208" xr:uid="{00000000-0005-0000-0000-00006C100000}"/>
    <cellStyle name="20% - Accent3 5 2 3 6 2 3" xfId="4209" xr:uid="{00000000-0005-0000-0000-00006D100000}"/>
    <cellStyle name="20% - Accent3 5 2 3 6 2 3 2" xfId="4210" xr:uid="{00000000-0005-0000-0000-00006E100000}"/>
    <cellStyle name="20% - Accent3 5 2 3 6 2 4" xfId="4211" xr:uid="{00000000-0005-0000-0000-00006F100000}"/>
    <cellStyle name="20% - Accent3 5 2 3 6 3" xfId="4212" xr:uid="{00000000-0005-0000-0000-000070100000}"/>
    <cellStyle name="20% - Accent3 5 2 3 6 3 2" xfId="4213" xr:uid="{00000000-0005-0000-0000-000071100000}"/>
    <cellStyle name="20% - Accent3 5 2 3 6 3 2 2" xfId="4214" xr:uid="{00000000-0005-0000-0000-000072100000}"/>
    <cellStyle name="20% - Accent3 5 2 3 6 3 3" xfId="4215" xr:uid="{00000000-0005-0000-0000-000073100000}"/>
    <cellStyle name="20% - Accent3 5 2 3 6 4" xfId="4216" xr:uid="{00000000-0005-0000-0000-000074100000}"/>
    <cellStyle name="20% - Accent3 5 2 3 6 4 2" xfId="4217" xr:uid="{00000000-0005-0000-0000-000075100000}"/>
    <cellStyle name="20% - Accent3 5 2 3 6 5" xfId="4218" xr:uid="{00000000-0005-0000-0000-000076100000}"/>
    <cellStyle name="20% - Accent3 5 2 3 7" xfId="4219" xr:uid="{00000000-0005-0000-0000-000077100000}"/>
    <cellStyle name="20% - Accent3 5 2 3 7 2" xfId="4220" xr:uid="{00000000-0005-0000-0000-000078100000}"/>
    <cellStyle name="20% - Accent3 5 2 3 7 2 2" xfId="4221" xr:uid="{00000000-0005-0000-0000-000079100000}"/>
    <cellStyle name="20% - Accent3 5 2 3 7 2 2 2" xfId="4222" xr:uid="{00000000-0005-0000-0000-00007A100000}"/>
    <cellStyle name="20% - Accent3 5 2 3 7 2 3" xfId="4223" xr:uid="{00000000-0005-0000-0000-00007B100000}"/>
    <cellStyle name="20% - Accent3 5 2 3 7 3" xfId="4224" xr:uid="{00000000-0005-0000-0000-00007C100000}"/>
    <cellStyle name="20% - Accent3 5 2 3 7 3 2" xfId="4225" xr:uid="{00000000-0005-0000-0000-00007D100000}"/>
    <cellStyle name="20% - Accent3 5 2 3 7 4" xfId="4226" xr:uid="{00000000-0005-0000-0000-00007E100000}"/>
    <cellStyle name="20% - Accent3 5 2 3 8" xfId="4227" xr:uid="{00000000-0005-0000-0000-00007F100000}"/>
    <cellStyle name="20% - Accent3 5 2 3 8 2" xfId="4228" xr:uid="{00000000-0005-0000-0000-000080100000}"/>
    <cellStyle name="20% - Accent3 5 2 3 8 2 2" xfId="4229" xr:uid="{00000000-0005-0000-0000-000081100000}"/>
    <cellStyle name="20% - Accent3 5 2 3 8 2 2 2" xfId="4230" xr:uid="{00000000-0005-0000-0000-000082100000}"/>
    <cellStyle name="20% - Accent3 5 2 3 8 2 3" xfId="4231" xr:uid="{00000000-0005-0000-0000-000083100000}"/>
    <cellStyle name="20% - Accent3 5 2 3 8 3" xfId="4232" xr:uid="{00000000-0005-0000-0000-000084100000}"/>
    <cellStyle name="20% - Accent3 5 2 3 8 3 2" xfId="4233" xr:uid="{00000000-0005-0000-0000-000085100000}"/>
    <cellStyle name="20% - Accent3 5 2 3 8 4" xfId="4234" xr:uid="{00000000-0005-0000-0000-000086100000}"/>
    <cellStyle name="20% - Accent3 5 2 3 9" xfId="4235" xr:uid="{00000000-0005-0000-0000-000087100000}"/>
    <cellStyle name="20% - Accent3 5 2 3 9 2" xfId="4236" xr:uid="{00000000-0005-0000-0000-000088100000}"/>
    <cellStyle name="20% - Accent3 5 2 3 9 2 2" xfId="4237" xr:uid="{00000000-0005-0000-0000-000089100000}"/>
    <cellStyle name="20% - Accent3 5 2 3 9 3" xfId="4238" xr:uid="{00000000-0005-0000-0000-00008A100000}"/>
    <cellStyle name="20% - Accent3 5 2 4" xfId="4239" xr:uid="{00000000-0005-0000-0000-00008B100000}"/>
    <cellStyle name="20% - Accent3 5 2 4 10" xfId="4240" xr:uid="{00000000-0005-0000-0000-00008C100000}"/>
    <cellStyle name="20% - Accent3 5 2 4 10 2" xfId="4241" xr:uid="{00000000-0005-0000-0000-00008D100000}"/>
    <cellStyle name="20% - Accent3 5 2 4 10 2 2" xfId="4242" xr:uid="{00000000-0005-0000-0000-00008E100000}"/>
    <cellStyle name="20% - Accent3 5 2 4 10 3" xfId="4243" xr:uid="{00000000-0005-0000-0000-00008F100000}"/>
    <cellStyle name="20% - Accent3 5 2 4 11" xfId="4244" xr:uid="{00000000-0005-0000-0000-000090100000}"/>
    <cellStyle name="20% - Accent3 5 2 4 11 2" xfId="4245" xr:uid="{00000000-0005-0000-0000-000091100000}"/>
    <cellStyle name="20% - Accent3 5 2 4 11 2 2" xfId="4246" xr:uid="{00000000-0005-0000-0000-000092100000}"/>
    <cellStyle name="20% - Accent3 5 2 4 11 3" xfId="4247" xr:uid="{00000000-0005-0000-0000-000093100000}"/>
    <cellStyle name="20% - Accent3 5 2 4 12" xfId="4248" xr:uid="{00000000-0005-0000-0000-000094100000}"/>
    <cellStyle name="20% - Accent3 5 2 4 12 2" xfId="4249" xr:uid="{00000000-0005-0000-0000-000095100000}"/>
    <cellStyle name="20% - Accent3 5 2 4 12 2 2" xfId="4250" xr:uid="{00000000-0005-0000-0000-000096100000}"/>
    <cellStyle name="20% - Accent3 5 2 4 12 3" xfId="4251" xr:uid="{00000000-0005-0000-0000-000097100000}"/>
    <cellStyle name="20% - Accent3 5 2 4 13" xfId="4252" xr:uid="{00000000-0005-0000-0000-000098100000}"/>
    <cellStyle name="20% - Accent3 5 2 4 13 2" xfId="4253" xr:uid="{00000000-0005-0000-0000-000099100000}"/>
    <cellStyle name="20% - Accent3 5 2 4 14" xfId="4254" xr:uid="{00000000-0005-0000-0000-00009A100000}"/>
    <cellStyle name="20% - Accent3 5 2 4 2" xfId="4255" xr:uid="{00000000-0005-0000-0000-00009B100000}"/>
    <cellStyle name="20% - Accent3 5 2 4 2 2" xfId="4256" xr:uid="{00000000-0005-0000-0000-00009C100000}"/>
    <cellStyle name="20% - Accent3 5 2 4 2 2 2" xfId="4257" xr:uid="{00000000-0005-0000-0000-00009D100000}"/>
    <cellStyle name="20% - Accent3 5 2 4 2 2 2 2" xfId="4258" xr:uid="{00000000-0005-0000-0000-00009E100000}"/>
    <cellStyle name="20% - Accent3 5 2 4 2 2 2 2 2" xfId="4259" xr:uid="{00000000-0005-0000-0000-00009F100000}"/>
    <cellStyle name="20% - Accent3 5 2 4 2 2 2 3" xfId="4260" xr:uid="{00000000-0005-0000-0000-0000A0100000}"/>
    <cellStyle name="20% - Accent3 5 2 4 2 2 3" xfId="4261" xr:uid="{00000000-0005-0000-0000-0000A1100000}"/>
    <cellStyle name="20% - Accent3 5 2 4 2 2 3 2" xfId="4262" xr:uid="{00000000-0005-0000-0000-0000A2100000}"/>
    <cellStyle name="20% - Accent3 5 2 4 2 2 4" xfId="4263" xr:uid="{00000000-0005-0000-0000-0000A3100000}"/>
    <cellStyle name="20% - Accent3 5 2 4 2 3" xfId="4264" xr:uid="{00000000-0005-0000-0000-0000A4100000}"/>
    <cellStyle name="20% - Accent3 5 2 4 2 3 2" xfId="4265" xr:uid="{00000000-0005-0000-0000-0000A5100000}"/>
    <cellStyle name="20% - Accent3 5 2 4 2 3 2 2" xfId="4266" xr:uid="{00000000-0005-0000-0000-0000A6100000}"/>
    <cellStyle name="20% - Accent3 5 2 4 2 3 3" xfId="4267" xr:uid="{00000000-0005-0000-0000-0000A7100000}"/>
    <cellStyle name="20% - Accent3 5 2 4 2 4" xfId="4268" xr:uid="{00000000-0005-0000-0000-0000A8100000}"/>
    <cellStyle name="20% - Accent3 5 2 4 2 4 2" xfId="4269" xr:uid="{00000000-0005-0000-0000-0000A9100000}"/>
    <cellStyle name="20% - Accent3 5 2 4 2 4 2 2" xfId="4270" xr:uid="{00000000-0005-0000-0000-0000AA100000}"/>
    <cellStyle name="20% - Accent3 5 2 4 2 4 3" xfId="4271" xr:uid="{00000000-0005-0000-0000-0000AB100000}"/>
    <cellStyle name="20% - Accent3 5 2 4 2 5" xfId="4272" xr:uid="{00000000-0005-0000-0000-0000AC100000}"/>
    <cellStyle name="20% - Accent3 5 2 4 2 5 2" xfId="4273" xr:uid="{00000000-0005-0000-0000-0000AD100000}"/>
    <cellStyle name="20% - Accent3 5 2 4 2 5 2 2" xfId="4274" xr:uid="{00000000-0005-0000-0000-0000AE100000}"/>
    <cellStyle name="20% - Accent3 5 2 4 2 5 3" xfId="4275" xr:uid="{00000000-0005-0000-0000-0000AF100000}"/>
    <cellStyle name="20% - Accent3 5 2 4 2 6" xfId="4276" xr:uid="{00000000-0005-0000-0000-0000B0100000}"/>
    <cellStyle name="20% - Accent3 5 2 4 2 6 2" xfId="4277" xr:uid="{00000000-0005-0000-0000-0000B1100000}"/>
    <cellStyle name="20% - Accent3 5 2 4 2 6 2 2" xfId="4278" xr:uid="{00000000-0005-0000-0000-0000B2100000}"/>
    <cellStyle name="20% - Accent3 5 2 4 2 6 3" xfId="4279" xr:uid="{00000000-0005-0000-0000-0000B3100000}"/>
    <cellStyle name="20% - Accent3 5 2 4 2 7" xfId="4280" xr:uid="{00000000-0005-0000-0000-0000B4100000}"/>
    <cellStyle name="20% - Accent3 5 2 4 2 7 2" xfId="4281" xr:uid="{00000000-0005-0000-0000-0000B5100000}"/>
    <cellStyle name="20% - Accent3 5 2 4 2 8" xfId="4282" xr:uid="{00000000-0005-0000-0000-0000B6100000}"/>
    <cellStyle name="20% - Accent3 5 2 4 3" xfId="4283" xr:uid="{00000000-0005-0000-0000-0000B7100000}"/>
    <cellStyle name="20% - Accent3 5 2 4 3 2" xfId="4284" xr:uid="{00000000-0005-0000-0000-0000B8100000}"/>
    <cellStyle name="20% - Accent3 5 2 4 3 2 2" xfId="4285" xr:uid="{00000000-0005-0000-0000-0000B9100000}"/>
    <cellStyle name="20% - Accent3 5 2 4 3 2 2 2" xfId="4286" xr:uid="{00000000-0005-0000-0000-0000BA100000}"/>
    <cellStyle name="20% - Accent3 5 2 4 3 2 2 2 2" xfId="4287" xr:uid="{00000000-0005-0000-0000-0000BB100000}"/>
    <cellStyle name="20% - Accent3 5 2 4 3 2 2 3" xfId="4288" xr:uid="{00000000-0005-0000-0000-0000BC100000}"/>
    <cellStyle name="20% - Accent3 5 2 4 3 2 3" xfId="4289" xr:uid="{00000000-0005-0000-0000-0000BD100000}"/>
    <cellStyle name="20% - Accent3 5 2 4 3 2 3 2" xfId="4290" xr:uid="{00000000-0005-0000-0000-0000BE100000}"/>
    <cellStyle name="20% - Accent3 5 2 4 3 2 4" xfId="4291" xr:uid="{00000000-0005-0000-0000-0000BF100000}"/>
    <cellStyle name="20% - Accent3 5 2 4 3 3" xfId="4292" xr:uid="{00000000-0005-0000-0000-0000C0100000}"/>
    <cellStyle name="20% - Accent3 5 2 4 3 3 2" xfId="4293" xr:uid="{00000000-0005-0000-0000-0000C1100000}"/>
    <cellStyle name="20% - Accent3 5 2 4 3 3 2 2" xfId="4294" xr:uid="{00000000-0005-0000-0000-0000C2100000}"/>
    <cellStyle name="20% - Accent3 5 2 4 3 3 3" xfId="4295" xr:uid="{00000000-0005-0000-0000-0000C3100000}"/>
    <cellStyle name="20% - Accent3 5 2 4 3 4" xfId="4296" xr:uid="{00000000-0005-0000-0000-0000C4100000}"/>
    <cellStyle name="20% - Accent3 5 2 4 3 4 2" xfId="4297" xr:uid="{00000000-0005-0000-0000-0000C5100000}"/>
    <cellStyle name="20% - Accent3 5 2 4 3 4 2 2" xfId="4298" xr:uid="{00000000-0005-0000-0000-0000C6100000}"/>
    <cellStyle name="20% - Accent3 5 2 4 3 4 3" xfId="4299" xr:uid="{00000000-0005-0000-0000-0000C7100000}"/>
    <cellStyle name="20% - Accent3 5 2 4 3 5" xfId="4300" xr:uid="{00000000-0005-0000-0000-0000C8100000}"/>
    <cellStyle name="20% - Accent3 5 2 4 3 5 2" xfId="4301" xr:uid="{00000000-0005-0000-0000-0000C9100000}"/>
    <cellStyle name="20% - Accent3 5 2 4 3 5 2 2" xfId="4302" xr:uid="{00000000-0005-0000-0000-0000CA100000}"/>
    <cellStyle name="20% - Accent3 5 2 4 3 5 3" xfId="4303" xr:uid="{00000000-0005-0000-0000-0000CB100000}"/>
    <cellStyle name="20% - Accent3 5 2 4 3 6" xfId="4304" xr:uid="{00000000-0005-0000-0000-0000CC100000}"/>
    <cellStyle name="20% - Accent3 5 2 4 3 6 2" xfId="4305" xr:uid="{00000000-0005-0000-0000-0000CD100000}"/>
    <cellStyle name="20% - Accent3 5 2 4 3 6 2 2" xfId="4306" xr:uid="{00000000-0005-0000-0000-0000CE100000}"/>
    <cellStyle name="20% - Accent3 5 2 4 3 6 3" xfId="4307" xr:uid="{00000000-0005-0000-0000-0000CF100000}"/>
    <cellStyle name="20% - Accent3 5 2 4 3 7" xfId="4308" xr:uid="{00000000-0005-0000-0000-0000D0100000}"/>
    <cellStyle name="20% - Accent3 5 2 4 3 7 2" xfId="4309" xr:uid="{00000000-0005-0000-0000-0000D1100000}"/>
    <cellStyle name="20% - Accent3 5 2 4 3 8" xfId="4310" xr:uid="{00000000-0005-0000-0000-0000D2100000}"/>
    <cellStyle name="20% - Accent3 5 2 4 4" xfId="4311" xr:uid="{00000000-0005-0000-0000-0000D3100000}"/>
    <cellStyle name="20% - Accent3 5 2 4 4 2" xfId="4312" xr:uid="{00000000-0005-0000-0000-0000D4100000}"/>
    <cellStyle name="20% - Accent3 5 2 4 4 2 2" xfId="4313" xr:uid="{00000000-0005-0000-0000-0000D5100000}"/>
    <cellStyle name="20% - Accent3 5 2 4 4 2 2 2" xfId="4314" xr:uid="{00000000-0005-0000-0000-0000D6100000}"/>
    <cellStyle name="20% - Accent3 5 2 4 4 2 2 2 2" xfId="4315" xr:uid="{00000000-0005-0000-0000-0000D7100000}"/>
    <cellStyle name="20% - Accent3 5 2 4 4 2 2 3" xfId="4316" xr:uid="{00000000-0005-0000-0000-0000D8100000}"/>
    <cellStyle name="20% - Accent3 5 2 4 4 2 3" xfId="4317" xr:uid="{00000000-0005-0000-0000-0000D9100000}"/>
    <cellStyle name="20% - Accent3 5 2 4 4 2 3 2" xfId="4318" xr:uid="{00000000-0005-0000-0000-0000DA100000}"/>
    <cellStyle name="20% - Accent3 5 2 4 4 2 4" xfId="4319" xr:uid="{00000000-0005-0000-0000-0000DB100000}"/>
    <cellStyle name="20% - Accent3 5 2 4 4 3" xfId="4320" xr:uid="{00000000-0005-0000-0000-0000DC100000}"/>
    <cellStyle name="20% - Accent3 5 2 4 4 3 2" xfId="4321" xr:uid="{00000000-0005-0000-0000-0000DD100000}"/>
    <cellStyle name="20% - Accent3 5 2 4 4 3 2 2" xfId="4322" xr:uid="{00000000-0005-0000-0000-0000DE100000}"/>
    <cellStyle name="20% - Accent3 5 2 4 4 3 3" xfId="4323" xr:uid="{00000000-0005-0000-0000-0000DF100000}"/>
    <cellStyle name="20% - Accent3 5 2 4 4 4" xfId="4324" xr:uid="{00000000-0005-0000-0000-0000E0100000}"/>
    <cellStyle name="20% - Accent3 5 2 4 4 4 2" xfId="4325" xr:uid="{00000000-0005-0000-0000-0000E1100000}"/>
    <cellStyle name="20% - Accent3 5 2 4 4 4 2 2" xfId="4326" xr:uid="{00000000-0005-0000-0000-0000E2100000}"/>
    <cellStyle name="20% - Accent3 5 2 4 4 4 3" xfId="4327" xr:uid="{00000000-0005-0000-0000-0000E3100000}"/>
    <cellStyle name="20% - Accent3 5 2 4 4 5" xfId="4328" xr:uid="{00000000-0005-0000-0000-0000E4100000}"/>
    <cellStyle name="20% - Accent3 5 2 4 4 5 2" xfId="4329" xr:uid="{00000000-0005-0000-0000-0000E5100000}"/>
    <cellStyle name="20% - Accent3 5 2 4 4 5 2 2" xfId="4330" xr:uid="{00000000-0005-0000-0000-0000E6100000}"/>
    <cellStyle name="20% - Accent3 5 2 4 4 5 3" xfId="4331" xr:uid="{00000000-0005-0000-0000-0000E7100000}"/>
    <cellStyle name="20% - Accent3 5 2 4 4 6" xfId="4332" xr:uid="{00000000-0005-0000-0000-0000E8100000}"/>
    <cellStyle name="20% - Accent3 5 2 4 4 6 2" xfId="4333" xr:uid="{00000000-0005-0000-0000-0000E9100000}"/>
    <cellStyle name="20% - Accent3 5 2 4 4 6 2 2" xfId="4334" xr:uid="{00000000-0005-0000-0000-0000EA100000}"/>
    <cellStyle name="20% - Accent3 5 2 4 4 6 3" xfId="4335" xr:uid="{00000000-0005-0000-0000-0000EB100000}"/>
    <cellStyle name="20% - Accent3 5 2 4 4 7" xfId="4336" xr:uid="{00000000-0005-0000-0000-0000EC100000}"/>
    <cellStyle name="20% - Accent3 5 2 4 4 7 2" xfId="4337" xr:uid="{00000000-0005-0000-0000-0000ED100000}"/>
    <cellStyle name="20% - Accent3 5 2 4 4 8" xfId="4338" xr:uid="{00000000-0005-0000-0000-0000EE100000}"/>
    <cellStyle name="20% - Accent3 5 2 4 5" xfId="4339" xr:uid="{00000000-0005-0000-0000-0000EF100000}"/>
    <cellStyle name="20% - Accent3 5 2 4 5 2" xfId="4340" xr:uid="{00000000-0005-0000-0000-0000F0100000}"/>
    <cellStyle name="20% - Accent3 5 2 4 5 2 2" xfId="4341" xr:uid="{00000000-0005-0000-0000-0000F1100000}"/>
    <cellStyle name="20% - Accent3 5 2 4 5 2 2 2" xfId="4342" xr:uid="{00000000-0005-0000-0000-0000F2100000}"/>
    <cellStyle name="20% - Accent3 5 2 4 5 2 2 2 2" xfId="4343" xr:uid="{00000000-0005-0000-0000-0000F3100000}"/>
    <cellStyle name="20% - Accent3 5 2 4 5 2 2 3" xfId="4344" xr:uid="{00000000-0005-0000-0000-0000F4100000}"/>
    <cellStyle name="20% - Accent3 5 2 4 5 2 3" xfId="4345" xr:uid="{00000000-0005-0000-0000-0000F5100000}"/>
    <cellStyle name="20% - Accent3 5 2 4 5 2 3 2" xfId="4346" xr:uid="{00000000-0005-0000-0000-0000F6100000}"/>
    <cellStyle name="20% - Accent3 5 2 4 5 2 4" xfId="4347" xr:uid="{00000000-0005-0000-0000-0000F7100000}"/>
    <cellStyle name="20% - Accent3 5 2 4 5 3" xfId="4348" xr:uid="{00000000-0005-0000-0000-0000F8100000}"/>
    <cellStyle name="20% - Accent3 5 2 4 5 3 2" xfId="4349" xr:uid="{00000000-0005-0000-0000-0000F9100000}"/>
    <cellStyle name="20% - Accent3 5 2 4 5 3 2 2" xfId="4350" xr:uid="{00000000-0005-0000-0000-0000FA100000}"/>
    <cellStyle name="20% - Accent3 5 2 4 5 3 3" xfId="4351" xr:uid="{00000000-0005-0000-0000-0000FB100000}"/>
    <cellStyle name="20% - Accent3 5 2 4 5 4" xfId="4352" xr:uid="{00000000-0005-0000-0000-0000FC100000}"/>
    <cellStyle name="20% - Accent3 5 2 4 5 4 2" xfId="4353" xr:uid="{00000000-0005-0000-0000-0000FD100000}"/>
    <cellStyle name="20% - Accent3 5 2 4 5 5" xfId="4354" xr:uid="{00000000-0005-0000-0000-0000FE100000}"/>
    <cellStyle name="20% - Accent3 5 2 4 6" xfId="4355" xr:uid="{00000000-0005-0000-0000-0000FF100000}"/>
    <cellStyle name="20% - Accent3 5 2 4 6 2" xfId="4356" xr:uid="{00000000-0005-0000-0000-000000110000}"/>
    <cellStyle name="20% - Accent3 5 2 4 6 2 2" xfId="4357" xr:uid="{00000000-0005-0000-0000-000001110000}"/>
    <cellStyle name="20% - Accent3 5 2 4 6 2 2 2" xfId="4358" xr:uid="{00000000-0005-0000-0000-000002110000}"/>
    <cellStyle name="20% - Accent3 5 2 4 6 2 2 2 2" xfId="4359" xr:uid="{00000000-0005-0000-0000-000003110000}"/>
    <cellStyle name="20% - Accent3 5 2 4 6 2 2 3" xfId="4360" xr:uid="{00000000-0005-0000-0000-000004110000}"/>
    <cellStyle name="20% - Accent3 5 2 4 6 2 3" xfId="4361" xr:uid="{00000000-0005-0000-0000-000005110000}"/>
    <cellStyle name="20% - Accent3 5 2 4 6 2 3 2" xfId="4362" xr:uid="{00000000-0005-0000-0000-000006110000}"/>
    <cellStyle name="20% - Accent3 5 2 4 6 2 4" xfId="4363" xr:uid="{00000000-0005-0000-0000-000007110000}"/>
    <cellStyle name="20% - Accent3 5 2 4 6 3" xfId="4364" xr:uid="{00000000-0005-0000-0000-000008110000}"/>
    <cellStyle name="20% - Accent3 5 2 4 6 3 2" xfId="4365" xr:uid="{00000000-0005-0000-0000-000009110000}"/>
    <cellStyle name="20% - Accent3 5 2 4 6 3 2 2" xfId="4366" xr:uid="{00000000-0005-0000-0000-00000A110000}"/>
    <cellStyle name="20% - Accent3 5 2 4 6 3 3" xfId="4367" xr:uid="{00000000-0005-0000-0000-00000B110000}"/>
    <cellStyle name="20% - Accent3 5 2 4 6 4" xfId="4368" xr:uid="{00000000-0005-0000-0000-00000C110000}"/>
    <cellStyle name="20% - Accent3 5 2 4 6 4 2" xfId="4369" xr:uid="{00000000-0005-0000-0000-00000D110000}"/>
    <cellStyle name="20% - Accent3 5 2 4 6 5" xfId="4370" xr:uid="{00000000-0005-0000-0000-00000E110000}"/>
    <cellStyle name="20% - Accent3 5 2 4 7" xfId="4371" xr:uid="{00000000-0005-0000-0000-00000F110000}"/>
    <cellStyle name="20% - Accent3 5 2 4 7 2" xfId="4372" xr:uid="{00000000-0005-0000-0000-000010110000}"/>
    <cellStyle name="20% - Accent3 5 2 4 7 2 2" xfId="4373" xr:uid="{00000000-0005-0000-0000-000011110000}"/>
    <cellStyle name="20% - Accent3 5 2 4 7 2 2 2" xfId="4374" xr:uid="{00000000-0005-0000-0000-000012110000}"/>
    <cellStyle name="20% - Accent3 5 2 4 7 2 3" xfId="4375" xr:uid="{00000000-0005-0000-0000-000013110000}"/>
    <cellStyle name="20% - Accent3 5 2 4 7 3" xfId="4376" xr:uid="{00000000-0005-0000-0000-000014110000}"/>
    <cellStyle name="20% - Accent3 5 2 4 7 3 2" xfId="4377" xr:uid="{00000000-0005-0000-0000-000015110000}"/>
    <cellStyle name="20% - Accent3 5 2 4 7 4" xfId="4378" xr:uid="{00000000-0005-0000-0000-000016110000}"/>
    <cellStyle name="20% - Accent3 5 2 4 8" xfId="4379" xr:uid="{00000000-0005-0000-0000-000017110000}"/>
    <cellStyle name="20% - Accent3 5 2 4 8 2" xfId="4380" xr:uid="{00000000-0005-0000-0000-000018110000}"/>
    <cellStyle name="20% - Accent3 5 2 4 8 2 2" xfId="4381" xr:uid="{00000000-0005-0000-0000-000019110000}"/>
    <cellStyle name="20% - Accent3 5 2 4 8 2 2 2" xfId="4382" xr:uid="{00000000-0005-0000-0000-00001A110000}"/>
    <cellStyle name="20% - Accent3 5 2 4 8 2 3" xfId="4383" xr:uid="{00000000-0005-0000-0000-00001B110000}"/>
    <cellStyle name="20% - Accent3 5 2 4 8 3" xfId="4384" xr:uid="{00000000-0005-0000-0000-00001C110000}"/>
    <cellStyle name="20% - Accent3 5 2 4 8 3 2" xfId="4385" xr:uid="{00000000-0005-0000-0000-00001D110000}"/>
    <cellStyle name="20% - Accent3 5 2 4 8 4" xfId="4386" xr:uid="{00000000-0005-0000-0000-00001E110000}"/>
    <cellStyle name="20% - Accent3 5 2 4 9" xfId="4387" xr:uid="{00000000-0005-0000-0000-00001F110000}"/>
    <cellStyle name="20% - Accent3 5 2 4 9 2" xfId="4388" xr:uid="{00000000-0005-0000-0000-000020110000}"/>
    <cellStyle name="20% - Accent3 5 2 4 9 2 2" xfId="4389" xr:uid="{00000000-0005-0000-0000-000021110000}"/>
    <cellStyle name="20% - Accent3 5 2 4 9 3" xfId="4390" xr:uid="{00000000-0005-0000-0000-000022110000}"/>
    <cellStyle name="20% - Accent3 5 2 5" xfId="4391" xr:uid="{00000000-0005-0000-0000-000023110000}"/>
    <cellStyle name="20% - Accent3 5 2 5 10" xfId="4392" xr:uid="{00000000-0005-0000-0000-000024110000}"/>
    <cellStyle name="20% - Accent3 5 2 5 10 2" xfId="4393" xr:uid="{00000000-0005-0000-0000-000025110000}"/>
    <cellStyle name="20% - Accent3 5 2 5 10 2 2" xfId="4394" xr:uid="{00000000-0005-0000-0000-000026110000}"/>
    <cellStyle name="20% - Accent3 5 2 5 10 3" xfId="4395" xr:uid="{00000000-0005-0000-0000-000027110000}"/>
    <cellStyle name="20% - Accent3 5 2 5 11" xfId="4396" xr:uid="{00000000-0005-0000-0000-000028110000}"/>
    <cellStyle name="20% - Accent3 5 2 5 11 2" xfId="4397" xr:uid="{00000000-0005-0000-0000-000029110000}"/>
    <cellStyle name="20% - Accent3 5 2 5 11 2 2" xfId="4398" xr:uid="{00000000-0005-0000-0000-00002A110000}"/>
    <cellStyle name="20% - Accent3 5 2 5 11 3" xfId="4399" xr:uid="{00000000-0005-0000-0000-00002B110000}"/>
    <cellStyle name="20% - Accent3 5 2 5 12" xfId="4400" xr:uid="{00000000-0005-0000-0000-00002C110000}"/>
    <cellStyle name="20% - Accent3 5 2 5 12 2" xfId="4401" xr:uid="{00000000-0005-0000-0000-00002D110000}"/>
    <cellStyle name="20% - Accent3 5 2 5 12 2 2" xfId="4402" xr:uid="{00000000-0005-0000-0000-00002E110000}"/>
    <cellStyle name="20% - Accent3 5 2 5 12 3" xfId="4403" xr:uid="{00000000-0005-0000-0000-00002F110000}"/>
    <cellStyle name="20% - Accent3 5 2 5 13" xfId="4404" xr:uid="{00000000-0005-0000-0000-000030110000}"/>
    <cellStyle name="20% - Accent3 5 2 5 13 2" xfId="4405" xr:uid="{00000000-0005-0000-0000-000031110000}"/>
    <cellStyle name="20% - Accent3 5 2 5 14" xfId="4406" xr:uid="{00000000-0005-0000-0000-000032110000}"/>
    <cellStyle name="20% - Accent3 5 2 5 2" xfId="4407" xr:uid="{00000000-0005-0000-0000-000033110000}"/>
    <cellStyle name="20% - Accent3 5 2 5 2 2" xfId="4408" xr:uid="{00000000-0005-0000-0000-000034110000}"/>
    <cellStyle name="20% - Accent3 5 2 5 2 2 2" xfId="4409" xr:uid="{00000000-0005-0000-0000-000035110000}"/>
    <cellStyle name="20% - Accent3 5 2 5 2 2 2 2" xfId="4410" xr:uid="{00000000-0005-0000-0000-000036110000}"/>
    <cellStyle name="20% - Accent3 5 2 5 2 2 2 2 2" xfId="4411" xr:uid="{00000000-0005-0000-0000-000037110000}"/>
    <cellStyle name="20% - Accent3 5 2 5 2 2 2 3" xfId="4412" xr:uid="{00000000-0005-0000-0000-000038110000}"/>
    <cellStyle name="20% - Accent3 5 2 5 2 2 3" xfId="4413" xr:uid="{00000000-0005-0000-0000-000039110000}"/>
    <cellStyle name="20% - Accent3 5 2 5 2 2 3 2" xfId="4414" xr:uid="{00000000-0005-0000-0000-00003A110000}"/>
    <cellStyle name="20% - Accent3 5 2 5 2 2 4" xfId="4415" xr:uid="{00000000-0005-0000-0000-00003B110000}"/>
    <cellStyle name="20% - Accent3 5 2 5 2 3" xfId="4416" xr:uid="{00000000-0005-0000-0000-00003C110000}"/>
    <cellStyle name="20% - Accent3 5 2 5 2 3 2" xfId="4417" xr:uid="{00000000-0005-0000-0000-00003D110000}"/>
    <cellStyle name="20% - Accent3 5 2 5 2 3 2 2" xfId="4418" xr:uid="{00000000-0005-0000-0000-00003E110000}"/>
    <cellStyle name="20% - Accent3 5 2 5 2 3 3" xfId="4419" xr:uid="{00000000-0005-0000-0000-00003F110000}"/>
    <cellStyle name="20% - Accent3 5 2 5 2 4" xfId="4420" xr:uid="{00000000-0005-0000-0000-000040110000}"/>
    <cellStyle name="20% - Accent3 5 2 5 2 4 2" xfId="4421" xr:uid="{00000000-0005-0000-0000-000041110000}"/>
    <cellStyle name="20% - Accent3 5 2 5 2 4 2 2" xfId="4422" xr:uid="{00000000-0005-0000-0000-000042110000}"/>
    <cellStyle name="20% - Accent3 5 2 5 2 4 3" xfId="4423" xr:uid="{00000000-0005-0000-0000-000043110000}"/>
    <cellStyle name="20% - Accent3 5 2 5 2 5" xfId="4424" xr:uid="{00000000-0005-0000-0000-000044110000}"/>
    <cellStyle name="20% - Accent3 5 2 5 2 5 2" xfId="4425" xr:uid="{00000000-0005-0000-0000-000045110000}"/>
    <cellStyle name="20% - Accent3 5 2 5 2 5 2 2" xfId="4426" xr:uid="{00000000-0005-0000-0000-000046110000}"/>
    <cellStyle name="20% - Accent3 5 2 5 2 5 3" xfId="4427" xr:uid="{00000000-0005-0000-0000-000047110000}"/>
    <cellStyle name="20% - Accent3 5 2 5 2 6" xfId="4428" xr:uid="{00000000-0005-0000-0000-000048110000}"/>
    <cellStyle name="20% - Accent3 5 2 5 2 6 2" xfId="4429" xr:uid="{00000000-0005-0000-0000-000049110000}"/>
    <cellStyle name="20% - Accent3 5 2 5 2 6 2 2" xfId="4430" xr:uid="{00000000-0005-0000-0000-00004A110000}"/>
    <cellStyle name="20% - Accent3 5 2 5 2 6 3" xfId="4431" xr:uid="{00000000-0005-0000-0000-00004B110000}"/>
    <cellStyle name="20% - Accent3 5 2 5 2 7" xfId="4432" xr:uid="{00000000-0005-0000-0000-00004C110000}"/>
    <cellStyle name="20% - Accent3 5 2 5 2 7 2" xfId="4433" xr:uid="{00000000-0005-0000-0000-00004D110000}"/>
    <cellStyle name="20% - Accent3 5 2 5 2 8" xfId="4434" xr:uid="{00000000-0005-0000-0000-00004E110000}"/>
    <cellStyle name="20% - Accent3 5 2 5 3" xfId="4435" xr:uid="{00000000-0005-0000-0000-00004F110000}"/>
    <cellStyle name="20% - Accent3 5 2 5 3 2" xfId="4436" xr:uid="{00000000-0005-0000-0000-000050110000}"/>
    <cellStyle name="20% - Accent3 5 2 5 3 2 2" xfId="4437" xr:uid="{00000000-0005-0000-0000-000051110000}"/>
    <cellStyle name="20% - Accent3 5 2 5 3 2 2 2" xfId="4438" xr:uid="{00000000-0005-0000-0000-000052110000}"/>
    <cellStyle name="20% - Accent3 5 2 5 3 2 2 2 2" xfId="4439" xr:uid="{00000000-0005-0000-0000-000053110000}"/>
    <cellStyle name="20% - Accent3 5 2 5 3 2 2 3" xfId="4440" xr:uid="{00000000-0005-0000-0000-000054110000}"/>
    <cellStyle name="20% - Accent3 5 2 5 3 2 3" xfId="4441" xr:uid="{00000000-0005-0000-0000-000055110000}"/>
    <cellStyle name="20% - Accent3 5 2 5 3 2 3 2" xfId="4442" xr:uid="{00000000-0005-0000-0000-000056110000}"/>
    <cellStyle name="20% - Accent3 5 2 5 3 2 4" xfId="4443" xr:uid="{00000000-0005-0000-0000-000057110000}"/>
    <cellStyle name="20% - Accent3 5 2 5 3 3" xfId="4444" xr:uid="{00000000-0005-0000-0000-000058110000}"/>
    <cellStyle name="20% - Accent3 5 2 5 3 3 2" xfId="4445" xr:uid="{00000000-0005-0000-0000-000059110000}"/>
    <cellStyle name="20% - Accent3 5 2 5 3 3 2 2" xfId="4446" xr:uid="{00000000-0005-0000-0000-00005A110000}"/>
    <cellStyle name="20% - Accent3 5 2 5 3 3 3" xfId="4447" xr:uid="{00000000-0005-0000-0000-00005B110000}"/>
    <cellStyle name="20% - Accent3 5 2 5 3 4" xfId="4448" xr:uid="{00000000-0005-0000-0000-00005C110000}"/>
    <cellStyle name="20% - Accent3 5 2 5 3 4 2" xfId="4449" xr:uid="{00000000-0005-0000-0000-00005D110000}"/>
    <cellStyle name="20% - Accent3 5 2 5 3 4 2 2" xfId="4450" xr:uid="{00000000-0005-0000-0000-00005E110000}"/>
    <cellStyle name="20% - Accent3 5 2 5 3 4 3" xfId="4451" xr:uid="{00000000-0005-0000-0000-00005F110000}"/>
    <cellStyle name="20% - Accent3 5 2 5 3 5" xfId="4452" xr:uid="{00000000-0005-0000-0000-000060110000}"/>
    <cellStyle name="20% - Accent3 5 2 5 3 5 2" xfId="4453" xr:uid="{00000000-0005-0000-0000-000061110000}"/>
    <cellStyle name="20% - Accent3 5 2 5 3 5 2 2" xfId="4454" xr:uid="{00000000-0005-0000-0000-000062110000}"/>
    <cellStyle name="20% - Accent3 5 2 5 3 5 3" xfId="4455" xr:uid="{00000000-0005-0000-0000-000063110000}"/>
    <cellStyle name="20% - Accent3 5 2 5 3 6" xfId="4456" xr:uid="{00000000-0005-0000-0000-000064110000}"/>
    <cellStyle name="20% - Accent3 5 2 5 3 6 2" xfId="4457" xr:uid="{00000000-0005-0000-0000-000065110000}"/>
    <cellStyle name="20% - Accent3 5 2 5 3 6 2 2" xfId="4458" xr:uid="{00000000-0005-0000-0000-000066110000}"/>
    <cellStyle name="20% - Accent3 5 2 5 3 6 3" xfId="4459" xr:uid="{00000000-0005-0000-0000-000067110000}"/>
    <cellStyle name="20% - Accent3 5 2 5 3 7" xfId="4460" xr:uid="{00000000-0005-0000-0000-000068110000}"/>
    <cellStyle name="20% - Accent3 5 2 5 3 7 2" xfId="4461" xr:uid="{00000000-0005-0000-0000-000069110000}"/>
    <cellStyle name="20% - Accent3 5 2 5 3 8" xfId="4462" xr:uid="{00000000-0005-0000-0000-00006A110000}"/>
    <cellStyle name="20% - Accent3 5 2 5 4" xfId="4463" xr:uid="{00000000-0005-0000-0000-00006B110000}"/>
    <cellStyle name="20% - Accent3 5 2 5 4 2" xfId="4464" xr:uid="{00000000-0005-0000-0000-00006C110000}"/>
    <cellStyle name="20% - Accent3 5 2 5 4 2 2" xfId="4465" xr:uid="{00000000-0005-0000-0000-00006D110000}"/>
    <cellStyle name="20% - Accent3 5 2 5 4 2 2 2" xfId="4466" xr:uid="{00000000-0005-0000-0000-00006E110000}"/>
    <cellStyle name="20% - Accent3 5 2 5 4 2 2 2 2" xfId="4467" xr:uid="{00000000-0005-0000-0000-00006F110000}"/>
    <cellStyle name="20% - Accent3 5 2 5 4 2 2 3" xfId="4468" xr:uid="{00000000-0005-0000-0000-000070110000}"/>
    <cellStyle name="20% - Accent3 5 2 5 4 2 3" xfId="4469" xr:uid="{00000000-0005-0000-0000-000071110000}"/>
    <cellStyle name="20% - Accent3 5 2 5 4 2 3 2" xfId="4470" xr:uid="{00000000-0005-0000-0000-000072110000}"/>
    <cellStyle name="20% - Accent3 5 2 5 4 2 4" xfId="4471" xr:uid="{00000000-0005-0000-0000-000073110000}"/>
    <cellStyle name="20% - Accent3 5 2 5 4 3" xfId="4472" xr:uid="{00000000-0005-0000-0000-000074110000}"/>
    <cellStyle name="20% - Accent3 5 2 5 4 3 2" xfId="4473" xr:uid="{00000000-0005-0000-0000-000075110000}"/>
    <cellStyle name="20% - Accent3 5 2 5 4 3 2 2" xfId="4474" xr:uid="{00000000-0005-0000-0000-000076110000}"/>
    <cellStyle name="20% - Accent3 5 2 5 4 3 3" xfId="4475" xr:uid="{00000000-0005-0000-0000-000077110000}"/>
    <cellStyle name="20% - Accent3 5 2 5 4 4" xfId="4476" xr:uid="{00000000-0005-0000-0000-000078110000}"/>
    <cellStyle name="20% - Accent3 5 2 5 4 4 2" xfId="4477" xr:uid="{00000000-0005-0000-0000-000079110000}"/>
    <cellStyle name="20% - Accent3 5 2 5 4 4 2 2" xfId="4478" xr:uid="{00000000-0005-0000-0000-00007A110000}"/>
    <cellStyle name="20% - Accent3 5 2 5 4 4 3" xfId="4479" xr:uid="{00000000-0005-0000-0000-00007B110000}"/>
    <cellStyle name="20% - Accent3 5 2 5 4 5" xfId="4480" xr:uid="{00000000-0005-0000-0000-00007C110000}"/>
    <cellStyle name="20% - Accent3 5 2 5 4 5 2" xfId="4481" xr:uid="{00000000-0005-0000-0000-00007D110000}"/>
    <cellStyle name="20% - Accent3 5 2 5 4 5 2 2" xfId="4482" xr:uid="{00000000-0005-0000-0000-00007E110000}"/>
    <cellStyle name="20% - Accent3 5 2 5 4 5 3" xfId="4483" xr:uid="{00000000-0005-0000-0000-00007F110000}"/>
    <cellStyle name="20% - Accent3 5 2 5 4 6" xfId="4484" xr:uid="{00000000-0005-0000-0000-000080110000}"/>
    <cellStyle name="20% - Accent3 5 2 5 4 6 2" xfId="4485" xr:uid="{00000000-0005-0000-0000-000081110000}"/>
    <cellStyle name="20% - Accent3 5 2 5 4 6 2 2" xfId="4486" xr:uid="{00000000-0005-0000-0000-000082110000}"/>
    <cellStyle name="20% - Accent3 5 2 5 4 6 3" xfId="4487" xr:uid="{00000000-0005-0000-0000-000083110000}"/>
    <cellStyle name="20% - Accent3 5 2 5 4 7" xfId="4488" xr:uid="{00000000-0005-0000-0000-000084110000}"/>
    <cellStyle name="20% - Accent3 5 2 5 4 7 2" xfId="4489" xr:uid="{00000000-0005-0000-0000-000085110000}"/>
    <cellStyle name="20% - Accent3 5 2 5 4 8" xfId="4490" xr:uid="{00000000-0005-0000-0000-000086110000}"/>
    <cellStyle name="20% - Accent3 5 2 5 5" xfId="4491" xr:uid="{00000000-0005-0000-0000-000087110000}"/>
    <cellStyle name="20% - Accent3 5 2 5 5 2" xfId="4492" xr:uid="{00000000-0005-0000-0000-000088110000}"/>
    <cellStyle name="20% - Accent3 5 2 5 5 2 2" xfId="4493" xr:uid="{00000000-0005-0000-0000-000089110000}"/>
    <cellStyle name="20% - Accent3 5 2 5 5 2 2 2" xfId="4494" xr:uid="{00000000-0005-0000-0000-00008A110000}"/>
    <cellStyle name="20% - Accent3 5 2 5 5 2 2 2 2" xfId="4495" xr:uid="{00000000-0005-0000-0000-00008B110000}"/>
    <cellStyle name="20% - Accent3 5 2 5 5 2 2 3" xfId="4496" xr:uid="{00000000-0005-0000-0000-00008C110000}"/>
    <cellStyle name="20% - Accent3 5 2 5 5 2 3" xfId="4497" xr:uid="{00000000-0005-0000-0000-00008D110000}"/>
    <cellStyle name="20% - Accent3 5 2 5 5 2 3 2" xfId="4498" xr:uid="{00000000-0005-0000-0000-00008E110000}"/>
    <cellStyle name="20% - Accent3 5 2 5 5 2 4" xfId="4499" xr:uid="{00000000-0005-0000-0000-00008F110000}"/>
    <cellStyle name="20% - Accent3 5 2 5 5 3" xfId="4500" xr:uid="{00000000-0005-0000-0000-000090110000}"/>
    <cellStyle name="20% - Accent3 5 2 5 5 3 2" xfId="4501" xr:uid="{00000000-0005-0000-0000-000091110000}"/>
    <cellStyle name="20% - Accent3 5 2 5 5 3 2 2" xfId="4502" xr:uid="{00000000-0005-0000-0000-000092110000}"/>
    <cellStyle name="20% - Accent3 5 2 5 5 3 3" xfId="4503" xr:uid="{00000000-0005-0000-0000-000093110000}"/>
    <cellStyle name="20% - Accent3 5 2 5 5 4" xfId="4504" xr:uid="{00000000-0005-0000-0000-000094110000}"/>
    <cellStyle name="20% - Accent3 5 2 5 5 4 2" xfId="4505" xr:uid="{00000000-0005-0000-0000-000095110000}"/>
    <cellStyle name="20% - Accent3 5 2 5 5 5" xfId="4506" xr:uid="{00000000-0005-0000-0000-000096110000}"/>
    <cellStyle name="20% - Accent3 5 2 5 6" xfId="4507" xr:uid="{00000000-0005-0000-0000-000097110000}"/>
    <cellStyle name="20% - Accent3 5 2 5 6 2" xfId="4508" xr:uid="{00000000-0005-0000-0000-000098110000}"/>
    <cellStyle name="20% - Accent3 5 2 5 6 2 2" xfId="4509" xr:uid="{00000000-0005-0000-0000-000099110000}"/>
    <cellStyle name="20% - Accent3 5 2 5 6 2 2 2" xfId="4510" xr:uid="{00000000-0005-0000-0000-00009A110000}"/>
    <cellStyle name="20% - Accent3 5 2 5 6 2 2 2 2" xfId="4511" xr:uid="{00000000-0005-0000-0000-00009B110000}"/>
    <cellStyle name="20% - Accent3 5 2 5 6 2 2 3" xfId="4512" xr:uid="{00000000-0005-0000-0000-00009C110000}"/>
    <cellStyle name="20% - Accent3 5 2 5 6 2 3" xfId="4513" xr:uid="{00000000-0005-0000-0000-00009D110000}"/>
    <cellStyle name="20% - Accent3 5 2 5 6 2 3 2" xfId="4514" xr:uid="{00000000-0005-0000-0000-00009E110000}"/>
    <cellStyle name="20% - Accent3 5 2 5 6 2 4" xfId="4515" xr:uid="{00000000-0005-0000-0000-00009F110000}"/>
    <cellStyle name="20% - Accent3 5 2 5 6 3" xfId="4516" xr:uid="{00000000-0005-0000-0000-0000A0110000}"/>
    <cellStyle name="20% - Accent3 5 2 5 6 3 2" xfId="4517" xr:uid="{00000000-0005-0000-0000-0000A1110000}"/>
    <cellStyle name="20% - Accent3 5 2 5 6 3 2 2" xfId="4518" xr:uid="{00000000-0005-0000-0000-0000A2110000}"/>
    <cellStyle name="20% - Accent3 5 2 5 6 3 3" xfId="4519" xr:uid="{00000000-0005-0000-0000-0000A3110000}"/>
    <cellStyle name="20% - Accent3 5 2 5 6 4" xfId="4520" xr:uid="{00000000-0005-0000-0000-0000A4110000}"/>
    <cellStyle name="20% - Accent3 5 2 5 6 4 2" xfId="4521" xr:uid="{00000000-0005-0000-0000-0000A5110000}"/>
    <cellStyle name="20% - Accent3 5 2 5 6 5" xfId="4522" xr:uid="{00000000-0005-0000-0000-0000A6110000}"/>
    <cellStyle name="20% - Accent3 5 2 5 7" xfId="4523" xr:uid="{00000000-0005-0000-0000-0000A7110000}"/>
    <cellStyle name="20% - Accent3 5 2 5 7 2" xfId="4524" xr:uid="{00000000-0005-0000-0000-0000A8110000}"/>
    <cellStyle name="20% - Accent3 5 2 5 7 2 2" xfId="4525" xr:uid="{00000000-0005-0000-0000-0000A9110000}"/>
    <cellStyle name="20% - Accent3 5 2 5 7 2 2 2" xfId="4526" xr:uid="{00000000-0005-0000-0000-0000AA110000}"/>
    <cellStyle name="20% - Accent3 5 2 5 7 2 3" xfId="4527" xr:uid="{00000000-0005-0000-0000-0000AB110000}"/>
    <cellStyle name="20% - Accent3 5 2 5 7 3" xfId="4528" xr:uid="{00000000-0005-0000-0000-0000AC110000}"/>
    <cellStyle name="20% - Accent3 5 2 5 7 3 2" xfId="4529" xr:uid="{00000000-0005-0000-0000-0000AD110000}"/>
    <cellStyle name="20% - Accent3 5 2 5 7 4" xfId="4530" xr:uid="{00000000-0005-0000-0000-0000AE110000}"/>
    <cellStyle name="20% - Accent3 5 2 5 8" xfId="4531" xr:uid="{00000000-0005-0000-0000-0000AF110000}"/>
    <cellStyle name="20% - Accent3 5 2 5 8 2" xfId="4532" xr:uid="{00000000-0005-0000-0000-0000B0110000}"/>
    <cellStyle name="20% - Accent3 5 2 5 8 2 2" xfId="4533" xr:uid="{00000000-0005-0000-0000-0000B1110000}"/>
    <cellStyle name="20% - Accent3 5 2 5 8 2 2 2" xfId="4534" xr:uid="{00000000-0005-0000-0000-0000B2110000}"/>
    <cellStyle name="20% - Accent3 5 2 5 8 2 3" xfId="4535" xr:uid="{00000000-0005-0000-0000-0000B3110000}"/>
    <cellStyle name="20% - Accent3 5 2 5 8 3" xfId="4536" xr:uid="{00000000-0005-0000-0000-0000B4110000}"/>
    <cellStyle name="20% - Accent3 5 2 5 8 3 2" xfId="4537" xr:uid="{00000000-0005-0000-0000-0000B5110000}"/>
    <cellStyle name="20% - Accent3 5 2 5 8 4" xfId="4538" xr:uid="{00000000-0005-0000-0000-0000B6110000}"/>
    <cellStyle name="20% - Accent3 5 2 5 9" xfId="4539" xr:uid="{00000000-0005-0000-0000-0000B7110000}"/>
    <cellStyle name="20% - Accent3 5 2 5 9 2" xfId="4540" xr:uid="{00000000-0005-0000-0000-0000B8110000}"/>
    <cellStyle name="20% - Accent3 5 2 5 9 2 2" xfId="4541" xr:uid="{00000000-0005-0000-0000-0000B9110000}"/>
    <cellStyle name="20% - Accent3 5 2 5 9 3" xfId="4542" xr:uid="{00000000-0005-0000-0000-0000BA110000}"/>
    <cellStyle name="20% - Accent3 5 2 6" xfId="4543" xr:uid="{00000000-0005-0000-0000-0000BB110000}"/>
    <cellStyle name="20% - Accent3 5 2 6 10" xfId="4544" xr:uid="{00000000-0005-0000-0000-0000BC110000}"/>
    <cellStyle name="20% - Accent3 5 2 6 10 2" xfId="4545" xr:uid="{00000000-0005-0000-0000-0000BD110000}"/>
    <cellStyle name="20% - Accent3 5 2 6 10 2 2" xfId="4546" xr:uid="{00000000-0005-0000-0000-0000BE110000}"/>
    <cellStyle name="20% - Accent3 5 2 6 10 3" xfId="4547" xr:uid="{00000000-0005-0000-0000-0000BF110000}"/>
    <cellStyle name="20% - Accent3 5 2 6 11" xfId="4548" xr:uid="{00000000-0005-0000-0000-0000C0110000}"/>
    <cellStyle name="20% - Accent3 5 2 6 11 2" xfId="4549" xr:uid="{00000000-0005-0000-0000-0000C1110000}"/>
    <cellStyle name="20% - Accent3 5 2 6 11 2 2" xfId="4550" xr:uid="{00000000-0005-0000-0000-0000C2110000}"/>
    <cellStyle name="20% - Accent3 5 2 6 11 3" xfId="4551" xr:uid="{00000000-0005-0000-0000-0000C3110000}"/>
    <cellStyle name="20% - Accent3 5 2 6 12" xfId="4552" xr:uid="{00000000-0005-0000-0000-0000C4110000}"/>
    <cellStyle name="20% - Accent3 5 2 6 12 2" xfId="4553" xr:uid="{00000000-0005-0000-0000-0000C5110000}"/>
    <cellStyle name="20% - Accent3 5 2 6 12 2 2" xfId="4554" xr:uid="{00000000-0005-0000-0000-0000C6110000}"/>
    <cellStyle name="20% - Accent3 5 2 6 12 3" xfId="4555" xr:uid="{00000000-0005-0000-0000-0000C7110000}"/>
    <cellStyle name="20% - Accent3 5 2 6 13" xfId="4556" xr:uid="{00000000-0005-0000-0000-0000C8110000}"/>
    <cellStyle name="20% - Accent3 5 2 6 13 2" xfId="4557" xr:uid="{00000000-0005-0000-0000-0000C9110000}"/>
    <cellStyle name="20% - Accent3 5 2 6 14" xfId="4558" xr:uid="{00000000-0005-0000-0000-0000CA110000}"/>
    <cellStyle name="20% - Accent3 5 2 6 2" xfId="4559" xr:uid="{00000000-0005-0000-0000-0000CB110000}"/>
    <cellStyle name="20% - Accent3 5 2 6 2 2" xfId="4560" xr:uid="{00000000-0005-0000-0000-0000CC110000}"/>
    <cellStyle name="20% - Accent3 5 2 6 2 2 2" xfId="4561" xr:uid="{00000000-0005-0000-0000-0000CD110000}"/>
    <cellStyle name="20% - Accent3 5 2 6 2 2 2 2" xfId="4562" xr:uid="{00000000-0005-0000-0000-0000CE110000}"/>
    <cellStyle name="20% - Accent3 5 2 6 2 2 2 2 2" xfId="4563" xr:uid="{00000000-0005-0000-0000-0000CF110000}"/>
    <cellStyle name="20% - Accent3 5 2 6 2 2 2 3" xfId="4564" xr:uid="{00000000-0005-0000-0000-0000D0110000}"/>
    <cellStyle name="20% - Accent3 5 2 6 2 2 3" xfId="4565" xr:uid="{00000000-0005-0000-0000-0000D1110000}"/>
    <cellStyle name="20% - Accent3 5 2 6 2 2 3 2" xfId="4566" xr:uid="{00000000-0005-0000-0000-0000D2110000}"/>
    <cellStyle name="20% - Accent3 5 2 6 2 2 4" xfId="4567" xr:uid="{00000000-0005-0000-0000-0000D3110000}"/>
    <cellStyle name="20% - Accent3 5 2 6 2 3" xfId="4568" xr:uid="{00000000-0005-0000-0000-0000D4110000}"/>
    <cellStyle name="20% - Accent3 5 2 6 2 3 2" xfId="4569" xr:uid="{00000000-0005-0000-0000-0000D5110000}"/>
    <cellStyle name="20% - Accent3 5 2 6 2 3 2 2" xfId="4570" xr:uid="{00000000-0005-0000-0000-0000D6110000}"/>
    <cellStyle name="20% - Accent3 5 2 6 2 3 3" xfId="4571" xr:uid="{00000000-0005-0000-0000-0000D7110000}"/>
    <cellStyle name="20% - Accent3 5 2 6 2 4" xfId="4572" xr:uid="{00000000-0005-0000-0000-0000D8110000}"/>
    <cellStyle name="20% - Accent3 5 2 6 2 4 2" xfId="4573" xr:uid="{00000000-0005-0000-0000-0000D9110000}"/>
    <cellStyle name="20% - Accent3 5 2 6 2 4 2 2" xfId="4574" xr:uid="{00000000-0005-0000-0000-0000DA110000}"/>
    <cellStyle name="20% - Accent3 5 2 6 2 4 3" xfId="4575" xr:uid="{00000000-0005-0000-0000-0000DB110000}"/>
    <cellStyle name="20% - Accent3 5 2 6 2 5" xfId="4576" xr:uid="{00000000-0005-0000-0000-0000DC110000}"/>
    <cellStyle name="20% - Accent3 5 2 6 2 5 2" xfId="4577" xr:uid="{00000000-0005-0000-0000-0000DD110000}"/>
    <cellStyle name="20% - Accent3 5 2 6 2 5 2 2" xfId="4578" xr:uid="{00000000-0005-0000-0000-0000DE110000}"/>
    <cellStyle name="20% - Accent3 5 2 6 2 5 3" xfId="4579" xr:uid="{00000000-0005-0000-0000-0000DF110000}"/>
    <cellStyle name="20% - Accent3 5 2 6 2 6" xfId="4580" xr:uid="{00000000-0005-0000-0000-0000E0110000}"/>
    <cellStyle name="20% - Accent3 5 2 6 2 6 2" xfId="4581" xr:uid="{00000000-0005-0000-0000-0000E1110000}"/>
    <cellStyle name="20% - Accent3 5 2 6 2 6 2 2" xfId="4582" xr:uid="{00000000-0005-0000-0000-0000E2110000}"/>
    <cellStyle name="20% - Accent3 5 2 6 2 6 3" xfId="4583" xr:uid="{00000000-0005-0000-0000-0000E3110000}"/>
    <cellStyle name="20% - Accent3 5 2 6 2 7" xfId="4584" xr:uid="{00000000-0005-0000-0000-0000E4110000}"/>
    <cellStyle name="20% - Accent3 5 2 6 2 7 2" xfId="4585" xr:uid="{00000000-0005-0000-0000-0000E5110000}"/>
    <cellStyle name="20% - Accent3 5 2 6 2 8" xfId="4586" xr:uid="{00000000-0005-0000-0000-0000E6110000}"/>
    <cellStyle name="20% - Accent3 5 2 6 3" xfId="4587" xr:uid="{00000000-0005-0000-0000-0000E7110000}"/>
    <cellStyle name="20% - Accent3 5 2 6 3 2" xfId="4588" xr:uid="{00000000-0005-0000-0000-0000E8110000}"/>
    <cellStyle name="20% - Accent3 5 2 6 3 2 2" xfId="4589" xr:uid="{00000000-0005-0000-0000-0000E9110000}"/>
    <cellStyle name="20% - Accent3 5 2 6 3 2 2 2" xfId="4590" xr:uid="{00000000-0005-0000-0000-0000EA110000}"/>
    <cellStyle name="20% - Accent3 5 2 6 3 2 2 2 2" xfId="4591" xr:uid="{00000000-0005-0000-0000-0000EB110000}"/>
    <cellStyle name="20% - Accent3 5 2 6 3 2 2 3" xfId="4592" xr:uid="{00000000-0005-0000-0000-0000EC110000}"/>
    <cellStyle name="20% - Accent3 5 2 6 3 2 3" xfId="4593" xr:uid="{00000000-0005-0000-0000-0000ED110000}"/>
    <cellStyle name="20% - Accent3 5 2 6 3 2 3 2" xfId="4594" xr:uid="{00000000-0005-0000-0000-0000EE110000}"/>
    <cellStyle name="20% - Accent3 5 2 6 3 2 4" xfId="4595" xr:uid="{00000000-0005-0000-0000-0000EF110000}"/>
    <cellStyle name="20% - Accent3 5 2 6 3 3" xfId="4596" xr:uid="{00000000-0005-0000-0000-0000F0110000}"/>
    <cellStyle name="20% - Accent3 5 2 6 3 3 2" xfId="4597" xr:uid="{00000000-0005-0000-0000-0000F1110000}"/>
    <cellStyle name="20% - Accent3 5 2 6 3 3 2 2" xfId="4598" xr:uid="{00000000-0005-0000-0000-0000F2110000}"/>
    <cellStyle name="20% - Accent3 5 2 6 3 3 3" xfId="4599" xr:uid="{00000000-0005-0000-0000-0000F3110000}"/>
    <cellStyle name="20% - Accent3 5 2 6 3 4" xfId="4600" xr:uid="{00000000-0005-0000-0000-0000F4110000}"/>
    <cellStyle name="20% - Accent3 5 2 6 3 4 2" xfId="4601" xr:uid="{00000000-0005-0000-0000-0000F5110000}"/>
    <cellStyle name="20% - Accent3 5 2 6 3 4 2 2" xfId="4602" xr:uid="{00000000-0005-0000-0000-0000F6110000}"/>
    <cellStyle name="20% - Accent3 5 2 6 3 4 3" xfId="4603" xr:uid="{00000000-0005-0000-0000-0000F7110000}"/>
    <cellStyle name="20% - Accent3 5 2 6 3 5" xfId="4604" xr:uid="{00000000-0005-0000-0000-0000F8110000}"/>
    <cellStyle name="20% - Accent3 5 2 6 3 5 2" xfId="4605" xr:uid="{00000000-0005-0000-0000-0000F9110000}"/>
    <cellStyle name="20% - Accent3 5 2 6 3 5 2 2" xfId="4606" xr:uid="{00000000-0005-0000-0000-0000FA110000}"/>
    <cellStyle name="20% - Accent3 5 2 6 3 5 3" xfId="4607" xr:uid="{00000000-0005-0000-0000-0000FB110000}"/>
    <cellStyle name="20% - Accent3 5 2 6 3 6" xfId="4608" xr:uid="{00000000-0005-0000-0000-0000FC110000}"/>
    <cellStyle name="20% - Accent3 5 2 6 3 6 2" xfId="4609" xr:uid="{00000000-0005-0000-0000-0000FD110000}"/>
    <cellStyle name="20% - Accent3 5 2 6 3 6 2 2" xfId="4610" xr:uid="{00000000-0005-0000-0000-0000FE110000}"/>
    <cellStyle name="20% - Accent3 5 2 6 3 6 3" xfId="4611" xr:uid="{00000000-0005-0000-0000-0000FF110000}"/>
    <cellStyle name="20% - Accent3 5 2 6 3 7" xfId="4612" xr:uid="{00000000-0005-0000-0000-000000120000}"/>
    <cellStyle name="20% - Accent3 5 2 6 3 7 2" xfId="4613" xr:uid="{00000000-0005-0000-0000-000001120000}"/>
    <cellStyle name="20% - Accent3 5 2 6 3 8" xfId="4614" xr:uid="{00000000-0005-0000-0000-000002120000}"/>
    <cellStyle name="20% - Accent3 5 2 6 4" xfId="4615" xr:uid="{00000000-0005-0000-0000-000003120000}"/>
    <cellStyle name="20% - Accent3 5 2 6 4 2" xfId="4616" xr:uid="{00000000-0005-0000-0000-000004120000}"/>
    <cellStyle name="20% - Accent3 5 2 6 4 2 2" xfId="4617" xr:uid="{00000000-0005-0000-0000-000005120000}"/>
    <cellStyle name="20% - Accent3 5 2 6 4 2 2 2" xfId="4618" xr:uid="{00000000-0005-0000-0000-000006120000}"/>
    <cellStyle name="20% - Accent3 5 2 6 4 2 2 2 2" xfId="4619" xr:uid="{00000000-0005-0000-0000-000007120000}"/>
    <cellStyle name="20% - Accent3 5 2 6 4 2 2 3" xfId="4620" xr:uid="{00000000-0005-0000-0000-000008120000}"/>
    <cellStyle name="20% - Accent3 5 2 6 4 2 3" xfId="4621" xr:uid="{00000000-0005-0000-0000-000009120000}"/>
    <cellStyle name="20% - Accent3 5 2 6 4 2 3 2" xfId="4622" xr:uid="{00000000-0005-0000-0000-00000A120000}"/>
    <cellStyle name="20% - Accent3 5 2 6 4 2 4" xfId="4623" xr:uid="{00000000-0005-0000-0000-00000B120000}"/>
    <cellStyle name="20% - Accent3 5 2 6 4 3" xfId="4624" xr:uid="{00000000-0005-0000-0000-00000C120000}"/>
    <cellStyle name="20% - Accent3 5 2 6 4 3 2" xfId="4625" xr:uid="{00000000-0005-0000-0000-00000D120000}"/>
    <cellStyle name="20% - Accent3 5 2 6 4 3 2 2" xfId="4626" xr:uid="{00000000-0005-0000-0000-00000E120000}"/>
    <cellStyle name="20% - Accent3 5 2 6 4 3 3" xfId="4627" xr:uid="{00000000-0005-0000-0000-00000F120000}"/>
    <cellStyle name="20% - Accent3 5 2 6 4 4" xfId="4628" xr:uid="{00000000-0005-0000-0000-000010120000}"/>
    <cellStyle name="20% - Accent3 5 2 6 4 4 2" xfId="4629" xr:uid="{00000000-0005-0000-0000-000011120000}"/>
    <cellStyle name="20% - Accent3 5 2 6 4 4 2 2" xfId="4630" xr:uid="{00000000-0005-0000-0000-000012120000}"/>
    <cellStyle name="20% - Accent3 5 2 6 4 4 3" xfId="4631" xr:uid="{00000000-0005-0000-0000-000013120000}"/>
    <cellStyle name="20% - Accent3 5 2 6 4 5" xfId="4632" xr:uid="{00000000-0005-0000-0000-000014120000}"/>
    <cellStyle name="20% - Accent3 5 2 6 4 5 2" xfId="4633" xr:uid="{00000000-0005-0000-0000-000015120000}"/>
    <cellStyle name="20% - Accent3 5 2 6 4 5 2 2" xfId="4634" xr:uid="{00000000-0005-0000-0000-000016120000}"/>
    <cellStyle name="20% - Accent3 5 2 6 4 5 3" xfId="4635" xr:uid="{00000000-0005-0000-0000-000017120000}"/>
    <cellStyle name="20% - Accent3 5 2 6 4 6" xfId="4636" xr:uid="{00000000-0005-0000-0000-000018120000}"/>
    <cellStyle name="20% - Accent3 5 2 6 4 6 2" xfId="4637" xr:uid="{00000000-0005-0000-0000-000019120000}"/>
    <cellStyle name="20% - Accent3 5 2 6 4 6 2 2" xfId="4638" xr:uid="{00000000-0005-0000-0000-00001A120000}"/>
    <cellStyle name="20% - Accent3 5 2 6 4 6 3" xfId="4639" xr:uid="{00000000-0005-0000-0000-00001B120000}"/>
    <cellStyle name="20% - Accent3 5 2 6 4 7" xfId="4640" xr:uid="{00000000-0005-0000-0000-00001C120000}"/>
    <cellStyle name="20% - Accent3 5 2 6 4 7 2" xfId="4641" xr:uid="{00000000-0005-0000-0000-00001D120000}"/>
    <cellStyle name="20% - Accent3 5 2 6 4 8" xfId="4642" xr:uid="{00000000-0005-0000-0000-00001E120000}"/>
    <cellStyle name="20% - Accent3 5 2 6 5" xfId="4643" xr:uid="{00000000-0005-0000-0000-00001F120000}"/>
    <cellStyle name="20% - Accent3 5 2 6 5 2" xfId="4644" xr:uid="{00000000-0005-0000-0000-000020120000}"/>
    <cellStyle name="20% - Accent3 5 2 6 5 2 2" xfId="4645" xr:uid="{00000000-0005-0000-0000-000021120000}"/>
    <cellStyle name="20% - Accent3 5 2 6 5 2 2 2" xfId="4646" xr:uid="{00000000-0005-0000-0000-000022120000}"/>
    <cellStyle name="20% - Accent3 5 2 6 5 2 2 2 2" xfId="4647" xr:uid="{00000000-0005-0000-0000-000023120000}"/>
    <cellStyle name="20% - Accent3 5 2 6 5 2 2 3" xfId="4648" xr:uid="{00000000-0005-0000-0000-000024120000}"/>
    <cellStyle name="20% - Accent3 5 2 6 5 2 3" xfId="4649" xr:uid="{00000000-0005-0000-0000-000025120000}"/>
    <cellStyle name="20% - Accent3 5 2 6 5 2 3 2" xfId="4650" xr:uid="{00000000-0005-0000-0000-000026120000}"/>
    <cellStyle name="20% - Accent3 5 2 6 5 2 4" xfId="4651" xr:uid="{00000000-0005-0000-0000-000027120000}"/>
    <cellStyle name="20% - Accent3 5 2 6 5 3" xfId="4652" xr:uid="{00000000-0005-0000-0000-000028120000}"/>
    <cellStyle name="20% - Accent3 5 2 6 5 3 2" xfId="4653" xr:uid="{00000000-0005-0000-0000-000029120000}"/>
    <cellStyle name="20% - Accent3 5 2 6 5 3 2 2" xfId="4654" xr:uid="{00000000-0005-0000-0000-00002A120000}"/>
    <cellStyle name="20% - Accent3 5 2 6 5 3 3" xfId="4655" xr:uid="{00000000-0005-0000-0000-00002B120000}"/>
    <cellStyle name="20% - Accent3 5 2 6 5 4" xfId="4656" xr:uid="{00000000-0005-0000-0000-00002C120000}"/>
    <cellStyle name="20% - Accent3 5 2 6 5 4 2" xfId="4657" xr:uid="{00000000-0005-0000-0000-00002D120000}"/>
    <cellStyle name="20% - Accent3 5 2 6 5 5" xfId="4658" xr:uid="{00000000-0005-0000-0000-00002E120000}"/>
    <cellStyle name="20% - Accent3 5 2 6 6" xfId="4659" xr:uid="{00000000-0005-0000-0000-00002F120000}"/>
    <cellStyle name="20% - Accent3 5 2 6 6 2" xfId="4660" xr:uid="{00000000-0005-0000-0000-000030120000}"/>
    <cellStyle name="20% - Accent3 5 2 6 6 2 2" xfId="4661" xr:uid="{00000000-0005-0000-0000-000031120000}"/>
    <cellStyle name="20% - Accent3 5 2 6 6 2 2 2" xfId="4662" xr:uid="{00000000-0005-0000-0000-000032120000}"/>
    <cellStyle name="20% - Accent3 5 2 6 6 2 2 2 2" xfId="4663" xr:uid="{00000000-0005-0000-0000-000033120000}"/>
    <cellStyle name="20% - Accent3 5 2 6 6 2 2 3" xfId="4664" xr:uid="{00000000-0005-0000-0000-000034120000}"/>
    <cellStyle name="20% - Accent3 5 2 6 6 2 3" xfId="4665" xr:uid="{00000000-0005-0000-0000-000035120000}"/>
    <cellStyle name="20% - Accent3 5 2 6 6 2 3 2" xfId="4666" xr:uid="{00000000-0005-0000-0000-000036120000}"/>
    <cellStyle name="20% - Accent3 5 2 6 6 2 4" xfId="4667" xr:uid="{00000000-0005-0000-0000-000037120000}"/>
    <cellStyle name="20% - Accent3 5 2 6 6 3" xfId="4668" xr:uid="{00000000-0005-0000-0000-000038120000}"/>
    <cellStyle name="20% - Accent3 5 2 6 6 3 2" xfId="4669" xr:uid="{00000000-0005-0000-0000-000039120000}"/>
    <cellStyle name="20% - Accent3 5 2 6 6 3 2 2" xfId="4670" xr:uid="{00000000-0005-0000-0000-00003A120000}"/>
    <cellStyle name="20% - Accent3 5 2 6 6 3 3" xfId="4671" xr:uid="{00000000-0005-0000-0000-00003B120000}"/>
    <cellStyle name="20% - Accent3 5 2 6 6 4" xfId="4672" xr:uid="{00000000-0005-0000-0000-00003C120000}"/>
    <cellStyle name="20% - Accent3 5 2 6 6 4 2" xfId="4673" xr:uid="{00000000-0005-0000-0000-00003D120000}"/>
    <cellStyle name="20% - Accent3 5 2 6 6 5" xfId="4674" xr:uid="{00000000-0005-0000-0000-00003E120000}"/>
    <cellStyle name="20% - Accent3 5 2 6 7" xfId="4675" xr:uid="{00000000-0005-0000-0000-00003F120000}"/>
    <cellStyle name="20% - Accent3 5 2 6 7 2" xfId="4676" xr:uid="{00000000-0005-0000-0000-000040120000}"/>
    <cellStyle name="20% - Accent3 5 2 6 7 2 2" xfId="4677" xr:uid="{00000000-0005-0000-0000-000041120000}"/>
    <cellStyle name="20% - Accent3 5 2 6 7 2 2 2" xfId="4678" xr:uid="{00000000-0005-0000-0000-000042120000}"/>
    <cellStyle name="20% - Accent3 5 2 6 7 2 3" xfId="4679" xr:uid="{00000000-0005-0000-0000-000043120000}"/>
    <cellStyle name="20% - Accent3 5 2 6 7 3" xfId="4680" xr:uid="{00000000-0005-0000-0000-000044120000}"/>
    <cellStyle name="20% - Accent3 5 2 6 7 3 2" xfId="4681" xr:uid="{00000000-0005-0000-0000-000045120000}"/>
    <cellStyle name="20% - Accent3 5 2 6 7 4" xfId="4682" xr:uid="{00000000-0005-0000-0000-000046120000}"/>
    <cellStyle name="20% - Accent3 5 2 6 8" xfId="4683" xr:uid="{00000000-0005-0000-0000-000047120000}"/>
    <cellStyle name="20% - Accent3 5 2 6 8 2" xfId="4684" xr:uid="{00000000-0005-0000-0000-000048120000}"/>
    <cellStyle name="20% - Accent3 5 2 6 8 2 2" xfId="4685" xr:uid="{00000000-0005-0000-0000-000049120000}"/>
    <cellStyle name="20% - Accent3 5 2 6 8 2 2 2" xfId="4686" xr:uid="{00000000-0005-0000-0000-00004A120000}"/>
    <cellStyle name="20% - Accent3 5 2 6 8 2 3" xfId="4687" xr:uid="{00000000-0005-0000-0000-00004B120000}"/>
    <cellStyle name="20% - Accent3 5 2 6 8 3" xfId="4688" xr:uid="{00000000-0005-0000-0000-00004C120000}"/>
    <cellStyle name="20% - Accent3 5 2 6 8 3 2" xfId="4689" xr:uid="{00000000-0005-0000-0000-00004D120000}"/>
    <cellStyle name="20% - Accent3 5 2 6 8 4" xfId="4690" xr:uid="{00000000-0005-0000-0000-00004E120000}"/>
    <cellStyle name="20% - Accent3 5 2 6 9" xfId="4691" xr:uid="{00000000-0005-0000-0000-00004F120000}"/>
    <cellStyle name="20% - Accent3 5 2 6 9 2" xfId="4692" xr:uid="{00000000-0005-0000-0000-000050120000}"/>
    <cellStyle name="20% - Accent3 5 2 6 9 2 2" xfId="4693" xr:uid="{00000000-0005-0000-0000-000051120000}"/>
    <cellStyle name="20% - Accent3 5 2 6 9 3" xfId="4694" xr:uid="{00000000-0005-0000-0000-000052120000}"/>
    <cellStyle name="20% - Accent3 5 2 7" xfId="4695" xr:uid="{00000000-0005-0000-0000-000053120000}"/>
    <cellStyle name="20% - Accent3 5 2 7 2" xfId="4696" xr:uid="{00000000-0005-0000-0000-000054120000}"/>
    <cellStyle name="20% - Accent3 5 2 7 2 2" xfId="4697" xr:uid="{00000000-0005-0000-0000-000055120000}"/>
    <cellStyle name="20% - Accent3 5 2 7 2 2 2" xfId="4698" xr:uid="{00000000-0005-0000-0000-000056120000}"/>
    <cellStyle name="20% - Accent3 5 2 7 2 2 2 2" xfId="4699" xr:uid="{00000000-0005-0000-0000-000057120000}"/>
    <cellStyle name="20% - Accent3 5 2 7 2 2 3" xfId="4700" xr:uid="{00000000-0005-0000-0000-000058120000}"/>
    <cellStyle name="20% - Accent3 5 2 7 2 3" xfId="4701" xr:uid="{00000000-0005-0000-0000-000059120000}"/>
    <cellStyle name="20% - Accent3 5 2 7 2 3 2" xfId="4702" xr:uid="{00000000-0005-0000-0000-00005A120000}"/>
    <cellStyle name="20% - Accent3 5 2 7 2 4" xfId="4703" xr:uid="{00000000-0005-0000-0000-00005B120000}"/>
    <cellStyle name="20% - Accent3 5 2 7 3" xfId="4704" xr:uid="{00000000-0005-0000-0000-00005C120000}"/>
    <cellStyle name="20% - Accent3 5 2 7 3 2" xfId="4705" xr:uid="{00000000-0005-0000-0000-00005D120000}"/>
    <cellStyle name="20% - Accent3 5 2 7 3 2 2" xfId="4706" xr:uid="{00000000-0005-0000-0000-00005E120000}"/>
    <cellStyle name="20% - Accent3 5 2 7 3 3" xfId="4707" xr:uid="{00000000-0005-0000-0000-00005F120000}"/>
    <cellStyle name="20% - Accent3 5 2 7 4" xfId="4708" xr:uid="{00000000-0005-0000-0000-000060120000}"/>
    <cellStyle name="20% - Accent3 5 2 7 4 2" xfId="4709" xr:uid="{00000000-0005-0000-0000-000061120000}"/>
    <cellStyle name="20% - Accent3 5 2 7 4 2 2" xfId="4710" xr:uid="{00000000-0005-0000-0000-000062120000}"/>
    <cellStyle name="20% - Accent3 5 2 7 4 3" xfId="4711" xr:uid="{00000000-0005-0000-0000-000063120000}"/>
    <cellStyle name="20% - Accent3 5 2 7 5" xfId="4712" xr:uid="{00000000-0005-0000-0000-000064120000}"/>
    <cellStyle name="20% - Accent3 5 2 7 5 2" xfId="4713" xr:uid="{00000000-0005-0000-0000-000065120000}"/>
    <cellStyle name="20% - Accent3 5 2 7 5 2 2" xfId="4714" xr:uid="{00000000-0005-0000-0000-000066120000}"/>
    <cellStyle name="20% - Accent3 5 2 7 5 3" xfId="4715" xr:uid="{00000000-0005-0000-0000-000067120000}"/>
    <cellStyle name="20% - Accent3 5 2 7 6" xfId="4716" xr:uid="{00000000-0005-0000-0000-000068120000}"/>
    <cellStyle name="20% - Accent3 5 2 7 6 2" xfId="4717" xr:uid="{00000000-0005-0000-0000-000069120000}"/>
    <cellStyle name="20% - Accent3 5 2 7 6 2 2" xfId="4718" xr:uid="{00000000-0005-0000-0000-00006A120000}"/>
    <cellStyle name="20% - Accent3 5 2 7 6 3" xfId="4719" xr:uid="{00000000-0005-0000-0000-00006B120000}"/>
    <cellStyle name="20% - Accent3 5 2 7 7" xfId="4720" xr:uid="{00000000-0005-0000-0000-00006C120000}"/>
    <cellStyle name="20% - Accent3 5 2 7 7 2" xfId="4721" xr:uid="{00000000-0005-0000-0000-00006D120000}"/>
    <cellStyle name="20% - Accent3 5 2 7 8" xfId="4722" xr:uid="{00000000-0005-0000-0000-00006E120000}"/>
    <cellStyle name="20% - Accent3 5 2 8" xfId="4723" xr:uid="{00000000-0005-0000-0000-00006F120000}"/>
    <cellStyle name="20% - Accent3 5 2 8 2" xfId="4724" xr:uid="{00000000-0005-0000-0000-000070120000}"/>
    <cellStyle name="20% - Accent3 5 2 8 2 2" xfId="4725" xr:uid="{00000000-0005-0000-0000-000071120000}"/>
    <cellStyle name="20% - Accent3 5 2 8 2 2 2" xfId="4726" xr:uid="{00000000-0005-0000-0000-000072120000}"/>
    <cellStyle name="20% - Accent3 5 2 8 2 2 2 2" xfId="4727" xr:uid="{00000000-0005-0000-0000-000073120000}"/>
    <cellStyle name="20% - Accent3 5 2 8 2 2 3" xfId="4728" xr:uid="{00000000-0005-0000-0000-000074120000}"/>
    <cellStyle name="20% - Accent3 5 2 8 2 3" xfId="4729" xr:uid="{00000000-0005-0000-0000-000075120000}"/>
    <cellStyle name="20% - Accent3 5 2 8 2 3 2" xfId="4730" xr:uid="{00000000-0005-0000-0000-000076120000}"/>
    <cellStyle name="20% - Accent3 5 2 8 2 4" xfId="4731" xr:uid="{00000000-0005-0000-0000-000077120000}"/>
    <cellStyle name="20% - Accent3 5 2 8 3" xfId="4732" xr:uid="{00000000-0005-0000-0000-000078120000}"/>
    <cellStyle name="20% - Accent3 5 2 8 3 2" xfId="4733" xr:uid="{00000000-0005-0000-0000-000079120000}"/>
    <cellStyle name="20% - Accent3 5 2 8 3 2 2" xfId="4734" xr:uid="{00000000-0005-0000-0000-00007A120000}"/>
    <cellStyle name="20% - Accent3 5 2 8 3 3" xfId="4735" xr:uid="{00000000-0005-0000-0000-00007B120000}"/>
    <cellStyle name="20% - Accent3 5 2 8 4" xfId="4736" xr:uid="{00000000-0005-0000-0000-00007C120000}"/>
    <cellStyle name="20% - Accent3 5 2 8 4 2" xfId="4737" xr:uid="{00000000-0005-0000-0000-00007D120000}"/>
    <cellStyle name="20% - Accent3 5 2 8 4 2 2" xfId="4738" xr:uid="{00000000-0005-0000-0000-00007E120000}"/>
    <cellStyle name="20% - Accent3 5 2 8 4 3" xfId="4739" xr:uid="{00000000-0005-0000-0000-00007F120000}"/>
    <cellStyle name="20% - Accent3 5 2 8 5" xfId="4740" xr:uid="{00000000-0005-0000-0000-000080120000}"/>
    <cellStyle name="20% - Accent3 5 2 8 5 2" xfId="4741" xr:uid="{00000000-0005-0000-0000-000081120000}"/>
    <cellStyle name="20% - Accent3 5 2 8 5 2 2" xfId="4742" xr:uid="{00000000-0005-0000-0000-000082120000}"/>
    <cellStyle name="20% - Accent3 5 2 8 5 3" xfId="4743" xr:uid="{00000000-0005-0000-0000-000083120000}"/>
    <cellStyle name="20% - Accent3 5 2 8 6" xfId="4744" xr:uid="{00000000-0005-0000-0000-000084120000}"/>
    <cellStyle name="20% - Accent3 5 2 8 6 2" xfId="4745" xr:uid="{00000000-0005-0000-0000-000085120000}"/>
    <cellStyle name="20% - Accent3 5 2 8 6 2 2" xfId="4746" xr:uid="{00000000-0005-0000-0000-000086120000}"/>
    <cellStyle name="20% - Accent3 5 2 8 6 3" xfId="4747" xr:uid="{00000000-0005-0000-0000-000087120000}"/>
    <cellStyle name="20% - Accent3 5 2 8 7" xfId="4748" xr:uid="{00000000-0005-0000-0000-000088120000}"/>
    <cellStyle name="20% - Accent3 5 2 8 7 2" xfId="4749" xr:uid="{00000000-0005-0000-0000-000089120000}"/>
    <cellStyle name="20% - Accent3 5 2 8 8" xfId="4750" xr:uid="{00000000-0005-0000-0000-00008A120000}"/>
    <cellStyle name="20% - Accent3 5 2 9" xfId="4751" xr:uid="{00000000-0005-0000-0000-00008B120000}"/>
    <cellStyle name="20% - Accent3 5 2 9 2" xfId="4752" xr:uid="{00000000-0005-0000-0000-00008C120000}"/>
    <cellStyle name="20% - Accent3 5 2 9 2 2" xfId="4753" xr:uid="{00000000-0005-0000-0000-00008D120000}"/>
    <cellStyle name="20% - Accent3 5 2 9 2 2 2" xfId="4754" xr:uid="{00000000-0005-0000-0000-00008E120000}"/>
    <cellStyle name="20% - Accent3 5 2 9 2 2 2 2" xfId="4755" xr:uid="{00000000-0005-0000-0000-00008F120000}"/>
    <cellStyle name="20% - Accent3 5 2 9 2 2 3" xfId="4756" xr:uid="{00000000-0005-0000-0000-000090120000}"/>
    <cellStyle name="20% - Accent3 5 2 9 2 3" xfId="4757" xr:uid="{00000000-0005-0000-0000-000091120000}"/>
    <cellStyle name="20% - Accent3 5 2 9 2 3 2" xfId="4758" xr:uid="{00000000-0005-0000-0000-000092120000}"/>
    <cellStyle name="20% - Accent3 5 2 9 2 4" xfId="4759" xr:uid="{00000000-0005-0000-0000-000093120000}"/>
    <cellStyle name="20% - Accent3 5 2 9 3" xfId="4760" xr:uid="{00000000-0005-0000-0000-000094120000}"/>
    <cellStyle name="20% - Accent3 5 2 9 3 2" xfId="4761" xr:uid="{00000000-0005-0000-0000-000095120000}"/>
    <cellStyle name="20% - Accent3 5 2 9 3 2 2" xfId="4762" xr:uid="{00000000-0005-0000-0000-000096120000}"/>
    <cellStyle name="20% - Accent3 5 2 9 3 3" xfId="4763" xr:uid="{00000000-0005-0000-0000-000097120000}"/>
    <cellStyle name="20% - Accent3 5 2 9 4" xfId="4764" xr:uid="{00000000-0005-0000-0000-000098120000}"/>
    <cellStyle name="20% - Accent3 5 2 9 4 2" xfId="4765" xr:uid="{00000000-0005-0000-0000-000099120000}"/>
    <cellStyle name="20% - Accent3 5 2 9 4 2 2" xfId="4766" xr:uid="{00000000-0005-0000-0000-00009A120000}"/>
    <cellStyle name="20% - Accent3 5 2 9 4 3" xfId="4767" xr:uid="{00000000-0005-0000-0000-00009B120000}"/>
    <cellStyle name="20% - Accent3 5 2 9 5" xfId="4768" xr:uid="{00000000-0005-0000-0000-00009C120000}"/>
    <cellStyle name="20% - Accent3 5 2 9 5 2" xfId="4769" xr:uid="{00000000-0005-0000-0000-00009D120000}"/>
    <cellStyle name="20% - Accent3 5 2 9 5 2 2" xfId="4770" xr:uid="{00000000-0005-0000-0000-00009E120000}"/>
    <cellStyle name="20% - Accent3 5 2 9 5 3" xfId="4771" xr:uid="{00000000-0005-0000-0000-00009F120000}"/>
    <cellStyle name="20% - Accent3 5 2 9 6" xfId="4772" xr:uid="{00000000-0005-0000-0000-0000A0120000}"/>
    <cellStyle name="20% - Accent3 5 2 9 6 2" xfId="4773" xr:uid="{00000000-0005-0000-0000-0000A1120000}"/>
    <cellStyle name="20% - Accent3 5 2 9 6 2 2" xfId="4774" xr:uid="{00000000-0005-0000-0000-0000A2120000}"/>
    <cellStyle name="20% - Accent3 5 2 9 6 3" xfId="4775" xr:uid="{00000000-0005-0000-0000-0000A3120000}"/>
    <cellStyle name="20% - Accent3 5 2 9 7" xfId="4776" xr:uid="{00000000-0005-0000-0000-0000A4120000}"/>
    <cellStyle name="20% - Accent3 5 2 9 7 2" xfId="4777" xr:uid="{00000000-0005-0000-0000-0000A5120000}"/>
    <cellStyle name="20% - Accent3 5 2 9 8" xfId="4778" xr:uid="{00000000-0005-0000-0000-0000A6120000}"/>
    <cellStyle name="20% - Accent3 5 20" xfId="4779" xr:uid="{00000000-0005-0000-0000-0000A7120000}"/>
    <cellStyle name="20% - Accent3 5 20 2" xfId="4780" xr:uid="{00000000-0005-0000-0000-0000A8120000}"/>
    <cellStyle name="20% - Accent3 5 21" xfId="4781" xr:uid="{00000000-0005-0000-0000-0000A9120000}"/>
    <cellStyle name="20% - Accent3 5 3" xfId="4782" xr:uid="{00000000-0005-0000-0000-0000AA120000}"/>
    <cellStyle name="20% - Accent3 5 3 10" xfId="4783" xr:uid="{00000000-0005-0000-0000-0000AB120000}"/>
    <cellStyle name="20% - Accent3 5 3 10 2" xfId="4784" xr:uid="{00000000-0005-0000-0000-0000AC120000}"/>
    <cellStyle name="20% - Accent3 5 3 10 2 2" xfId="4785" xr:uid="{00000000-0005-0000-0000-0000AD120000}"/>
    <cellStyle name="20% - Accent3 5 3 10 3" xfId="4786" xr:uid="{00000000-0005-0000-0000-0000AE120000}"/>
    <cellStyle name="20% - Accent3 5 3 11" xfId="4787" xr:uid="{00000000-0005-0000-0000-0000AF120000}"/>
    <cellStyle name="20% - Accent3 5 3 11 2" xfId="4788" xr:uid="{00000000-0005-0000-0000-0000B0120000}"/>
    <cellStyle name="20% - Accent3 5 3 11 2 2" xfId="4789" xr:uid="{00000000-0005-0000-0000-0000B1120000}"/>
    <cellStyle name="20% - Accent3 5 3 11 3" xfId="4790" xr:uid="{00000000-0005-0000-0000-0000B2120000}"/>
    <cellStyle name="20% - Accent3 5 3 12" xfId="4791" xr:uid="{00000000-0005-0000-0000-0000B3120000}"/>
    <cellStyle name="20% - Accent3 5 3 12 2" xfId="4792" xr:uid="{00000000-0005-0000-0000-0000B4120000}"/>
    <cellStyle name="20% - Accent3 5 3 12 2 2" xfId="4793" xr:uid="{00000000-0005-0000-0000-0000B5120000}"/>
    <cellStyle name="20% - Accent3 5 3 12 3" xfId="4794" xr:uid="{00000000-0005-0000-0000-0000B6120000}"/>
    <cellStyle name="20% - Accent3 5 3 13" xfId="4795" xr:uid="{00000000-0005-0000-0000-0000B7120000}"/>
    <cellStyle name="20% - Accent3 5 3 13 2" xfId="4796" xr:uid="{00000000-0005-0000-0000-0000B8120000}"/>
    <cellStyle name="20% - Accent3 5 3 14" xfId="4797" xr:uid="{00000000-0005-0000-0000-0000B9120000}"/>
    <cellStyle name="20% - Accent3 5 3 2" xfId="4798" xr:uid="{00000000-0005-0000-0000-0000BA120000}"/>
    <cellStyle name="20% - Accent3 5 3 2 2" xfId="4799" xr:uid="{00000000-0005-0000-0000-0000BB120000}"/>
    <cellStyle name="20% - Accent3 5 3 2 2 2" xfId="4800" xr:uid="{00000000-0005-0000-0000-0000BC120000}"/>
    <cellStyle name="20% - Accent3 5 3 2 2 2 2" xfId="4801" xr:uid="{00000000-0005-0000-0000-0000BD120000}"/>
    <cellStyle name="20% - Accent3 5 3 2 2 2 2 2" xfId="4802" xr:uid="{00000000-0005-0000-0000-0000BE120000}"/>
    <cellStyle name="20% - Accent3 5 3 2 2 2 3" xfId="4803" xr:uid="{00000000-0005-0000-0000-0000BF120000}"/>
    <cellStyle name="20% - Accent3 5 3 2 2 3" xfId="4804" xr:uid="{00000000-0005-0000-0000-0000C0120000}"/>
    <cellStyle name="20% - Accent3 5 3 2 2 3 2" xfId="4805" xr:uid="{00000000-0005-0000-0000-0000C1120000}"/>
    <cellStyle name="20% - Accent3 5 3 2 2 4" xfId="4806" xr:uid="{00000000-0005-0000-0000-0000C2120000}"/>
    <cellStyle name="20% - Accent3 5 3 2 3" xfId="4807" xr:uid="{00000000-0005-0000-0000-0000C3120000}"/>
    <cellStyle name="20% - Accent3 5 3 2 3 2" xfId="4808" xr:uid="{00000000-0005-0000-0000-0000C4120000}"/>
    <cellStyle name="20% - Accent3 5 3 2 3 2 2" xfId="4809" xr:uid="{00000000-0005-0000-0000-0000C5120000}"/>
    <cellStyle name="20% - Accent3 5 3 2 3 3" xfId="4810" xr:uid="{00000000-0005-0000-0000-0000C6120000}"/>
    <cellStyle name="20% - Accent3 5 3 2 4" xfId="4811" xr:uid="{00000000-0005-0000-0000-0000C7120000}"/>
    <cellStyle name="20% - Accent3 5 3 2 4 2" xfId="4812" xr:uid="{00000000-0005-0000-0000-0000C8120000}"/>
    <cellStyle name="20% - Accent3 5 3 2 4 2 2" xfId="4813" xr:uid="{00000000-0005-0000-0000-0000C9120000}"/>
    <cellStyle name="20% - Accent3 5 3 2 4 3" xfId="4814" xr:uid="{00000000-0005-0000-0000-0000CA120000}"/>
    <cellStyle name="20% - Accent3 5 3 2 5" xfId="4815" xr:uid="{00000000-0005-0000-0000-0000CB120000}"/>
    <cellStyle name="20% - Accent3 5 3 2 5 2" xfId="4816" xr:uid="{00000000-0005-0000-0000-0000CC120000}"/>
    <cellStyle name="20% - Accent3 5 3 2 5 2 2" xfId="4817" xr:uid="{00000000-0005-0000-0000-0000CD120000}"/>
    <cellStyle name="20% - Accent3 5 3 2 5 3" xfId="4818" xr:uid="{00000000-0005-0000-0000-0000CE120000}"/>
    <cellStyle name="20% - Accent3 5 3 2 6" xfId="4819" xr:uid="{00000000-0005-0000-0000-0000CF120000}"/>
    <cellStyle name="20% - Accent3 5 3 2 6 2" xfId="4820" xr:uid="{00000000-0005-0000-0000-0000D0120000}"/>
    <cellStyle name="20% - Accent3 5 3 2 6 2 2" xfId="4821" xr:uid="{00000000-0005-0000-0000-0000D1120000}"/>
    <cellStyle name="20% - Accent3 5 3 2 6 3" xfId="4822" xr:uid="{00000000-0005-0000-0000-0000D2120000}"/>
    <cellStyle name="20% - Accent3 5 3 2 7" xfId="4823" xr:uid="{00000000-0005-0000-0000-0000D3120000}"/>
    <cellStyle name="20% - Accent3 5 3 2 7 2" xfId="4824" xr:uid="{00000000-0005-0000-0000-0000D4120000}"/>
    <cellStyle name="20% - Accent3 5 3 2 8" xfId="4825" xr:uid="{00000000-0005-0000-0000-0000D5120000}"/>
    <cellStyle name="20% - Accent3 5 3 3" xfId="4826" xr:uid="{00000000-0005-0000-0000-0000D6120000}"/>
    <cellStyle name="20% - Accent3 5 3 3 2" xfId="4827" xr:uid="{00000000-0005-0000-0000-0000D7120000}"/>
    <cellStyle name="20% - Accent3 5 3 3 2 2" xfId="4828" xr:uid="{00000000-0005-0000-0000-0000D8120000}"/>
    <cellStyle name="20% - Accent3 5 3 3 2 2 2" xfId="4829" xr:uid="{00000000-0005-0000-0000-0000D9120000}"/>
    <cellStyle name="20% - Accent3 5 3 3 2 2 2 2" xfId="4830" xr:uid="{00000000-0005-0000-0000-0000DA120000}"/>
    <cellStyle name="20% - Accent3 5 3 3 2 2 3" xfId="4831" xr:uid="{00000000-0005-0000-0000-0000DB120000}"/>
    <cellStyle name="20% - Accent3 5 3 3 2 3" xfId="4832" xr:uid="{00000000-0005-0000-0000-0000DC120000}"/>
    <cellStyle name="20% - Accent3 5 3 3 2 3 2" xfId="4833" xr:uid="{00000000-0005-0000-0000-0000DD120000}"/>
    <cellStyle name="20% - Accent3 5 3 3 2 4" xfId="4834" xr:uid="{00000000-0005-0000-0000-0000DE120000}"/>
    <cellStyle name="20% - Accent3 5 3 3 3" xfId="4835" xr:uid="{00000000-0005-0000-0000-0000DF120000}"/>
    <cellStyle name="20% - Accent3 5 3 3 3 2" xfId="4836" xr:uid="{00000000-0005-0000-0000-0000E0120000}"/>
    <cellStyle name="20% - Accent3 5 3 3 3 2 2" xfId="4837" xr:uid="{00000000-0005-0000-0000-0000E1120000}"/>
    <cellStyle name="20% - Accent3 5 3 3 3 3" xfId="4838" xr:uid="{00000000-0005-0000-0000-0000E2120000}"/>
    <cellStyle name="20% - Accent3 5 3 3 4" xfId="4839" xr:uid="{00000000-0005-0000-0000-0000E3120000}"/>
    <cellStyle name="20% - Accent3 5 3 3 4 2" xfId="4840" xr:uid="{00000000-0005-0000-0000-0000E4120000}"/>
    <cellStyle name="20% - Accent3 5 3 3 4 2 2" xfId="4841" xr:uid="{00000000-0005-0000-0000-0000E5120000}"/>
    <cellStyle name="20% - Accent3 5 3 3 4 3" xfId="4842" xr:uid="{00000000-0005-0000-0000-0000E6120000}"/>
    <cellStyle name="20% - Accent3 5 3 3 5" xfId="4843" xr:uid="{00000000-0005-0000-0000-0000E7120000}"/>
    <cellStyle name="20% - Accent3 5 3 3 5 2" xfId="4844" xr:uid="{00000000-0005-0000-0000-0000E8120000}"/>
    <cellStyle name="20% - Accent3 5 3 3 5 2 2" xfId="4845" xr:uid="{00000000-0005-0000-0000-0000E9120000}"/>
    <cellStyle name="20% - Accent3 5 3 3 5 3" xfId="4846" xr:uid="{00000000-0005-0000-0000-0000EA120000}"/>
    <cellStyle name="20% - Accent3 5 3 3 6" xfId="4847" xr:uid="{00000000-0005-0000-0000-0000EB120000}"/>
    <cellStyle name="20% - Accent3 5 3 3 6 2" xfId="4848" xr:uid="{00000000-0005-0000-0000-0000EC120000}"/>
    <cellStyle name="20% - Accent3 5 3 3 6 2 2" xfId="4849" xr:uid="{00000000-0005-0000-0000-0000ED120000}"/>
    <cellStyle name="20% - Accent3 5 3 3 6 3" xfId="4850" xr:uid="{00000000-0005-0000-0000-0000EE120000}"/>
    <cellStyle name="20% - Accent3 5 3 3 7" xfId="4851" xr:uid="{00000000-0005-0000-0000-0000EF120000}"/>
    <cellStyle name="20% - Accent3 5 3 3 7 2" xfId="4852" xr:uid="{00000000-0005-0000-0000-0000F0120000}"/>
    <cellStyle name="20% - Accent3 5 3 3 8" xfId="4853" xr:uid="{00000000-0005-0000-0000-0000F1120000}"/>
    <cellStyle name="20% - Accent3 5 3 4" xfId="4854" xr:uid="{00000000-0005-0000-0000-0000F2120000}"/>
    <cellStyle name="20% - Accent3 5 3 4 2" xfId="4855" xr:uid="{00000000-0005-0000-0000-0000F3120000}"/>
    <cellStyle name="20% - Accent3 5 3 4 2 2" xfId="4856" xr:uid="{00000000-0005-0000-0000-0000F4120000}"/>
    <cellStyle name="20% - Accent3 5 3 4 2 2 2" xfId="4857" xr:uid="{00000000-0005-0000-0000-0000F5120000}"/>
    <cellStyle name="20% - Accent3 5 3 4 2 2 2 2" xfId="4858" xr:uid="{00000000-0005-0000-0000-0000F6120000}"/>
    <cellStyle name="20% - Accent3 5 3 4 2 2 3" xfId="4859" xr:uid="{00000000-0005-0000-0000-0000F7120000}"/>
    <cellStyle name="20% - Accent3 5 3 4 2 3" xfId="4860" xr:uid="{00000000-0005-0000-0000-0000F8120000}"/>
    <cellStyle name="20% - Accent3 5 3 4 2 3 2" xfId="4861" xr:uid="{00000000-0005-0000-0000-0000F9120000}"/>
    <cellStyle name="20% - Accent3 5 3 4 2 4" xfId="4862" xr:uid="{00000000-0005-0000-0000-0000FA120000}"/>
    <cellStyle name="20% - Accent3 5 3 4 3" xfId="4863" xr:uid="{00000000-0005-0000-0000-0000FB120000}"/>
    <cellStyle name="20% - Accent3 5 3 4 3 2" xfId="4864" xr:uid="{00000000-0005-0000-0000-0000FC120000}"/>
    <cellStyle name="20% - Accent3 5 3 4 3 2 2" xfId="4865" xr:uid="{00000000-0005-0000-0000-0000FD120000}"/>
    <cellStyle name="20% - Accent3 5 3 4 3 3" xfId="4866" xr:uid="{00000000-0005-0000-0000-0000FE120000}"/>
    <cellStyle name="20% - Accent3 5 3 4 4" xfId="4867" xr:uid="{00000000-0005-0000-0000-0000FF120000}"/>
    <cellStyle name="20% - Accent3 5 3 4 4 2" xfId="4868" xr:uid="{00000000-0005-0000-0000-000000130000}"/>
    <cellStyle name="20% - Accent3 5 3 4 4 2 2" xfId="4869" xr:uid="{00000000-0005-0000-0000-000001130000}"/>
    <cellStyle name="20% - Accent3 5 3 4 4 3" xfId="4870" xr:uid="{00000000-0005-0000-0000-000002130000}"/>
    <cellStyle name="20% - Accent3 5 3 4 5" xfId="4871" xr:uid="{00000000-0005-0000-0000-000003130000}"/>
    <cellStyle name="20% - Accent3 5 3 4 5 2" xfId="4872" xr:uid="{00000000-0005-0000-0000-000004130000}"/>
    <cellStyle name="20% - Accent3 5 3 4 5 2 2" xfId="4873" xr:uid="{00000000-0005-0000-0000-000005130000}"/>
    <cellStyle name="20% - Accent3 5 3 4 5 3" xfId="4874" xr:uid="{00000000-0005-0000-0000-000006130000}"/>
    <cellStyle name="20% - Accent3 5 3 4 6" xfId="4875" xr:uid="{00000000-0005-0000-0000-000007130000}"/>
    <cellStyle name="20% - Accent3 5 3 4 6 2" xfId="4876" xr:uid="{00000000-0005-0000-0000-000008130000}"/>
    <cellStyle name="20% - Accent3 5 3 4 6 2 2" xfId="4877" xr:uid="{00000000-0005-0000-0000-000009130000}"/>
    <cellStyle name="20% - Accent3 5 3 4 6 3" xfId="4878" xr:uid="{00000000-0005-0000-0000-00000A130000}"/>
    <cellStyle name="20% - Accent3 5 3 4 7" xfId="4879" xr:uid="{00000000-0005-0000-0000-00000B130000}"/>
    <cellStyle name="20% - Accent3 5 3 4 7 2" xfId="4880" xr:uid="{00000000-0005-0000-0000-00000C130000}"/>
    <cellStyle name="20% - Accent3 5 3 4 8" xfId="4881" xr:uid="{00000000-0005-0000-0000-00000D130000}"/>
    <cellStyle name="20% - Accent3 5 3 5" xfId="4882" xr:uid="{00000000-0005-0000-0000-00000E130000}"/>
    <cellStyle name="20% - Accent3 5 3 5 2" xfId="4883" xr:uid="{00000000-0005-0000-0000-00000F130000}"/>
    <cellStyle name="20% - Accent3 5 3 5 2 2" xfId="4884" xr:uid="{00000000-0005-0000-0000-000010130000}"/>
    <cellStyle name="20% - Accent3 5 3 5 2 2 2" xfId="4885" xr:uid="{00000000-0005-0000-0000-000011130000}"/>
    <cellStyle name="20% - Accent3 5 3 5 2 2 2 2" xfId="4886" xr:uid="{00000000-0005-0000-0000-000012130000}"/>
    <cellStyle name="20% - Accent3 5 3 5 2 2 3" xfId="4887" xr:uid="{00000000-0005-0000-0000-000013130000}"/>
    <cellStyle name="20% - Accent3 5 3 5 2 3" xfId="4888" xr:uid="{00000000-0005-0000-0000-000014130000}"/>
    <cellStyle name="20% - Accent3 5 3 5 2 3 2" xfId="4889" xr:uid="{00000000-0005-0000-0000-000015130000}"/>
    <cellStyle name="20% - Accent3 5 3 5 2 4" xfId="4890" xr:uid="{00000000-0005-0000-0000-000016130000}"/>
    <cellStyle name="20% - Accent3 5 3 5 3" xfId="4891" xr:uid="{00000000-0005-0000-0000-000017130000}"/>
    <cellStyle name="20% - Accent3 5 3 5 3 2" xfId="4892" xr:uid="{00000000-0005-0000-0000-000018130000}"/>
    <cellStyle name="20% - Accent3 5 3 5 3 2 2" xfId="4893" xr:uid="{00000000-0005-0000-0000-000019130000}"/>
    <cellStyle name="20% - Accent3 5 3 5 3 3" xfId="4894" xr:uid="{00000000-0005-0000-0000-00001A130000}"/>
    <cellStyle name="20% - Accent3 5 3 5 4" xfId="4895" xr:uid="{00000000-0005-0000-0000-00001B130000}"/>
    <cellStyle name="20% - Accent3 5 3 5 4 2" xfId="4896" xr:uid="{00000000-0005-0000-0000-00001C130000}"/>
    <cellStyle name="20% - Accent3 5 3 5 5" xfId="4897" xr:uid="{00000000-0005-0000-0000-00001D130000}"/>
    <cellStyle name="20% - Accent3 5 3 6" xfId="4898" xr:uid="{00000000-0005-0000-0000-00001E130000}"/>
    <cellStyle name="20% - Accent3 5 3 6 2" xfId="4899" xr:uid="{00000000-0005-0000-0000-00001F130000}"/>
    <cellStyle name="20% - Accent3 5 3 6 2 2" xfId="4900" xr:uid="{00000000-0005-0000-0000-000020130000}"/>
    <cellStyle name="20% - Accent3 5 3 6 2 2 2" xfId="4901" xr:uid="{00000000-0005-0000-0000-000021130000}"/>
    <cellStyle name="20% - Accent3 5 3 6 2 2 2 2" xfId="4902" xr:uid="{00000000-0005-0000-0000-000022130000}"/>
    <cellStyle name="20% - Accent3 5 3 6 2 2 3" xfId="4903" xr:uid="{00000000-0005-0000-0000-000023130000}"/>
    <cellStyle name="20% - Accent3 5 3 6 2 3" xfId="4904" xr:uid="{00000000-0005-0000-0000-000024130000}"/>
    <cellStyle name="20% - Accent3 5 3 6 2 3 2" xfId="4905" xr:uid="{00000000-0005-0000-0000-000025130000}"/>
    <cellStyle name="20% - Accent3 5 3 6 2 4" xfId="4906" xr:uid="{00000000-0005-0000-0000-000026130000}"/>
    <cellStyle name="20% - Accent3 5 3 6 3" xfId="4907" xr:uid="{00000000-0005-0000-0000-000027130000}"/>
    <cellStyle name="20% - Accent3 5 3 6 3 2" xfId="4908" xr:uid="{00000000-0005-0000-0000-000028130000}"/>
    <cellStyle name="20% - Accent3 5 3 6 3 2 2" xfId="4909" xr:uid="{00000000-0005-0000-0000-000029130000}"/>
    <cellStyle name="20% - Accent3 5 3 6 3 3" xfId="4910" xr:uid="{00000000-0005-0000-0000-00002A130000}"/>
    <cellStyle name="20% - Accent3 5 3 6 4" xfId="4911" xr:uid="{00000000-0005-0000-0000-00002B130000}"/>
    <cellStyle name="20% - Accent3 5 3 6 4 2" xfId="4912" xr:uid="{00000000-0005-0000-0000-00002C130000}"/>
    <cellStyle name="20% - Accent3 5 3 6 5" xfId="4913" xr:uid="{00000000-0005-0000-0000-00002D130000}"/>
    <cellStyle name="20% - Accent3 5 3 7" xfId="4914" xr:uid="{00000000-0005-0000-0000-00002E130000}"/>
    <cellStyle name="20% - Accent3 5 3 7 2" xfId="4915" xr:uid="{00000000-0005-0000-0000-00002F130000}"/>
    <cellStyle name="20% - Accent3 5 3 7 2 2" xfId="4916" xr:uid="{00000000-0005-0000-0000-000030130000}"/>
    <cellStyle name="20% - Accent3 5 3 7 2 2 2" xfId="4917" xr:uid="{00000000-0005-0000-0000-000031130000}"/>
    <cellStyle name="20% - Accent3 5 3 7 2 3" xfId="4918" xr:uid="{00000000-0005-0000-0000-000032130000}"/>
    <cellStyle name="20% - Accent3 5 3 7 3" xfId="4919" xr:uid="{00000000-0005-0000-0000-000033130000}"/>
    <cellStyle name="20% - Accent3 5 3 7 3 2" xfId="4920" xr:uid="{00000000-0005-0000-0000-000034130000}"/>
    <cellStyle name="20% - Accent3 5 3 7 4" xfId="4921" xr:uid="{00000000-0005-0000-0000-000035130000}"/>
    <cellStyle name="20% - Accent3 5 3 8" xfId="4922" xr:uid="{00000000-0005-0000-0000-000036130000}"/>
    <cellStyle name="20% - Accent3 5 3 8 2" xfId="4923" xr:uid="{00000000-0005-0000-0000-000037130000}"/>
    <cellStyle name="20% - Accent3 5 3 8 2 2" xfId="4924" xr:uid="{00000000-0005-0000-0000-000038130000}"/>
    <cellStyle name="20% - Accent3 5 3 8 2 2 2" xfId="4925" xr:uid="{00000000-0005-0000-0000-000039130000}"/>
    <cellStyle name="20% - Accent3 5 3 8 2 3" xfId="4926" xr:uid="{00000000-0005-0000-0000-00003A130000}"/>
    <cellStyle name="20% - Accent3 5 3 8 3" xfId="4927" xr:uid="{00000000-0005-0000-0000-00003B130000}"/>
    <cellStyle name="20% - Accent3 5 3 8 3 2" xfId="4928" xr:uid="{00000000-0005-0000-0000-00003C130000}"/>
    <cellStyle name="20% - Accent3 5 3 8 4" xfId="4929" xr:uid="{00000000-0005-0000-0000-00003D130000}"/>
    <cellStyle name="20% - Accent3 5 3 9" xfId="4930" xr:uid="{00000000-0005-0000-0000-00003E130000}"/>
    <cellStyle name="20% - Accent3 5 3 9 2" xfId="4931" xr:uid="{00000000-0005-0000-0000-00003F130000}"/>
    <cellStyle name="20% - Accent3 5 3 9 2 2" xfId="4932" xr:uid="{00000000-0005-0000-0000-000040130000}"/>
    <cellStyle name="20% - Accent3 5 3 9 3" xfId="4933" xr:uid="{00000000-0005-0000-0000-000041130000}"/>
    <cellStyle name="20% - Accent3 5 4" xfId="4934" xr:uid="{00000000-0005-0000-0000-000042130000}"/>
    <cellStyle name="20% - Accent3 5 4 10" xfId="4935" xr:uid="{00000000-0005-0000-0000-000043130000}"/>
    <cellStyle name="20% - Accent3 5 4 10 2" xfId="4936" xr:uid="{00000000-0005-0000-0000-000044130000}"/>
    <cellStyle name="20% - Accent3 5 4 10 2 2" xfId="4937" xr:uid="{00000000-0005-0000-0000-000045130000}"/>
    <cellStyle name="20% - Accent3 5 4 10 3" xfId="4938" xr:uid="{00000000-0005-0000-0000-000046130000}"/>
    <cellStyle name="20% - Accent3 5 4 11" xfId="4939" xr:uid="{00000000-0005-0000-0000-000047130000}"/>
    <cellStyle name="20% - Accent3 5 4 11 2" xfId="4940" xr:uid="{00000000-0005-0000-0000-000048130000}"/>
    <cellStyle name="20% - Accent3 5 4 11 2 2" xfId="4941" xr:uid="{00000000-0005-0000-0000-000049130000}"/>
    <cellStyle name="20% - Accent3 5 4 11 3" xfId="4942" xr:uid="{00000000-0005-0000-0000-00004A130000}"/>
    <cellStyle name="20% - Accent3 5 4 12" xfId="4943" xr:uid="{00000000-0005-0000-0000-00004B130000}"/>
    <cellStyle name="20% - Accent3 5 4 12 2" xfId="4944" xr:uid="{00000000-0005-0000-0000-00004C130000}"/>
    <cellStyle name="20% - Accent3 5 4 12 2 2" xfId="4945" xr:uid="{00000000-0005-0000-0000-00004D130000}"/>
    <cellStyle name="20% - Accent3 5 4 12 3" xfId="4946" xr:uid="{00000000-0005-0000-0000-00004E130000}"/>
    <cellStyle name="20% - Accent3 5 4 13" xfId="4947" xr:uid="{00000000-0005-0000-0000-00004F130000}"/>
    <cellStyle name="20% - Accent3 5 4 13 2" xfId="4948" xr:uid="{00000000-0005-0000-0000-000050130000}"/>
    <cellStyle name="20% - Accent3 5 4 14" xfId="4949" xr:uid="{00000000-0005-0000-0000-000051130000}"/>
    <cellStyle name="20% - Accent3 5 4 2" xfId="4950" xr:uid="{00000000-0005-0000-0000-000052130000}"/>
    <cellStyle name="20% - Accent3 5 4 2 2" xfId="4951" xr:uid="{00000000-0005-0000-0000-000053130000}"/>
    <cellStyle name="20% - Accent3 5 4 2 2 2" xfId="4952" xr:uid="{00000000-0005-0000-0000-000054130000}"/>
    <cellStyle name="20% - Accent3 5 4 2 2 2 2" xfId="4953" xr:uid="{00000000-0005-0000-0000-000055130000}"/>
    <cellStyle name="20% - Accent3 5 4 2 2 2 2 2" xfId="4954" xr:uid="{00000000-0005-0000-0000-000056130000}"/>
    <cellStyle name="20% - Accent3 5 4 2 2 2 3" xfId="4955" xr:uid="{00000000-0005-0000-0000-000057130000}"/>
    <cellStyle name="20% - Accent3 5 4 2 2 3" xfId="4956" xr:uid="{00000000-0005-0000-0000-000058130000}"/>
    <cellStyle name="20% - Accent3 5 4 2 2 3 2" xfId="4957" xr:uid="{00000000-0005-0000-0000-000059130000}"/>
    <cellStyle name="20% - Accent3 5 4 2 2 4" xfId="4958" xr:uid="{00000000-0005-0000-0000-00005A130000}"/>
    <cellStyle name="20% - Accent3 5 4 2 3" xfId="4959" xr:uid="{00000000-0005-0000-0000-00005B130000}"/>
    <cellStyle name="20% - Accent3 5 4 2 3 2" xfId="4960" xr:uid="{00000000-0005-0000-0000-00005C130000}"/>
    <cellStyle name="20% - Accent3 5 4 2 3 2 2" xfId="4961" xr:uid="{00000000-0005-0000-0000-00005D130000}"/>
    <cellStyle name="20% - Accent3 5 4 2 3 3" xfId="4962" xr:uid="{00000000-0005-0000-0000-00005E130000}"/>
    <cellStyle name="20% - Accent3 5 4 2 4" xfId="4963" xr:uid="{00000000-0005-0000-0000-00005F130000}"/>
    <cellStyle name="20% - Accent3 5 4 2 4 2" xfId="4964" xr:uid="{00000000-0005-0000-0000-000060130000}"/>
    <cellStyle name="20% - Accent3 5 4 2 4 2 2" xfId="4965" xr:uid="{00000000-0005-0000-0000-000061130000}"/>
    <cellStyle name="20% - Accent3 5 4 2 4 3" xfId="4966" xr:uid="{00000000-0005-0000-0000-000062130000}"/>
    <cellStyle name="20% - Accent3 5 4 2 5" xfId="4967" xr:uid="{00000000-0005-0000-0000-000063130000}"/>
    <cellStyle name="20% - Accent3 5 4 2 5 2" xfId="4968" xr:uid="{00000000-0005-0000-0000-000064130000}"/>
    <cellStyle name="20% - Accent3 5 4 2 5 2 2" xfId="4969" xr:uid="{00000000-0005-0000-0000-000065130000}"/>
    <cellStyle name="20% - Accent3 5 4 2 5 3" xfId="4970" xr:uid="{00000000-0005-0000-0000-000066130000}"/>
    <cellStyle name="20% - Accent3 5 4 2 6" xfId="4971" xr:uid="{00000000-0005-0000-0000-000067130000}"/>
    <cellStyle name="20% - Accent3 5 4 2 6 2" xfId="4972" xr:uid="{00000000-0005-0000-0000-000068130000}"/>
    <cellStyle name="20% - Accent3 5 4 2 6 2 2" xfId="4973" xr:uid="{00000000-0005-0000-0000-000069130000}"/>
    <cellStyle name="20% - Accent3 5 4 2 6 3" xfId="4974" xr:uid="{00000000-0005-0000-0000-00006A130000}"/>
    <cellStyle name="20% - Accent3 5 4 2 7" xfId="4975" xr:uid="{00000000-0005-0000-0000-00006B130000}"/>
    <cellStyle name="20% - Accent3 5 4 2 7 2" xfId="4976" xr:uid="{00000000-0005-0000-0000-00006C130000}"/>
    <cellStyle name="20% - Accent3 5 4 2 8" xfId="4977" xr:uid="{00000000-0005-0000-0000-00006D130000}"/>
    <cellStyle name="20% - Accent3 5 4 3" xfId="4978" xr:uid="{00000000-0005-0000-0000-00006E130000}"/>
    <cellStyle name="20% - Accent3 5 4 3 2" xfId="4979" xr:uid="{00000000-0005-0000-0000-00006F130000}"/>
    <cellStyle name="20% - Accent3 5 4 3 2 2" xfId="4980" xr:uid="{00000000-0005-0000-0000-000070130000}"/>
    <cellStyle name="20% - Accent3 5 4 3 2 2 2" xfId="4981" xr:uid="{00000000-0005-0000-0000-000071130000}"/>
    <cellStyle name="20% - Accent3 5 4 3 2 2 2 2" xfId="4982" xr:uid="{00000000-0005-0000-0000-000072130000}"/>
    <cellStyle name="20% - Accent3 5 4 3 2 2 3" xfId="4983" xr:uid="{00000000-0005-0000-0000-000073130000}"/>
    <cellStyle name="20% - Accent3 5 4 3 2 3" xfId="4984" xr:uid="{00000000-0005-0000-0000-000074130000}"/>
    <cellStyle name="20% - Accent3 5 4 3 2 3 2" xfId="4985" xr:uid="{00000000-0005-0000-0000-000075130000}"/>
    <cellStyle name="20% - Accent3 5 4 3 2 4" xfId="4986" xr:uid="{00000000-0005-0000-0000-000076130000}"/>
    <cellStyle name="20% - Accent3 5 4 3 3" xfId="4987" xr:uid="{00000000-0005-0000-0000-000077130000}"/>
    <cellStyle name="20% - Accent3 5 4 3 3 2" xfId="4988" xr:uid="{00000000-0005-0000-0000-000078130000}"/>
    <cellStyle name="20% - Accent3 5 4 3 3 2 2" xfId="4989" xr:uid="{00000000-0005-0000-0000-000079130000}"/>
    <cellStyle name="20% - Accent3 5 4 3 3 3" xfId="4990" xr:uid="{00000000-0005-0000-0000-00007A130000}"/>
    <cellStyle name="20% - Accent3 5 4 3 4" xfId="4991" xr:uid="{00000000-0005-0000-0000-00007B130000}"/>
    <cellStyle name="20% - Accent3 5 4 3 4 2" xfId="4992" xr:uid="{00000000-0005-0000-0000-00007C130000}"/>
    <cellStyle name="20% - Accent3 5 4 3 4 2 2" xfId="4993" xr:uid="{00000000-0005-0000-0000-00007D130000}"/>
    <cellStyle name="20% - Accent3 5 4 3 4 3" xfId="4994" xr:uid="{00000000-0005-0000-0000-00007E130000}"/>
    <cellStyle name="20% - Accent3 5 4 3 5" xfId="4995" xr:uid="{00000000-0005-0000-0000-00007F130000}"/>
    <cellStyle name="20% - Accent3 5 4 3 5 2" xfId="4996" xr:uid="{00000000-0005-0000-0000-000080130000}"/>
    <cellStyle name="20% - Accent3 5 4 3 5 2 2" xfId="4997" xr:uid="{00000000-0005-0000-0000-000081130000}"/>
    <cellStyle name="20% - Accent3 5 4 3 5 3" xfId="4998" xr:uid="{00000000-0005-0000-0000-000082130000}"/>
    <cellStyle name="20% - Accent3 5 4 3 6" xfId="4999" xr:uid="{00000000-0005-0000-0000-000083130000}"/>
    <cellStyle name="20% - Accent3 5 4 3 6 2" xfId="5000" xr:uid="{00000000-0005-0000-0000-000084130000}"/>
    <cellStyle name="20% - Accent3 5 4 3 6 2 2" xfId="5001" xr:uid="{00000000-0005-0000-0000-000085130000}"/>
    <cellStyle name="20% - Accent3 5 4 3 6 3" xfId="5002" xr:uid="{00000000-0005-0000-0000-000086130000}"/>
    <cellStyle name="20% - Accent3 5 4 3 7" xfId="5003" xr:uid="{00000000-0005-0000-0000-000087130000}"/>
    <cellStyle name="20% - Accent3 5 4 3 7 2" xfId="5004" xr:uid="{00000000-0005-0000-0000-000088130000}"/>
    <cellStyle name="20% - Accent3 5 4 3 8" xfId="5005" xr:uid="{00000000-0005-0000-0000-000089130000}"/>
    <cellStyle name="20% - Accent3 5 4 4" xfId="5006" xr:uid="{00000000-0005-0000-0000-00008A130000}"/>
    <cellStyle name="20% - Accent3 5 4 4 2" xfId="5007" xr:uid="{00000000-0005-0000-0000-00008B130000}"/>
    <cellStyle name="20% - Accent3 5 4 4 2 2" xfId="5008" xr:uid="{00000000-0005-0000-0000-00008C130000}"/>
    <cellStyle name="20% - Accent3 5 4 4 2 2 2" xfId="5009" xr:uid="{00000000-0005-0000-0000-00008D130000}"/>
    <cellStyle name="20% - Accent3 5 4 4 2 2 2 2" xfId="5010" xr:uid="{00000000-0005-0000-0000-00008E130000}"/>
    <cellStyle name="20% - Accent3 5 4 4 2 2 3" xfId="5011" xr:uid="{00000000-0005-0000-0000-00008F130000}"/>
    <cellStyle name="20% - Accent3 5 4 4 2 3" xfId="5012" xr:uid="{00000000-0005-0000-0000-000090130000}"/>
    <cellStyle name="20% - Accent3 5 4 4 2 3 2" xfId="5013" xr:uid="{00000000-0005-0000-0000-000091130000}"/>
    <cellStyle name="20% - Accent3 5 4 4 2 4" xfId="5014" xr:uid="{00000000-0005-0000-0000-000092130000}"/>
    <cellStyle name="20% - Accent3 5 4 4 3" xfId="5015" xr:uid="{00000000-0005-0000-0000-000093130000}"/>
    <cellStyle name="20% - Accent3 5 4 4 3 2" xfId="5016" xr:uid="{00000000-0005-0000-0000-000094130000}"/>
    <cellStyle name="20% - Accent3 5 4 4 3 2 2" xfId="5017" xr:uid="{00000000-0005-0000-0000-000095130000}"/>
    <cellStyle name="20% - Accent3 5 4 4 3 3" xfId="5018" xr:uid="{00000000-0005-0000-0000-000096130000}"/>
    <cellStyle name="20% - Accent3 5 4 4 4" xfId="5019" xr:uid="{00000000-0005-0000-0000-000097130000}"/>
    <cellStyle name="20% - Accent3 5 4 4 4 2" xfId="5020" xr:uid="{00000000-0005-0000-0000-000098130000}"/>
    <cellStyle name="20% - Accent3 5 4 4 4 2 2" xfId="5021" xr:uid="{00000000-0005-0000-0000-000099130000}"/>
    <cellStyle name="20% - Accent3 5 4 4 4 3" xfId="5022" xr:uid="{00000000-0005-0000-0000-00009A130000}"/>
    <cellStyle name="20% - Accent3 5 4 4 5" xfId="5023" xr:uid="{00000000-0005-0000-0000-00009B130000}"/>
    <cellStyle name="20% - Accent3 5 4 4 5 2" xfId="5024" xr:uid="{00000000-0005-0000-0000-00009C130000}"/>
    <cellStyle name="20% - Accent3 5 4 4 5 2 2" xfId="5025" xr:uid="{00000000-0005-0000-0000-00009D130000}"/>
    <cellStyle name="20% - Accent3 5 4 4 5 3" xfId="5026" xr:uid="{00000000-0005-0000-0000-00009E130000}"/>
    <cellStyle name="20% - Accent3 5 4 4 6" xfId="5027" xr:uid="{00000000-0005-0000-0000-00009F130000}"/>
    <cellStyle name="20% - Accent3 5 4 4 6 2" xfId="5028" xr:uid="{00000000-0005-0000-0000-0000A0130000}"/>
    <cellStyle name="20% - Accent3 5 4 4 6 2 2" xfId="5029" xr:uid="{00000000-0005-0000-0000-0000A1130000}"/>
    <cellStyle name="20% - Accent3 5 4 4 6 3" xfId="5030" xr:uid="{00000000-0005-0000-0000-0000A2130000}"/>
    <cellStyle name="20% - Accent3 5 4 4 7" xfId="5031" xr:uid="{00000000-0005-0000-0000-0000A3130000}"/>
    <cellStyle name="20% - Accent3 5 4 4 7 2" xfId="5032" xr:uid="{00000000-0005-0000-0000-0000A4130000}"/>
    <cellStyle name="20% - Accent3 5 4 4 8" xfId="5033" xr:uid="{00000000-0005-0000-0000-0000A5130000}"/>
    <cellStyle name="20% - Accent3 5 4 5" xfId="5034" xr:uid="{00000000-0005-0000-0000-0000A6130000}"/>
    <cellStyle name="20% - Accent3 5 4 5 2" xfId="5035" xr:uid="{00000000-0005-0000-0000-0000A7130000}"/>
    <cellStyle name="20% - Accent3 5 4 5 2 2" xfId="5036" xr:uid="{00000000-0005-0000-0000-0000A8130000}"/>
    <cellStyle name="20% - Accent3 5 4 5 2 2 2" xfId="5037" xr:uid="{00000000-0005-0000-0000-0000A9130000}"/>
    <cellStyle name="20% - Accent3 5 4 5 2 2 2 2" xfId="5038" xr:uid="{00000000-0005-0000-0000-0000AA130000}"/>
    <cellStyle name="20% - Accent3 5 4 5 2 2 3" xfId="5039" xr:uid="{00000000-0005-0000-0000-0000AB130000}"/>
    <cellStyle name="20% - Accent3 5 4 5 2 3" xfId="5040" xr:uid="{00000000-0005-0000-0000-0000AC130000}"/>
    <cellStyle name="20% - Accent3 5 4 5 2 3 2" xfId="5041" xr:uid="{00000000-0005-0000-0000-0000AD130000}"/>
    <cellStyle name="20% - Accent3 5 4 5 2 4" xfId="5042" xr:uid="{00000000-0005-0000-0000-0000AE130000}"/>
    <cellStyle name="20% - Accent3 5 4 5 3" xfId="5043" xr:uid="{00000000-0005-0000-0000-0000AF130000}"/>
    <cellStyle name="20% - Accent3 5 4 5 3 2" xfId="5044" xr:uid="{00000000-0005-0000-0000-0000B0130000}"/>
    <cellStyle name="20% - Accent3 5 4 5 3 2 2" xfId="5045" xr:uid="{00000000-0005-0000-0000-0000B1130000}"/>
    <cellStyle name="20% - Accent3 5 4 5 3 3" xfId="5046" xr:uid="{00000000-0005-0000-0000-0000B2130000}"/>
    <cellStyle name="20% - Accent3 5 4 5 4" xfId="5047" xr:uid="{00000000-0005-0000-0000-0000B3130000}"/>
    <cellStyle name="20% - Accent3 5 4 5 4 2" xfId="5048" xr:uid="{00000000-0005-0000-0000-0000B4130000}"/>
    <cellStyle name="20% - Accent3 5 4 5 5" xfId="5049" xr:uid="{00000000-0005-0000-0000-0000B5130000}"/>
    <cellStyle name="20% - Accent3 5 4 6" xfId="5050" xr:uid="{00000000-0005-0000-0000-0000B6130000}"/>
    <cellStyle name="20% - Accent3 5 4 6 2" xfId="5051" xr:uid="{00000000-0005-0000-0000-0000B7130000}"/>
    <cellStyle name="20% - Accent3 5 4 6 2 2" xfId="5052" xr:uid="{00000000-0005-0000-0000-0000B8130000}"/>
    <cellStyle name="20% - Accent3 5 4 6 2 2 2" xfId="5053" xr:uid="{00000000-0005-0000-0000-0000B9130000}"/>
    <cellStyle name="20% - Accent3 5 4 6 2 2 2 2" xfId="5054" xr:uid="{00000000-0005-0000-0000-0000BA130000}"/>
    <cellStyle name="20% - Accent3 5 4 6 2 2 3" xfId="5055" xr:uid="{00000000-0005-0000-0000-0000BB130000}"/>
    <cellStyle name="20% - Accent3 5 4 6 2 3" xfId="5056" xr:uid="{00000000-0005-0000-0000-0000BC130000}"/>
    <cellStyle name="20% - Accent3 5 4 6 2 3 2" xfId="5057" xr:uid="{00000000-0005-0000-0000-0000BD130000}"/>
    <cellStyle name="20% - Accent3 5 4 6 2 4" xfId="5058" xr:uid="{00000000-0005-0000-0000-0000BE130000}"/>
    <cellStyle name="20% - Accent3 5 4 6 3" xfId="5059" xr:uid="{00000000-0005-0000-0000-0000BF130000}"/>
    <cellStyle name="20% - Accent3 5 4 6 3 2" xfId="5060" xr:uid="{00000000-0005-0000-0000-0000C0130000}"/>
    <cellStyle name="20% - Accent3 5 4 6 3 2 2" xfId="5061" xr:uid="{00000000-0005-0000-0000-0000C1130000}"/>
    <cellStyle name="20% - Accent3 5 4 6 3 3" xfId="5062" xr:uid="{00000000-0005-0000-0000-0000C2130000}"/>
    <cellStyle name="20% - Accent3 5 4 6 4" xfId="5063" xr:uid="{00000000-0005-0000-0000-0000C3130000}"/>
    <cellStyle name="20% - Accent3 5 4 6 4 2" xfId="5064" xr:uid="{00000000-0005-0000-0000-0000C4130000}"/>
    <cellStyle name="20% - Accent3 5 4 6 5" xfId="5065" xr:uid="{00000000-0005-0000-0000-0000C5130000}"/>
    <cellStyle name="20% - Accent3 5 4 7" xfId="5066" xr:uid="{00000000-0005-0000-0000-0000C6130000}"/>
    <cellStyle name="20% - Accent3 5 4 7 2" xfId="5067" xr:uid="{00000000-0005-0000-0000-0000C7130000}"/>
    <cellStyle name="20% - Accent3 5 4 7 2 2" xfId="5068" xr:uid="{00000000-0005-0000-0000-0000C8130000}"/>
    <cellStyle name="20% - Accent3 5 4 7 2 2 2" xfId="5069" xr:uid="{00000000-0005-0000-0000-0000C9130000}"/>
    <cellStyle name="20% - Accent3 5 4 7 2 3" xfId="5070" xr:uid="{00000000-0005-0000-0000-0000CA130000}"/>
    <cellStyle name="20% - Accent3 5 4 7 3" xfId="5071" xr:uid="{00000000-0005-0000-0000-0000CB130000}"/>
    <cellStyle name="20% - Accent3 5 4 7 3 2" xfId="5072" xr:uid="{00000000-0005-0000-0000-0000CC130000}"/>
    <cellStyle name="20% - Accent3 5 4 7 4" xfId="5073" xr:uid="{00000000-0005-0000-0000-0000CD130000}"/>
    <cellStyle name="20% - Accent3 5 4 8" xfId="5074" xr:uid="{00000000-0005-0000-0000-0000CE130000}"/>
    <cellStyle name="20% - Accent3 5 4 8 2" xfId="5075" xr:uid="{00000000-0005-0000-0000-0000CF130000}"/>
    <cellStyle name="20% - Accent3 5 4 8 2 2" xfId="5076" xr:uid="{00000000-0005-0000-0000-0000D0130000}"/>
    <cellStyle name="20% - Accent3 5 4 8 2 2 2" xfId="5077" xr:uid="{00000000-0005-0000-0000-0000D1130000}"/>
    <cellStyle name="20% - Accent3 5 4 8 2 3" xfId="5078" xr:uid="{00000000-0005-0000-0000-0000D2130000}"/>
    <cellStyle name="20% - Accent3 5 4 8 3" xfId="5079" xr:uid="{00000000-0005-0000-0000-0000D3130000}"/>
    <cellStyle name="20% - Accent3 5 4 8 3 2" xfId="5080" xr:uid="{00000000-0005-0000-0000-0000D4130000}"/>
    <cellStyle name="20% - Accent3 5 4 8 4" xfId="5081" xr:uid="{00000000-0005-0000-0000-0000D5130000}"/>
    <cellStyle name="20% - Accent3 5 4 9" xfId="5082" xr:uid="{00000000-0005-0000-0000-0000D6130000}"/>
    <cellStyle name="20% - Accent3 5 4 9 2" xfId="5083" xr:uid="{00000000-0005-0000-0000-0000D7130000}"/>
    <cellStyle name="20% - Accent3 5 4 9 2 2" xfId="5084" xr:uid="{00000000-0005-0000-0000-0000D8130000}"/>
    <cellStyle name="20% - Accent3 5 4 9 3" xfId="5085" xr:uid="{00000000-0005-0000-0000-0000D9130000}"/>
    <cellStyle name="20% - Accent3 5 5" xfId="5086" xr:uid="{00000000-0005-0000-0000-0000DA130000}"/>
    <cellStyle name="20% - Accent3 5 5 10" xfId="5087" xr:uid="{00000000-0005-0000-0000-0000DB130000}"/>
    <cellStyle name="20% - Accent3 5 5 10 2" xfId="5088" xr:uid="{00000000-0005-0000-0000-0000DC130000}"/>
    <cellStyle name="20% - Accent3 5 5 10 2 2" xfId="5089" xr:uid="{00000000-0005-0000-0000-0000DD130000}"/>
    <cellStyle name="20% - Accent3 5 5 10 3" xfId="5090" xr:uid="{00000000-0005-0000-0000-0000DE130000}"/>
    <cellStyle name="20% - Accent3 5 5 11" xfId="5091" xr:uid="{00000000-0005-0000-0000-0000DF130000}"/>
    <cellStyle name="20% - Accent3 5 5 11 2" xfId="5092" xr:uid="{00000000-0005-0000-0000-0000E0130000}"/>
    <cellStyle name="20% - Accent3 5 5 11 2 2" xfId="5093" xr:uid="{00000000-0005-0000-0000-0000E1130000}"/>
    <cellStyle name="20% - Accent3 5 5 11 3" xfId="5094" xr:uid="{00000000-0005-0000-0000-0000E2130000}"/>
    <cellStyle name="20% - Accent3 5 5 12" xfId="5095" xr:uid="{00000000-0005-0000-0000-0000E3130000}"/>
    <cellStyle name="20% - Accent3 5 5 12 2" xfId="5096" xr:uid="{00000000-0005-0000-0000-0000E4130000}"/>
    <cellStyle name="20% - Accent3 5 5 12 2 2" xfId="5097" xr:uid="{00000000-0005-0000-0000-0000E5130000}"/>
    <cellStyle name="20% - Accent3 5 5 12 3" xfId="5098" xr:uid="{00000000-0005-0000-0000-0000E6130000}"/>
    <cellStyle name="20% - Accent3 5 5 13" xfId="5099" xr:uid="{00000000-0005-0000-0000-0000E7130000}"/>
    <cellStyle name="20% - Accent3 5 5 13 2" xfId="5100" xr:uid="{00000000-0005-0000-0000-0000E8130000}"/>
    <cellStyle name="20% - Accent3 5 5 14" xfId="5101" xr:uid="{00000000-0005-0000-0000-0000E9130000}"/>
    <cellStyle name="20% - Accent3 5 5 2" xfId="5102" xr:uid="{00000000-0005-0000-0000-0000EA130000}"/>
    <cellStyle name="20% - Accent3 5 5 2 2" xfId="5103" xr:uid="{00000000-0005-0000-0000-0000EB130000}"/>
    <cellStyle name="20% - Accent3 5 5 2 2 2" xfId="5104" xr:uid="{00000000-0005-0000-0000-0000EC130000}"/>
    <cellStyle name="20% - Accent3 5 5 2 2 2 2" xfId="5105" xr:uid="{00000000-0005-0000-0000-0000ED130000}"/>
    <cellStyle name="20% - Accent3 5 5 2 2 2 2 2" xfId="5106" xr:uid="{00000000-0005-0000-0000-0000EE130000}"/>
    <cellStyle name="20% - Accent3 5 5 2 2 2 3" xfId="5107" xr:uid="{00000000-0005-0000-0000-0000EF130000}"/>
    <cellStyle name="20% - Accent3 5 5 2 2 3" xfId="5108" xr:uid="{00000000-0005-0000-0000-0000F0130000}"/>
    <cellStyle name="20% - Accent3 5 5 2 2 3 2" xfId="5109" xr:uid="{00000000-0005-0000-0000-0000F1130000}"/>
    <cellStyle name="20% - Accent3 5 5 2 2 4" xfId="5110" xr:uid="{00000000-0005-0000-0000-0000F2130000}"/>
    <cellStyle name="20% - Accent3 5 5 2 3" xfId="5111" xr:uid="{00000000-0005-0000-0000-0000F3130000}"/>
    <cellStyle name="20% - Accent3 5 5 2 3 2" xfId="5112" xr:uid="{00000000-0005-0000-0000-0000F4130000}"/>
    <cellStyle name="20% - Accent3 5 5 2 3 2 2" xfId="5113" xr:uid="{00000000-0005-0000-0000-0000F5130000}"/>
    <cellStyle name="20% - Accent3 5 5 2 3 3" xfId="5114" xr:uid="{00000000-0005-0000-0000-0000F6130000}"/>
    <cellStyle name="20% - Accent3 5 5 2 4" xfId="5115" xr:uid="{00000000-0005-0000-0000-0000F7130000}"/>
    <cellStyle name="20% - Accent3 5 5 2 4 2" xfId="5116" xr:uid="{00000000-0005-0000-0000-0000F8130000}"/>
    <cellStyle name="20% - Accent3 5 5 2 4 2 2" xfId="5117" xr:uid="{00000000-0005-0000-0000-0000F9130000}"/>
    <cellStyle name="20% - Accent3 5 5 2 4 3" xfId="5118" xr:uid="{00000000-0005-0000-0000-0000FA130000}"/>
    <cellStyle name="20% - Accent3 5 5 2 5" xfId="5119" xr:uid="{00000000-0005-0000-0000-0000FB130000}"/>
    <cellStyle name="20% - Accent3 5 5 2 5 2" xfId="5120" xr:uid="{00000000-0005-0000-0000-0000FC130000}"/>
    <cellStyle name="20% - Accent3 5 5 2 5 2 2" xfId="5121" xr:uid="{00000000-0005-0000-0000-0000FD130000}"/>
    <cellStyle name="20% - Accent3 5 5 2 5 3" xfId="5122" xr:uid="{00000000-0005-0000-0000-0000FE130000}"/>
    <cellStyle name="20% - Accent3 5 5 2 6" xfId="5123" xr:uid="{00000000-0005-0000-0000-0000FF130000}"/>
    <cellStyle name="20% - Accent3 5 5 2 6 2" xfId="5124" xr:uid="{00000000-0005-0000-0000-000000140000}"/>
    <cellStyle name="20% - Accent3 5 5 2 6 2 2" xfId="5125" xr:uid="{00000000-0005-0000-0000-000001140000}"/>
    <cellStyle name="20% - Accent3 5 5 2 6 3" xfId="5126" xr:uid="{00000000-0005-0000-0000-000002140000}"/>
    <cellStyle name="20% - Accent3 5 5 2 7" xfId="5127" xr:uid="{00000000-0005-0000-0000-000003140000}"/>
    <cellStyle name="20% - Accent3 5 5 2 7 2" xfId="5128" xr:uid="{00000000-0005-0000-0000-000004140000}"/>
    <cellStyle name="20% - Accent3 5 5 2 8" xfId="5129" xr:uid="{00000000-0005-0000-0000-000005140000}"/>
    <cellStyle name="20% - Accent3 5 5 3" xfId="5130" xr:uid="{00000000-0005-0000-0000-000006140000}"/>
    <cellStyle name="20% - Accent3 5 5 3 2" xfId="5131" xr:uid="{00000000-0005-0000-0000-000007140000}"/>
    <cellStyle name="20% - Accent3 5 5 3 2 2" xfId="5132" xr:uid="{00000000-0005-0000-0000-000008140000}"/>
    <cellStyle name="20% - Accent3 5 5 3 2 2 2" xfId="5133" xr:uid="{00000000-0005-0000-0000-000009140000}"/>
    <cellStyle name="20% - Accent3 5 5 3 2 2 2 2" xfId="5134" xr:uid="{00000000-0005-0000-0000-00000A140000}"/>
    <cellStyle name="20% - Accent3 5 5 3 2 2 3" xfId="5135" xr:uid="{00000000-0005-0000-0000-00000B140000}"/>
    <cellStyle name="20% - Accent3 5 5 3 2 3" xfId="5136" xr:uid="{00000000-0005-0000-0000-00000C140000}"/>
    <cellStyle name="20% - Accent3 5 5 3 2 3 2" xfId="5137" xr:uid="{00000000-0005-0000-0000-00000D140000}"/>
    <cellStyle name="20% - Accent3 5 5 3 2 4" xfId="5138" xr:uid="{00000000-0005-0000-0000-00000E140000}"/>
    <cellStyle name="20% - Accent3 5 5 3 3" xfId="5139" xr:uid="{00000000-0005-0000-0000-00000F140000}"/>
    <cellStyle name="20% - Accent3 5 5 3 3 2" xfId="5140" xr:uid="{00000000-0005-0000-0000-000010140000}"/>
    <cellStyle name="20% - Accent3 5 5 3 3 2 2" xfId="5141" xr:uid="{00000000-0005-0000-0000-000011140000}"/>
    <cellStyle name="20% - Accent3 5 5 3 3 3" xfId="5142" xr:uid="{00000000-0005-0000-0000-000012140000}"/>
    <cellStyle name="20% - Accent3 5 5 3 4" xfId="5143" xr:uid="{00000000-0005-0000-0000-000013140000}"/>
    <cellStyle name="20% - Accent3 5 5 3 4 2" xfId="5144" xr:uid="{00000000-0005-0000-0000-000014140000}"/>
    <cellStyle name="20% - Accent3 5 5 3 4 2 2" xfId="5145" xr:uid="{00000000-0005-0000-0000-000015140000}"/>
    <cellStyle name="20% - Accent3 5 5 3 4 3" xfId="5146" xr:uid="{00000000-0005-0000-0000-000016140000}"/>
    <cellStyle name="20% - Accent3 5 5 3 5" xfId="5147" xr:uid="{00000000-0005-0000-0000-000017140000}"/>
    <cellStyle name="20% - Accent3 5 5 3 5 2" xfId="5148" xr:uid="{00000000-0005-0000-0000-000018140000}"/>
    <cellStyle name="20% - Accent3 5 5 3 5 2 2" xfId="5149" xr:uid="{00000000-0005-0000-0000-000019140000}"/>
    <cellStyle name="20% - Accent3 5 5 3 5 3" xfId="5150" xr:uid="{00000000-0005-0000-0000-00001A140000}"/>
    <cellStyle name="20% - Accent3 5 5 3 6" xfId="5151" xr:uid="{00000000-0005-0000-0000-00001B140000}"/>
    <cellStyle name="20% - Accent3 5 5 3 6 2" xfId="5152" xr:uid="{00000000-0005-0000-0000-00001C140000}"/>
    <cellStyle name="20% - Accent3 5 5 3 6 2 2" xfId="5153" xr:uid="{00000000-0005-0000-0000-00001D140000}"/>
    <cellStyle name="20% - Accent3 5 5 3 6 3" xfId="5154" xr:uid="{00000000-0005-0000-0000-00001E140000}"/>
    <cellStyle name="20% - Accent3 5 5 3 7" xfId="5155" xr:uid="{00000000-0005-0000-0000-00001F140000}"/>
    <cellStyle name="20% - Accent3 5 5 3 7 2" xfId="5156" xr:uid="{00000000-0005-0000-0000-000020140000}"/>
    <cellStyle name="20% - Accent3 5 5 3 8" xfId="5157" xr:uid="{00000000-0005-0000-0000-000021140000}"/>
    <cellStyle name="20% - Accent3 5 5 4" xfId="5158" xr:uid="{00000000-0005-0000-0000-000022140000}"/>
    <cellStyle name="20% - Accent3 5 5 4 2" xfId="5159" xr:uid="{00000000-0005-0000-0000-000023140000}"/>
    <cellStyle name="20% - Accent3 5 5 4 2 2" xfId="5160" xr:uid="{00000000-0005-0000-0000-000024140000}"/>
    <cellStyle name="20% - Accent3 5 5 4 2 2 2" xfId="5161" xr:uid="{00000000-0005-0000-0000-000025140000}"/>
    <cellStyle name="20% - Accent3 5 5 4 2 2 2 2" xfId="5162" xr:uid="{00000000-0005-0000-0000-000026140000}"/>
    <cellStyle name="20% - Accent3 5 5 4 2 2 3" xfId="5163" xr:uid="{00000000-0005-0000-0000-000027140000}"/>
    <cellStyle name="20% - Accent3 5 5 4 2 3" xfId="5164" xr:uid="{00000000-0005-0000-0000-000028140000}"/>
    <cellStyle name="20% - Accent3 5 5 4 2 3 2" xfId="5165" xr:uid="{00000000-0005-0000-0000-000029140000}"/>
    <cellStyle name="20% - Accent3 5 5 4 2 4" xfId="5166" xr:uid="{00000000-0005-0000-0000-00002A140000}"/>
    <cellStyle name="20% - Accent3 5 5 4 3" xfId="5167" xr:uid="{00000000-0005-0000-0000-00002B140000}"/>
    <cellStyle name="20% - Accent3 5 5 4 3 2" xfId="5168" xr:uid="{00000000-0005-0000-0000-00002C140000}"/>
    <cellStyle name="20% - Accent3 5 5 4 3 2 2" xfId="5169" xr:uid="{00000000-0005-0000-0000-00002D140000}"/>
    <cellStyle name="20% - Accent3 5 5 4 3 3" xfId="5170" xr:uid="{00000000-0005-0000-0000-00002E140000}"/>
    <cellStyle name="20% - Accent3 5 5 4 4" xfId="5171" xr:uid="{00000000-0005-0000-0000-00002F140000}"/>
    <cellStyle name="20% - Accent3 5 5 4 4 2" xfId="5172" xr:uid="{00000000-0005-0000-0000-000030140000}"/>
    <cellStyle name="20% - Accent3 5 5 4 4 2 2" xfId="5173" xr:uid="{00000000-0005-0000-0000-000031140000}"/>
    <cellStyle name="20% - Accent3 5 5 4 4 3" xfId="5174" xr:uid="{00000000-0005-0000-0000-000032140000}"/>
    <cellStyle name="20% - Accent3 5 5 4 5" xfId="5175" xr:uid="{00000000-0005-0000-0000-000033140000}"/>
    <cellStyle name="20% - Accent3 5 5 4 5 2" xfId="5176" xr:uid="{00000000-0005-0000-0000-000034140000}"/>
    <cellStyle name="20% - Accent3 5 5 4 5 2 2" xfId="5177" xr:uid="{00000000-0005-0000-0000-000035140000}"/>
    <cellStyle name="20% - Accent3 5 5 4 5 3" xfId="5178" xr:uid="{00000000-0005-0000-0000-000036140000}"/>
    <cellStyle name="20% - Accent3 5 5 4 6" xfId="5179" xr:uid="{00000000-0005-0000-0000-000037140000}"/>
    <cellStyle name="20% - Accent3 5 5 4 6 2" xfId="5180" xr:uid="{00000000-0005-0000-0000-000038140000}"/>
    <cellStyle name="20% - Accent3 5 5 4 6 2 2" xfId="5181" xr:uid="{00000000-0005-0000-0000-000039140000}"/>
    <cellStyle name="20% - Accent3 5 5 4 6 3" xfId="5182" xr:uid="{00000000-0005-0000-0000-00003A140000}"/>
    <cellStyle name="20% - Accent3 5 5 4 7" xfId="5183" xr:uid="{00000000-0005-0000-0000-00003B140000}"/>
    <cellStyle name="20% - Accent3 5 5 4 7 2" xfId="5184" xr:uid="{00000000-0005-0000-0000-00003C140000}"/>
    <cellStyle name="20% - Accent3 5 5 4 8" xfId="5185" xr:uid="{00000000-0005-0000-0000-00003D140000}"/>
    <cellStyle name="20% - Accent3 5 5 5" xfId="5186" xr:uid="{00000000-0005-0000-0000-00003E140000}"/>
    <cellStyle name="20% - Accent3 5 5 5 2" xfId="5187" xr:uid="{00000000-0005-0000-0000-00003F140000}"/>
    <cellStyle name="20% - Accent3 5 5 5 2 2" xfId="5188" xr:uid="{00000000-0005-0000-0000-000040140000}"/>
    <cellStyle name="20% - Accent3 5 5 5 2 2 2" xfId="5189" xr:uid="{00000000-0005-0000-0000-000041140000}"/>
    <cellStyle name="20% - Accent3 5 5 5 2 2 2 2" xfId="5190" xr:uid="{00000000-0005-0000-0000-000042140000}"/>
    <cellStyle name="20% - Accent3 5 5 5 2 2 3" xfId="5191" xr:uid="{00000000-0005-0000-0000-000043140000}"/>
    <cellStyle name="20% - Accent3 5 5 5 2 3" xfId="5192" xr:uid="{00000000-0005-0000-0000-000044140000}"/>
    <cellStyle name="20% - Accent3 5 5 5 2 3 2" xfId="5193" xr:uid="{00000000-0005-0000-0000-000045140000}"/>
    <cellStyle name="20% - Accent3 5 5 5 2 4" xfId="5194" xr:uid="{00000000-0005-0000-0000-000046140000}"/>
    <cellStyle name="20% - Accent3 5 5 5 3" xfId="5195" xr:uid="{00000000-0005-0000-0000-000047140000}"/>
    <cellStyle name="20% - Accent3 5 5 5 3 2" xfId="5196" xr:uid="{00000000-0005-0000-0000-000048140000}"/>
    <cellStyle name="20% - Accent3 5 5 5 3 2 2" xfId="5197" xr:uid="{00000000-0005-0000-0000-000049140000}"/>
    <cellStyle name="20% - Accent3 5 5 5 3 3" xfId="5198" xr:uid="{00000000-0005-0000-0000-00004A140000}"/>
    <cellStyle name="20% - Accent3 5 5 5 4" xfId="5199" xr:uid="{00000000-0005-0000-0000-00004B140000}"/>
    <cellStyle name="20% - Accent3 5 5 5 4 2" xfId="5200" xr:uid="{00000000-0005-0000-0000-00004C140000}"/>
    <cellStyle name="20% - Accent3 5 5 5 5" xfId="5201" xr:uid="{00000000-0005-0000-0000-00004D140000}"/>
    <cellStyle name="20% - Accent3 5 5 6" xfId="5202" xr:uid="{00000000-0005-0000-0000-00004E140000}"/>
    <cellStyle name="20% - Accent3 5 5 6 2" xfId="5203" xr:uid="{00000000-0005-0000-0000-00004F140000}"/>
    <cellStyle name="20% - Accent3 5 5 6 2 2" xfId="5204" xr:uid="{00000000-0005-0000-0000-000050140000}"/>
    <cellStyle name="20% - Accent3 5 5 6 2 2 2" xfId="5205" xr:uid="{00000000-0005-0000-0000-000051140000}"/>
    <cellStyle name="20% - Accent3 5 5 6 2 2 2 2" xfId="5206" xr:uid="{00000000-0005-0000-0000-000052140000}"/>
    <cellStyle name="20% - Accent3 5 5 6 2 2 3" xfId="5207" xr:uid="{00000000-0005-0000-0000-000053140000}"/>
    <cellStyle name="20% - Accent3 5 5 6 2 3" xfId="5208" xr:uid="{00000000-0005-0000-0000-000054140000}"/>
    <cellStyle name="20% - Accent3 5 5 6 2 3 2" xfId="5209" xr:uid="{00000000-0005-0000-0000-000055140000}"/>
    <cellStyle name="20% - Accent3 5 5 6 2 4" xfId="5210" xr:uid="{00000000-0005-0000-0000-000056140000}"/>
    <cellStyle name="20% - Accent3 5 5 6 3" xfId="5211" xr:uid="{00000000-0005-0000-0000-000057140000}"/>
    <cellStyle name="20% - Accent3 5 5 6 3 2" xfId="5212" xr:uid="{00000000-0005-0000-0000-000058140000}"/>
    <cellStyle name="20% - Accent3 5 5 6 3 2 2" xfId="5213" xr:uid="{00000000-0005-0000-0000-000059140000}"/>
    <cellStyle name="20% - Accent3 5 5 6 3 3" xfId="5214" xr:uid="{00000000-0005-0000-0000-00005A140000}"/>
    <cellStyle name="20% - Accent3 5 5 6 4" xfId="5215" xr:uid="{00000000-0005-0000-0000-00005B140000}"/>
    <cellStyle name="20% - Accent3 5 5 6 4 2" xfId="5216" xr:uid="{00000000-0005-0000-0000-00005C140000}"/>
    <cellStyle name="20% - Accent3 5 5 6 5" xfId="5217" xr:uid="{00000000-0005-0000-0000-00005D140000}"/>
    <cellStyle name="20% - Accent3 5 5 7" xfId="5218" xr:uid="{00000000-0005-0000-0000-00005E140000}"/>
    <cellStyle name="20% - Accent3 5 5 7 2" xfId="5219" xr:uid="{00000000-0005-0000-0000-00005F140000}"/>
    <cellStyle name="20% - Accent3 5 5 7 2 2" xfId="5220" xr:uid="{00000000-0005-0000-0000-000060140000}"/>
    <cellStyle name="20% - Accent3 5 5 7 2 2 2" xfId="5221" xr:uid="{00000000-0005-0000-0000-000061140000}"/>
    <cellStyle name="20% - Accent3 5 5 7 2 3" xfId="5222" xr:uid="{00000000-0005-0000-0000-000062140000}"/>
    <cellStyle name="20% - Accent3 5 5 7 3" xfId="5223" xr:uid="{00000000-0005-0000-0000-000063140000}"/>
    <cellStyle name="20% - Accent3 5 5 7 3 2" xfId="5224" xr:uid="{00000000-0005-0000-0000-000064140000}"/>
    <cellStyle name="20% - Accent3 5 5 7 4" xfId="5225" xr:uid="{00000000-0005-0000-0000-000065140000}"/>
    <cellStyle name="20% - Accent3 5 5 8" xfId="5226" xr:uid="{00000000-0005-0000-0000-000066140000}"/>
    <cellStyle name="20% - Accent3 5 5 8 2" xfId="5227" xr:uid="{00000000-0005-0000-0000-000067140000}"/>
    <cellStyle name="20% - Accent3 5 5 8 2 2" xfId="5228" xr:uid="{00000000-0005-0000-0000-000068140000}"/>
    <cellStyle name="20% - Accent3 5 5 8 2 2 2" xfId="5229" xr:uid="{00000000-0005-0000-0000-000069140000}"/>
    <cellStyle name="20% - Accent3 5 5 8 2 3" xfId="5230" xr:uid="{00000000-0005-0000-0000-00006A140000}"/>
    <cellStyle name="20% - Accent3 5 5 8 3" xfId="5231" xr:uid="{00000000-0005-0000-0000-00006B140000}"/>
    <cellStyle name="20% - Accent3 5 5 8 3 2" xfId="5232" xr:uid="{00000000-0005-0000-0000-00006C140000}"/>
    <cellStyle name="20% - Accent3 5 5 8 4" xfId="5233" xr:uid="{00000000-0005-0000-0000-00006D140000}"/>
    <cellStyle name="20% - Accent3 5 5 9" xfId="5234" xr:uid="{00000000-0005-0000-0000-00006E140000}"/>
    <cellStyle name="20% - Accent3 5 5 9 2" xfId="5235" xr:uid="{00000000-0005-0000-0000-00006F140000}"/>
    <cellStyle name="20% - Accent3 5 5 9 2 2" xfId="5236" xr:uid="{00000000-0005-0000-0000-000070140000}"/>
    <cellStyle name="20% - Accent3 5 5 9 3" xfId="5237" xr:uid="{00000000-0005-0000-0000-000071140000}"/>
    <cellStyle name="20% - Accent3 5 6" xfId="5238" xr:uid="{00000000-0005-0000-0000-000072140000}"/>
    <cellStyle name="20% - Accent3 5 6 10" xfId="5239" xr:uid="{00000000-0005-0000-0000-000073140000}"/>
    <cellStyle name="20% - Accent3 5 6 10 2" xfId="5240" xr:uid="{00000000-0005-0000-0000-000074140000}"/>
    <cellStyle name="20% - Accent3 5 6 10 2 2" xfId="5241" xr:uid="{00000000-0005-0000-0000-000075140000}"/>
    <cellStyle name="20% - Accent3 5 6 10 3" xfId="5242" xr:uid="{00000000-0005-0000-0000-000076140000}"/>
    <cellStyle name="20% - Accent3 5 6 11" xfId="5243" xr:uid="{00000000-0005-0000-0000-000077140000}"/>
    <cellStyle name="20% - Accent3 5 6 11 2" xfId="5244" xr:uid="{00000000-0005-0000-0000-000078140000}"/>
    <cellStyle name="20% - Accent3 5 6 11 2 2" xfId="5245" xr:uid="{00000000-0005-0000-0000-000079140000}"/>
    <cellStyle name="20% - Accent3 5 6 11 3" xfId="5246" xr:uid="{00000000-0005-0000-0000-00007A140000}"/>
    <cellStyle name="20% - Accent3 5 6 12" xfId="5247" xr:uid="{00000000-0005-0000-0000-00007B140000}"/>
    <cellStyle name="20% - Accent3 5 6 12 2" xfId="5248" xr:uid="{00000000-0005-0000-0000-00007C140000}"/>
    <cellStyle name="20% - Accent3 5 6 12 2 2" xfId="5249" xr:uid="{00000000-0005-0000-0000-00007D140000}"/>
    <cellStyle name="20% - Accent3 5 6 12 3" xfId="5250" xr:uid="{00000000-0005-0000-0000-00007E140000}"/>
    <cellStyle name="20% - Accent3 5 6 13" xfId="5251" xr:uid="{00000000-0005-0000-0000-00007F140000}"/>
    <cellStyle name="20% - Accent3 5 6 13 2" xfId="5252" xr:uid="{00000000-0005-0000-0000-000080140000}"/>
    <cellStyle name="20% - Accent3 5 6 14" xfId="5253" xr:uid="{00000000-0005-0000-0000-000081140000}"/>
    <cellStyle name="20% - Accent3 5 6 2" xfId="5254" xr:uid="{00000000-0005-0000-0000-000082140000}"/>
    <cellStyle name="20% - Accent3 5 6 2 2" xfId="5255" xr:uid="{00000000-0005-0000-0000-000083140000}"/>
    <cellStyle name="20% - Accent3 5 6 2 2 2" xfId="5256" xr:uid="{00000000-0005-0000-0000-000084140000}"/>
    <cellStyle name="20% - Accent3 5 6 2 2 2 2" xfId="5257" xr:uid="{00000000-0005-0000-0000-000085140000}"/>
    <cellStyle name="20% - Accent3 5 6 2 2 2 2 2" xfId="5258" xr:uid="{00000000-0005-0000-0000-000086140000}"/>
    <cellStyle name="20% - Accent3 5 6 2 2 2 3" xfId="5259" xr:uid="{00000000-0005-0000-0000-000087140000}"/>
    <cellStyle name="20% - Accent3 5 6 2 2 3" xfId="5260" xr:uid="{00000000-0005-0000-0000-000088140000}"/>
    <cellStyle name="20% - Accent3 5 6 2 2 3 2" xfId="5261" xr:uid="{00000000-0005-0000-0000-000089140000}"/>
    <cellStyle name="20% - Accent3 5 6 2 2 4" xfId="5262" xr:uid="{00000000-0005-0000-0000-00008A140000}"/>
    <cellStyle name="20% - Accent3 5 6 2 3" xfId="5263" xr:uid="{00000000-0005-0000-0000-00008B140000}"/>
    <cellStyle name="20% - Accent3 5 6 2 3 2" xfId="5264" xr:uid="{00000000-0005-0000-0000-00008C140000}"/>
    <cellStyle name="20% - Accent3 5 6 2 3 2 2" xfId="5265" xr:uid="{00000000-0005-0000-0000-00008D140000}"/>
    <cellStyle name="20% - Accent3 5 6 2 3 3" xfId="5266" xr:uid="{00000000-0005-0000-0000-00008E140000}"/>
    <cellStyle name="20% - Accent3 5 6 2 4" xfId="5267" xr:uid="{00000000-0005-0000-0000-00008F140000}"/>
    <cellStyle name="20% - Accent3 5 6 2 4 2" xfId="5268" xr:uid="{00000000-0005-0000-0000-000090140000}"/>
    <cellStyle name="20% - Accent3 5 6 2 4 2 2" xfId="5269" xr:uid="{00000000-0005-0000-0000-000091140000}"/>
    <cellStyle name="20% - Accent3 5 6 2 4 3" xfId="5270" xr:uid="{00000000-0005-0000-0000-000092140000}"/>
    <cellStyle name="20% - Accent3 5 6 2 5" xfId="5271" xr:uid="{00000000-0005-0000-0000-000093140000}"/>
    <cellStyle name="20% - Accent3 5 6 2 5 2" xfId="5272" xr:uid="{00000000-0005-0000-0000-000094140000}"/>
    <cellStyle name="20% - Accent3 5 6 2 5 2 2" xfId="5273" xr:uid="{00000000-0005-0000-0000-000095140000}"/>
    <cellStyle name="20% - Accent3 5 6 2 5 3" xfId="5274" xr:uid="{00000000-0005-0000-0000-000096140000}"/>
    <cellStyle name="20% - Accent3 5 6 2 6" xfId="5275" xr:uid="{00000000-0005-0000-0000-000097140000}"/>
    <cellStyle name="20% - Accent3 5 6 2 6 2" xfId="5276" xr:uid="{00000000-0005-0000-0000-000098140000}"/>
    <cellStyle name="20% - Accent3 5 6 2 6 2 2" xfId="5277" xr:uid="{00000000-0005-0000-0000-000099140000}"/>
    <cellStyle name="20% - Accent3 5 6 2 6 3" xfId="5278" xr:uid="{00000000-0005-0000-0000-00009A140000}"/>
    <cellStyle name="20% - Accent3 5 6 2 7" xfId="5279" xr:uid="{00000000-0005-0000-0000-00009B140000}"/>
    <cellStyle name="20% - Accent3 5 6 2 7 2" xfId="5280" xr:uid="{00000000-0005-0000-0000-00009C140000}"/>
    <cellStyle name="20% - Accent3 5 6 2 8" xfId="5281" xr:uid="{00000000-0005-0000-0000-00009D140000}"/>
    <cellStyle name="20% - Accent3 5 6 3" xfId="5282" xr:uid="{00000000-0005-0000-0000-00009E140000}"/>
    <cellStyle name="20% - Accent3 5 6 3 2" xfId="5283" xr:uid="{00000000-0005-0000-0000-00009F140000}"/>
    <cellStyle name="20% - Accent3 5 6 3 2 2" xfId="5284" xr:uid="{00000000-0005-0000-0000-0000A0140000}"/>
    <cellStyle name="20% - Accent3 5 6 3 2 2 2" xfId="5285" xr:uid="{00000000-0005-0000-0000-0000A1140000}"/>
    <cellStyle name="20% - Accent3 5 6 3 2 2 2 2" xfId="5286" xr:uid="{00000000-0005-0000-0000-0000A2140000}"/>
    <cellStyle name="20% - Accent3 5 6 3 2 2 3" xfId="5287" xr:uid="{00000000-0005-0000-0000-0000A3140000}"/>
    <cellStyle name="20% - Accent3 5 6 3 2 3" xfId="5288" xr:uid="{00000000-0005-0000-0000-0000A4140000}"/>
    <cellStyle name="20% - Accent3 5 6 3 2 3 2" xfId="5289" xr:uid="{00000000-0005-0000-0000-0000A5140000}"/>
    <cellStyle name="20% - Accent3 5 6 3 2 4" xfId="5290" xr:uid="{00000000-0005-0000-0000-0000A6140000}"/>
    <cellStyle name="20% - Accent3 5 6 3 3" xfId="5291" xr:uid="{00000000-0005-0000-0000-0000A7140000}"/>
    <cellStyle name="20% - Accent3 5 6 3 3 2" xfId="5292" xr:uid="{00000000-0005-0000-0000-0000A8140000}"/>
    <cellStyle name="20% - Accent3 5 6 3 3 2 2" xfId="5293" xr:uid="{00000000-0005-0000-0000-0000A9140000}"/>
    <cellStyle name="20% - Accent3 5 6 3 3 3" xfId="5294" xr:uid="{00000000-0005-0000-0000-0000AA140000}"/>
    <cellStyle name="20% - Accent3 5 6 3 4" xfId="5295" xr:uid="{00000000-0005-0000-0000-0000AB140000}"/>
    <cellStyle name="20% - Accent3 5 6 3 4 2" xfId="5296" xr:uid="{00000000-0005-0000-0000-0000AC140000}"/>
    <cellStyle name="20% - Accent3 5 6 3 4 2 2" xfId="5297" xr:uid="{00000000-0005-0000-0000-0000AD140000}"/>
    <cellStyle name="20% - Accent3 5 6 3 4 3" xfId="5298" xr:uid="{00000000-0005-0000-0000-0000AE140000}"/>
    <cellStyle name="20% - Accent3 5 6 3 5" xfId="5299" xr:uid="{00000000-0005-0000-0000-0000AF140000}"/>
    <cellStyle name="20% - Accent3 5 6 3 5 2" xfId="5300" xr:uid="{00000000-0005-0000-0000-0000B0140000}"/>
    <cellStyle name="20% - Accent3 5 6 3 5 2 2" xfId="5301" xr:uid="{00000000-0005-0000-0000-0000B1140000}"/>
    <cellStyle name="20% - Accent3 5 6 3 5 3" xfId="5302" xr:uid="{00000000-0005-0000-0000-0000B2140000}"/>
    <cellStyle name="20% - Accent3 5 6 3 6" xfId="5303" xr:uid="{00000000-0005-0000-0000-0000B3140000}"/>
    <cellStyle name="20% - Accent3 5 6 3 6 2" xfId="5304" xr:uid="{00000000-0005-0000-0000-0000B4140000}"/>
    <cellStyle name="20% - Accent3 5 6 3 6 2 2" xfId="5305" xr:uid="{00000000-0005-0000-0000-0000B5140000}"/>
    <cellStyle name="20% - Accent3 5 6 3 6 3" xfId="5306" xr:uid="{00000000-0005-0000-0000-0000B6140000}"/>
    <cellStyle name="20% - Accent3 5 6 3 7" xfId="5307" xr:uid="{00000000-0005-0000-0000-0000B7140000}"/>
    <cellStyle name="20% - Accent3 5 6 3 7 2" xfId="5308" xr:uid="{00000000-0005-0000-0000-0000B8140000}"/>
    <cellStyle name="20% - Accent3 5 6 3 8" xfId="5309" xr:uid="{00000000-0005-0000-0000-0000B9140000}"/>
    <cellStyle name="20% - Accent3 5 6 4" xfId="5310" xr:uid="{00000000-0005-0000-0000-0000BA140000}"/>
    <cellStyle name="20% - Accent3 5 6 4 2" xfId="5311" xr:uid="{00000000-0005-0000-0000-0000BB140000}"/>
    <cellStyle name="20% - Accent3 5 6 4 2 2" xfId="5312" xr:uid="{00000000-0005-0000-0000-0000BC140000}"/>
    <cellStyle name="20% - Accent3 5 6 4 2 2 2" xfId="5313" xr:uid="{00000000-0005-0000-0000-0000BD140000}"/>
    <cellStyle name="20% - Accent3 5 6 4 2 2 2 2" xfId="5314" xr:uid="{00000000-0005-0000-0000-0000BE140000}"/>
    <cellStyle name="20% - Accent3 5 6 4 2 2 3" xfId="5315" xr:uid="{00000000-0005-0000-0000-0000BF140000}"/>
    <cellStyle name="20% - Accent3 5 6 4 2 3" xfId="5316" xr:uid="{00000000-0005-0000-0000-0000C0140000}"/>
    <cellStyle name="20% - Accent3 5 6 4 2 3 2" xfId="5317" xr:uid="{00000000-0005-0000-0000-0000C1140000}"/>
    <cellStyle name="20% - Accent3 5 6 4 2 4" xfId="5318" xr:uid="{00000000-0005-0000-0000-0000C2140000}"/>
    <cellStyle name="20% - Accent3 5 6 4 3" xfId="5319" xr:uid="{00000000-0005-0000-0000-0000C3140000}"/>
    <cellStyle name="20% - Accent3 5 6 4 3 2" xfId="5320" xr:uid="{00000000-0005-0000-0000-0000C4140000}"/>
    <cellStyle name="20% - Accent3 5 6 4 3 2 2" xfId="5321" xr:uid="{00000000-0005-0000-0000-0000C5140000}"/>
    <cellStyle name="20% - Accent3 5 6 4 3 3" xfId="5322" xr:uid="{00000000-0005-0000-0000-0000C6140000}"/>
    <cellStyle name="20% - Accent3 5 6 4 4" xfId="5323" xr:uid="{00000000-0005-0000-0000-0000C7140000}"/>
    <cellStyle name="20% - Accent3 5 6 4 4 2" xfId="5324" xr:uid="{00000000-0005-0000-0000-0000C8140000}"/>
    <cellStyle name="20% - Accent3 5 6 4 4 2 2" xfId="5325" xr:uid="{00000000-0005-0000-0000-0000C9140000}"/>
    <cellStyle name="20% - Accent3 5 6 4 4 3" xfId="5326" xr:uid="{00000000-0005-0000-0000-0000CA140000}"/>
    <cellStyle name="20% - Accent3 5 6 4 5" xfId="5327" xr:uid="{00000000-0005-0000-0000-0000CB140000}"/>
    <cellStyle name="20% - Accent3 5 6 4 5 2" xfId="5328" xr:uid="{00000000-0005-0000-0000-0000CC140000}"/>
    <cellStyle name="20% - Accent3 5 6 4 5 2 2" xfId="5329" xr:uid="{00000000-0005-0000-0000-0000CD140000}"/>
    <cellStyle name="20% - Accent3 5 6 4 5 3" xfId="5330" xr:uid="{00000000-0005-0000-0000-0000CE140000}"/>
    <cellStyle name="20% - Accent3 5 6 4 6" xfId="5331" xr:uid="{00000000-0005-0000-0000-0000CF140000}"/>
    <cellStyle name="20% - Accent3 5 6 4 6 2" xfId="5332" xr:uid="{00000000-0005-0000-0000-0000D0140000}"/>
    <cellStyle name="20% - Accent3 5 6 4 6 2 2" xfId="5333" xr:uid="{00000000-0005-0000-0000-0000D1140000}"/>
    <cellStyle name="20% - Accent3 5 6 4 6 3" xfId="5334" xr:uid="{00000000-0005-0000-0000-0000D2140000}"/>
    <cellStyle name="20% - Accent3 5 6 4 7" xfId="5335" xr:uid="{00000000-0005-0000-0000-0000D3140000}"/>
    <cellStyle name="20% - Accent3 5 6 4 7 2" xfId="5336" xr:uid="{00000000-0005-0000-0000-0000D4140000}"/>
    <cellStyle name="20% - Accent3 5 6 4 8" xfId="5337" xr:uid="{00000000-0005-0000-0000-0000D5140000}"/>
    <cellStyle name="20% - Accent3 5 6 5" xfId="5338" xr:uid="{00000000-0005-0000-0000-0000D6140000}"/>
    <cellStyle name="20% - Accent3 5 6 5 2" xfId="5339" xr:uid="{00000000-0005-0000-0000-0000D7140000}"/>
    <cellStyle name="20% - Accent3 5 6 5 2 2" xfId="5340" xr:uid="{00000000-0005-0000-0000-0000D8140000}"/>
    <cellStyle name="20% - Accent3 5 6 5 2 2 2" xfId="5341" xr:uid="{00000000-0005-0000-0000-0000D9140000}"/>
    <cellStyle name="20% - Accent3 5 6 5 2 2 2 2" xfId="5342" xr:uid="{00000000-0005-0000-0000-0000DA140000}"/>
    <cellStyle name="20% - Accent3 5 6 5 2 2 3" xfId="5343" xr:uid="{00000000-0005-0000-0000-0000DB140000}"/>
    <cellStyle name="20% - Accent3 5 6 5 2 3" xfId="5344" xr:uid="{00000000-0005-0000-0000-0000DC140000}"/>
    <cellStyle name="20% - Accent3 5 6 5 2 3 2" xfId="5345" xr:uid="{00000000-0005-0000-0000-0000DD140000}"/>
    <cellStyle name="20% - Accent3 5 6 5 2 4" xfId="5346" xr:uid="{00000000-0005-0000-0000-0000DE140000}"/>
    <cellStyle name="20% - Accent3 5 6 5 3" xfId="5347" xr:uid="{00000000-0005-0000-0000-0000DF140000}"/>
    <cellStyle name="20% - Accent3 5 6 5 3 2" xfId="5348" xr:uid="{00000000-0005-0000-0000-0000E0140000}"/>
    <cellStyle name="20% - Accent3 5 6 5 3 2 2" xfId="5349" xr:uid="{00000000-0005-0000-0000-0000E1140000}"/>
    <cellStyle name="20% - Accent3 5 6 5 3 3" xfId="5350" xr:uid="{00000000-0005-0000-0000-0000E2140000}"/>
    <cellStyle name="20% - Accent3 5 6 5 4" xfId="5351" xr:uid="{00000000-0005-0000-0000-0000E3140000}"/>
    <cellStyle name="20% - Accent3 5 6 5 4 2" xfId="5352" xr:uid="{00000000-0005-0000-0000-0000E4140000}"/>
    <cellStyle name="20% - Accent3 5 6 5 5" xfId="5353" xr:uid="{00000000-0005-0000-0000-0000E5140000}"/>
    <cellStyle name="20% - Accent3 5 6 6" xfId="5354" xr:uid="{00000000-0005-0000-0000-0000E6140000}"/>
    <cellStyle name="20% - Accent3 5 6 6 2" xfId="5355" xr:uid="{00000000-0005-0000-0000-0000E7140000}"/>
    <cellStyle name="20% - Accent3 5 6 6 2 2" xfId="5356" xr:uid="{00000000-0005-0000-0000-0000E8140000}"/>
    <cellStyle name="20% - Accent3 5 6 6 2 2 2" xfId="5357" xr:uid="{00000000-0005-0000-0000-0000E9140000}"/>
    <cellStyle name="20% - Accent3 5 6 6 2 2 2 2" xfId="5358" xr:uid="{00000000-0005-0000-0000-0000EA140000}"/>
    <cellStyle name="20% - Accent3 5 6 6 2 2 3" xfId="5359" xr:uid="{00000000-0005-0000-0000-0000EB140000}"/>
    <cellStyle name="20% - Accent3 5 6 6 2 3" xfId="5360" xr:uid="{00000000-0005-0000-0000-0000EC140000}"/>
    <cellStyle name="20% - Accent3 5 6 6 2 3 2" xfId="5361" xr:uid="{00000000-0005-0000-0000-0000ED140000}"/>
    <cellStyle name="20% - Accent3 5 6 6 2 4" xfId="5362" xr:uid="{00000000-0005-0000-0000-0000EE140000}"/>
    <cellStyle name="20% - Accent3 5 6 6 3" xfId="5363" xr:uid="{00000000-0005-0000-0000-0000EF140000}"/>
    <cellStyle name="20% - Accent3 5 6 6 3 2" xfId="5364" xr:uid="{00000000-0005-0000-0000-0000F0140000}"/>
    <cellStyle name="20% - Accent3 5 6 6 3 2 2" xfId="5365" xr:uid="{00000000-0005-0000-0000-0000F1140000}"/>
    <cellStyle name="20% - Accent3 5 6 6 3 3" xfId="5366" xr:uid="{00000000-0005-0000-0000-0000F2140000}"/>
    <cellStyle name="20% - Accent3 5 6 6 4" xfId="5367" xr:uid="{00000000-0005-0000-0000-0000F3140000}"/>
    <cellStyle name="20% - Accent3 5 6 6 4 2" xfId="5368" xr:uid="{00000000-0005-0000-0000-0000F4140000}"/>
    <cellStyle name="20% - Accent3 5 6 6 5" xfId="5369" xr:uid="{00000000-0005-0000-0000-0000F5140000}"/>
    <cellStyle name="20% - Accent3 5 6 7" xfId="5370" xr:uid="{00000000-0005-0000-0000-0000F6140000}"/>
    <cellStyle name="20% - Accent3 5 6 7 2" xfId="5371" xr:uid="{00000000-0005-0000-0000-0000F7140000}"/>
    <cellStyle name="20% - Accent3 5 6 7 2 2" xfId="5372" xr:uid="{00000000-0005-0000-0000-0000F8140000}"/>
    <cellStyle name="20% - Accent3 5 6 7 2 2 2" xfId="5373" xr:uid="{00000000-0005-0000-0000-0000F9140000}"/>
    <cellStyle name="20% - Accent3 5 6 7 2 3" xfId="5374" xr:uid="{00000000-0005-0000-0000-0000FA140000}"/>
    <cellStyle name="20% - Accent3 5 6 7 3" xfId="5375" xr:uid="{00000000-0005-0000-0000-0000FB140000}"/>
    <cellStyle name="20% - Accent3 5 6 7 3 2" xfId="5376" xr:uid="{00000000-0005-0000-0000-0000FC140000}"/>
    <cellStyle name="20% - Accent3 5 6 7 4" xfId="5377" xr:uid="{00000000-0005-0000-0000-0000FD140000}"/>
    <cellStyle name="20% - Accent3 5 6 8" xfId="5378" xr:uid="{00000000-0005-0000-0000-0000FE140000}"/>
    <cellStyle name="20% - Accent3 5 6 8 2" xfId="5379" xr:uid="{00000000-0005-0000-0000-0000FF140000}"/>
    <cellStyle name="20% - Accent3 5 6 8 2 2" xfId="5380" xr:uid="{00000000-0005-0000-0000-000000150000}"/>
    <cellStyle name="20% - Accent3 5 6 8 2 2 2" xfId="5381" xr:uid="{00000000-0005-0000-0000-000001150000}"/>
    <cellStyle name="20% - Accent3 5 6 8 2 3" xfId="5382" xr:uid="{00000000-0005-0000-0000-000002150000}"/>
    <cellStyle name="20% - Accent3 5 6 8 3" xfId="5383" xr:uid="{00000000-0005-0000-0000-000003150000}"/>
    <cellStyle name="20% - Accent3 5 6 8 3 2" xfId="5384" xr:uid="{00000000-0005-0000-0000-000004150000}"/>
    <cellStyle name="20% - Accent3 5 6 8 4" xfId="5385" xr:uid="{00000000-0005-0000-0000-000005150000}"/>
    <cellStyle name="20% - Accent3 5 6 9" xfId="5386" xr:uid="{00000000-0005-0000-0000-000006150000}"/>
    <cellStyle name="20% - Accent3 5 6 9 2" xfId="5387" xr:uid="{00000000-0005-0000-0000-000007150000}"/>
    <cellStyle name="20% - Accent3 5 6 9 2 2" xfId="5388" xr:uid="{00000000-0005-0000-0000-000008150000}"/>
    <cellStyle name="20% - Accent3 5 6 9 3" xfId="5389" xr:uid="{00000000-0005-0000-0000-000009150000}"/>
    <cellStyle name="20% - Accent3 5 7" xfId="5390" xr:uid="{00000000-0005-0000-0000-00000A150000}"/>
    <cellStyle name="20% - Accent3 5 7 10" xfId="5391" xr:uid="{00000000-0005-0000-0000-00000B150000}"/>
    <cellStyle name="20% - Accent3 5 7 10 2" xfId="5392" xr:uid="{00000000-0005-0000-0000-00000C150000}"/>
    <cellStyle name="20% - Accent3 5 7 10 2 2" xfId="5393" xr:uid="{00000000-0005-0000-0000-00000D150000}"/>
    <cellStyle name="20% - Accent3 5 7 10 3" xfId="5394" xr:uid="{00000000-0005-0000-0000-00000E150000}"/>
    <cellStyle name="20% - Accent3 5 7 11" xfId="5395" xr:uid="{00000000-0005-0000-0000-00000F150000}"/>
    <cellStyle name="20% - Accent3 5 7 11 2" xfId="5396" xr:uid="{00000000-0005-0000-0000-000010150000}"/>
    <cellStyle name="20% - Accent3 5 7 11 2 2" xfId="5397" xr:uid="{00000000-0005-0000-0000-000011150000}"/>
    <cellStyle name="20% - Accent3 5 7 11 3" xfId="5398" xr:uid="{00000000-0005-0000-0000-000012150000}"/>
    <cellStyle name="20% - Accent3 5 7 12" xfId="5399" xr:uid="{00000000-0005-0000-0000-000013150000}"/>
    <cellStyle name="20% - Accent3 5 7 12 2" xfId="5400" xr:uid="{00000000-0005-0000-0000-000014150000}"/>
    <cellStyle name="20% - Accent3 5 7 12 2 2" xfId="5401" xr:uid="{00000000-0005-0000-0000-000015150000}"/>
    <cellStyle name="20% - Accent3 5 7 12 3" xfId="5402" xr:uid="{00000000-0005-0000-0000-000016150000}"/>
    <cellStyle name="20% - Accent3 5 7 13" xfId="5403" xr:uid="{00000000-0005-0000-0000-000017150000}"/>
    <cellStyle name="20% - Accent3 5 7 13 2" xfId="5404" xr:uid="{00000000-0005-0000-0000-000018150000}"/>
    <cellStyle name="20% - Accent3 5 7 14" xfId="5405" xr:uid="{00000000-0005-0000-0000-000019150000}"/>
    <cellStyle name="20% - Accent3 5 7 2" xfId="5406" xr:uid="{00000000-0005-0000-0000-00001A150000}"/>
    <cellStyle name="20% - Accent3 5 7 2 2" xfId="5407" xr:uid="{00000000-0005-0000-0000-00001B150000}"/>
    <cellStyle name="20% - Accent3 5 7 2 2 2" xfId="5408" xr:uid="{00000000-0005-0000-0000-00001C150000}"/>
    <cellStyle name="20% - Accent3 5 7 2 2 2 2" xfId="5409" xr:uid="{00000000-0005-0000-0000-00001D150000}"/>
    <cellStyle name="20% - Accent3 5 7 2 2 2 2 2" xfId="5410" xr:uid="{00000000-0005-0000-0000-00001E150000}"/>
    <cellStyle name="20% - Accent3 5 7 2 2 2 3" xfId="5411" xr:uid="{00000000-0005-0000-0000-00001F150000}"/>
    <cellStyle name="20% - Accent3 5 7 2 2 3" xfId="5412" xr:uid="{00000000-0005-0000-0000-000020150000}"/>
    <cellStyle name="20% - Accent3 5 7 2 2 3 2" xfId="5413" xr:uid="{00000000-0005-0000-0000-000021150000}"/>
    <cellStyle name="20% - Accent3 5 7 2 2 4" xfId="5414" xr:uid="{00000000-0005-0000-0000-000022150000}"/>
    <cellStyle name="20% - Accent3 5 7 2 3" xfId="5415" xr:uid="{00000000-0005-0000-0000-000023150000}"/>
    <cellStyle name="20% - Accent3 5 7 2 3 2" xfId="5416" xr:uid="{00000000-0005-0000-0000-000024150000}"/>
    <cellStyle name="20% - Accent3 5 7 2 3 2 2" xfId="5417" xr:uid="{00000000-0005-0000-0000-000025150000}"/>
    <cellStyle name="20% - Accent3 5 7 2 3 3" xfId="5418" xr:uid="{00000000-0005-0000-0000-000026150000}"/>
    <cellStyle name="20% - Accent3 5 7 2 4" xfId="5419" xr:uid="{00000000-0005-0000-0000-000027150000}"/>
    <cellStyle name="20% - Accent3 5 7 2 4 2" xfId="5420" xr:uid="{00000000-0005-0000-0000-000028150000}"/>
    <cellStyle name="20% - Accent3 5 7 2 4 2 2" xfId="5421" xr:uid="{00000000-0005-0000-0000-000029150000}"/>
    <cellStyle name="20% - Accent3 5 7 2 4 3" xfId="5422" xr:uid="{00000000-0005-0000-0000-00002A150000}"/>
    <cellStyle name="20% - Accent3 5 7 2 5" xfId="5423" xr:uid="{00000000-0005-0000-0000-00002B150000}"/>
    <cellStyle name="20% - Accent3 5 7 2 5 2" xfId="5424" xr:uid="{00000000-0005-0000-0000-00002C150000}"/>
    <cellStyle name="20% - Accent3 5 7 2 5 2 2" xfId="5425" xr:uid="{00000000-0005-0000-0000-00002D150000}"/>
    <cellStyle name="20% - Accent3 5 7 2 5 3" xfId="5426" xr:uid="{00000000-0005-0000-0000-00002E150000}"/>
    <cellStyle name="20% - Accent3 5 7 2 6" xfId="5427" xr:uid="{00000000-0005-0000-0000-00002F150000}"/>
    <cellStyle name="20% - Accent3 5 7 2 6 2" xfId="5428" xr:uid="{00000000-0005-0000-0000-000030150000}"/>
    <cellStyle name="20% - Accent3 5 7 2 6 2 2" xfId="5429" xr:uid="{00000000-0005-0000-0000-000031150000}"/>
    <cellStyle name="20% - Accent3 5 7 2 6 3" xfId="5430" xr:uid="{00000000-0005-0000-0000-000032150000}"/>
    <cellStyle name="20% - Accent3 5 7 2 7" xfId="5431" xr:uid="{00000000-0005-0000-0000-000033150000}"/>
    <cellStyle name="20% - Accent3 5 7 2 7 2" xfId="5432" xr:uid="{00000000-0005-0000-0000-000034150000}"/>
    <cellStyle name="20% - Accent3 5 7 2 8" xfId="5433" xr:uid="{00000000-0005-0000-0000-000035150000}"/>
    <cellStyle name="20% - Accent3 5 7 3" xfId="5434" xr:uid="{00000000-0005-0000-0000-000036150000}"/>
    <cellStyle name="20% - Accent3 5 7 3 2" xfId="5435" xr:uid="{00000000-0005-0000-0000-000037150000}"/>
    <cellStyle name="20% - Accent3 5 7 3 2 2" xfId="5436" xr:uid="{00000000-0005-0000-0000-000038150000}"/>
    <cellStyle name="20% - Accent3 5 7 3 2 2 2" xfId="5437" xr:uid="{00000000-0005-0000-0000-000039150000}"/>
    <cellStyle name="20% - Accent3 5 7 3 2 2 2 2" xfId="5438" xr:uid="{00000000-0005-0000-0000-00003A150000}"/>
    <cellStyle name="20% - Accent3 5 7 3 2 2 3" xfId="5439" xr:uid="{00000000-0005-0000-0000-00003B150000}"/>
    <cellStyle name="20% - Accent3 5 7 3 2 3" xfId="5440" xr:uid="{00000000-0005-0000-0000-00003C150000}"/>
    <cellStyle name="20% - Accent3 5 7 3 2 3 2" xfId="5441" xr:uid="{00000000-0005-0000-0000-00003D150000}"/>
    <cellStyle name="20% - Accent3 5 7 3 2 4" xfId="5442" xr:uid="{00000000-0005-0000-0000-00003E150000}"/>
    <cellStyle name="20% - Accent3 5 7 3 3" xfId="5443" xr:uid="{00000000-0005-0000-0000-00003F150000}"/>
    <cellStyle name="20% - Accent3 5 7 3 3 2" xfId="5444" xr:uid="{00000000-0005-0000-0000-000040150000}"/>
    <cellStyle name="20% - Accent3 5 7 3 3 2 2" xfId="5445" xr:uid="{00000000-0005-0000-0000-000041150000}"/>
    <cellStyle name="20% - Accent3 5 7 3 3 3" xfId="5446" xr:uid="{00000000-0005-0000-0000-000042150000}"/>
    <cellStyle name="20% - Accent3 5 7 3 4" xfId="5447" xr:uid="{00000000-0005-0000-0000-000043150000}"/>
    <cellStyle name="20% - Accent3 5 7 3 4 2" xfId="5448" xr:uid="{00000000-0005-0000-0000-000044150000}"/>
    <cellStyle name="20% - Accent3 5 7 3 4 2 2" xfId="5449" xr:uid="{00000000-0005-0000-0000-000045150000}"/>
    <cellStyle name="20% - Accent3 5 7 3 4 3" xfId="5450" xr:uid="{00000000-0005-0000-0000-000046150000}"/>
    <cellStyle name="20% - Accent3 5 7 3 5" xfId="5451" xr:uid="{00000000-0005-0000-0000-000047150000}"/>
    <cellStyle name="20% - Accent3 5 7 3 5 2" xfId="5452" xr:uid="{00000000-0005-0000-0000-000048150000}"/>
    <cellStyle name="20% - Accent3 5 7 3 5 2 2" xfId="5453" xr:uid="{00000000-0005-0000-0000-000049150000}"/>
    <cellStyle name="20% - Accent3 5 7 3 5 3" xfId="5454" xr:uid="{00000000-0005-0000-0000-00004A150000}"/>
    <cellStyle name="20% - Accent3 5 7 3 6" xfId="5455" xr:uid="{00000000-0005-0000-0000-00004B150000}"/>
    <cellStyle name="20% - Accent3 5 7 3 6 2" xfId="5456" xr:uid="{00000000-0005-0000-0000-00004C150000}"/>
    <cellStyle name="20% - Accent3 5 7 3 6 2 2" xfId="5457" xr:uid="{00000000-0005-0000-0000-00004D150000}"/>
    <cellStyle name="20% - Accent3 5 7 3 6 3" xfId="5458" xr:uid="{00000000-0005-0000-0000-00004E150000}"/>
    <cellStyle name="20% - Accent3 5 7 3 7" xfId="5459" xr:uid="{00000000-0005-0000-0000-00004F150000}"/>
    <cellStyle name="20% - Accent3 5 7 3 7 2" xfId="5460" xr:uid="{00000000-0005-0000-0000-000050150000}"/>
    <cellStyle name="20% - Accent3 5 7 3 8" xfId="5461" xr:uid="{00000000-0005-0000-0000-000051150000}"/>
    <cellStyle name="20% - Accent3 5 7 4" xfId="5462" xr:uid="{00000000-0005-0000-0000-000052150000}"/>
    <cellStyle name="20% - Accent3 5 7 4 2" xfId="5463" xr:uid="{00000000-0005-0000-0000-000053150000}"/>
    <cellStyle name="20% - Accent3 5 7 4 2 2" xfId="5464" xr:uid="{00000000-0005-0000-0000-000054150000}"/>
    <cellStyle name="20% - Accent3 5 7 4 2 2 2" xfId="5465" xr:uid="{00000000-0005-0000-0000-000055150000}"/>
    <cellStyle name="20% - Accent3 5 7 4 2 2 2 2" xfId="5466" xr:uid="{00000000-0005-0000-0000-000056150000}"/>
    <cellStyle name="20% - Accent3 5 7 4 2 2 3" xfId="5467" xr:uid="{00000000-0005-0000-0000-000057150000}"/>
    <cellStyle name="20% - Accent3 5 7 4 2 3" xfId="5468" xr:uid="{00000000-0005-0000-0000-000058150000}"/>
    <cellStyle name="20% - Accent3 5 7 4 2 3 2" xfId="5469" xr:uid="{00000000-0005-0000-0000-000059150000}"/>
    <cellStyle name="20% - Accent3 5 7 4 2 4" xfId="5470" xr:uid="{00000000-0005-0000-0000-00005A150000}"/>
    <cellStyle name="20% - Accent3 5 7 4 3" xfId="5471" xr:uid="{00000000-0005-0000-0000-00005B150000}"/>
    <cellStyle name="20% - Accent3 5 7 4 3 2" xfId="5472" xr:uid="{00000000-0005-0000-0000-00005C150000}"/>
    <cellStyle name="20% - Accent3 5 7 4 3 2 2" xfId="5473" xr:uid="{00000000-0005-0000-0000-00005D150000}"/>
    <cellStyle name="20% - Accent3 5 7 4 3 3" xfId="5474" xr:uid="{00000000-0005-0000-0000-00005E150000}"/>
    <cellStyle name="20% - Accent3 5 7 4 4" xfId="5475" xr:uid="{00000000-0005-0000-0000-00005F150000}"/>
    <cellStyle name="20% - Accent3 5 7 4 4 2" xfId="5476" xr:uid="{00000000-0005-0000-0000-000060150000}"/>
    <cellStyle name="20% - Accent3 5 7 4 4 2 2" xfId="5477" xr:uid="{00000000-0005-0000-0000-000061150000}"/>
    <cellStyle name="20% - Accent3 5 7 4 4 3" xfId="5478" xr:uid="{00000000-0005-0000-0000-000062150000}"/>
    <cellStyle name="20% - Accent3 5 7 4 5" xfId="5479" xr:uid="{00000000-0005-0000-0000-000063150000}"/>
    <cellStyle name="20% - Accent3 5 7 4 5 2" xfId="5480" xr:uid="{00000000-0005-0000-0000-000064150000}"/>
    <cellStyle name="20% - Accent3 5 7 4 5 2 2" xfId="5481" xr:uid="{00000000-0005-0000-0000-000065150000}"/>
    <cellStyle name="20% - Accent3 5 7 4 5 3" xfId="5482" xr:uid="{00000000-0005-0000-0000-000066150000}"/>
    <cellStyle name="20% - Accent3 5 7 4 6" xfId="5483" xr:uid="{00000000-0005-0000-0000-000067150000}"/>
    <cellStyle name="20% - Accent3 5 7 4 6 2" xfId="5484" xr:uid="{00000000-0005-0000-0000-000068150000}"/>
    <cellStyle name="20% - Accent3 5 7 4 6 2 2" xfId="5485" xr:uid="{00000000-0005-0000-0000-000069150000}"/>
    <cellStyle name="20% - Accent3 5 7 4 6 3" xfId="5486" xr:uid="{00000000-0005-0000-0000-00006A150000}"/>
    <cellStyle name="20% - Accent3 5 7 4 7" xfId="5487" xr:uid="{00000000-0005-0000-0000-00006B150000}"/>
    <cellStyle name="20% - Accent3 5 7 4 7 2" xfId="5488" xr:uid="{00000000-0005-0000-0000-00006C150000}"/>
    <cellStyle name="20% - Accent3 5 7 4 8" xfId="5489" xr:uid="{00000000-0005-0000-0000-00006D150000}"/>
    <cellStyle name="20% - Accent3 5 7 5" xfId="5490" xr:uid="{00000000-0005-0000-0000-00006E150000}"/>
    <cellStyle name="20% - Accent3 5 7 5 2" xfId="5491" xr:uid="{00000000-0005-0000-0000-00006F150000}"/>
    <cellStyle name="20% - Accent3 5 7 5 2 2" xfId="5492" xr:uid="{00000000-0005-0000-0000-000070150000}"/>
    <cellStyle name="20% - Accent3 5 7 5 2 2 2" xfId="5493" xr:uid="{00000000-0005-0000-0000-000071150000}"/>
    <cellStyle name="20% - Accent3 5 7 5 2 2 2 2" xfId="5494" xr:uid="{00000000-0005-0000-0000-000072150000}"/>
    <cellStyle name="20% - Accent3 5 7 5 2 2 3" xfId="5495" xr:uid="{00000000-0005-0000-0000-000073150000}"/>
    <cellStyle name="20% - Accent3 5 7 5 2 3" xfId="5496" xr:uid="{00000000-0005-0000-0000-000074150000}"/>
    <cellStyle name="20% - Accent3 5 7 5 2 3 2" xfId="5497" xr:uid="{00000000-0005-0000-0000-000075150000}"/>
    <cellStyle name="20% - Accent3 5 7 5 2 4" xfId="5498" xr:uid="{00000000-0005-0000-0000-000076150000}"/>
    <cellStyle name="20% - Accent3 5 7 5 3" xfId="5499" xr:uid="{00000000-0005-0000-0000-000077150000}"/>
    <cellStyle name="20% - Accent3 5 7 5 3 2" xfId="5500" xr:uid="{00000000-0005-0000-0000-000078150000}"/>
    <cellStyle name="20% - Accent3 5 7 5 3 2 2" xfId="5501" xr:uid="{00000000-0005-0000-0000-000079150000}"/>
    <cellStyle name="20% - Accent3 5 7 5 3 3" xfId="5502" xr:uid="{00000000-0005-0000-0000-00007A150000}"/>
    <cellStyle name="20% - Accent3 5 7 5 4" xfId="5503" xr:uid="{00000000-0005-0000-0000-00007B150000}"/>
    <cellStyle name="20% - Accent3 5 7 5 4 2" xfId="5504" xr:uid="{00000000-0005-0000-0000-00007C150000}"/>
    <cellStyle name="20% - Accent3 5 7 5 5" xfId="5505" xr:uid="{00000000-0005-0000-0000-00007D150000}"/>
    <cellStyle name="20% - Accent3 5 7 6" xfId="5506" xr:uid="{00000000-0005-0000-0000-00007E150000}"/>
    <cellStyle name="20% - Accent3 5 7 6 2" xfId="5507" xr:uid="{00000000-0005-0000-0000-00007F150000}"/>
    <cellStyle name="20% - Accent3 5 7 6 2 2" xfId="5508" xr:uid="{00000000-0005-0000-0000-000080150000}"/>
    <cellStyle name="20% - Accent3 5 7 6 2 2 2" xfId="5509" xr:uid="{00000000-0005-0000-0000-000081150000}"/>
    <cellStyle name="20% - Accent3 5 7 6 2 2 2 2" xfId="5510" xr:uid="{00000000-0005-0000-0000-000082150000}"/>
    <cellStyle name="20% - Accent3 5 7 6 2 2 3" xfId="5511" xr:uid="{00000000-0005-0000-0000-000083150000}"/>
    <cellStyle name="20% - Accent3 5 7 6 2 3" xfId="5512" xr:uid="{00000000-0005-0000-0000-000084150000}"/>
    <cellStyle name="20% - Accent3 5 7 6 2 3 2" xfId="5513" xr:uid="{00000000-0005-0000-0000-000085150000}"/>
    <cellStyle name="20% - Accent3 5 7 6 2 4" xfId="5514" xr:uid="{00000000-0005-0000-0000-000086150000}"/>
    <cellStyle name="20% - Accent3 5 7 6 3" xfId="5515" xr:uid="{00000000-0005-0000-0000-000087150000}"/>
    <cellStyle name="20% - Accent3 5 7 6 3 2" xfId="5516" xr:uid="{00000000-0005-0000-0000-000088150000}"/>
    <cellStyle name="20% - Accent3 5 7 6 3 2 2" xfId="5517" xr:uid="{00000000-0005-0000-0000-000089150000}"/>
    <cellStyle name="20% - Accent3 5 7 6 3 3" xfId="5518" xr:uid="{00000000-0005-0000-0000-00008A150000}"/>
    <cellStyle name="20% - Accent3 5 7 6 4" xfId="5519" xr:uid="{00000000-0005-0000-0000-00008B150000}"/>
    <cellStyle name="20% - Accent3 5 7 6 4 2" xfId="5520" xr:uid="{00000000-0005-0000-0000-00008C150000}"/>
    <cellStyle name="20% - Accent3 5 7 6 5" xfId="5521" xr:uid="{00000000-0005-0000-0000-00008D150000}"/>
    <cellStyle name="20% - Accent3 5 7 7" xfId="5522" xr:uid="{00000000-0005-0000-0000-00008E150000}"/>
    <cellStyle name="20% - Accent3 5 7 7 2" xfId="5523" xr:uid="{00000000-0005-0000-0000-00008F150000}"/>
    <cellStyle name="20% - Accent3 5 7 7 2 2" xfId="5524" xr:uid="{00000000-0005-0000-0000-000090150000}"/>
    <cellStyle name="20% - Accent3 5 7 7 2 2 2" xfId="5525" xr:uid="{00000000-0005-0000-0000-000091150000}"/>
    <cellStyle name="20% - Accent3 5 7 7 2 3" xfId="5526" xr:uid="{00000000-0005-0000-0000-000092150000}"/>
    <cellStyle name="20% - Accent3 5 7 7 3" xfId="5527" xr:uid="{00000000-0005-0000-0000-000093150000}"/>
    <cellStyle name="20% - Accent3 5 7 7 3 2" xfId="5528" xr:uid="{00000000-0005-0000-0000-000094150000}"/>
    <cellStyle name="20% - Accent3 5 7 7 4" xfId="5529" xr:uid="{00000000-0005-0000-0000-000095150000}"/>
    <cellStyle name="20% - Accent3 5 7 8" xfId="5530" xr:uid="{00000000-0005-0000-0000-000096150000}"/>
    <cellStyle name="20% - Accent3 5 7 8 2" xfId="5531" xr:uid="{00000000-0005-0000-0000-000097150000}"/>
    <cellStyle name="20% - Accent3 5 7 8 2 2" xfId="5532" xr:uid="{00000000-0005-0000-0000-000098150000}"/>
    <cellStyle name="20% - Accent3 5 7 8 2 2 2" xfId="5533" xr:uid="{00000000-0005-0000-0000-000099150000}"/>
    <cellStyle name="20% - Accent3 5 7 8 2 3" xfId="5534" xr:uid="{00000000-0005-0000-0000-00009A150000}"/>
    <cellStyle name="20% - Accent3 5 7 8 3" xfId="5535" xr:uid="{00000000-0005-0000-0000-00009B150000}"/>
    <cellStyle name="20% - Accent3 5 7 8 3 2" xfId="5536" xr:uid="{00000000-0005-0000-0000-00009C150000}"/>
    <cellStyle name="20% - Accent3 5 7 8 4" xfId="5537" xr:uid="{00000000-0005-0000-0000-00009D150000}"/>
    <cellStyle name="20% - Accent3 5 7 9" xfId="5538" xr:uid="{00000000-0005-0000-0000-00009E150000}"/>
    <cellStyle name="20% - Accent3 5 7 9 2" xfId="5539" xr:uid="{00000000-0005-0000-0000-00009F150000}"/>
    <cellStyle name="20% - Accent3 5 7 9 2 2" xfId="5540" xr:uid="{00000000-0005-0000-0000-0000A0150000}"/>
    <cellStyle name="20% - Accent3 5 7 9 3" xfId="5541" xr:uid="{00000000-0005-0000-0000-0000A1150000}"/>
    <cellStyle name="20% - Accent3 5 8" xfId="5542" xr:uid="{00000000-0005-0000-0000-0000A2150000}"/>
    <cellStyle name="20% - Accent3 5 8 2" xfId="5543" xr:uid="{00000000-0005-0000-0000-0000A3150000}"/>
    <cellStyle name="20% - Accent3 5 8 2 2" xfId="5544" xr:uid="{00000000-0005-0000-0000-0000A4150000}"/>
    <cellStyle name="20% - Accent3 5 8 2 2 2" xfId="5545" xr:uid="{00000000-0005-0000-0000-0000A5150000}"/>
    <cellStyle name="20% - Accent3 5 8 2 2 2 2" xfId="5546" xr:uid="{00000000-0005-0000-0000-0000A6150000}"/>
    <cellStyle name="20% - Accent3 5 8 2 2 3" xfId="5547" xr:uid="{00000000-0005-0000-0000-0000A7150000}"/>
    <cellStyle name="20% - Accent3 5 8 2 3" xfId="5548" xr:uid="{00000000-0005-0000-0000-0000A8150000}"/>
    <cellStyle name="20% - Accent3 5 8 2 3 2" xfId="5549" xr:uid="{00000000-0005-0000-0000-0000A9150000}"/>
    <cellStyle name="20% - Accent3 5 8 2 4" xfId="5550" xr:uid="{00000000-0005-0000-0000-0000AA150000}"/>
    <cellStyle name="20% - Accent3 5 8 3" xfId="5551" xr:uid="{00000000-0005-0000-0000-0000AB150000}"/>
    <cellStyle name="20% - Accent3 5 8 3 2" xfId="5552" xr:uid="{00000000-0005-0000-0000-0000AC150000}"/>
    <cellStyle name="20% - Accent3 5 8 3 2 2" xfId="5553" xr:uid="{00000000-0005-0000-0000-0000AD150000}"/>
    <cellStyle name="20% - Accent3 5 8 3 3" xfId="5554" xr:uid="{00000000-0005-0000-0000-0000AE150000}"/>
    <cellStyle name="20% - Accent3 5 8 4" xfId="5555" xr:uid="{00000000-0005-0000-0000-0000AF150000}"/>
    <cellStyle name="20% - Accent3 5 8 4 2" xfId="5556" xr:uid="{00000000-0005-0000-0000-0000B0150000}"/>
    <cellStyle name="20% - Accent3 5 8 4 2 2" xfId="5557" xr:uid="{00000000-0005-0000-0000-0000B1150000}"/>
    <cellStyle name="20% - Accent3 5 8 4 3" xfId="5558" xr:uid="{00000000-0005-0000-0000-0000B2150000}"/>
    <cellStyle name="20% - Accent3 5 8 5" xfId="5559" xr:uid="{00000000-0005-0000-0000-0000B3150000}"/>
    <cellStyle name="20% - Accent3 5 8 5 2" xfId="5560" xr:uid="{00000000-0005-0000-0000-0000B4150000}"/>
    <cellStyle name="20% - Accent3 5 8 5 2 2" xfId="5561" xr:uid="{00000000-0005-0000-0000-0000B5150000}"/>
    <cellStyle name="20% - Accent3 5 8 5 3" xfId="5562" xr:uid="{00000000-0005-0000-0000-0000B6150000}"/>
    <cellStyle name="20% - Accent3 5 8 6" xfId="5563" xr:uid="{00000000-0005-0000-0000-0000B7150000}"/>
    <cellStyle name="20% - Accent3 5 8 6 2" xfId="5564" xr:uid="{00000000-0005-0000-0000-0000B8150000}"/>
    <cellStyle name="20% - Accent3 5 8 6 2 2" xfId="5565" xr:uid="{00000000-0005-0000-0000-0000B9150000}"/>
    <cellStyle name="20% - Accent3 5 8 6 3" xfId="5566" xr:uid="{00000000-0005-0000-0000-0000BA150000}"/>
    <cellStyle name="20% - Accent3 5 8 7" xfId="5567" xr:uid="{00000000-0005-0000-0000-0000BB150000}"/>
    <cellStyle name="20% - Accent3 5 8 7 2" xfId="5568" xr:uid="{00000000-0005-0000-0000-0000BC150000}"/>
    <cellStyle name="20% - Accent3 5 8 8" xfId="5569" xr:uid="{00000000-0005-0000-0000-0000BD150000}"/>
    <cellStyle name="20% - Accent3 5 9" xfId="5570" xr:uid="{00000000-0005-0000-0000-0000BE150000}"/>
    <cellStyle name="20% - Accent3 5 9 2" xfId="5571" xr:uid="{00000000-0005-0000-0000-0000BF150000}"/>
    <cellStyle name="20% - Accent3 5 9 2 2" xfId="5572" xr:uid="{00000000-0005-0000-0000-0000C0150000}"/>
    <cellStyle name="20% - Accent3 5 9 2 2 2" xfId="5573" xr:uid="{00000000-0005-0000-0000-0000C1150000}"/>
    <cellStyle name="20% - Accent3 5 9 2 2 2 2" xfId="5574" xr:uid="{00000000-0005-0000-0000-0000C2150000}"/>
    <cellStyle name="20% - Accent3 5 9 2 2 3" xfId="5575" xr:uid="{00000000-0005-0000-0000-0000C3150000}"/>
    <cellStyle name="20% - Accent3 5 9 2 3" xfId="5576" xr:uid="{00000000-0005-0000-0000-0000C4150000}"/>
    <cellStyle name="20% - Accent3 5 9 2 3 2" xfId="5577" xr:uid="{00000000-0005-0000-0000-0000C5150000}"/>
    <cellStyle name="20% - Accent3 5 9 2 4" xfId="5578" xr:uid="{00000000-0005-0000-0000-0000C6150000}"/>
    <cellStyle name="20% - Accent3 5 9 3" xfId="5579" xr:uid="{00000000-0005-0000-0000-0000C7150000}"/>
    <cellStyle name="20% - Accent3 5 9 3 2" xfId="5580" xr:uid="{00000000-0005-0000-0000-0000C8150000}"/>
    <cellStyle name="20% - Accent3 5 9 3 2 2" xfId="5581" xr:uid="{00000000-0005-0000-0000-0000C9150000}"/>
    <cellStyle name="20% - Accent3 5 9 3 3" xfId="5582" xr:uid="{00000000-0005-0000-0000-0000CA150000}"/>
    <cellStyle name="20% - Accent3 5 9 4" xfId="5583" xr:uid="{00000000-0005-0000-0000-0000CB150000}"/>
    <cellStyle name="20% - Accent3 5 9 4 2" xfId="5584" xr:uid="{00000000-0005-0000-0000-0000CC150000}"/>
    <cellStyle name="20% - Accent3 5 9 4 2 2" xfId="5585" xr:uid="{00000000-0005-0000-0000-0000CD150000}"/>
    <cellStyle name="20% - Accent3 5 9 4 3" xfId="5586" xr:uid="{00000000-0005-0000-0000-0000CE150000}"/>
    <cellStyle name="20% - Accent3 5 9 5" xfId="5587" xr:uid="{00000000-0005-0000-0000-0000CF150000}"/>
    <cellStyle name="20% - Accent3 5 9 5 2" xfId="5588" xr:uid="{00000000-0005-0000-0000-0000D0150000}"/>
    <cellStyle name="20% - Accent3 5 9 5 2 2" xfId="5589" xr:uid="{00000000-0005-0000-0000-0000D1150000}"/>
    <cellStyle name="20% - Accent3 5 9 5 3" xfId="5590" xr:uid="{00000000-0005-0000-0000-0000D2150000}"/>
    <cellStyle name="20% - Accent3 5 9 6" xfId="5591" xr:uid="{00000000-0005-0000-0000-0000D3150000}"/>
    <cellStyle name="20% - Accent3 5 9 6 2" xfId="5592" xr:uid="{00000000-0005-0000-0000-0000D4150000}"/>
    <cellStyle name="20% - Accent3 5 9 6 2 2" xfId="5593" xr:uid="{00000000-0005-0000-0000-0000D5150000}"/>
    <cellStyle name="20% - Accent3 5 9 6 3" xfId="5594" xr:uid="{00000000-0005-0000-0000-0000D6150000}"/>
    <cellStyle name="20% - Accent3 5 9 7" xfId="5595" xr:uid="{00000000-0005-0000-0000-0000D7150000}"/>
    <cellStyle name="20% - Accent3 5 9 7 2" xfId="5596" xr:uid="{00000000-0005-0000-0000-0000D8150000}"/>
    <cellStyle name="20% - Accent3 5 9 8" xfId="5597" xr:uid="{00000000-0005-0000-0000-0000D9150000}"/>
    <cellStyle name="20% - Accent3 6" xfId="5598" xr:uid="{00000000-0005-0000-0000-0000DA150000}"/>
    <cellStyle name="20% - Accent4 2" xfId="5599" xr:uid="{00000000-0005-0000-0000-0000DB150000}"/>
    <cellStyle name="20% - Accent4 3" xfId="5600" xr:uid="{00000000-0005-0000-0000-0000DC150000}"/>
    <cellStyle name="20% - Accent4 4" xfId="5601" xr:uid="{00000000-0005-0000-0000-0000DD150000}"/>
    <cellStyle name="20% - Accent4 5" xfId="5602" xr:uid="{00000000-0005-0000-0000-0000DE150000}"/>
    <cellStyle name="20% - Accent4 5 10" xfId="5603" xr:uid="{00000000-0005-0000-0000-0000DF150000}"/>
    <cellStyle name="20% - Accent4 5 10 2" xfId="5604" xr:uid="{00000000-0005-0000-0000-0000E0150000}"/>
    <cellStyle name="20% - Accent4 5 10 2 2" xfId="5605" xr:uid="{00000000-0005-0000-0000-0000E1150000}"/>
    <cellStyle name="20% - Accent4 5 10 2 2 2" xfId="5606" xr:uid="{00000000-0005-0000-0000-0000E2150000}"/>
    <cellStyle name="20% - Accent4 5 10 2 2 2 2" xfId="5607" xr:uid="{00000000-0005-0000-0000-0000E3150000}"/>
    <cellStyle name="20% - Accent4 5 10 2 2 3" xfId="5608" xr:uid="{00000000-0005-0000-0000-0000E4150000}"/>
    <cellStyle name="20% - Accent4 5 10 2 3" xfId="5609" xr:uid="{00000000-0005-0000-0000-0000E5150000}"/>
    <cellStyle name="20% - Accent4 5 10 2 3 2" xfId="5610" xr:uid="{00000000-0005-0000-0000-0000E6150000}"/>
    <cellStyle name="20% - Accent4 5 10 2 4" xfId="5611" xr:uid="{00000000-0005-0000-0000-0000E7150000}"/>
    <cellStyle name="20% - Accent4 5 10 3" xfId="5612" xr:uid="{00000000-0005-0000-0000-0000E8150000}"/>
    <cellStyle name="20% - Accent4 5 10 3 2" xfId="5613" xr:uid="{00000000-0005-0000-0000-0000E9150000}"/>
    <cellStyle name="20% - Accent4 5 10 3 2 2" xfId="5614" xr:uid="{00000000-0005-0000-0000-0000EA150000}"/>
    <cellStyle name="20% - Accent4 5 10 3 3" xfId="5615" xr:uid="{00000000-0005-0000-0000-0000EB150000}"/>
    <cellStyle name="20% - Accent4 5 10 4" xfId="5616" xr:uid="{00000000-0005-0000-0000-0000EC150000}"/>
    <cellStyle name="20% - Accent4 5 10 4 2" xfId="5617" xr:uid="{00000000-0005-0000-0000-0000ED150000}"/>
    <cellStyle name="20% - Accent4 5 10 4 2 2" xfId="5618" xr:uid="{00000000-0005-0000-0000-0000EE150000}"/>
    <cellStyle name="20% - Accent4 5 10 4 3" xfId="5619" xr:uid="{00000000-0005-0000-0000-0000EF150000}"/>
    <cellStyle name="20% - Accent4 5 10 5" xfId="5620" xr:uid="{00000000-0005-0000-0000-0000F0150000}"/>
    <cellStyle name="20% - Accent4 5 10 5 2" xfId="5621" xr:uid="{00000000-0005-0000-0000-0000F1150000}"/>
    <cellStyle name="20% - Accent4 5 10 5 2 2" xfId="5622" xr:uid="{00000000-0005-0000-0000-0000F2150000}"/>
    <cellStyle name="20% - Accent4 5 10 5 3" xfId="5623" xr:uid="{00000000-0005-0000-0000-0000F3150000}"/>
    <cellStyle name="20% - Accent4 5 10 6" xfId="5624" xr:uid="{00000000-0005-0000-0000-0000F4150000}"/>
    <cellStyle name="20% - Accent4 5 10 6 2" xfId="5625" xr:uid="{00000000-0005-0000-0000-0000F5150000}"/>
    <cellStyle name="20% - Accent4 5 10 6 2 2" xfId="5626" xr:uid="{00000000-0005-0000-0000-0000F6150000}"/>
    <cellStyle name="20% - Accent4 5 10 6 3" xfId="5627" xr:uid="{00000000-0005-0000-0000-0000F7150000}"/>
    <cellStyle name="20% - Accent4 5 10 7" xfId="5628" xr:uid="{00000000-0005-0000-0000-0000F8150000}"/>
    <cellStyle name="20% - Accent4 5 10 7 2" xfId="5629" xr:uid="{00000000-0005-0000-0000-0000F9150000}"/>
    <cellStyle name="20% - Accent4 5 10 8" xfId="5630" xr:uid="{00000000-0005-0000-0000-0000FA150000}"/>
    <cellStyle name="20% - Accent4 5 11" xfId="5631" xr:uid="{00000000-0005-0000-0000-0000FB150000}"/>
    <cellStyle name="20% - Accent4 5 11 2" xfId="5632" xr:uid="{00000000-0005-0000-0000-0000FC150000}"/>
    <cellStyle name="20% - Accent4 5 11 2 2" xfId="5633" xr:uid="{00000000-0005-0000-0000-0000FD150000}"/>
    <cellStyle name="20% - Accent4 5 11 2 2 2" xfId="5634" xr:uid="{00000000-0005-0000-0000-0000FE150000}"/>
    <cellStyle name="20% - Accent4 5 11 2 2 2 2" xfId="5635" xr:uid="{00000000-0005-0000-0000-0000FF150000}"/>
    <cellStyle name="20% - Accent4 5 11 2 2 3" xfId="5636" xr:uid="{00000000-0005-0000-0000-000000160000}"/>
    <cellStyle name="20% - Accent4 5 11 2 3" xfId="5637" xr:uid="{00000000-0005-0000-0000-000001160000}"/>
    <cellStyle name="20% - Accent4 5 11 2 3 2" xfId="5638" xr:uid="{00000000-0005-0000-0000-000002160000}"/>
    <cellStyle name="20% - Accent4 5 11 2 4" xfId="5639" xr:uid="{00000000-0005-0000-0000-000003160000}"/>
    <cellStyle name="20% - Accent4 5 11 3" xfId="5640" xr:uid="{00000000-0005-0000-0000-000004160000}"/>
    <cellStyle name="20% - Accent4 5 11 3 2" xfId="5641" xr:uid="{00000000-0005-0000-0000-000005160000}"/>
    <cellStyle name="20% - Accent4 5 11 3 2 2" xfId="5642" xr:uid="{00000000-0005-0000-0000-000006160000}"/>
    <cellStyle name="20% - Accent4 5 11 3 3" xfId="5643" xr:uid="{00000000-0005-0000-0000-000007160000}"/>
    <cellStyle name="20% - Accent4 5 11 4" xfId="5644" xr:uid="{00000000-0005-0000-0000-000008160000}"/>
    <cellStyle name="20% - Accent4 5 11 4 2" xfId="5645" xr:uid="{00000000-0005-0000-0000-000009160000}"/>
    <cellStyle name="20% - Accent4 5 11 5" xfId="5646" xr:uid="{00000000-0005-0000-0000-00000A160000}"/>
    <cellStyle name="20% - Accent4 5 12" xfId="5647" xr:uid="{00000000-0005-0000-0000-00000B160000}"/>
    <cellStyle name="20% - Accent4 5 12 2" xfId="5648" xr:uid="{00000000-0005-0000-0000-00000C160000}"/>
    <cellStyle name="20% - Accent4 5 12 2 2" xfId="5649" xr:uid="{00000000-0005-0000-0000-00000D160000}"/>
    <cellStyle name="20% - Accent4 5 12 2 2 2" xfId="5650" xr:uid="{00000000-0005-0000-0000-00000E160000}"/>
    <cellStyle name="20% - Accent4 5 12 2 2 2 2" xfId="5651" xr:uid="{00000000-0005-0000-0000-00000F160000}"/>
    <cellStyle name="20% - Accent4 5 12 2 2 3" xfId="5652" xr:uid="{00000000-0005-0000-0000-000010160000}"/>
    <cellStyle name="20% - Accent4 5 12 2 3" xfId="5653" xr:uid="{00000000-0005-0000-0000-000011160000}"/>
    <cellStyle name="20% - Accent4 5 12 2 3 2" xfId="5654" xr:uid="{00000000-0005-0000-0000-000012160000}"/>
    <cellStyle name="20% - Accent4 5 12 2 4" xfId="5655" xr:uid="{00000000-0005-0000-0000-000013160000}"/>
    <cellStyle name="20% - Accent4 5 12 3" xfId="5656" xr:uid="{00000000-0005-0000-0000-000014160000}"/>
    <cellStyle name="20% - Accent4 5 12 3 2" xfId="5657" xr:uid="{00000000-0005-0000-0000-000015160000}"/>
    <cellStyle name="20% - Accent4 5 12 3 2 2" xfId="5658" xr:uid="{00000000-0005-0000-0000-000016160000}"/>
    <cellStyle name="20% - Accent4 5 12 3 3" xfId="5659" xr:uid="{00000000-0005-0000-0000-000017160000}"/>
    <cellStyle name="20% - Accent4 5 12 4" xfId="5660" xr:uid="{00000000-0005-0000-0000-000018160000}"/>
    <cellStyle name="20% - Accent4 5 12 4 2" xfId="5661" xr:uid="{00000000-0005-0000-0000-000019160000}"/>
    <cellStyle name="20% - Accent4 5 12 5" xfId="5662" xr:uid="{00000000-0005-0000-0000-00001A160000}"/>
    <cellStyle name="20% - Accent4 5 13" xfId="5663" xr:uid="{00000000-0005-0000-0000-00001B160000}"/>
    <cellStyle name="20% - Accent4 5 13 2" xfId="5664" xr:uid="{00000000-0005-0000-0000-00001C160000}"/>
    <cellStyle name="20% - Accent4 5 13 2 2" xfId="5665" xr:uid="{00000000-0005-0000-0000-00001D160000}"/>
    <cellStyle name="20% - Accent4 5 13 2 2 2" xfId="5666" xr:uid="{00000000-0005-0000-0000-00001E160000}"/>
    <cellStyle name="20% - Accent4 5 13 2 2 2 2" xfId="5667" xr:uid="{00000000-0005-0000-0000-00001F160000}"/>
    <cellStyle name="20% - Accent4 5 13 2 2 3" xfId="5668" xr:uid="{00000000-0005-0000-0000-000020160000}"/>
    <cellStyle name="20% - Accent4 5 13 2 3" xfId="5669" xr:uid="{00000000-0005-0000-0000-000021160000}"/>
    <cellStyle name="20% - Accent4 5 13 2 3 2" xfId="5670" xr:uid="{00000000-0005-0000-0000-000022160000}"/>
    <cellStyle name="20% - Accent4 5 13 2 4" xfId="5671" xr:uid="{00000000-0005-0000-0000-000023160000}"/>
    <cellStyle name="20% - Accent4 5 13 3" xfId="5672" xr:uid="{00000000-0005-0000-0000-000024160000}"/>
    <cellStyle name="20% - Accent4 5 13 3 2" xfId="5673" xr:uid="{00000000-0005-0000-0000-000025160000}"/>
    <cellStyle name="20% - Accent4 5 13 3 2 2" xfId="5674" xr:uid="{00000000-0005-0000-0000-000026160000}"/>
    <cellStyle name="20% - Accent4 5 13 3 3" xfId="5675" xr:uid="{00000000-0005-0000-0000-000027160000}"/>
    <cellStyle name="20% - Accent4 5 13 4" xfId="5676" xr:uid="{00000000-0005-0000-0000-000028160000}"/>
    <cellStyle name="20% - Accent4 5 13 4 2" xfId="5677" xr:uid="{00000000-0005-0000-0000-000029160000}"/>
    <cellStyle name="20% - Accent4 5 13 5" xfId="5678" xr:uid="{00000000-0005-0000-0000-00002A160000}"/>
    <cellStyle name="20% - Accent4 5 14" xfId="5679" xr:uid="{00000000-0005-0000-0000-00002B160000}"/>
    <cellStyle name="20% - Accent4 5 14 2" xfId="5680" xr:uid="{00000000-0005-0000-0000-00002C160000}"/>
    <cellStyle name="20% - Accent4 5 14 2 2" xfId="5681" xr:uid="{00000000-0005-0000-0000-00002D160000}"/>
    <cellStyle name="20% - Accent4 5 14 2 2 2" xfId="5682" xr:uid="{00000000-0005-0000-0000-00002E160000}"/>
    <cellStyle name="20% - Accent4 5 14 2 3" xfId="5683" xr:uid="{00000000-0005-0000-0000-00002F160000}"/>
    <cellStyle name="20% - Accent4 5 14 3" xfId="5684" xr:uid="{00000000-0005-0000-0000-000030160000}"/>
    <cellStyle name="20% - Accent4 5 14 3 2" xfId="5685" xr:uid="{00000000-0005-0000-0000-000031160000}"/>
    <cellStyle name="20% - Accent4 5 14 4" xfId="5686" xr:uid="{00000000-0005-0000-0000-000032160000}"/>
    <cellStyle name="20% - Accent4 5 15" xfId="5687" xr:uid="{00000000-0005-0000-0000-000033160000}"/>
    <cellStyle name="20% - Accent4 5 15 2" xfId="5688" xr:uid="{00000000-0005-0000-0000-000034160000}"/>
    <cellStyle name="20% - Accent4 5 15 2 2" xfId="5689" xr:uid="{00000000-0005-0000-0000-000035160000}"/>
    <cellStyle name="20% - Accent4 5 15 2 2 2" xfId="5690" xr:uid="{00000000-0005-0000-0000-000036160000}"/>
    <cellStyle name="20% - Accent4 5 15 2 3" xfId="5691" xr:uid="{00000000-0005-0000-0000-000037160000}"/>
    <cellStyle name="20% - Accent4 5 15 3" xfId="5692" xr:uid="{00000000-0005-0000-0000-000038160000}"/>
    <cellStyle name="20% - Accent4 5 15 3 2" xfId="5693" xr:uid="{00000000-0005-0000-0000-000039160000}"/>
    <cellStyle name="20% - Accent4 5 15 4" xfId="5694" xr:uid="{00000000-0005-0000-0000-00003A160000}"/>
    <cellStyle name="20% - Accent4 5 16" xfId="5695" xr:uid="{00000000-0005-0000-0000-00003B160000}"/>
    <cellStyle name="20% - Accent4 5 16 2" xfId="5696" xr:uid="{00000000-0005-0000-0000-00003C160000}"/>
    <cellStyle name="20% - Accent4 5 16 2 2" xfId="5697" xr:uid="{00000000-0005-0000-0000-00003D160000}"/>
    <cellStyle name="20% - Accent4 5 16 3" xfId="5698" xr:uid="{00000000-0005-0000-0000-00003E160000}"/>
    <cellStyle name="20% - Accent4 5 17" xfId="5699" xr:uid="{00000000-0005-0000-0000-00003F160000}"/>
    <cellStyle name="20% - Accent4 5 17 2" xfId="5700" xr:uid="{00000000-0005-0000-0000-000040160000}"/>
    <cellStyle name="20% - Accent4 5 17 2 2" xfId="5701" xr:uid="{00000000-0005-0000-0000-000041160000}"/>
    <cellStyle name="20% - Accent4 5 17 3" xfId="5702" xr:uid="{00000000-0005-0000-0000-000042160000}"/>
    <cellStyle name="20% - Accent4 5 18" xfId="5703" xr:uid="{00000000-0005-0000-0000-000043160000}"/>
    <cellStyle name="20% - Accent4 5 18 2" xfId="5704" xr:uid="{00000000-0005-0000-0000-000044160000}"/>
    <cellStyle name="20% - Accent4 5 18 2 2" xfId="5705" xr:uid="{00000000-0005-0000-0000-000045160000}"/>
    <cellStyle name="20% - Accent4 5 18 3" xfId="5706" xr:uid="{00000000-0005-0000-0000-000046160000}"/>
    <cellStyle name="20% - Accent4 5 19" xfId="5707" xr:uid="{00000000-0005-0000-0000-000047160000}"/>
    <cellStyle name="20% - Accent4 5 19 2" xfId="5708" xr:uid="{00000000-0005-0000-0000-000048160000}"/>
    <cellStyle name="20% - Accent4 5 19 2 2" xfId="5709" xr:uid="{00000000-0005-0000-0000-000049160000}"/>
    <cellStyle name="20% - Accent4 5 19 3" xfId="5710" xr:uid="{00000000-0005-0000-0000-00004A160000}"/>
    <cellStyle name="20% - Accent4 5 2" xfId="5711" xr:uid="{00000000-0005-0000-0000-00004B160000}"/>
    <cellStyle name="20% - Accent4 5 2 10" xfId="5712" xr:uid="{00000000-0005-0000-0000-00004C160000}"/>
    <cellStyle name="20% - Accent4 5 2 10 2" xfId="5713" xr:uid="{00000000-0005-0000-0000-00004D160000}"/>
    <cellStyle name="20% - Accent4 5 2 10 2 2" xfId="5714" xr:uid="{00000000-0005-0000-0000-00004E160000}"/>
    <cellStyle name="20% - Accent4 5 2 10 2 2 2" xfId="5715" xr:uid="{00000000-0005-0000-0000-00004F160000}"/>
    <cellStyle name="20% - Accent4 5 2 10 2 2 2 2" xfId="5716" xr:uid="{00000000-0005-0000-0000-000050160000}"/>
    <cellStyle name="20% - Accent4 5 2 10 2 2 3" xfId="5717" xr:uid="{00000000-0005-0000-0000-000051160000}"/>
    <cellStyle name="20% - Accent4 5 2 10 2 3" xfId="5718" xr:uid="{00000000-0005-0000-0000-000052160000}"/>
    <cellStyle name="20% - Accent4 5 2 10 2 3 2" xfId="5719" xr:uid="{00000000-0005-0000-0000-000053160000}"/>
    <cellStyle name="20% - Accent4 5 2 10 2 4" xfId="5720" xr:uid="{00000000-0005-0000-0000-000054160000}"/>
    <cellStyle name="20% - Accent4 5 2 10 3" xfId="5721" xr:uid="{00000000-0005-0000-0000-000055160000}"/>
    <cellStyle name="20% - Accent4 5 2 10 3 2" xfId="5722" xr:uid="{00000000-0005-0000-0000-000056160000}"/>
    <cellStyle name="20% - Accent4 5 2 10 3 2 2" xfId="5723" xr:uid="{00000000-0005-0000-0000-000057160000}"/>
    <cellStyle name="20% - Accent4 5 2 10 3 3" xfId="5724" xr:uid="{00000000-0005-0000-0000-000058160000}"/>
    <cellStyle name="20% - Accent4 5 2 10 4" xfId="5725" xr:uid="{00000000-0005-0000-0000-000059160000}"/>
    <cellStyle name="20% - Accent4 5 2 10 4 2" xfId="5726" xr:uid="{00000000-0005-0000-0000-00005A160000}"/>
    <cellStyle name="20% - Accent4 5 2 10 5" xfId="5727" xr:uid="{00000000-0005-0000-0000-00005B160000}"/>
    <cellStyle name="20% - Accent4 5 2 11" xfId="5728" xr:uid="{00000000-0005-0000-0000-00005C160000}"/>
    <cellStyle name="20% - Accent4 5 2 11 2" xfId="5729" xr:uid="{00000000-0005-0000-0000-00005D160000}"/>
    <cellStyle name="20% - Accent4 5 2 11 2 2" xfId="5730" xr:uid="{00000000-0005-0000-0000-00005E160000}"/>
    <cellStyle name="20% - Accent4 5 2 11 2 2 2" xfId="5731" xr:uid="{00000000-0005-0000-0000-00005F160000}"/>
    <cellStyle name="20% - Accent4 5 2 11 2 2 2 2" xfId="5732" xr:uid="{00000000-0005-0000-0000-000060160000}"/>
    <cellStyle name="20% - Accent4 5 2 11 2 2 3" xfId="5733" xr:uid="{00000000-0005-0000-0000-000061160000}"/>
    <cellStyle name="20% - Accent4 5 2 11 2 3" xfId="5734" xr:uid="{00000000-0005-0000-0000-000062160000}"/>
    <cellStyle name="20% - Accent4 5 2 11 2 3 2" xfId="5735" xr:uid="{00000000-0005-0000-0000-000063160000}"/>
    <cellStyle name="20% - Accent4 5 2 11 2 4" xfId="5736" xr:uid="{00000000-0005-0000-0000-000064160000}"/>
    <cellStyle name="20% - Accent4 5 2 11 3" xfId="5737" xr:uid="{00000000-0005-0000-0000-000065160000}"/>
    <cellStyle name="20% - Accent4 5 2 11 3 2" xfId="5738" xr:uid="{00000000-0005-0000-0000-000066160000}"/>
    <cellStyle name="20% - Accent4 5 2 11 3 2 2" xfId="5739" xr:uid="{00000000-0005-0000-0000-000067160000}"/>
    <cellStyle name="20% - Accent4 5 2 11 3 3" xfId="5740" xr:uid="{00000000-0005-0000-0000-000068160000}"/>
    <cellStyle name="20% - Accent4 5 2 11 4" xfId="5741" xr:uid="{00000000-0005-0000-0000-000069160000}"/>
    <cellStyle name="20% - Accent4 5 2 11 4 2" xfId="5742" xr:uid="{00000000-0005-0000-0000-00006A160000}"/>
    <cellStyle name="20% - Accent4 5 2 11 5" xfId="5743" xr:uid="{00000000-0005-0000-0000-00006B160000}"/>
    <cellStyle name="20% - Accent4 5 2 12" xfId="5744" xr:uid="{00000000-0005-0000-0000-00006C160000}"/>
    <cellStyle name="20% - Accent4 5 2 12 2" xfId="5745" xr:uid="{00000000-0005-0000-0000-00006D160000}"/>
    <cellStyle name="20% - Accent4 5 2 12 2 2" xfId="5746" xr:uid="{00000000-0005-0000-0000-00006E160000}"/>
    <cellStyle name="20% - Accent4 5 2 12 2 2 2" xfId="5747" xr:uid="{00000000-0005-0000-0000-00006F160000}"/>
    <cellStyle name="20% - Accent4 5 2 12 2 2 2 2" xfId="5748" xr:uid="{00000000-0005-0000-0000-000070160000}"/>
    <cellStyle name="20% - Accent4 5 2 12 2 2 3" xfId="5749" xr:uid="{00000000-0005-0000-0000-000071160000}"/>
    <cellStyle name="20% - Accent4 5 2 12 2 3" xfId="5750" xr:uid="{00000000-0005-0000-0000-000072160000}"/>
    <cellStyle name="20% - Accent4 5 2 12 2 3 2" xfId="5751" xr:uid="{00000000-0005-0000-0000-000073160000}"/>
    <cellStyle name="20% - Accent4 5 2 12 2 4" xfId="5752" xr:uid="{00000000-0005-0000-0000-000074160000}"/>
    <cellStyle name="20% - Accent4 5 2 12 3" xfId="5753" xr:uid="{00000000-0005-0000-0000-000075160000}"/>
    <cellStyle name="20% - Accent4 5 2 12 3 2" xfId="5754" xr:uid="{00000000-0005-0000-0000-000076160000}"/>
    <cellStyle name="20% - Accent4 5 2 12 3 2 2" xfId="5755" xr:uid="{00000000-0005-0000-0000-000077160000}"/>
    <cellStyle name="20% - Accent4 5 2 12 3 3" xfId="5756" xr:uid="{00000000-0005-0000-0000-000078160000}"/>
    <cellStyle name="20% - Accent4 5 2 12 4" xfId="5757" xr:uid="{00000000-0005-0000-0000-000079160000}"/>
    <cellStyle name="20% - Accent4 5 2 12 4 2" xfId="5758" xr:uid="{00000000-0005-0000-0000-00007A160000}"/>
    <cellStyle name="20% - Accent4 5 2 12 5" xfId="5759" xr:uid="{00000000-0005-0000-0000-00007B160000}"/>
    <cellStyle name="20% - Accent4 5 2 13" xfId="5760" xr:uid="{00000000-0005-0000-0000-00007C160000}"/>
    <cellStyle name="20% - Accent4 5 2 13 2" xfId="5761" xr:uid="{00000000-0005-0000-0000-00007D160000}"/>
    <cellStyle name="20% - Accent4 5 2 13 2 2" xfId="5762" xr:uid="{00000000-0005-0000-0000-00007E160000}"/>
    <cellStyle name="20% - Accent4 5 2 13 2 2 2" xfId="5763" xr:uid="{00000000-0005-0000-0000-00007F160000}"/>
    <cellStyle name="20% - Accent4 5 2 13 2 3" xfId="5764" xr:uid="{00000000-0005-0000-0000-000080160000}"/>
    <cellStyle name="20% - Accent4 5 2 13 3" xfId="5765" xr:uid="{00000000-0005-0000-0000-000081160000}"/>
    <cellStyle name="20% - Accent4 5 2 13 3 2" xfId="5766" xr:uid="{00000000-0005-0000-0000-000082160000}"/>
    <cellStyle name="20% - Accent4 5 2 13 4" xfId="5767" xr:uid="{00000000-0005-0000-0000-000083160000}"/>
    <cellStyle name="20% - Accent4 5 2 14" xfId="5768" xr:uid="{00000000-0005-0000-0000-000084160000}"/>
    <cellStyle name="20% - Accent4 5 2 14 2" xfId="5769" xr:uid="{00000000-0005-0000-0000-000085160000}"/>
    <cellStyle name="20% - Accent4 5 2 14 2 2" xfId="5770" xr:uid="{00000000-0005-0000-0000-000086160000}"/>
    <cellStyle name="20% - Accent4 5 2 14 2 2 2" xfId="5771" xr:uid="{00000000-0005-0000-0000-000087160000}"/>
    <cellStyle name="20% - Accent4 5 2 14 2 3" xfId="5772" xr:uid="{00000000-0005-0000-0000-000088160000}"/>
    <cellStyle name="20% - Accent4 5 2 14 3" xfId="5773" xr:uid="{00000000-0005-0000-0000-000089160000}"/>
    <cellStyle name="20% - Accent4 5 2 14 3 2" xfId="5774" xr:uid="{00000000-0005-0000-0000-00008A160000}"/>
    <cellStyle name="20% - Accent4 5 2 14 4" xfId="5775" xr:uid="{00000000-0005-0000-0000-00008B160000}"/>
    <cellStyle name="20% - Accent4 5 2 15" xfId="5776" xr:uid="{00000000-0005-0000-0000-00008C160000}"/>
    <cellStyle name="20% - Accent4 5 2 15 2" xfId="5777" xr:uid="{00000000-0005-0000-0000-00008D160000}"/>
    <cellStyle name="20% - Accent4 5 2 15 2 2" xfId="5778" xr:uid="{00000000-0005-0000-0000-00008E160000}"/>
    <cellStyle name="20% - Accent4 5 2 15 3" xfId="5779" xr:uid="{00000000-0005-0000-0000-00008F160000}"/>
    <cellStyle name="20% - Accent4 5 2 16" xfId="5780" xr:uid="{00000000-0005-0000-0000-000090160000}"/>
    <cellStyle name="20% - Accent4 5 2 16 2" xfId="5781" xr:uid="{00000000-0005-0000-0000-000091160000}"/>
    <cellStyle name="20% - Accent4 5 2 16 2 2" xfId="5782" xr:uid="{00000000-0005-0000-0000-000092160000}"/>
    <cellStyle name="20% - Accent4 5 2 16 3" xfId="5783" xr:uid="{00000000-0005-0000-0000-000093160000}"/>
    <cellStyle name="20% - Accent4 5 2 17" xfId="5784" xr:uid="{00000000-0005-0000-0000-000094160000}"/>
    <cellStyle name="20% - Accent4 5 2 17 2" xfId="5785" xr:uid="{00000000-0005-0000-0000-000095160000}"/>
    <cellStyle name="20% - Accent4 5 2 17 2 2" xfId="5786" xr:uid="{00000000-0005-0000-0000-000096160000}"/>
    <cellStyle name="20% - Accent4 5 2 17 3" xfId="5787" xr:uid="{00000000-0005-0000-0000-000097160000}"/>
    <cellStyle name="20% - Accent4 5 2 18" xfId="5788" xr:uid="{00000000-0005-0000-0000-000098160000}"/>
    <cellStyle name="20% - Accent4 5 2 18 2" xfId="5789" xr:uid="{00000000-0005-0000-0000-000099160000}"/>
    <cellStyle name="20% - Accent4 5 2 18 2 2" xfId="5790" xr:uid="{00000000-0005-0000-0000-00009A160000}"/>
    <cellStyle name="20% - Accent4 5 2 18 3" xfId="5791" xr:uid="{00000000-0005-0000-0000-00009B160000}"/>
    <cellStyle name="20% - Accent4 5 2 19" xfId="5792" xr:uid="{00000000-0005-0000-0000-00009C160000}"/>
    <cellStyle name="20% - Accent4 5 2 19 2" xfId="5793" xr:uid="{00000000-0005-0000-0000-00009D160000}"/>
    <cellStyle name="20% - Accent4 5 2 2" xfId="5794" xr:uid="{00000000-0005-0000-0000-00009E160000}"/>
    <cellStyle name="20% - Accent4 5 2 2 10" xfId="5795" xr:uid="{00000000-0005-0000-0000-00009F160000}"/>
    <cellStyle name="20% - Accent4 5 2 2 10 2" xfId="5796" xr:uid="{00000000-0005-0000-0000-0000A0160000}"/>
    <cellStyle name="20% - Accent4 5 2 2 10 2 2" xfId="5797" xr:uid="{00000000-0005-0000-0000-0000A1160000}"/>
    <cellStyle name="20% - Accent4 5 2 2 10 3" xfId="5798" xr:uid="{00000000-0005-0000-0000-0000A2160000}"/>
    <cellStyle name="20% - Accent4 5 2 2 11" xfId="5799" xr:uid="{00000000-0005-0000-0000-0000A3160000}"/>
    <cellStyle name="20% - Accent4 5 2 2 11 2" xfId="5800" xr:uid="{00000000-0005-0000-0000-0000A4160000}"/>
    <cellStyle name="20% - Accent4 5 2 2 11 2 2" xfId="5801" xr:uid="{00000000-0005-0000-0000-0000A5160000}"/>
    <cellStyle name="20% - Accent4 5 2 2 11 3" xfId="5802" xr:uid="{00000000-0005-0000-0000-0000A6160000}"/>
    <cellStyle name="20% - Accent4 5 2 2 12" xfId="5803" xr:uid="{00000000-0005-0000-0000-0000A7160000}"/>
    <cellStyle name="20% - Accent4 5 2 2 12 2" xfId="5804" xr:uid="{00000000-0005-0000-0000-0000A8160000}"/>
    <cellStyle name="20% - Accent4 5 2 2 12 2 2" xfId="5805" xr:uid="{00000000-0005-0000-0000-0000A9160000}"/>
    <cellStyle name="20% - Accent4 5 2 2 12 3" xfId="5806" xr:uid="{00000000-0005-0000-0000-0000AA160000}"/>
    <cellStyle name="20% - Accent4 5 2 2 13" xfId="5807" xr:uid="{00000000-0005-0000-0000-0000AB160000}"/>
    <cellStyle name="20% - Accent4 5 2 2 13 2" xfId="5808" xr:uid="{00000000-0005-0000-0000-0000AC160000}"/>
    <cellStyle name="20% - Accent4 5 2 2 14" xfId="5809" xr:uid="{00000000-0005-0000-0000-0000AD160000}"/>
    <cellStyle name="20% - Accent4 5 2 2 2" xfId="5810" xr:uid="{00000000-0005-0000-0000-0000AE160000}"/>
    <cellStyle name="20% - Accent4 5 2 2 2 2" xfId="5811" xr:uid="{00000000-0005-0000-0000-0000AF160000}"/>
    <cellStyle name="20% - Accent4 5 2 2 2 2 2" xfId="5812" xr:uid="{00000000-0005-0000-0000-0000B0160000}"/>
    <cellStyle name="20% - Accent4 5 2 2 2 2 2 2" xfId="5813" xr:uid="{00000000-0005-0000-0000-0000B1160000}"/>
    <cellStyle name="20% - Accent4 5 2 2 2 2 2 2 2" xfId="5814" xr:uid="{00000000-0005-0000-0000-0000B2160000}"/>
    <cellStyle name="20% - Accent4 5 2 2 2 2 2 3" xfId="5815" xr:uid="{00000000-0005-0000-0000-0000B3160000}"/>
    <cellStyle name="20% - Accent4 5 2 2 2 2 3" xfId="5816" xr:uid="{00000000-0005-0000-0000-0000B4160000}"/>
    <cellStyle name="20% - Accent4 5 2 2 2 2 3 2" xfId="5817" xr:uid="{00000000-0005-0000-0000-0000B5160000}"/>
    <cellStyle name="20% - Accent4 5 2 2 2 2 4" xfId="5818" xr:uid="{00000000-0005-0000-0000-0000B6160000}"/>
    <cellStyle name="20% - Accent4 5 2 2 2 3" xfId="5819" xr:uid="{00000000-0005-0000-0000-0000B7160000}"/>
    <cellStyle name="20% - Accent4 5 2 2 2 3 2" xfId="5820" xr:uid="{00000000-0005-0000-0000-0000B8160000}"/>
    <cellStyle name="20% - Accent4 5 2 2 2 3 2 2" xfId="5821" xr:uid="{00000000-0005-0000-0000-0000B9160000}"/>
    <cellStyle name="20% - Accent4 5 2 2 2 3 3" xfId="5822" xr:uid="{00000000-0005-0000-0000-0000BA160000}"/>
    <cellStyle name="20% - Accent4 5 2 2 2 4" xfId="5823" xr:uid="{00000000-0005-0000-0000-0000BB160000}"/>
    <cellStyle name="20% - Accent4 5 2 2 2 4 2" xfId="5824" xr:uid="{00000000-0005-0000-0000-0000BC160000}"/>
    <cellStyle name="20% - Accent4 5 2 2 2 4 2 2" xfId="5825" xr:uid="{00000000-0005-0000-0000-0000BD160000}"/>
    <cellStyle name="20% - Accent4 5 2 2 2 4 3" xfId="5826" xr:uid="{00000000-0005-0000-0000-0000BE160000}"/>
    <cellStyle name="20% - Accent4 5 2 2 2 5" xfId="5827" xr:uid="{00000000-0005-0000-0000-0000BF160000}"/>
    <cellStyle name="20% - Accent4 5 2 2 2 5 2" xfId="5828" xr:uid="{00000000-0005-0000-0000-0000C0160000}"/>
    <cellStyle name="20% - Accent4 5 2 2 2 5 2 2" xfId="5829" xr:uid="{00000000-0005-0000-0000-0000C1160000}"/>
    <cellStyle name="20% - Accent4 5 2 2 2 5 3" xfId="5830" xr:uid="{00000000-0005-0000-0000-0000C2160000}"/>
    <cellStyle name="20% - Accent4 5 2 2 2 6" xfId="5831" xr:uid="{00000000-0005-0000-0000-0000C3160000}"/>
    <cellStyle name="20% - Accent4 5 2 2 2 6 2" xfId="5832" xr:uid="{00000000-0005-0000-0000-0000C4160000}"/>
    <cellStyle name="20% - Accent4 5 2 2 2 6 2 2" xfId="5833" xr:uid="{00000000-0005-0000-0000-0000C5160000}"/>
    <cellStyle name="20% - Accent4 5 2 2 2 6 3" xfId="5834" xr:uid="{00000000-0005-0000-0000-0000C6160000}"/>
    <cellStyle name="20% - Accent4 5 2 2 2 7" xfId="5835" xr:uid="{00000000-0005-0000-0000-0000C7160000}"/>
    <cellStyle name="20% - Accent4 5 2 2 2 7 2" xfId="5836" xr:uid="{00000000-0005-0000-0000-0000C8160000}"/>
    <cellStyle name="20% - Accent4 5 2 2 2 8" xfId="5837" xr:uid="{00000000-0005-0000-0000-0000C9160000}"/>
    <cellStyle name="20% - Accent4 5 2 2 3" xfId="5838" xr:uid="{00000000-0005-0000-0000-0000CA160000}"/>
    <cellStyle name="20% - Accent4 5 2 2 3 2" xfId="5839" xr:uid="{00000000-0005-0000-0000-0000CB160000}"/>
    <cellStyle name="20% - Accent4 5 2 2 3 2 2" xfId="5840" xr:uid="{00000000-0005-0000-0000-0000CC160000}"/>
    <cellStyle name="20% - Accent4 5 2 2 3 2 2 2" xfId="5841" xr:uid="{00000000-0005-0000-0000-0000CD160000}"/>
    <cellStyle name="20% - Accent4 5 2 2 3 2 2 2 2" xfId="5842" xr:uid="{00000000-0005-0000-0000-0000CE160000}"/>
    <cellStyle name="20% - Accent4 5 2 2 3 2 2 3" xfId="5843" xr:uid="{00000000-0005-0000-0000-0000CF160000}"/>
    <cellStyle name="20% - Accent4 5 2 2 3 2 3" xfId="5844" xr:uid="{00000000-0005-0000-0000-0000D0160000}"/>
    <cellStyle name="20% - Accent4 5 2 2 3 2 3 2" xfId="5845" xr:uid="{00000000-0005-0000-0000-0000D1160000}"/>
    <cellStyle name="20% - Accent4 5 2 2 3 2 4" xfId="5846" xr:uid="{00000000-0005-0000-0000-0000D2160000}"/>
    <cellStyle name="20% - Accent4 5 2 2 3 3" xfId="5847" xr:uid="{00000000-0005-0000-0000-0000D3160000}"/>
    <cellStyle name="20% - Accent4 5 2 2 3 3 2" xfId="5848" xr:uid="{00000000-0005-0000-0000-0000D4160000}"/>
    <cellStyle name="20% - Accent4 5 2 2 3 3 2 2" xfId="5849" xr:uid="{00000000-0005-0000-0000-0000D5160000}"/>
    <cellStyle name="20% - Accent4 5 2 2 3 3 3" xfId="5850" xr:uid="{00000000-0005-0000-0000-0000D6160000}"/>
    <cellStyle name="20% - Accent4 5 2 2 3 4" xfId="5851" xr:uid="{00000000-0005-0000-0000-0000D7160000}"/>
    <cellStyle name="20% - Accent4 5 2 2 3 4 2" xfId="5852" xr:uid="{00000000-0005-0000-0000-0000D8160000}"/>
    <cellStyle name="20% - Accent4 5 2 2 3 4 2 2" xfId="5853" xr:uid="{00000000-0005-0000-0000-0000D9160000}"/>
    <cellStyle name="20% - Accent4 5 2 2 3 4 3" xfId="5854" xr:uid="{00000000-0005-0000-0000-0000DA160000}"/>
    <cellStyle name="20% - Accent4 5 2 2 3 5" xfId="5855" xr:uid="{00000000-0005-0000-0000-0000DB160000}"/>
    <cellStyle name="20% - Accent4 5 2 2 3 5 2" xfId="5856" xr:uid="{00000000-0005-0000-0000-0000DC160000}"/>
    <cellStyle name="20% - Accent4 5 2 2 3 5 2 2" xfId="5857" xr:uid="{00000000-0005-0000-0000-0000DD160000}"/>
    <cellStyle name="20% - Accent4 5 2 2 3 5 3" xfId="5858" xr:uid="{00000000-0005-0000-0000-0000DE160000}"/>
    <cellStyle name="20% - Accent4 5 2 2 3 6" xfId="5859" xr:uid="{00000000-0005-0000-0000-0000DF160000}"/>
    <cellStyle name="20% - Accent4 5 2 2 3 6 2" xfId="5860" xr:uid="{00000000-0005-0000-0000-0000E0160000}"/>
    <cellStyle name="20% - Accent4 5 2 2 3 6 2 2" xfId="5861" xr:uid="{00000000-0005-0000-0000-0000E1160000}"/>
    <cellStyle name="20% - Accent4 5 2 2 3 6 3" xfId="5862" xr:uid="{00000000-0005-0000-0000-0000E2160000}"/>
    <cellStyle name="20% - Accent4 5 2 2 3 7" xfId="5863" xr:uid="{00000000-0005-0000-0000-0000E3160000}"/>
    <cellStyle name="20% - Accent4 5 2 2 3 7 2" xfId="5864" xr:uid="{00000000-0005-0000-0000-0000E4160000}"/>
    <cellStyle name="20% - Accent4 5 2 2 3 8" xfId="5865" xr:uid="{00000000-0005-0000-0000-0000E5160000}"/>
    <cellStyle name="20% - Accent4 5 2 2 4" xfId="5866" xr:uid="{00000000-0005-0000-0000-0000E6160000}"/>
    <cellStyle name="20% - Accent4 5 2 2 4 2" xfId="5867" xr:uid="{00000000-0005-0000-0000-0000E7160000}"/>
    <cellStyle name="20% - Accent4 5 2 2 4 2 2" xfId="5868" xr:uid="{00000000-0005-0000-0000-0000E8160000}"/>
    <cellStyle name="20% - Accent4 5 2 2 4 2 2 2" xfId="5869" xr:uid="{00000000-0005-0000-0000-0000E9160000}"/>
    <cellStyle name="20% - Accent4 5 2 2 4 2 2 2 2" xfId="5870" xr:uid="{00000000-0005-0000-0000-0000EA160000}"/>
    <cellStyle name="20% - Accent4 5 2 2 4 2 2 3" xfId="5871" xr:uid="{00000000-0005-0000-0000-0000EB160000}"/>
    <cellStyle name="20% - Accent4 5 2 2 4 2 3" xfId="5872" xr:uid="{00000000-0005-0000-0000-0000EC160000}"/>
    <cellStyle name="20% - Accent4 5 2 2 4 2 3 2" xfId="5873" xr:uid="{00000000-0005-0000-0000-0000ED160000}"/>
    <cellStyle name="20% - Accent4 5 2 2 4 2 4" xfId="5874" xr:uid="{00000000-0005-0000-0000-0000EE160000}"/>
    <cellStyle name="20% - Accent4 5 2 2 4 3" xfId="5875" xr:uid="{00000000-0005-0000-0000-0000EF160000}"/>
    <cellStyle name="20% - Accent4 5 2 2 4 3 2" xfId="5876" xr:uid="{00000000-0005-0000-0000-0000F0160000}"/>
    <cellStyle name="20% - Accent4 5 2 2 4 3 2 2" xfId="5877" xr:uid="{00000000-0005-0000-0000-0000F1160000}"/>
    <cellStyle name="20% - Accent4 5 2 2 4 3 3" xfId="5878" xr:uid="{00000000-0005-0000-0000-0000F2160000}"/>
    <cellStyle name="20% - Accent4 5 2 2 4 4" xfId="5879" xr:uid="{00000000-0005-0000-0000-0000F3160000}"/>
    <cellStyle name="20% - Accent4 5 2 2 4 4 2" xfId="5880" xr:uid="{00000000-0005-0000-0000-0000F4160000}"/>
    <cellStyle name="20% - Accent4 5 2 2 4 4 2 2" xfId="5881" xr:uid="{00000000-0005-0000-0000-0000F5160000}"/>
    <cellStyle name="20% - Accent4 5 2 2 4 4 3" xfId="5882" xr:uid="{00000000-0005-0000-0000-0000F6160000}"/>
    <cellStyle name="20% - Accent4 5 2 2 4 5" xfId="5883" xr:uid="{00000000-0005-0000-0000-0000F7160000}"/>
    <cellStyle name="20% - Accent4 5 2 2 4 5 2" xfId="5884" xr:uid="{00000000-0005-0000-0000-0000F8160000}"/>
    <cellStyle name="20% - Accent4 5 2 2 4 5 2 2" xfId="5885" xr:uid="{00000000-0005-0000-0000-0000F9160000}"/>
    <cellStyle name="20% - Accent4 5 2 2 4 5 3" xfId="5886" xr:uid="{00000000-0005-0000-0000-0000FA160000}"/>
    <cellStyle name="20% - Accent4 5 2 2 4 6" xfId="5887" xr:uid="{00000000-0005-0000-0000-0000FB160000}"/>
    <cellStyle name="20% - Accent4 5 2 2 4 6 2" xfId="5888" xr:uid="{00000000-0005-0000-0000-0000FC160000}"/>
    <cellStyle name="20% - Accent4 5 2 2 4 6 2 2" xfId="5889" xr:uid="{00000000-0005-0000-0000-0000FD160000}"/>
    <cellStyle name="20% - Accent4 5 2 2 4 6 3" xfId="5890" xr:uid="{00000000-0005-0000-0000-0000FE160000}"/>
    <cellStyle name="20% - Accent4 5 2 2 4 7" xfId="5891" xr:uid="{00000000-0005-0000-0000-0000FF160000}"/>
    <cellStyle name="20% - Accent4 5 2 2 4 7 2" xfId="5892" xr:uid="{00000000-0005-0000-0000-000000170000}"/>
    <cellStyle name="20% - Accent4 5 2 2 4 8" xfId="5893" xr:uid="{00000000-0005-0000-0000-000001170000}"/>
    <cellStyle name="20% - Accent4 5 2 2 5" xfId="5894" xr:uid="{00000000-0005-0000-0000-000002170000}"/>
    <cellStyle name="20% - Accent4 5 2 2 5 2" xfId="5895" xr:uid="{00000000-0005-0000-0000-000003170000}"/>
    <cellStyle name="20% - Accent4 5 2 2 5 2 2" xfId="5896" xr:uid="{00000000-0005-0000-0000-000004170000}"/>
    <cellStyle name="20% - Accent4 5 2 2 5 2 2 2" xfId="5897" xr:uid="{00000000-0005-0000-0000-000005170000}"/>
    <cellStyle name="20% - Accent4 5 2 2 5 2 2 2 2" xfId="5898" xr:uid="{00000000-0005-0000-0000-000006170000}"/>
    <cellStyle name="20% - Accent4 5 2 2 5 2 2 3" xfId="5899" xr:uid="{00000000-0005-0000-0000-000007170000}"/>
    <cellStyle name="20% - Accent4 5 2 2 5 2 3" xfId="5900" xr:uid="{00000000-0005-0000-0000-000008170000}"/>
    <cellStyle name="20% - Accent4 5 2 2 5 2 3 2" xfId="5901" xr:uid="{00000000-0005-0000-0000-000009170000}"/>
    <cellStyle name="20% - Accent4 5 2 2 5 2 4" xfId="5902" xr:uid="{00000000-0005-0000-0000-00000A170000}"/>
    <cellStyle name="20% - Accent4 5 2 2 5 3" xfId="5903" xr:uid="{00000000-0005-0000-0000-00000B170000}"/>
    <cellStyle name="20% - Accent4 5 2 2 5 3 2" xfId="5904" xr:uid="{00000000-0005-0000-0000-00000C170000}"/>
    <cellStyle name="20% - Accent4 5 2 2 5 3 2 2" xfId="5905" xr:uid="{00000000-0005-0000-0000-00000D170000}"/>
    <cellStyle name="20% - Accent4 5 2 2 5 3 3" xfId="5906" xr:uid="{00000000-0005-0000-0000-00000E170000}"/>
    <cellStyle name="20% - Accent4 5 2 2 5 4" xfId="5907" xr:uid="{00000000-0005-0000-0000-00000F170000}"/>
    <cellStyle name="20% - Accent4 5 2 2 5 4 2" xfId="5908" xr:uid="{00000000-0005-0000-0000-000010170000}"/>
    <cellStyle name="20% - Accent4 5 2 2 5 5" xfId="5909" xr:uid="{00000000-0005-0000-0000-000011170000}"/>
    <cellStyle name="20% - Accent4 5 2 2 6" xfId="5910" xr:uid="{00000000-0005-0000-0000-000012170000}"/>
    <cellStyle name="20% - Accent4 5 2 2 6 2" xfId="5911" xr:uid="{00000000-0005-0000-0000-000013170000}"/>
    <cellStyle name="20% - Accent4 5 2 2 6 2 2" xfId="5912" xr:uid="{00000000-0005-0000-0000-000014170000}"/>
    <cellStyle name="20% - Accent4 5 2 2 6 2 2 2" xfId="5913" xr:uid="{00000000-0005-0000-0000-000015170000}"/>
    <cellStyle name="20% - Accent4 5 2 2 6 2 2 2 2" xfId="5914" xr:uid="{00000000-0005-0000-0000-000016170000}"/>
    <cellStyle name="20% - Accent4 5 2 2 6 2 2 3" xfId="5915" xr:uid="{00000000-0005-0000-0000-000017170000}"/>
    <cellStyle name="20% - Accent4 5 2 2 6 2 3" xfId="5916" xr:uid="{00000000-0005-0000-0000-000018170000}"/>
    <cellStyle name="20% - Accent4 5 2 2 6 2 3 2" xfId="5917" xr:uid="{00000000-0005-0000-0000-000019170000}"/>
    <cellStyle name="20% - Accent4 5 2 2 6 2 4" xfId="5918" xr:uid="{00000000-0005-0000-0000-00001A170000}"/>
    <cellStyle name="20% - Accent4 5 2 2 6 3" xfId="5919" xr:uid="{00000000-0005-0000-0000-00001B170000}"/>
    <cellStyle name="20% - Accent4 5 2 2 6 3 2" xfId="5920" xr:uid="{00000000-0005-0000-0000-00001C170000}"/>
    <cellStyle name="20% - Accent4 5 2 2 6 3 2 2" xfId="5921" xr:uid="{00000000-0005-0000-0000-00001D170000}"/>
    <cellStyle name="20% - Accent4 5 2 2 6 3 3" xfId="5922" xr:uid="{00000000-0005-0000-0000-00001E170000}"/>
    <cellStyle name="20% - Accent4 5 2 2 6 4" xfId="5923" xr:uid="{00000000-0005-0000-0000-00001F170000}"/>
    <cellStyle name="20% - Accent4 5 2 2 6 4 2" xfId="5924" xr:uid="{00000000-0005-0000-0000-000020170000}"/>
    <cellStyle name="20% - Accent4 5 2 2 6 5" xfId="5925" xr:uid="{00000000-0005-0000-0000-000021170000}"/>
    <cellStyle name="20% - Accent4 5 2 2 7" xfId="5926" xr:uid="{00000000-0005-0000-0000-000022170000}"/>
    <cellStyle name="20% - Accent4 5 2 2 7 2" xfId="5927" xr:uid="{00000000-0005-0000-0000-000023170000}"/>
    <cellStyle name="20% - Accent4 5 2 2 7 2 2" xfId="5928" xr:uid="{00000000-0005-0000-0000-000024170000}"/>
    <cellStyle name="20% - Accent4 5 2 2 7 2 2 2" xfId="5929" xr:uid="{00000000-0005-0000-0000-000025170000}"/>
    <cellStyle name="20% - Accent4 5 2 2 7 2 3" xfId="5930" xr:uid="{00000000-0005-0000-0000-000026170000}"/>
    <cellStyle name="20% - Accent4 5 2 2 7 3" xfId="5931" xr:uid="{00000000-0005-0000-0000-000027170000}"/>
    <cellStyle name="20% - Accent4 5 2 2 7 3 2" xfId="5932" xr:uid="{00000000-0005-0000-0000-000028170000}"/>
    <cellStyle name="20% - Accent4 5 2 2 7 4" xfId="5933" xr:uid="{00000000-0005-0000-0000-000029170000}"/>
    <cellStyle name="20% - Accent4 5 2 2 8" xfId="5934" xr:uid="{00000000-0005-0000-0000-00002A170000}"/>
    <cellStyle name="20% - Accent4 5 2 2 8 2" xfId="5935" xr:uid="{00000000-0005-0000-0000-00002B170000}"/>
    <cellStyle name="20% - Accent4 5 2 2 8 2 2" xfId="5936" xr:uid="{00000000-0005-0000-0000-00002C170000}"/>
    <cellStyle name="20% - Accent4 5 2 2 8 2 2 2" xfId="5937" xr:uid="{00000000-0005-0000-0000-00002D170000}"/>
    <cellStyle name="20% - Accent4 5 2 2 8 2 3" xfId="5938" xr:uid="{00000000-0005-0000-0000-00002E170000}"/>
    <cellStyle name="20% - Accent4 5 2 2 8 3" xfId="5939" xr:uid="{00000000-0005-0000-0000-00002F170000}"/>
    <cellStyle name="20% - Accent4 5 2 2 8 3 2" xfId="5940" xr:uid="{00000000-0005-0000-0000-000030170000}"/>
    <cellStyle name="20% - Accent4 5 2 2 8 4" xfId="5941" xr:uid="{00000000-0005-0000-0000-000031170000}"/>
    <cellStyle name="20% - Accent4 5 2 2 9" xfId="5942" xr:uid="{00000000-0005-0000-0000-000032170000}"/>
    <cellStyle name="20% - Accent4 5 2 2 9 2" xfId="5943" xr:uid="{00000000-0005-0000-0000-000033170000}"/>
    <cellStyle name="20% - Accent4 5 2 2 9 2 2" xfId="5944" xr:uid="{00000000-0005-0000-0000-000034170000}"/>
    <cellStyle name="20% - Accent4 5 2 2 9 3" xfId="5945" xr:uid="{00000000-0005-0000-0000-000035170000}"/>
    <cellStyle name="20% - Accent4 5 2 20" xfId="5946" xr:uid="{00000000-0005-0000-0000-000036170000}"/>
    <cellStyle name="20% - Accent4 5 2 3" xfId="5947" xr:uid="{00000000-0005-0000-0000-000037170000}"/>
    <cellStyle name="20% - Accent4 5 2 3 10" xfId="5948" xr:uid="{00000000-0005-0000-0000-000038170000}"/>
    <cellStyle name="20% - Accent4 5 2 3 10 2" xfId="5949" xr:uid="{00000000-0005-0000-0000-000039170000}"/>
    <cellStyle name="20% - Accent4 5 2 3 10 2 2" xfId="5950" xr:uid="{00000000-0005-0000-0000-00003A170000}"/>
    <cellStyle name="20% - Accent4 5 2 3 10 3" xfId="5951" xr:uid="{00000000-0005-0000-0000-00003B170000}"/>
    <cellStyle name="20% - Accent4 5 2 3 11" xfId="5952" xr:uid="{00000000-0005-0000-0000-00003C170000}"/>
    <cellStyle name="20% - Accent4 5 2 3 11 2" xfId="5953" xr:uid="{00000000-0005-0000-0000-00003D170000}"/>
    <cellStyle name="20% - Accent4 5 2 3 11 2 2" xfId="5954" xr:uid="{00000000-0005-0000-0000-00003E170000}"/>
    <cellStyle name="20% - Accent4 5 2 3 11 3" xfId="5955" xr:uid="{00000000-0005-0000-0000-00003F170000}"/>
    <cellStyle name="20% - Accent4 5 2 3 12" xfId="5956" xr:uid="{00000000-0005-0000-0000-000040170000}"/>
    <cellStyle name="20% - Accent4 5 2 3 12 2" xfId="5957" xr:uid="{00000000-0005-0000-0000-000041170000}"/>
    <cellStyle name="20% - Accent4 5 2 3 12 2 2" xfId="5958" xr:uid="{00000000-0005-0000-0000-000042170000}"/>
    <cellStyle name="20% - Accent4 5 2 3 12 3" xfId="5959" xr:uid="{00000000-0005-0000-0000-000043170000}"/>
    <cellStyle name="20% - Accent4 5 2 3 13" xfId="5960" xr:uid="{00000000-0005-0000-0000-000044170000}"/>
    <cellStyle name="20% - Accent4 5 2 3 13 2" xfId="5961" xr:uid="{00000000-0005-0000-0000-000045170000}"/>
    <cellStyle name="20% - Accent4 5 2 3 14" xfId="5962" xr:uid="{00000000-0005-0000-0000-000046170000}"/>
    <cellStyle name="20% - Accent4 5 2 3 2" xfId="5963" xr:uid="{00000000-0005-0000-0000-000047170000}"/>
    <cellStyle name="20% - Accent4 5 2 3 2 2" xfId="5964" xr:uid="{00000000-0005-0000-0000-000048170000}"/>
    <cellStyle name="20% - Accent4 5 2 3 2 2 2" xfId="5965" xr:uid="{00000000-0005-0000-0000-000049170000}"/>
    <cellStyle name="20% - Accent4 5 2 3 2 2 2 2" xfId="5966" xr:uid="{00000000-0005-0000-0000-00004A170000}"/>
    <cellStyle name="20% - Accent4 5 2 3 2 2 2 2 2" xfId="5967" xr:uid="{00000000-0005-0000-0000-00004B170000}"/>
    <cellStyle name="20% - Accent4 5 2 3 2 2 2 3" xfId="5968" xr:uid="{00000000-0005-0000-0000-00004C170000}"/>
    <cellStyle name="20% - Accent4 5 2 3 2 2 3" xfId="5969" xr:uid="{00000000-0005-0000-0000-00004D170000}"/>
    <cellStyle name="20% - Accent4 5 2 3 2 2 3 2" xfId="5970" xr:uid="{00000000-0005-0000-0000-00004E170000}"/>
    <cellStyle name="20% - Accent4 5 2 3 2 2 4" xfId="5971" xr:uid="{00000000-0005-0000-0000-00004F170000}"/>
    <cellStyle name="20% - Accent4 5 2 3 2 3" xfId="5972" xr:uid="{00000000-0005-0000-0000-000050170000}"/>
    <cellStyle name="20% - Accent4 5 2 3 2 3 2" xfId="5973" xr:uid="{00000000-0005-0000-0000-000051170000}"/>
    <cellStyle name="20% - Accent4 5 2 3 2 3 2 2" xfId="5974" xr:uid="{00000000-0005-0000-0000-000052170000}"/>
    <cellStyle name="20% - Accent4 5 2 3 2 3 3" xfId="5975" xr:uid="{00000000-0005-0000-0000-000053170000}"/>
    <cellStyle name="20% - Accent4 5 2 3 2 4" xfId="5976" xr:uid="{00000000-0005-0000-0000-000054170000}"/>
    <cellStyle name="20% - Accent4 5 2 3 2 4 2" xfId="5977" xr:uid="{00000000-0005-0000-0000-000055170000}"/>
    <cellStyle name="20% - Accent4 5 2 3 2 4 2 2" xfId="5978" xr:uid="{00000000-0005-0000-0000-000056170000}"/>
    <cellStyle name="20% - Accent4 5 2 3 2 4 3" xfId="5979" xr:uid="{00000000-0005-0000-0000-000057170000}"/>
    <cellStyle name="20% - Accent4 5 2 3 2 5" xfId="5980" xr:uid="{00000000-0005-0000-0000-000058170000}"/>
    <cellStyle name="20% - Accent4 5 2 3 2 5 2" xfId="5981" xr:uid="{00000000-0005-0000-0000-000059170000}"/>
    <cellStyle name="20% - Accent4 5 2 3 2 5 2 2" xfId="5982" xr:uid="{00000000-0005-0000-0000-00005A170000}"/>
    <cellStyle name="20% - Accent4 5 2 3 2 5 3" xfId="5983" xr:uid="{00000000-0005-0000-0000-00005B170000}"/>
    <cellStyle name="20% - Accent4 5 2 3 2 6" xfId="5984" xr:uid="{00000000-0005-0000-0000-00005C170000}"/>
    <cellStyle name="20% - Accent4 5 2 3 2 6 2" xfId="5985" xr:uid="{00000000-0005-0000-0000-00005D170000}"/>
    <cellStyle name="20% - Accent4 5 2 3 2 6 2 2" xfId="5986" xr:uid="{00000000-0005-0000-0000-00005E170000}"/>
    <cellStyle name="20% - Accent4 5 2 3 2 6 3" xfId="5987" xr:uid="{00000000-0005-0000-0000-00005F170000}"/>
    <cellStyle name="20% - Accent4 5 2 3 2 7" xfId="5988" xr:uid="{00000000-0005-0000-0000-000060170000}"/>
    <cellStyle name="20% - Accent4 5 2 3 2 7 2" xfId="5989" xr:uid="{00000000-0005-0000-0000-000061170000}"/>
    <cellStyle name="20% - Accent4 5 2 3 2 8" xfId="5990" xr:uid="{00000000-0005-0000-0000-000062170000}"/>
    <cellStyle name="20% - Accent4 5 2 3 3" xfId="5991" xr:uid="{00000000-0005-0000-0000-000063170000}"/>
    <cellStyle name="20% - Accent4 5 2 3 3 2" xfId="5992" xr:uid="{00000000-0005-0000-0000-000064170000}"/>
    <cellStyle name="20% - Accent4 5 2 3 3 2 2" xfId="5993" xr:uid="{00000000-0005-0000-0000-000065170000}"/>
    <cellStyle name="20% - Accent4 5 2 3 3 2 2 2" xfId="5994" xr:uid="{00000000-0005-0000-0000-000066170000}"/>
    <cellStyle name="20% - Accent4 5 2 3 3 2 2 2 2" xfId="5995" xr:uid="{00000000-0005-0000-0000-000067170000}"/>
    <cellStyle name="20% - Accent4 5 2 3 3 2 2 3" xfId="5996" xr:uid="{00000000-0005-0000-0000-000068170000}"/>
    <cellStyle name="20% - Accent4 5 2 3 3 2 3" xfId="5997" xr:uid="{00000000-0005-0000-0000-000069170000}"/>
    <cellStyle name="20% - Accent4 5 2 3 3 2 3 2" xfId="5998" xr:uid="{00000000-0005-0000-0000-00006A170000}"/>
    <cellStyle name="20% - Accent4 5 2 3 3 2 4" xfId="5999" xr:uid="{00000000-0005-0000-0000-00006B170000}"/>
    <cellStyle name="20% - Accent4 5 2 3 3 3" xfId="6000" xr:uid="{00000000-0005-0000-0000-00006C170000}"/>
    <cellStyle name="20% - Accent4 5 2 3 3 3 2" xfId="6001" xr:uid="{00000000-0005-0000-0000-00006D170000}"/>
    <cellStyle name="20% - Accent4 5 2 3 3 3 2 2" xfId="6002" xr:uid="{00000000-0005-0000-0000-00006E170000}"/>
    <cellStyle name="20% - Accent4 5 2 3 3 3 3" xfId="6003" xr:uid="{00000000-0005-0000-0000-00006F170000}"/>
    <cellStyle name="20% - Accent4 5 2 3 3 4" xfId="6004" xr:uid="{00000000-0005-0000-0000-000070170000}"/>
    <cellStyle name="20% - Accent4 5 2 3 3 4 2" xfId="6005" xr:uid="{00000000-0005-0000-0000-000071170000}"/>
    <cellStyle name="20% - Accent4 5 2 3 3 4 2 2" xfId="6006" xr:uid="{00000000-0005-0000-0000-000072170000}"/>
    <cellStyle name="20% - Accent4 5 2 3 3 4 3" xfId="6007" xr:uid="{00000000-0005-0000-0000-000073170000}"/>
    <cellStyle name="20% - Accent4 5 2 3 3 5" xfId="6008" xr:uid="{00000000-0005-0000-0000-000074170000}"/>
    <cellStyle name="20% - Accent4 5 2 3 3 5 2" xfId="6009" xr:uid="{00000000-0005-0000-0000-000075170000}"/>
    <cellStyle name="20% - Accent4 5 2 3 3 5 2 2" xfId="6010" xr:uid="{00000000-0005-0000-0000-000076170000}"/>
    <cellStyle name="20% - Accent4 5 2 3 3 5 3" xfId="6011" xr:uid="{00000000-0005-0000-0000-000077170000}"/>
    <cellStyle name="20% - Accent4 5 2 3 3 6" xfId="6012" xr:uid="{00000000-0005-0000-0000-000078170000}"/>
    <cellStyle name="20% - Accent4 5 2 3 3 6 2" xfId="6013" xr:uid="{00000000-0005-0000-0000-000079170000}"/>
    <cellStyle name="20% - Accent4 5 2 3 3 6 2 2" xfId="6014" xr:uid="{00000000-0005-0000-0000-00007A170000}"/>
    <cellStyle name="20% - Accent4 5 2 3 3 6 3" xfId="6015" xr:uid="{00000000-0005-0000-0000-00007B170000}"/>
    <cellStyle name="20% - Accent4 5 2 3 3 7" xfId="6016" xr:uid="{00000000-0005-0000-0000-00007C170000}"/>
    <cellStyle name="20% - Accent4 5 2 3 3 7 2" xfId="6017" xr:uid="{00000000-0005-0000-0000-00007D170000}"/>
    <cellStyle name="20% - Accent4 5 2 3 3 8" xfId="6018" xr:uid="{00000000-0005-0000-0000-00007E170000}"/>
    <cellStyle name="20% - Accent4 5 2 3 4" xfId="6019" xr:uid="{00000000-0005-0000-0000-00007F170000}"/>
    <cellStyle name="20% - Accent4 5 2 3 4 2" xfId="6020" xr:uid="{00000000-0005-0000-0000-000080170000}"/>
    <cellStyle name="20% - Accent4 5 2 3 4 2 2" xfId="6021" xr:uid="{00000000-0005-0000-0000-000081170000}"/>
    <cellStyle name="20% - Accent4 5 2 3 4 2 2 2" xfId="6022" xr:uid="{00000000-0005-0000-0000-000082170000}"/>
    <cellStyle name="20% - Accent4 5 2 3 4 2 2 2 2" xfId="6023" xr:uid="{00000000-0005-0000-0000-000083170000}"/>
    <cellStyle name="20% - Accent4 5 2 3 4 2 2 3" xfId="6024" xr:uid="{00000000-0005-0000-0000-000084170000}"/>
    <cellStyle name="20% - Accent4 5 2 3 4 2 3" xfId="6025" xr:uid="{00000000-0005-0000-0000-000085170000}"/>
    <cellStyle name="20% - Accent4 5 2 3 4 2 3 2" xfId="6026" xr:uid="{00000000-0005-0000-0000-000086170000}"/>
    <cellStyle name="20% - Accent4 5 2 3 4 2 4" xfId="6027" xr:uid="{00000000-0005-0000-0000-000087170000}"/>
    <cellStyle name="20% - Accent4 5 2 3 4 3" xfId="6028" xr:uid="{00000000-0005-0000-0000-000088170000}"/>
    <cellStyle name="20% - Accent4 5 2 3 4 3 2" xfId="6029" xr:uid="{00000000-0005-0000-0000-000089170000}"/>
    <cellStyle name="20% - Accent4 5 2 3 4 3 2 2" xfId="6030" xr:uid="{00000000-0005-0000-0000-00008A170000}"/>
    <cellStyle name="20% - Accent4 5 2 3 4 3 3" xfId="6031" xr:uid="{00000000-0005-0000-0000-00008B170000}"/>
    <cellStyle name="20% - Accent4 5 2 3 4 4" xfId="6032" xr:uid="{00000000-0005-0000-0000-00008C170000}"/>
    <cellStyle name="20% - Accent4 5 2 3 4 4 2" xfId="6033" xr:uid="{00000000-0005-0000-0000-00008D170000}"/>
    <cellStyle name="20% - Accent4 5 2 3 4 4 2 2" xfId="6034" xr:uid="{00000000-0005-0000-0000-00008E170000}"/>
    <cellStyle name="20% - Accent4 5 2 3 4 4 3" xfId="6035" xr:uid="{00000000-0005-0000-0000-00008F170000}"/>
    <cellStyle name="20% - Accent4 5 2 3 4 5" xfId="6036" xr:uid="{00000000-0005-0000-0000-000090170000}"/>
    <cellStyle name="20% - Accent4 5 2 3 4 5 2" xfId="6037" xr:uid="{00000000-0005-0000-0000-000091170000}"/>
    <cellStyle name="20% - Accent4 5 2 3 4 5 2 2" xfId="6038" xr:uid="{00000000-0005-0000-0000-000092170000}"/>
    <cellStyle name="20% - Accent4 5 2 3 4 5 3" xfId="6039" xr:uid="{00000000-0005-0000-0000-000093170000}"/>
    <cellStyle name="20% - Accent4 5 2 3 4 6" xfId="6040" xr:uid="{00000000-0005-0000-0000-000094170000}"/>
    <cellStyle name="20% - Accent4 5 2 3 4 6 2" xfId="6041" xr:uid="{00000000-0005-0000-0000-000095170000}"/>
    <cellStyle name="20% - Accent4 5 2 3 4 6 2 2" xfId="6042" xr:uid="{00000000-0005-0000-0000-000096170000}"/>
    <cellStyle name="20% - Accent4 5 2 3 4 6 3" xfId="6043" xr:uid="{00000000-0005-0000-0000-000097170000}"/>
    <cellStyle name="20% - Accent4 5 2 3 4 7" xfId="6044" xr:uid="{00000000-0005-0000-0000-000098170000}"/>
    <cellStyle name="20% - Accent4 5 2 3 4 7 2" xfId="6045" xr:uid="{00000000-0005-0000-0000-000099170000}"/>
    <cellStyle name="20% - Accent4 5 2 3 4 8" xfId="6046" xr:uid="{00000000-0005-0000-0000-00009A170000}"/>
    <cellStyle name="20% - Accent4 5 2 3 5" xfId="6047" xr:uid="{00000000-0005-0000-0000-00009B170000}"/>
    <cellStyle name="20% - Accent4 5 2 3 5 2" xfId="6048" xr:uid="{00000000-0005-0000-0000-00009C170000}"/>
    <cellStyle name="20% - Accent4 5 2 3 5 2 2" xfId="6049" xr:uid="{00000000-0005-0000-0000-00009D170000}"/>
    <cellStyle name="20% - Accent4 5 2 3 5 2 2 2" xfId="6050" xr:uid="{00000000-0005-0000-0000-00009E170000}"/>
    <cellStyle name="20% - Accent4 5 2 3 5 2 2 2 2" xfId="6051" xr:uid="{00000000-0005-0000-0000-00009F170000}"/>
    <cellStyle name="20% - Accent4 5 2 3 5 2 2 3" xfId="6052" xr:uid="{00000000-0005-0000-0000-0000A0170000}"/>
    <cellStyle name="20% - Accent4 5 2 3 5 2 3" xfId="6053" xr:uid="{00000000-0005-0000-0000-0000A1170000}"/>
    <cellStyle name="20% - Accent4 5 2 3 5 2 3 2" xfId="6054" xr:uid="{00000000-0005-0000-0000-0000A2170000}"/>
    <cellStyle name="20% - Accent4 5 2 3 5 2 4" xfId="6055" xr:uid="{00000000-0005-0000-0000-0000A3170000}"/>
    <cellStyle name="20% - Accent4 5 2 3 5 3" xfId="6056" xr:uid="{00000000-0005-0000-0000-0000A4170000}"/>
    <cellStyle name="20% - Accent4 5 2 3 5 3 2" xfId="6057" xr:uid="{00000000-0005-0000-0000-0000A5170000}"/>
    <cellStyle name="20% - Accent4 5 2 3 5 3 2 2" xfId="6058" xr:uid="{00000000-0005-0000-0000-0000A6170000}"/>
    <cellStyle name="20% - Accent4 5 2 3 5 3 3" xfId="6059" xr:uid="{00000000-0005-0000-0000-0000A7170000}"/>
    <cellStyle name="20% - Accent4 5 2 3 5 4" xfId="6060" xr:uid="{00000000-0005-0000-0000-0000A8170000}"/>
    <cellStyle name="20% - Accent4 5 2 3 5 4 2" xfId="6061" xr:uid="{00000000-0005-0000-0000-0000A9170000}"/>
    <cellStyle name="20% - Accent4 5 2 3 5 5" xfId="6062" xr:uid="{00000000-0005-0000-0000-0000AA170000}"/>
    <cellStyle name="20% - Accent4 5 2 3 6" xfId="6063" xr:uid="{00000000-0005-0000-0000-0000AB170000}"/>
    <cellStyle name="20% - Accent4 5 2 3 6 2" xfId="6064" xr:uid="{00000000-0005-0000-0000-0000AC170000}"/>
    <cellStyle name="20% - Accent4 5 2 3 6 2 2" xfId="6065" xr:uid="{00000000-0005-0000-0000-0000AD170000}"/>
    <cellStyle name="20% - Accent4 5 2 3 6 2 2 2" xfId="6066" xr:uid="{00000000-0005-0000-0000-0000AE170000}"/>
    <cellStyle name="20% - Accent4 5 2 3 6 2 2 2 2" xfId="6067" xr:uid="{00000000-0005-0000-0000-0000AF170000}"/>
    <cellStyle name="20% - Accent4 5 2 3 6 2 2 3" xfId="6068" xr:uid="{00000000-0005-0000-0000-0000B0170000}"/>
    <cellStyle name="20% - Accent4 5 2 3 6 2 3" xfId="6069" xr:uid="{00000000-0005-0000-0000-0000B1170000}"/>
    <cellStyle name="20% - Accent4 5 2 3 6 2 3 2" xfId="6070" xr:uid="{00000000-0005-0000-0000-0000B2170000}"/>
    <cellStyle name="20% - Accent4 5 2 3 6 2 4" xfId="6071" xr:uid="{00000000-0005-0000-0000-0000B3170000}"/>
    <cellStyle name="20% - Accent4 5 2 3 6 3" xfId="6072" xr:uid="{00000000-0005-0000-0000-0000B4170000}"/>
    <cellStyle name="20% - Accent4 5 2 3 6 3 2" xfId="6073" xr:uid="{00000000-0005-0000-0000-0000B5170000}"/>
    <cellStyle name="20% - Accent4 5 2 3 6 3 2 2" xfId="6074" xr:uid="{00000000-0005-0000-0000-0000B6170000}"/>
    <cellStyle name="20% - Accent4 5 2 3 6 3 3" xfId="6075" xr:uid="{00000000-0005-0000-0000-0000B7170000}"/>
    <cellStyle name="20% - Accent4 5 2 3 6 4" xfId="6076" xr:uid="{00000000-0005-0000-0000-0000B8170000}"/>
    <cellStyle name="20% - Accent4 5 2 3 6 4 2" xfId="6077" xr:uid="{00000000-0005-0000-0000-0000B9170000}"/>
    <cellStyle name="20% - Accent4 5 2 3 6 5" xfId="6078" xr:uid="{00000000-0005-0000-0000-0000BA170000}"/>
    <cellStyle name="20% - Accent4 5 2 3 7" xfId="6079" xr:uid="{00000000-0005-0000-0000-0000BB170000}"/>
    <cellStyle name="20% - Accent4 5 2 3 7 2" xfId="6080" xr:uid="{00000000-0005-0000-0000-0000BC170000}"/>
    <cellStyle name="20% - Accent4 5 2 3 7 2 2" xfId="6081" xr:uid="{00000000-0005-0000-0000-0000BD170000}"/>
    <cellStyle name="20% - Accent4 5 2 3 7 2 2 2" xfId="6082" xr:uid="{00000000-0005-0000-0000-0000BE170000}"/>
    <cellStyle name="20% - Accent4 5 2 3 7 2 3" xfId="6083" xr:uid="{00000000-0005-0000-0000-0000BF170000}"/>
    <cellStyle name="20% - Accent4 5 2 3 7 3" xfId="6084" xr:uid="{00000000-0005-0000-0000-0000C0170000}"/>
    <cellStyle name="20% - Accent4 5 2 3 7 3 2" xfId="6085" xr:uid="{00000000-0005-0000-0000-0000C1170000}"/>
    <cellStyle name="20% - Accent4 5 2 3 7 4" xfId="6086" xr:uid="{00000000-0005-0000-0000-0000C2170000}"/>
    <cellStyle name="20% - Accent4 5 2 3 8" xfId="6087" xr:uid="{00000000-0005-0000-0000-0000C3170000}"/>
    <cellStyle name="20% - Accent4 5 2 3 8 2" xfId="6088" xr:uid="{00000000-0005-0000-0000-0000C4170000}"/>
    <cellStyle name="20% - Accent4 5 2 3 8 2 2" xfId="6089" xr:uid="{00000000-0005-0000-0000-0000C5170000}"/>
    <cellStyle name="20% - Accent4 5 2 3 8 2 2 2" xfId="6090" xr:uid="{00000000-0005-0000-0000-0000C6170000}"/>
    <cellStyle name="20% - Accent4 5 2 3 8 2 3" xfId="6091" xr:uid="{00000000-0005-0000-0000-0000C7170000}"/>
    <cellStyle name="20% - Accent4 5 2 3 8 3" xfId="6092" xr:uid="{00000000-0005-0000-0000-0000C8170000}"/>
    <cellStyle name="20% - Accent4 5 2 3 8 3 2" xfId="6093" xr:uid="{00000000-0005-0000-0000-0000C9170000}"/>
    <cellStyle name="20% - Accent4 5 2 3 8 4" xfId="6094" xr:uid="{00000000-0005-0000-0000-0000CA170000}"/>
    <cellStyle name="20% - Accent4 5 2 3 9" xfId="6095" xr:uid="{00000000-0005-0000-0000-0000CB170000}"/>
    <cellStyle name="20% - Accent4 5 2 3 9 2" xfId="6096" xr:uid="{00000000-0005-0000-0000-0000CC170000}"/>
    <cellStyle name="20% - Accent4 5 2 3 9 2 2" xfId="6097" xr:uid="{00000000-0005-0000-0000-0000CD170000}"/>
    <cellStyle name="20% - Accent4 5 2 3 9 3" xfId="6098" xr:uid="{00000000-0005-0000-0000-0000CE170000}"/>
    <cellStyle name="20% - Accent4 5 2 4" xfId="6099" xr:uid="{00000000-0005-0000-0000-0000CF170000}"/>
    <cellStyle name="20% - Accent4 5 2 4 10" xfId="6100" xr:uid="{00000000-0005-0000-0000-0000D0170000}"/>
    <cellStyle name="20% - Accent4 5 2 4 10 2" xfId="6101" xr:uid="{00000000-0005-0000-0000-0000D1170000}"/>
    <cellStyle name="20% - Accent4 5 2 4 10 2 2" xfId="6102" xr:uid="{00000000-0005-0000-0000-0000D2170000}"/>
    <cellStyle name="20% - Accent4 5 2 4 10 3" xfId="6103" xr:uid="{00000000-0005-0000-0000-0000D3170000}"/>
    <cellStyle name="20% - Accent4 5 2 4 11" xfId="6104" xr:uid="{00000000-0005-0000-0000-0000D4170000}"/>
    <cellStyle name="20% - Accent4 5 2 4 11 2" xfId="6105" xr:uid="{00000000-0005-0000-0000-0000D5170000}"/>
    <cellStyle name="20% - Accent4 5 2 4 11 2 2" xfId="6106" xr:uid="{00000000-0005-0000-0000-0000D6170000}"/>
    <cellStyle name="20% - Accent4 5 2 4 11 3" xfId="6107" xr:uid="{00000000-0005-0000-0000-0000D7170000}"/>
    <cellStyle name="20% - Accent4 5 2 4 12" xfId="6108" xr:uid="{00000000-0005-0000-0000-0000D8170000}"/>
    <cellStyle name="20% - Accent4 5 2 4 12 2" xfId="6109" xr:uid="{00000000-0005-0000-0000-0000D9170000}"/>
    <cellStyle name="20% - Accent4 5 2 4 12 2 2" xfId="6110" xr:uid="{00000000-0005-0000-0000-0000DA170000}"/>
    <cellStyle name="20% - Accent4 5 2 4 12 3" xfId="6111" xr:uid="{00000000-0005-0000-0000-0000DB170000}"/>
    <cellStyle name="20% - Accent4 5 2 4 13" xfId="6112" xr:uid="{00000000-0005-0000-0000-0000DC170000}"/>
    <cellStyle name="20% - Accent4 5 2 4 13 2" xfId="6113" xr:uid="{00000000-0005-0000-0000-0000DD170000}"/>
    <cellStyle name="20% - Accent4 5 2 4 14" xfId="6114" xr:uid="{00000000-0005-0000-0000-0000DE170000}"/>
    <cellStyle name="20% - Accent4 5 2 4 2" xfId="6115" xr:uid="{00000000-0005-0000-0000-0000DF170000}"/>
    <cellStyle name="20% - Accent4 5 2 4 2 2" xfId="6116" xr:uid="{00000000-0005-0000-0000-0000E0170000}"/>
    <cellStyle name="20% - Accent4 5 2 4 2 2 2" xfId="6117" xr:uid="{00000000-0005-0000-0000-0000E1170000}"/>
    <cellStyle name="20% - Accent4 5 2 4 2 2 2 2" xfId="6118" xr:uid="{00000000-0005-0000-0000-0000E2170000}"/>
    <cellStyle name="20% - Accent4 5 2 4 2 2 2 2 2" xfId="6119" xr:uid="{00000000-0005-0000-0000-0000E3170000}"/>
    <cellStyle name="20% - Accent4 5 2 4 2 2 2 3" xfId="6120" xr:uid="{00000000-0005-0000-0000-0000E4170000}"/>
    <cellStyle name="20% - Accent4 5 2 4 2 2 3" xfId="6121" xr:uid="{00000000-0005-0000-0000-0000E5170000}"/>
    <cellStyle name="20% - Accent4 5 2 4 2 2 3 2" xfId="6122" xr:uid="{00000000-0005-0000-0000-0000E6170000}"/>
    <cellStyle name="20% - Accent4 5 2 4 2 2 4" xfId="6123" xr:uid="{00000000-0005-0000-0000-0000E7170000}"/>
    <cellStyle name="20% - Accent4 5 2 4 2 3" xfId="6124" xr:uid="{00000000-0005-0000-0000-0000E8170000}"/>
    <cellStyle name="20% - Accent4 5 2 4 2 3 2" xfId="6125" xr:uid="{00000000-0005-0000-0000-0000E9170000}"/>
    <cellStyle name="20% - Accent4 5 2 4 2 3 2 2" xfId="6126" xr:uid="{00000000-0005-0000-0000-0000EA170000}"/>
    <cellStyle name="20% - Accent4 5 2 4 2 3 3" xfId="6127" xr:uid="{00000000-0005-0000-0000-0000EB170000}"/>
    <cellStyle name="20% - Accent4 5 2 4 2 4" xfId="6128" xr:uid="{00000000-0005-0000-0000-0000EC170000}"/>
    <cellStyle name="20% - Accent4 5 2 4 2 4 2" xfId="6129" xr:uid="{00000000-0005-0000-0000-0000ED170000}"/>
    <cellStyle name="20% - Accent4 5 2 4 2 4 2 2" xfId="6130" xr:uid="{00000000-0005-0000-0000-0000EE170000}"/>
    <cellStyle name="20% - Accent4 5 2 4 2 4 3" xfId="6131" xr:uid="{00000000-0005-0000-0000-0000EF170000}"/>
    <cellStyle name="20% - Accent4 5 2 4 2 5" xfId="6132" xr:uid="{00000000-0005-0000-0000-0000F0170000}"/>
    <cellStyle name="20% - Accent4 5 2 4 2 5 2" xfId="6133" xr:uid="{00000000-0005-0000-0000-0000F1170000}"/>
    <cellStyle name="20% - Accent4 5 2 4 2 5 2 2" xfId="6134" xr:uid="{00000000-0005-0000-0000-0000F2170000}"/>
    <cellStyle name="20% - Accent4 5 2 4 2 5 3" xfId="6135" xr:uid="{00000000-0005-0000-0000-0000F3170000}"/>
    <cellStyle name="20% - Accent4 5 2 4 2 6" xfId="6136" xr:uid="{00000000-0005-0000-0000-0000F4170000}"/>
    <cellStyle name="20% - Accent4 5 2 4 2 6 2" xfId="6137" xr:uid="{00000000-0005-0000-0000-0000F5170000}"/>
    <cellStyle name="20% - Accent4 5 2 4 2 6 2 2" xfId="6138" xr:uid="{00000000-0005-0000-0000-0000F6170000}"/>
    <cellStyle name="20% - Accent4 5 2 4 2 6 3" xfId="6139" xr:uid="{00000000-0005-0000-0000-0000F7170000}"/>
    <cellStyle name="20% - Accent4 5 2 4 2 7" xfId="6140" xr:uid="{00000000-0005-0000-0000-0000F8170000}"/>
    <cellStyle name="20% - Accent4 5 2 4 2 7 2" xfId="6141" xr:uid="{00000000-0005-0000-0000-0000F9170000}"/>
    <cellStyle name="20% - Accent4 5 2 4 2 8" xfId="6142" xr:uid="{00000000-0005-0000-0000-0000FA170000}"/>
    <cellStyle name="20% - Accent4 5 2 4 3" xfId="6143" xr:uid="{00000000-0005-0000-0000-0000FB170000}"/>
    <cellStyle name="20% - Accent4 5 2 4 3 2" xfId="6144" xr:uid="{00000000-0005-0000-0000-0000FC170000}"/>
    <cellStyle name="20% - Accent4 5 2 4 3 2 2" xfId="6145" xr:uid="{00000000-0005-0000-0000-0000FD170000}"/>
    <cellStyle name="20% - Accent4 5 2 4 3 2 2 2" xfId="6146" xr:uid="{00000000-0005-0000-0000-0000FE170000}"/>
    <cellStyle name="20% - Accent4 5 2 4 3 2 2 2 2" xfId="6147" xr:uid="{00000000-0005-0000-0000-0000FF170000}"/>
    <cellStyle name="20% - Accent4 5 2 4 3 2 2 3" xfId="6148" xr:uid="{00000000-0005-0000-0000-000000180000}"/>
    <cellStyle name="20% - Accent4 5 2 4 3 2 3" xfId="6149" xr:uid="{00000000-0005-0000-0000-000001180000}"/>
    <cellStyle name="20% - Accent4 5 2 4 3 2 3 2" xfId="6150" xr:uid="{00000000-0005-0000-0000-000002180000}"/>
    <cellStyle name="20% - Accent4 5 2 4 3 2 4" xfId="6151" xr:uid="{00000000-0005-0000-0000-000003180000}"/>
    <cellStyle name="20% - Accent4 5 2 4 3 3" xfId="6152" xr:uid="{00000000-0005-0000-0000-000004180000}"/>
    <cellStyle name="20% - Accent4 5 2 4 3 3 2" xfId="6153" xr:uid="{00000000-0005-0000-0000-000005180000}"/>
    <cellStyle name="20% - Accent4 5 2 4 3 3 2 2" xfId="6154" xr:uid="{00000000-0005-0000-0000-000006180000}"/>
    <cellStyle name="20% - Accent4 5 2 4 3 3 3" xfId="6155" xr:uid="{00000000-0005-0000-0000-000007180000}"/>
    <cellStyle name="20% - Accent4 5 2 4 3 4" xfId="6156" xr:uid="{00000000-0005-0000-0000-000008180000}"/>
    <cellStyle name="20% - Accent4 5 2 4 3 4 2" xfId="6157" xr:uid="{00000000-0005-0000-0000-000009180000}"/>
    <cellStyle name="20% - Accent4 5 2 4 3 4 2 2" xfId="6158" xr:uid="{00000000-0005-0000-0000-00000A180000}"/>
    <cellStyle name="20% - Accent4 5 2 4 3 4 3" xfId="6159" xr:uid="{00000000-0005-0000-0000-00000B180000}"/>
    <cellStyle name="20% - Accent4 5 2 4 3 5" xfId="6160" xr:uid="{00000000-0005-0000-0000-00000C180000}"/>
    <cellStyle name="20% - Accent4 5 2 4 3 5 2" xfId="6161" xr:uid="{00000000-0005-0000-0000-00000D180000}"/>
    <cellStyle name="20% - Accent4 5 2 4 3 5 2 2" xfId="6162" xr:uid="{00000000-0005-0000-0000-00000E180000}"/>
    <cellStyle name="20% - Accent4 5 2 4 3 5 3" xfId="6163" xr:uid="{00000000-0005-0000-0000-00000F180000}"/>
    <cellStyle name="20% - Accent4 5 2 4 3 6" xfId="6164" xr:uid="{00000000-0005-0000-0000-000010180000}"/>
    <cellStyle name="20% - Accent4 5 2 4 3 6 2" xfId="6165" xr:uid="{00000000-0005-0000-0000-000011180000}"/>
    <cellStyle name="20% - Accent4 5 2 4 3 6 2 2" xfId="6166" xr:uid="{00000000-0005-0000-0000-000012180000}"/>
    <cellStyle name="20% - Accent4 5 2 4 3 6 3" xfId="6167" xr:uid="{00000000-0005-0000-0000-000013180000}"/>
    <cellStyle name="20% - Accent4 5 2 4 3 7" xfId="6168" xr:uid="{00000000-0005-0000-0000-000014180000}"/>
    <cellStyle name="20% - Accent4 5 2 4 3 7 2" xfId="6169" xr:uid="{00000000-0005-0000-0000-000015180000}"/>
    <cellStyle name="20% - Accent4 5 2 4 3 8" xfId="6170" xr:uid="{00000000-0005-0000-0000-000016180000}"/>
    <cellStyle name="20% - Accent4 5 2 4 4" xfId="6171" xr:uid="{00000000-0005-0000-0000-000017180000}"/>
    <cellStyle name="20% - Accent4 5 2 4 4 2" xfId="6172" xr:uid="{00000000-0005-0000-0000-000018180000}"/>
    <cellStyle name="20% - Accent4 5 2 4 4 2 2" xfId="6173" xr:uid="{00000000-0005-0000-0000-000019180000}"/>
    <cellStyle name="20% - Accent4 5 2 4 4 2 2 2" xfId="6174" xr:uid="{00000000-0005-0000-0000-00001A180000}"/>
    <cellStyle name="20% - Accent4 5 2 4 4 2 2 2 2" xfId="6175" xr:uid="{00000000-0005-0000-0000-00001B180000}"/>
    <cellStyle name="20% - Accent4 5 2 4 4 2 2 3" xfId="6176" xr:uid="{00000000-0005-0000-0000-00001C180000}"/>
    <cellStyle name="20% - Accent4 5 2 4 4 2 3" xfId="6177" xr:uid="{00000000-0005-0000-0000-00001D180000}"/>
    <cellStyle name="20% - Accent4 5 2 4 4 2 3 2" xfId="6178" xr:uid="{00000000-0005-0000-0000-00001E180000}"/>
    <cellStyle name="20% - Accent4 5 2 4 4 2 4" xfId="6179" xr:uid="{00000000-0005-0000-0000-00001F180000}"/>
    <cellStyle name="20% - Accent4 5 2 4 4 3" xfId="6180" xr:uid="{00000000-0005-0000-0000-000020180000}"/>
    <cellStyle name="20% - Accent4 5 2 4 4 3 2" xfId="6181" xr:uid="{00000000-0005-0000-0000-000021180000}"/>
    <cellStyle name="20% - Accent4 5 2 4 4 3 2 2" xfId="6182" xr:uid="{00000000-0005-0000-0000-000022180000}"/>
    <cellStyle name="20% - Accent4 5 2 4 4 3 3" xfId="6183" xr:uid="{00000000-0005-0000-0000-000023180000}"/>
    <cellStyle name="20% - Accent4 5 2 4 4 4" xfId="6184" xr:uid="{00000000-0005-0000-0000-000024180000}"/>
    <cellStyle name="20% - Accent4 5 2 4 4 4 2" xfId="6185" xr:uid="{00000000-0005-0000-0000-000025180000}"/>
    <cellStyle name="20% - Accent4 5 2 4 4 4 2 2" xfId="6186" xr:uid="{00000000-0005-0000-0000-000026180000}"/>
    <cellStyle name="20% - Accent4 5 2 4 4 4 3" xfId="6187" xr:uid="{00000000-0005-0000-0000-000027180000}"/>
    <cellStyle name="20% - Accent4 5 2 4 4 5" xfId="6188" xr:uid="{00000000-0005-0000-0000-000028180000}"/>
    <cellStyle name="20% - Accent4 5 2 4 4 5 2" xfId="6189" xr:uid="{00000000-0005-0000-0000-000029180000}"/>
    <cellStyle name="20% - Accent4 5 2 4 4 5 2 2" xfId="6190" xr:uid="{00000000-0005-0000-0000-00002A180000}"/>
    <cellStyle name="20% - Accent4 5 2 4 4 5 3" xfId="6191" xr:uid="{00000000-0005-0000-0000-00002B180000}"/>
    <cellStyle name="20% - Accent4 5 2 4 4 6" xfId="6192" xr:uid="{00000000-0005-0000-0000-00002C180000}"/>
    <cellStyle name="20% - Accent4 5 2 4 4 6 2" xfId="6193" xr:uid="{00000000-0005-0000-0000-00002D180000}"/>
    <cellStyle name="20% - Accent4 5 2 4 4 6 2 2" xfId="6194" xr:uid="{00000000-0005-0000-0000-00002E180000}"/>
    <cellStyle name="20% - Accent4 5 2 4 4 6 3" xfId="6195" xr:uid="{00000000-0005-0000-0000-00002F180000}"/>
    <cellStyle name="20% - Accent4 5 2 4 4 7" xfId="6196" xr:uid="{00000000-0005-0000-0000-000030180000}"/>
    <cellStyle name="20% - Accent4 5 2 4 4 7 2" xfId="6197" xr:uid="{00000000-0005-0000-0000-000031180000}"/>
    <cellStyle name="20% - Accent4 5 2 4 4 8" xfId="6198" xr:uid="{00000000-0005-0000-0000-000032180000}"/>
    <cellStyle name="20% - Accent4 5 2 4 5" xfId="6199" xr:uid="{00000000-0005-0000-0000-000033180000}"/>
    <cellStyle name="20% - Accent4 5 2 4 5 2" xfId="6200" xr:uid="{00000000-0005-0000-0000-000034180000}"/>
    <cellStyle name="20% - Accent4 5 2 4 5 2 2" xfId="6201" xr:uid="{00000000-0005-0000-0000-000035180000}"/>
    <cellStyle name="20% - Accent4 5 2 4 5 2 2 2" xfId="6202" xr:uid="{00000000-0005-0000-0000-000036180000}"/>
    <cellStyle name="20% - Accent4 5 2 4 5 2 2 2 2" xfId="6203" xr:uid="{00000000-0005-0000-0000-000037180000}"/>
    <cellStyle name="20% - Accent4 5 2 4 5 2 2 3" xfId="6204" xr:uid="{00000000-0005-0000-0000-000038180000}"/>
    <cellStyle name="20% - Accent4 5 2 4 5 2 3" xfId="6205" xr:uid="{00000000-0005-0000-0000-000039180000}"/>
    <cellStyle name="20% - Accent4 5 2 4 5 2 3 2" xfId="6206" xr:uid="{00000000-0005-0000-0000-00003A180000}"/>
    <cellStyle name="20% - Accent4 5 2 4 5 2 4" xfId="6207" xr:uid="{00000000-0005-0000-0000-00003B180000}"/>
    <cellStyle name="20% - Accent4 5 2 4 5 3" xfId="6208" xr:uid="{00000000-0005-0000-0000-00003C180000}"/>
    <cellStyle name="20% - Accent4 5 2 4 5 3 2" xfId="6209" xr:uid="{00000000-0005-0000-0000-00003D180000}"/>
    <cellStyle name="20% - Accent4 5 2 4 5 3 2 2" xfId="6210" xr:uid="{00000000-0005-0000-0000-00003E180000}"/>
    <cellStyle name="20% - Accent4 5 2 4 5 3 3" xfId="6211" xr:uid="{00000000-0005-0000-0000-00003F180000}"/>
    <cellStyle name="20% - Accent4 5 2 4 5 4" xfId="6212" xr:uid="{00000000-0005-0000-0000-000040180000}"/>
    <cellStyle name="20% - Accent4 5 2 4 5 4 2" xfId="6213" xr:uid="{00000000-0005-0000-0000-000041180000}"/>
    <cellStyle name="20% - Accent4 5 2 4 5 5" xfId="6214" xr:uid="{00000000-0005-0000-0000-000042180000}"/>
    <cellStyle name="20% - Accent4 5 2 4 6" xfId="6215" xr:uid="{00000000-0005-0000-0000-000043180000}"/>
    <cellStyle name="20% - Accent4 5 2 4 6 2" xfId="6216" xr:uid="{00000000-0005-0000-0000-000044180000}"/>
    <cellStyle name="20% - Accent4 5 2 4 6 2 2" xfId="6217" xr:uid="{00000000-0005-0000-0000-000045180000}"/>
    <cellStyle name="20% - Accent4 5 2 4 6 2 2 2" xfId="6218" xr:uid="{00000000-0005-0000-0000-000046180000}"/>
    <cellStyle name="20% - Accent4 5 2 4 6 2 2 2 2" xfId="6219" xr:uid="{00000000-0005-0000-0000-000047180000}"/>
    <cellStyle name="20% - Accent4 5 2 4 6 2 2 3" xfId="6220" xr:uid="{00000000-0005-0000-0000-000048180000}"/>
    <cellStyle name="20% - Accent4 5 2 4 6 2 3" xfId="6221" xr:uid="{00000000-0005-0000-0000-000049180000}"/>
    <cellStyle name="20% - Accent4 5 2 4 6 2 3 2" xfId="6222" xr:uid="{00000000-0005-0000-0000-00004A180000}"/>
    <cellStyle name="20% - Accent4 5 2 4 6 2 4" xfId="6223" xr:uid="{00000000-0005-0000-0000-00004B180000}"/>
    <cellStyle name="20% - Accent4 5 2 4 6 3" xfId="6224" xr:uid="{00000000-0005-0000-0000-00004C180000}"/>
    <cellStyle name="20% - Accent4 5 2 4 6 3 2" xfId="6225" xr:uid="{00000000-0005-0000-0000-00004D180000}"/>
    <cellStyle name="20% - Accent4 5 2 4 6 3 2 2" xfId="6226" xr:uid="{00000000-0005-0000-0000-00004E180000}"/>
    <cellStyle name="20% - Accent4 5 2 4 6 3 3" xfId="6227" xr:uid="{00000000-0005-0000-0000-00004F180000}"/>
    <cellStyle name="20% - Accent4 5 2 4 6 4" xfId="6228" xr:uid="{00000000-0005-0000-0000-000050180000}"/>
    <cellStyle name="20% - Accent4 5 2 4 6 4 2" xfId="6229" xr:uid="{00000000-0005-0000-0000-000051180000}"/>
    <cellStyle name="20% - Accent4 5 2 4 6 5" xfId="6230" xr:uid="{00000000-0005-0000-0000-000052180000}"/>
    <cellStyle name="20% - Accent4 5 2 4 7" xfId="6231" xr:uid="{00000000-0005-0000-0000-000053180000}"/>
    <cellStyle name="20% - Accent4 5 2 4 7 2" xfId="6232" xr:uid="{00000000-0005-0000-0000-000054180000}"/>
    <cellStyle name="20% - Accent4 5 2 4 7 2 2" xfId="6233" xr:uid="{00000000-0005-0000-0000-000055180000}"/>
    <cellStyle name="20% - Accent4 5 2 4 7 2 2 2" xfId="6234" xr:uid="{00000000-0005-0000-0000-000056180000}"/>
    <cellStyle name="20% - Accent4 5 2 4 7 2 3" xfId="6235" xr:uid="{00000000-0005-0000-0000-000057180000}"/>
    <cellStyle name="20% - Accent4 5 2 4 7 3" xfId="6236" xr:uid="{00000000-0005-0000-0000-000058180000}"/>
    <cellStyle name="20% - Accent4 5 2 4 7 3 2" xfId="6237" xr:uid="{00000000-0005-0000-0000-000059180000}"/>
    <cellStyle name="20% - Accent4 5 2 4 7 4" xfId="6238" xr:uid="{00000000-0005-0000-0000-00005A180000}"/>
    <cellStyle name="20% - Accent4 5 2 4 8" xfId="6239" xr:uid="{00000000-0005-0000-0000-00005B180000}"/>
    <cellStyle name="20% - Accent4 5 2 4 8 2" xfId="6240" xr:uid="{00000000-0005-0000-0000-00005C180000}"/>
    <cellStyle name="20% - Accent4 5 2 4 8 2 2" xfId="6241" xr:uid="{00000000-0005-0000-0000-00005D180000}"/>
    <cellStyle name="20% - Accent4 5 2 4 8 2 2 2" xfId="6242" xr:uid="{00000000-0005-0000-0000-00005E180000}"/>
    <cellStyle name="20% - Accent4 5 2 4 8 2 3" xfId="6243" xr:uid="{00000000-0005-0000-0000-00005F180000}"/>
    <cellStyle name="20% - Accent4 5 2 4 8 3" xfId="6244" xr:uid="{00000000-0005-0000-0000-000060180000}"/>
    <cellStyle name="20% - Accent4 5 2 4 8 3 2" xfId="6245" xr:uid="{00000000-0005-0000-0000-000061180000}"/>
    <cellStyle name="20% - Accent4 5 2 4 8 4" xfId="6246" xr:uid="{00000000-0005-0000-0000-000062180000}"/>
    <cellStyle name="20% - Accent4 5 2 4 9" xfId="6247" xr:uid="{00000000-0005-0000-0000-000063180000}"/>
    <cellStyle name="20% - Accent4 5 2 4 9 2" xfId="6248" xr:uid="{00000000-0005-0000-0000-000064180000}"/>
    <cellStyle name="20% - Accent4 5 2 4 9 2 2" xfId="6249" xr:uid="{00000000-0005-0000-0000-000065180000}"/>
    <cellStyle name="20% - Accent4 5 2 4 9 3" xfId="6250" xr:uid="{00000000-0005-0000-0000-000066180000}"/>
    <cellStyle name="20% - Accent4 5 2 5" xfId="6251" xr:uid="{00000000-0005-0000-0000-000067180000}"/>
    <cellStyle name="20% - Accent4 5 2 5 10" xfId="6252" xr:uid="{00000000-0005-0000-0000-000068180000}"/>
    <cellStyle name="20% - Accent4 5 2 5 10 2" xfId="6253" xr:uid="{00000000-0005-0000-0000-000069180000}"/>
    <cellStyle name="20% - Accent4 5 2 5 10 2 2" xfId="6254" xr:uid="{00000000-0005-0000-0000-00006A180000}"/>
    <cellStyle name="20% - Accent4 5 2 5 10 3" xfId="6255" xr:uid="{00000000-0005-0000-0000-00006B180000}"/>
    <cellStyle name="20% - Accent4 5 2 5 11" xfId="6256" xr:uid="{00000000-0005-0000-0000-00006C180000}"/>
    <cellStyle name="20% - Accent4 5 2 5 11 2" xfId="6257" xr:uid="{00000000-0005-0000-0000-00006D180000}"/>
    <cellStyle name="20% - Accent4 5 2 5 11 2 2" xfId="6258" xr:uid="{00000000-0005-0000-0000-00006E180000}"/>
    <cellStyle name="20% - Accent4 5 2 5 11 3" xfId="6259" xr:uid="{00000000-0005-0000-0000-00006F180000}"/>
    <cellStyle name="20% - Accent4 5 2 5 12" xfId="6260" xr:uid="{00000000-0005-0000-0000-000070180000}"/>
    <cellStyle name="20% - Accent4 5 2 5 12 2" xfId="6261" xr:uid="{00000000-0005-0000-0000-000071180000}"/>
    <cellStyle name="20% - Accent4 5 2 5 12 2 2" xfId="6262" xr:uid="{00000000-0005-0000-0000-000072180000}"/>
    <cellStyle name="20% - Accent4 5 2 5 12 3" xfId="6263" xr:uid="{00000000-0005-0000-0000-000073180000}"/>
    <cellStyle name="20% - Accent4 5 2 5 13" xfId="6264" xr:uid="{00000000-0005-0000-0000-000074180000}"/>
    <cellStyle name="20% - Accent4 5 2 5 13 2" xfId="6265" xr:uid="{00000000-0005-0000-0000-000075180000}"/>
    <cellStyle name="20% - Accent4 5 2 5 14" xfId="6266" xr:uid="{00000000-0005-0000-0000-000076180000}"/>
    <cellStyle name="20% - Accent4 5 2 5 2" xfId="6267" xr:uid="{00000000-0005-0000-0000-000077180000}"/>
    <cellStyle name="20% - Accent4 5 2 5 2 2" xfId="6268" xr:uid="{00000000-0005-0000-0000-000078180000}"/>
    <cellStyle name="20% - Accent4 5 2 5 2 2 2" xfId="6269" xr:uid="{00000000-0005-0000-0000-000079180000}"/>
    <cellStyle name="20% - Accent4 5 2 5 2 2 2 2" xfId="6270" xr:uid="{00000000-0005-0000-0000-00007A180000}"/>
    <cellStyle name="20% - Accent4 5 2 5 2 2 2 2 2" xfId="6271" xr:uid="{00000000-0005-0000-0000-00007B180000}"/>
    <cellStyle name="20% - Accent4 5 2 5 2 2 2 3" xfId="6272" xr:uid="{00000000-0005-0000-0000-00007C180000}"/>
    <cellStyle name="20% - Accent4 5 2 5 2 2 3" xfId="6273" xr:uid="{00000000-0005-0000-0000-00007D180000}"/>
    <cellStyle name="20% - Accent4 5 2 5 2 2 3 2" xfId="6274" xr:uid="{00000000-0005-0000-0000-00007E180000}"/>
    <cellStyle name="20% - Accent4 5 2 5 2 2 4" xfId="6275" xr:uid="{00000000-0005-0000-0000-00007F180000}"/>
    <cellStyle name="20% - Accent4 5 2 5 2 3" xfId="6276" xr:uid="{00000000-0005-0000-0000-000080180000}"/>
    <cellStyle name="20% - Accent4 5 2 5 2 3 2" xfId="6277" xr:uid="{00000000-0005-0000-0000-000081180000}"/>
    <cellStyle name="20% - Accent4 5 2 5 2 3 2 2" xfId="6278" xr:uid="{00000000-0005-0000-0000-000082180000}"/>
    <cellStyle name="20% - Accent4 5 2 5 2 3 3" xfId="6279" xr:uid="{00000000-0005-0000-0000-000083180000}"/>
    <cellStyle name="20% - Accent4 5 2 5 2 4" xfId="6280" xr:uid="{00000000-0005-0000-0000-000084180000}"/>
    <cellStyle name="20% - Accent4 5 2 5 2 4 2" xfId="6281" xr:uid="{00000000-0005-0000-0000-000085180000}"/>
    <cellStyle name="20% - Accent4 5 2 5 2 4 2 2" xfId="6282" xr:uid="{00000000-0005-0000-0000-000086180000}"/>
    <cellStyle name="20% - Accent4 5 2 5 2 4 3" xfId="6283" xr:uid="{00000000-0005-0000-0000-000087180000}"/>
    <cellStyle name="20% - Accent4 5 2 5 2 5" xfId="6284" xr:uid="{00000000-0005-0000-0000-000088180000}"/>
    <cellStyle name="20% - Accent4 5 2 5 2 5 2" xfId="6285" xr:uid="{00000000-0005-0000-0000-000089180000}"/>
    <cellStyle name="20% - Accent4 5 2 5 2 5 2 2" xfId="6286" xr:uid="{00000000-0005-0000-0000-00008A180000}"/>
    <cellStyle name="20% - Accent4 5 2 5 2 5 3" xfId="6287" xr:uid="{00000000-0005-0000-0000-00008B180000}"/>
    <cellStyle name="20% - Accent4 5 2 5 2 6" xfId="6288" xr:uid="{00000000-0005-0000-0000-00008C180000}"/>
    <cellStyle name="20% - Accent4 5 2 5 2 6 2" xfId="6289" xr:uid="{00000000-0005-0000-0000-00008D180000}"/>
    <cellStyle name="20% - Accent4 5 2 5 2 6 2 2" xfId="6290" xr:uid="{00000000-0005-0000-0000-00008E180000}"/>
    <cellStyle name="20% - Accent4 5 2 5 2 6 3" xfId="6291" xr:uid="{00000000-0005-0000-0000-00008F180000}"/>
    <cellStyle name="20% - Accent4 5 2 5 2 7" xfId="6292" xr:uid="{00000000-0005-0000-0000-000090180000}"/>
    <cellStyle name="20% - Accent4 5 2 5 2 7 2" xfId="6293" xr:uid="{00000000-0005-0000-0000-000091180000}"/>
    <cellStyle name="20% - Accent4 5 2 5 2 8" xfId="6294" xr:uid="{00000000-0005-0000-0000-000092180000}"/>
    <cellStyle name="20% - Accent4 5 2 5 3" xfId="6295" xr:uid="{00000000-0005-0000-0000-000093180000}"/>
    <cellStyle name="20% - Accent4 5 2 5 3 2" xfId="6296" xr:uid="{00000000-0005-0000-0000-000094180000}"/>
    <cellStyle name="20% - Accent4 5 2 5 3 2 2" xfId="6297" xr:uid="{00000000-0005-0000-0000-000095180000}"/>
    <cellStyle name="20% - Accent4 5 2 5 3 2 2 2" xfId="6298" xr:uid="{00000000-0005-0000-0000-000096180000}"/>
    <cellStyle name="20% - Accent4 5 2 5 3 2 2 2 2" xfId="6299" xr:uid="{00000000-0005-0000-0000-000097180000}"/>
    <cellStyle name="20% - Accent4 5 2 5 3 2 2 3" xfId="6300" xr:uid="{00000000-0005-0000-0000-000098180000}"/>
    <cellStyle name="20% - Accent4 5 2 5 3 2 3" xfId="6301" xr:uid="{00000000-0005-0000-0000-000099180000}"/>
    <cellStyle name="20% - Accent4 5 2 5 3 2 3 2" xfId="6302" xr:uid="{00000000-0005-0000-0000-00009A180000}"/>
    <cellStyle name="20% - Accent4 5 2 5 3 2 4" xfId="6303" xr:uid="{00000000-0005-0000-0000-00009B180000}"/>
    <cellStyle name="20% - Accent4 5 2 5 3 3" xfId="6304" xr:uid="{00000000-0005-0000-0000-00009C180000}"/>
    <cellStyle name="20% - Accent4 5 2 5 3 3 2" xfId="6305" xr:uid="{00000000-0005-0000-0000-00009D180000}"/>
    <cellStyle name="20% - Accent4 5 2 5 3 3 2 2" xfId="6306" xr:uid="{00000000-0005-0000-0000-00009E180000}"/>
    <cellStyle name="20% - Accent4 5 2 5 3 3 3" xfId="6307" xr:uid="{00000000-0005-0000-0000-00009F180000}"/>
    <cellStyle name="20% - Accent4 5 2 5 3 4" xfId="6308" xr:uid="{00000000-0005-0000-0000-0000A0180000}"/>
    <cellStyle name="20% - Accent4 5 2 5 3 4 2" xfId="6309" xr:uid="{00000000-0005-0000-0000-0000A1180000}"/>
    <cellStyle name="20% - Accent4 5 2 5 3 4 2 2" xfId="6310" xr:uid="{00000000-0005-0000-0000-0000A2180000}"/>
    <cellStyle name="20% - Accent4 5 2 5 3 4 3" xfId="6311" xr:uid="{00000000-0005-0000-0000-0000A3180000}"/>
    <cellStyle name="20% - Accent4 5 2 5 3 5" xfId="6312" xr:uid="{00000000-0005-0000-0000-0000A4180000}"/>
    <cellStyle name="20% - Accent4 5 2 5 3 5 2" xfId="6313" xr:uid="{00000000-0005-0000-0000-0000A5180000}"/>
    <cellStyle name="20% - Accent4 5 2 5 3 5 2 2" xfId="6314" xr:uid="{00000000-0005-0000-0000-0000A6180000}"/>
    <cellStyle name="20% - Accent4 5 2 5 3 5 3" xfId="6315" xr:uid="{00000000-0005-0000-0000-0000A7180000}"/>
    <cellStyle name="20% - Accent4 5 2 5 3 6" xfId="6316" xr:uid="{00000000-0005-0000-0000-0000A8180000}"/>
    <cellStyle name="20% - Accent4 5 2 5 3 6 2" xfId="6317" xr:uid="{00000000-0005-0000-0000-0000A9180000}"/>
    <cellStyle name="20% - Accent4 5 2 5 3 6 2 2" xfId="6318" xr:uid="{00000000-0005-0000-0000-0000AA180000}"/>
    <cellStyle name="20% - Accent4 5 2 5 3 6 3" xfId="6319" xr:uid="{00000000-0005-0000-0000-0000AB180000}"/>
    <cellStyle name="20% - Accent4 5 2 5 3 7" xfId="6320" xr:uid="{00000000-0005-0000-0000-0000AC180000}"/>
    <cellStyle name="20% - Accent4 5 2 5 3 7 2" xfId="6321" xr:uid="{00000000-0005-0000-0000-0000AD180000}"/>
    <cellStyle name="20% - Accent4 5 2 5 3 8" xfId="6322" xr:uid="{00000000-0005-0000-0000-0000AE180000}"/>
    <cellStyle name="20% - Accent4 5 2 5 4" xfId="6323" xr:uid="{00000000-0005-0000-0000-0000AF180000}"/>
    <cellStyle name="20% - Accent4 5 2 5 4 2" xfId="6324" xr:uid="{00000000-0005-0000-0000-0000B0180000}"/>
    <cellStyle name="20% - Accent4 5 2 5 4 2 2" xfId="6325" xr:uid="{00000000-0005-0000-0000-0000B1180000}"/>
    <cellStyle name="20% - Accent4 5 2 5 4 2 2 2" xfId="6326" xr:uid="{00000000-0005-0000-0000-0000B2180000}"/>
    <cellStyle name="20% - Accent4 5 2 5 4 2 2 2 2" xfId="6327" xr:uid="{00000000-0005-0000-0000-0000B3180000}"/>
    <cellStyle name="20% - Accent4 5 2 5 4 2 2 3" xfId="6328" xr:uid="{00000000-0005-0000-0000-0000B4180000}"/>
    <cellStyle name="20% - Accent4 5 2 5 4 2 3" xfId="6329" xr:uid="{00000000-0005-0000-0000-0000B5180000}"/>
    <cellStyle name="20% - Accent4 5 2 5 4 2 3 2" xfId="6330" xr:uid="{00000000-0005-0000-0000-0000B6180000}"/>
    <cellStyle name="20% - Accent4 5 2 5 4 2 4" xfId="6331" xr:uid="{00000000-0005-0000-0000-0000B7180000}"/>
    <cellStyle name="20% - Accent4 5 2 5 4 3" xfId="6332" xr:uid="{00000000-0005-0000-0000-0000B8180000}"/>
    <cellStyle name="20% - Accent4 5 2 5 4 3 2" xfId="6333" xr:uid="{00000000-0005-0000-0000-0000B9180000}"/>
    <cellStyle name="20% - Accent4 5 2 5 4 3 2 2" xfId="6334" xr:uid="{00000000-0005-0000-0000-0000BA180000}"/>
    <cellStyle name="20% - Accent4 5 2 5 4 3 3" xfId="6335" xr:uid="{00000000-0005-0000-0000-0000BB180000}"/>
    <cellStyle name="20% - Accent4 5 2 5 4 4" xfId="6336" xr:uid="{00000000-0005-0000-0000-0000BC180000}"/>
    <cellStyle name="20% - Accent4 5 2 5 4 4 2" xfId="6337" xr:uid="{00000000-0005-0000-0000-0000BD180000}"/>
    <cellStyle name="20% - Accent4 5 2 5 4 4 2 2" xfId="6338" xr:uid="{00000000-0005-0000-0000-0000BE180000}"/>
    <cellStyle name="20% - Accent4 5 2 5 4 4 3" xfId="6339" xr:uid="{00000000-0005-0000-0000-0000BF180000}"/>
    <cellStyle name="20% - Accent4 5 2 5 4 5" xfId="6340" xr:uid="{00000000-0005-0000-0000-0000C0180000}"/>
    <cellStyle name="20% - Accent4 5 2 5 4 5 2" xfId="6341" xr:uid="{00000000-0005-0000-0000-0000C1180000}"/>
    <cellStyle name="20% - Accent4 5 2 5 4 5 2 2" xfId="6342" xr:uid="{00000000-0005-0000-0000-0000C2180000}"/>
    <cellStyle name="20% - Accent4 5 2 5 4 5 3" xfId="6343" xr:uid="{00000000-0005-0000-0000-0000C3180000}"/>
    <cellStyle name="20% - Accent4 5 2 5 4 6" xfId="6344" xr:uid="{00000000-0005-0000-0000-0000C4180000}"/>
    <cellStyle name="20% - Accent4 5 2 5 4 6 2" xfId="6345" xr:uid="{00000000-0005-0000-0000-0000C5180000}"/>
    <cellStyle name="20% - Accent4 5 2 5 4 6 2 2" xfId="6346" xr:uid="{00000000-0005-0000-0000-0000C6180000}"/>
    <cellStyle name="20% - Accent4 5 2 5 4 6 3" xfId="6347" xr:uid="{00000000-0005-0000-0000-0000C7180000}"/>
    <cellStyle name="20% - Accent4 5 2 5 4 7" xfId="6348" xr:uid="{00000000-0005-0000-0000-0000C8180000}"/>
    <cellStyle name="20% - Accent4 5 2 5 4 7 2" xfId="6349" xr:uid="{00000000-0005-0000-0000-0000C9180000}"/>
    <cellStyle name="20% - Accent4 5 2 5 4 8" xfId="6350" xr:uid="{00000000-0005-0000-0000-0000CA180000}"/>
    <cellStyle name="20% - Accent4 5 2 5 5" xfId="6351" xr:uid="{00000000-0005-0000-0000-0000CB180000}"/>
    <cellStyle name="20% - Accent4 5 2 5 5 2" xfId="6352" xr:uid="{00000000-0005-0000-0000-0000CC180000}"/>
    <cellStyle name="20% - Accent4 5 2 5 5 2 2" xfId="6353" xr:uid="{00000000-0005-0000-0000-0000CD180000}"/>
    <cellStyle name="20% - Accent4 5 2 5 5 2 2 2" xfId="6354" xr:uid="{00000000-0005-0000-0000-0000CE180000}"/>
    <cellStyle name="20% - Accent4 5 2 5 5 2 2 2 2" xfId="6355" xr:uid="{00000000-0005-0000-0000-0000CF180000}"/>
    <cellStyle name="20% - Accent4 5 2 5 5 2 2 3" xfId="6356" xr:uid="{00000000-0005-0000-0000-0000D0180000}"/>
    <cellStyle name="20% - Accent4 5 2 5 5 2 3" xfId="6357" xr:uid="{00000000-0005-0000-0000-0000D1180000}"/>
    <cellStyle name="20% - Accent4 5 2 5 5 2 3 2" xfId="6358" xr:uid="{00000000-0005-0000-0000-0000D2180000}"/>
    <cellStyle name="20% - Accent4 5 2 5 5 2 4" xfId="6359" xr:uid="{00000000-0005-0000-0000-0000D3180000}"/>
    <cellStyle name="20% - Accent4 5 2 5 5 3" xfId="6360" xr:uid="{00000000-0005-0000-0000-0000D4180000}"/>
    <cellStyle name="20% - Accent4 5 2 5 5 3 2" xfId="6361" xr:uid="{00000000-0005-0000-0000-0000D5180000}"/>
    <cellStyle name="20% - Accent4 5 2 5 5 3 2 2" xfId="6362" xr:uid="{00000000-0005-0000-0000-0000D6180000}"/>
    <cellStyle name="20% - Accent4 5 2 5 5 3 3" xfId="6363" xr:uid="{00000000-0005-0000-0000-0000D7180000}"/>
    <cellStyle name="20% - Accent4 5 2 5 5 4" xfId="6364" xr:uid="{00000000-0005-0000-0000-0000D8180000}"/>
    <cellStyle name="20% - Accent4 5 2 5 5 4 2" xfId="6365" xr:uid="{00000000-0005-0000-0000-0000D9180000}"/>
    <cellStyle name="20% - Accent4 5 2 5 5 5" xfId="6366" xr:uid="{00000000-0005-0000-0000-0000DA180000}"/>
    <cellStyle name="20% - Accent4 5 2 5 6" xfId="6367" xr:uid="{00000000-0005-0000-0000-0000DB180000}"/>
    <cellStyle name="20% - Accent4 5 2 5 6 2" xfId="6368" xr:uid="{00000000-0005-0000-0000-0000DC180000}"/>
    <cellStyle name="20% - Accent4 5 2 5 6 2 2" xfId="6369" xr:uid="{00000000-0005-0000-0000-0000DD180000}"/>
    <cellStyle name="20% - Accent4 5 2 5 6 2 2 2" xfId="6370" xr:uid="{00000000-0005-0000-0000-0000DE180000}"/>
    <cellStyle name="20% - Accent4 5 2 5 6 2 2 2 2" xfId="6371" xr:uid="{00000000-0005-0000-0000-0000DF180000}"/>
    <cellStyle name="20% - Accent4 5 2 5 6 2 2 3" xfId="6372" xr:uid="{00000000-0005-0000-0000-0000E0180000}"/>
    <cellStyle name="20% - Accent4 5 2 5 6 2 3" xfId="6373" xr:uid="{00000000-0005-0000-0000-0000E1180000}"/>
    <cellStyle name="20% - Accent4 5 2 5 6 2 3 2" xfId="6374" xr:uid="{00000000-0005-0000-0000-0000E2180000}"/>
    <cellStyle name="20% - Accent4 5 2 5 6 2 4" xfId="6375" xr:uid="{00000000-0005-0000-0000-0000E3180000}"/>
    <cellStyle name="20% - Accent4 5 2 5 6 3" xfId="6376" xr:uid="{00000000-0005-0000-0000-0000E4180000}"/>
    <cellStyle name="20% - Accent4 5 2 5 6 3 2" xfId="6377" xr:uid="{00000000-0005-0000-0000-0000E5180000}"/>
    <cellStyle name="20% - Accent4 5 2 5 6 3 2 2" xfId="6378" xr:uid="{00000000-0005-0000-0000-0000E6180000}"/>
    <cellStyle name="20% - Accent4 5 2 5 6 3 3" xfId="6379" xr:uid="{00000000-0005-0000-0000-0000E7180000}"/>
    <cellStyle name="20% - Accent4 5 2 5 6 4" xfId="6380" xr:uid="{00000000-0005-0000-0000-0000E8180000}"/>
    <cellStyle name="20% - Accent4 5 2 5 6 4 2" xfId="6381" xr:uid="{00000000-0005-0000-0000-0000E9180000}"/>
    <cellStyle name="20% - Accent4 5 2 5 6 5" xfId="6382" xr:uid="{00000000-0005-0000-0000-0000EA180000}"/>
    <cellStyle name="20% - Accent4 5 2 5 7" xfId="6383" xr:uid="{00000000-0005-0000-0000-0000EB180000}"/>
    <cellStyle name="20% - Accent4 5 2 5 7 2" xfId="6384" xr:uid="{00000000-0005-0000-0000-0000EC180000}"/>
    <cellStyle name="20% - Accent4 5 2 5 7 2 2" xfId="6385" xr:uid="{00000000-0005-0000-0000-0000ED180000}"/>
    <cellStyle name="20% - Accent4 5 2 5 7 2 2 2" xfId="6386" xr:uid="{00000000-0005-0000-0000-0000EE180000}"/>
    <cellStyle name="20% - Accent4 5 2 5 7 2 3" xfId="6387" xr:uid="{00000000-0005-0000-0000-0000EF180000}"/>
    <cellStyle name="20% - Accent4 5 2 5 7 3" xfId="6388" xr:uid="{00000000-0005-0000-0000-0000F0180000}"/>
    <cellStyle name="20% - Accent4 5 2 5 7 3 2" xfId="6389" xr:uid="{00000000-0005-0000-0000-0000F1180000}"/>
    <cellStyle name="20% - Accent4 5 2 5 7 4" xfId="6390" xr:uid="{00000000-0005-0000-0000-0000F2180000}"/>
    <cellStyle name="20% - Accent4 5 2 5 8" xfId="6391" xr:uid="{00000000-0005-0000-0000-0000F3180000}"/>
    <cellStyle name="20% - Accent4 5 2 5 8 2" xfId="6392" xr:uid="{00000000-0005-0000-0000-0000F4180000}"/>
    <cellStyle name="20% - Accent4 5 2 5 8 2 2" xfId="6393" xr:uid="{00000000-0005-0000-0000-0000F5180000}"/>
    <cellStyle name="20% - Accent4 5 2 5 8 2 2 2" xfId="6394" xr:uid="{00000000-0005-0000-0000-0000F6180000}"/>
    <cellStyle name="20% - Accent4 5 2 5 8 2 3" xfId="6395" xr:uid="{00000000-0005-0000-0000-0000F7180000}"/>
    <cellStyle name="20% - Accent4 5 2 5 8 3" xfId="6396" xr:uid="{00000000-0005-0000-0000-0000F8180000}"/>
    <cellStyle name="20% - Accent4 5 2 5 8 3 2" xfId="6397" xr:uid="{00000000-0005-0000-0000-0000F9180000}"/>
    <cellStyle name="20% - Accent4 5 2 5 8 4" xfId="6398" xr:uid="{00000000-0005-0000-0000-0000FA180000}"/>
    <cellStyle name="20% - Accent4 5 2 5 9" xfId="6399" xr:uid="{00000000-0005-0000-0000-0000FB180000}"/>
    <cellStyle name="20% - Accent4 5 2 5 9 2" xfId="6400" xr:uid="{00000000-0005-0000-0000-0000FC180000}"/>
    <cellStyle name="20% - Accent4 5 2 5 9 2 2" xfId="6401" xr:uid="{00000000-0005-0000-0000-0000FD180000}"/>
    <cellStyle name="20% - Accent4 5 2 5 9 3" xfId="6402" xr:uid="{00000000-0005-0000-0000-0000FE180000}"/>
    <cellStyle name="20% - Accent4 5 2 6" xfId="6403" xr:uid="{00000000-0005-0000-0000-0000FF180000}"/>
    <cellStyle name="20% - Accent4 5 2 6 10" xfId="6404" xr:uid="{00000000-0005-0000-0000-000000190000}"/>
    <cellStyle name="20% - Accent4 5 2 6 10 2" xfId="6405" xr:uid="{00000000-0005-0000-0000-000001190000}"/>
    <cellStyle name="20% - Accent4 5 2 6 10 2 2" xfId="6406" xr:uid="{00000000-0005-0000-0000-000002190000}"/>
    <cellStyle name="20% - Accent4 5 2 6 10 3" xfId="6407" xr:uid="{00000000-0005-0000-0000-000003190000}"/>
    <cellStyle name="20% - Accent4 5 2 6 11" xfId="6408" xr:uid="{00000000-0005-0000-0000-000004190000}"/>
    <cellStyle name="20% - Accent4 5 2 6 11 2" xfId="6409" xr:uid="{00000000-0005-0000-0000-000005190000}"/>
    <cellStyle name="20% - Accent4 5 2 6 11 2 2" xfId="6410" xr:uid="{00000000-0005-0000-0000-000006190000}"/>
    <cellStyle name="20% - Accent4 5 2 6 11 3" xfId="6411" xr:uid="{00000000-0005-0000-0000-000007190000}"/>
    <cellStyle name="20% - Accent4 5 2 6 12" xfId="6412" xr:uid="{00000000-0005-0000-0000-000008190000}"/>
    <cellStyle name="20% - Accent4 5 2 6 12 2" xfId="6413" xr:uid="{00000000-0005-0000-0000-000009190000}"/>
    <cellStyle name="20% - Accent4 5 2 6 12 2 2" xfId="6414" xr:uid="{00000000-0005-0000-0000-00000A190000}"/>
    <cellStyle name="20% - Accent4 5 2 6 12 3" xfId="6415" xr:uid="{00000000-0005-0000-0000-00000B190000}"/>
    <cellStyle name="20% - Accent4 5 2 6 13" xfId="6416" xr:uid="{00000000-0005-0000-0000-00000C190000}"/>
    <cellStyle name="20% - Accent4 5 2 6 13 2" xfId="6417" xr:uid="{00000000-0005-0000-0000-00000D190000}"/>
    <cellStyle name="20% - Accent4 5 2 6 14" xfId="6418" xr:uid="{00000000-0005-0000-0000-00000E190000}"/>
    <cellStyle name="20% - Accent4 5 2 6 2" xfId="6419" xr:uid="{00000000-0005-0000-0000-00000F190000}"/>
    <cellStyle name="20% - Accent4 5 2 6 2 2" xfId="6420" xr:uid="{00000000-0005-0000-0000-000010190000}"/>
    <cellStyle name="20% - Accent4 5 2 6 2 2 2" xfId="6421" xr:uid="{00000000-0005-0000-0000-000011190000}"/>
    <cellStyle name="20% - Accent4 5 2 6 2 2 2 2" xfId="6422" xr:uid="{00000000-0005-0000-0000-000012190000}"/>
    <cellStyle name="20% - Accent4 5 2 6 2 2 2 2 2" xfId="6423" xr:uid="{00000000-0005-0000-0000-000013190000}"/>
    <cellStyle name="20% - Accent4 5 2 6 2 2 2 3" xfId="6424" xr:uid="{00000000-0005-0000-0000-000014190000}"/>
    <cellStyle name="20% - Accent4 5 2 6 2 2 3" xfId="6425" xr:uid="{00000000-0005-0000-0000-000015190000}"/>
    <cellStyle name="20% - Accent4 5 2 6 2 2 3 2" xfId="6426" xr:uid="{00000000-0005-0000-0000-000016190000}"/>
    <cellStyle name="20% - Accent4 5 2 6 2 2 4" xfId="6427" xr:uid="{00000000-0005-0000-0000-000017190000}"/>
    <cellStyle name="20% - Accent4 5 2 6 2 3" xfId="6428" xr:uid="{00000000-0005-0000-0000-000018190000}"/>
    <cellStyle name="20% - Accent4 5 2 6 2 3 2" xfId="6429" xr:uid="{00000000-0005-0000-0000-000019190000}"/>
    <cellStyle name="20% - Accent4 5 2 6 2 3 2 2" xfId="6430" xr:uid="{00000000-0005-0000-0000-00001A190000}"/>
    <cellStyle name="20% - Accent4 5 2 6 2 3 3" xfId="6431" xr:uid="{00000000-0005-0000-0000-00001B190000}"/>
    <cellStyle name="20% - Accent4 5 2 6 2 4" xfId="6432" xr:uid="{00000000-0005-0000-0000-00001C190000}"/>
    <cellStyle name="20% - Accent4 5 2 6 2 4 2" xfId="6433" xr:uid="{00000000-0005-0000-0000-00001D190000}"/>
    <cellStyle name="20% - Accent4 5 2 6 2 4 2 2" xfId="6434" xr:uid="{00000000-0005-0000-0000-00001E190000}"/>
    <cellStyle name="20% - Accent4 5 2 6 2 4 3" xfId="6435" xr:uid="{00000000-0005-0000-0000-00001F190000}"/>
    <cellStyle name="20% - Accent4 5 2 6 2 5" xfId="6436" xr:uid="{00000000-0005-0000-0000-000020190000}"/>
    <cellStyle name="20% - Accent4 5 2 6 2 5 2" xfId="6437" xr:uid="{00000000-0005-0000-0000-000021190000}"/>
    <cellStyle name="20% - Accent4 5 2 6 2 5 2 2" xfId="6438" xr:uid="{00000000-0005-0000-0000-000022190000}"/>
    <cellStyle name="20% - Accent4 5 2 6 2 5 3" xfId="6439" xr:uid="{00000000-0005-0000-0000-000023190000}"/>
    <cellStyle name="20% - Accent4 5 2 6 2 6" xfId="6440" xr:uid="{00000000-0005-0000-0000-000024190000}"/>
    <cellStyle name="20% - Accent4 5 2 6 2 6 2" xfId="6441" xr:uid="{00000000-0005-0000-0000-000025190000}"/>
    <cellStyle name="20% - Accent4 5 2 6 2 6 2 2" xfId="6442" xr:uid="{00000000-0005-0000-0000-000026190000}"/>
    <cellStyle name="20% - Accent4 5 2 6 2 6 3" xfId="6443" xr:uid="{00000000-0005-0000-0000-000027190000}"/>
    <cellStyle name="20% - Accent4 5 2 6 2 7" xfId="6444" xr:uid="{00000000-0005-0000-0000-000028190000}"/>
    <cellStyle name="20% - Accent4 5 2 6 2 7 2" xfId="6445" xr:uid="{00000000-0005-0000-0000-000029190000}"/>
    <cellStyle name="20% - Accent4 5 2 6 2 8" xfId="6446" xr:uid="{00000000-0005-0000-0000-00002A190000}"/>
    <cellStyle name="20% - Accent4 5 2 6 3" xfId="6447" xr:uid="{00000000-0005-0000-0000-00002B190000}"/>
    <cellStyle name="20% - Accent4 5 2 6 3 2" xfId="6448" xr:uid="{00000000-0005-0000-0000-00002C190000}"/>
    <cellStyle name="20% - Accent4 5 2 6 3 2 2" xfId="6449" xr:uid="{00000000-0005-0000-0000-00002D190000}"/>
    <cellStyle name="20% - Accent4 5 2 6 3 2 2 2" xfId="6450" xr:uid="{00000000-0005-0000-0000-00002E190000}"/>
    <cellStyle name="20% - Accent4 5 2 6 3 2 2 2 2" xfId="6451" xr:uid="{00000000-0005-0000-0000-00002F190000}"/>
    <cellStyle name="20% - Accent4 5 2 6 3 2 2 3" xfId="6452" xr:uid="{00000000-0005-0000-0000-000030190000}"/>
    <cellStyle name="20% - Accent4 5 2 6 3 2 3" xfId="6453" xr:uid="{00000000-0005-0000-0000-000031190000}"/>
    <cellStyle name="20% - Accent4 5 2 6 3 2 3 2" xfId="6454" xr:uid="{00000000-0005-0000-0000-000032190000}"/>
    <cellStyle name="20% - Accent4 5 2 6 3 2 4" xfId="6455" xr:uid="{00000000-0005-0000-0000-000033190000}"/>
    <cellStyle name="20% - Accent4 5 2 6 3 3" xfId="6456" xr:uid="{00000000-0005-0000-0000-000034190000}"/>
    <cellStyle name="20% - Accent4 5 2 6 3 3 2" xfId="6457" xr:uid="{00000000-0005-0000-0000-000035190000}"/>
    <cellStyle name="20% - Accent4 5 2 6 3 3 2 2" xfId="6458" xr:uid="{00000000-0005-0000-0000-000036190000}"/>
    <cellStyle name="20% - Accent4 5 2 6 3 3 3" xfId="6459" xr:uid="{00000000-0005-0000-0000-000037190000}"/>
    <cellStyle name="20% - Accent4 5 2 6 3 4" xfId="6460" xr:uid="{00000000-0005-0000-0000-000038190000}"/>
    <cellStyle name="20% - Accent4 5 2 6 3 4 2" xfId="6461" xr:uid="{00000000-0005-0000-0000-000039190000}"/>
    <cellStyle name="20% - Accent4 5 2 6 3 4 2 2" xfId="6462" xr:uid="{00000000-0005-0000-0000-00003A190000}"/>
    <cellStyle name="20% - Accent4 5 2 6 3 4 3" xfId="6463" xr:uid="{00000000-0005-0000-0000-00003B190000}"/>
    <cellStyle name="20% - Accent4 5 2 6 3 5" xfId="6464" xr:uid="{00000000-0005-0000-0000-00003C190000}"/>
    <cellStyle name="20% - Accent4 5 2 6 3 5 2" xfId="6465" xr:uid="{00000000-0005-0000-0000-00003D190000}"/>
    <cellStyle name="20% - Accent4 5 2 6 3 5 2 2" xfId="6466" xr:uid="{00000000-0005-0000-0000-00003E190000}"/>
    <cellStyle name="20% - Accent4 5 2 6 3 5 3" xfId="6467" xr:uid="{00000000-0005-0000-0000-00003F190000}"/>
    <cellStyle name="20% - Accent4 5 2 6 3 6" xfId="6468" xr:uid="{00000000-0005-0000-0000-000040190000}"/>
    <cellStyle name="20% - Accent4 5 2 6 3 6 2" xfId="6469" xr:uid="{00000000-0005-0000-0000-000041190000}"/>
    <cellStyle name="20% - Accent4 5 2 6 3 6 2 2" xfId="6470" xr:uid="{00000000-0005-0000-0000-000042190000}"/>
    <cellStyle name="20% - Accent4 5 2 6 3 6 3" xfId="6471" xr:uid="{00000000-0005-0000-0000-000043190000}"/>
    <cellStyle name="20% - Accent4 5 2 6 3 7" xfId="6472" xr:uid="{00000000-0005-0000-0000-000044190000}"/>
    <cellStyle name="20% - Accent4 5 2 6 3 7 2" xfId="6473" xr:uid="{00000000-0005-0000-0000-000045190000}"/>
    <cellStyle name="20% - Accent4 5 2 6 3 8" xfId="6474" xr:uid="{00000000-0005-0000-0000-000046190000}"/>
    <cellStyle name="20% - Accent4 5 2 6 4" xfId="6475" xr:uid="{00000000-0005-0000-0000-000047190000}"/>
    <cellStyle name="20% - Accent4 5 2 6 4 2" xfId="6476" xr:uid="{00000000-0005-0000-0000-000048190000}"/>
    <cellStyle name="20% - Accent4 5 2 6 4 2 2" xfId="6477" xr:uid="{00000000-0005-0000-0000-000049190000}"/>
    <cellStyle name="20% - Accent4 5 2 6 4 2 2 2" xfId="6478" xr:uid="{00000000-0005-0000-0000-00004A190000}"/>
    <cellStyle name="20% - Accent4 5 2 6 4 2 2 2 2" xfId="6479" xr:uid="{00000000-0005-0000-0000-00004B190000}"/>
    <cellStyle name="20% - Accent4 5 2 6 4 2 2 3" xfId="6480" xr:uid="{00000000-0005-0000-0000-00004C190000}"/>
    <cellStyle name="20% - Accent4 5 2 6 4 2 3" xfId="6481" xr:uid="{00000000-0005-0000-0000-00004D190000}"/>
    <cellStyle name="20% - Accent4 5 2 6 4 2 3 2" xfId="6482" xr:uid="{00000000-0005-0000-0000-00004E190000}"/>
    <cellStyle name="20% - Accent4 5 2 6 4 2 4" xfId="6483" xr:uid="{00000000-0005-0000-0000-00004F190000}"/>
    <cellStyle name="20% - Accent4 5 2 6 4 3" xfId="6484" xr:uid="{00000000-0005-0000-0000-000050190000}"/>
    <cellStyle name="20% - Accent4 5 2 6 4 3 2" xfId="6485" xr:uid="{00000000-0005-0000-0000-000051190000}"/>
    <cellStyle name="20% - Accent4 5 2 6 4 3 2 2" xfId="6486" xr:uid="{00000000-0005-0000-0000-000052190000}"/>
    <cellStyle name="20% - Accent4 5 2 6 4 3 3" xfId="6487" xr:uid="{00000000-0005-0000-0000-000053190000}"/>
    <cellStyle name="20% - Accent4 5 2 6 4 4" xfId="6488" xr:uid="{00000000-0005-0000-0000-000054190000}"/>
    <cellStyle name="20% - Accent4 5 2 6 4 4 2" xfId="6489" xr:uid="{00000000-0005-0000-0000-000055190000}"/>
    <cellStyle name="20% - Accent4 5 2 6 4 4 2 2" xfId="6490" xr:uid="{00000000-0005-0000-0000-000056190000}"/>
    <cellStyle name="20% - Accent4 5 2 6 4 4 3" xfId="6491" xr:uid="{00000000-0005-0000-0000-000057190000}"/>
    <cellStyle name="20% - Accent4 5 2 6 4 5" xfId="6492" xr:uid="{00000000-0005-0000-0000-000058190000}"/>
    <cellStyle name="20% - Accent4 5 2 6 4 5 2" xfId="6493" xr:uid="{00000000-0005-0000-0000-000059190000}"/>
    <cellStyle name="20% - Accent4 5 2 6 4 5 2 2" xfId="6494" xr:uid="{00000000-0005-0000-0000-00005A190000}"/>
    <cellStyle name="20% - Accent4 5 2 6 4 5 3" xfId="6495" xr:uid="{00000000-0005-0000-0000-00005B190000}"/>
    <cellStyle name="20% - Accent4 5 2 6 4 6" xfId="6496" xr:uid="{00000000-0005-0000-0000-00005C190000}"/>
    <cellStyle name="20% - Accent4 5 2 6 4 6 2" xfId="6497" xr:uid="{00000000-0005-0000-0000-00005D190000}"/>
    <cellStyle name="20% - Accent4 5 2 6 4 6 2 2" xfId="6498" xr:uid="{00000000-0005-0000-0000-00005E190000}"/>
    <cellStyle name="20% - Accent4 5 2 6 4 6 3" xfId="6499" xr:uid="{00000000-0005-0000-0000-00005F190000}"/>
    <cellStyle name="20% - Accent4 5 2 6 4 7" xfId="6500" xr:uid="{00000000-0005-0000-0000-000060190000}"/>
    <cellStyle name="20% - Accent4 5 2 6 4 7 2" xfId="6501" xr:uid="{00000000-0005-0000-0000-000061190000}"/>
    <cellStyle name="20% - Accent4 5 2 6 4 8" xfId="6502" xr:uid="{00000000-0005-0000-0000-000062190000}"/>
    <cellStyle name="20% - Accent4 5 2 6 5" xfId="6503" xr:uid="{00000000-0005-0000-0000-000063190000}"/>
    <cellStyle name="20% - Accent4 5 2 6 5 2" xfId="6504" xr:uid="{00000000-0005-0000-0000-000064190000}"/>
    <cellStyle name="20% - Accent4 5 2 6 5 2 2" xfId="6505" xr:uid="{00000000-0005-0000-0000-000065190000}"/>
    <cellStyle name="20% - Accent4 5 2 6 5 2 2 2" xfId="6506" xr:uid="{00000000-0005-0000-0000-000066190000}"/>
    <cellStyle name="20% - Accent4 5 2 6 5 2 2 2 2" xfId="6507" xr:uid="{00000000-0005-0000-0000-000067190000}"/>
    <cellStyle name="20% - Accent4 5 2 6 5 2 2 3" xfId="6508" xr:uid="{00000000-0005-0000-0000-000068190000}"/>
    <cellStyle name="20% - Accent4 5 2 6 5 2 3" xfId="6509" xr:uid="{00000000-0005-0000-0000-000069190000}"/>
    <cellStyle name="20% - Accent4 5 2 6 5 2 3 2" xfId="6510" xr:uid="{00000000-0005-0000-0000-00006A190000}"/>
    <cellStyle name="20% - Accent4 5 2 6 5 2 4" xfId="6511" xr:uid="{00000000-0005-0000-0000-00006B190000}"/>
    <cellStyle name="20% - Accent4 5 2 6 5 3" xfId="6512" xr:uid="{00000000-0005-0000-0000-00006C190000}"/>
    <cellStyle name="20% - Accent4 5 2 6 5 3 2" xfId="6513" xr:uid="{00000000-0005-0000-0000-00006D190000}"/>
    <cellStyle name="20% - Accent4 5 2 6 5 3 2 2" xfId="6514" xr:uid="{00000000-0005-0000-0000-00006E190000}"/>
    <cellStyle name="20% - Accent4 5 2 6 5 3 3" xfId="6515" xr:uid="{00000000-0005-0000-0000-00006F190000}"/>
    <cellStyle name="20% - Accent4 5 2 6 5 4" xfId="6516" xr:uid="{00000000-0005-0000-0000-000070190000}"/>
    <cellStyle name="20% - Accent4 5 2 6 5 4 2" xfId="6517" xr:uid="{00000000-0005-0000-0000-000071190000}"/>
    <cellStyle name="20% - Accent4 5 2 6 5 5" xfId="6518" xr:uid="{00000000-0005-0000-0000-000072190000}"/>
    <cellStyle name="20% - Accent4 5 2 6 6" xfId="6519" xr:uid="{00000000-0005-0000-0000-000073190000}"/>
    <cellStyle name="20% - Accent4 5 2 6 6 2" xfId="6520" xr:uid="{00000000-0005-0000-0000-000074190000}"/>
    <cellStyle name="20% - Accent4 5 2 6 6 2 2" xfId="6521" xr:uid="{00000000-0005-0000-0000-000075190000}"/>
    <cellStyle name="20% - Accent4 5 2 6 6 2 2 2" xfId="6522" xr:uid="{00000000-0005-0000-0000-000076190000}"/>
    <cellStyle name="20% - Accent4 5 2 6 6 2 2 2 2" xfId="6523" xr:uid="{00000000-0005-0000-0000-000077190000}"/>
    <cellStyle name="20% - Accent4 5 2 6 6 2 2 3" xfId="6524" xr:uid="{00000000-0005-0000-0000-000078190000}"/>
    <cellStyle name="20% - Accent4 5 2 6 6 2 3" xfId="6525" xr:uid="{00000000-0005-0000-0000-000079190000}"/>
    <cellStyle name="20% - Accent4 5 2 6 6 2 3 2" xfId="6526" xr:uid="{00000000-0005-0000-0000-00007A190000}"/>
    <cellStyle name="20% - Accent4 5 2 6 6 2 4" xfId="6527" xr:uid="{00000000-0005-0000-0000-00007B190000}"/>
    <cellStyle name="20% - Accent4 5 2 6 6 3" xfId="6528" xr:uid="{00000000-0005-0000-0000-00007C190000}"/>
    <cellStyle name="20% - Accent4 5 2 6 6 3 2" xfId="6529" xr:uid="{00000000-0005-0000-0000-00007D190000}"/>
    <cellStyle name="20% - Accent4 5 2 6 6 3 2 2" xfId="6530" xr:uid="{00000000-0005-0000-0000-00007E190000}"/>
    <cellStyle name="20% - Accent4 5 2 6 6 3 3" xfId="6531" xr:uid="{00000000-0005-0000-0000-00007F190000}"/>
    <cellStyle name="20% - Accent4 5 2 6 6 4" xfId="6532" xr:uid="{00000000-0005-0000-0000-000080190000}"/>
    <cellStyle name="20% - Accent4 5 2 6 6 4 2" xfId="6533" xr:uid="{00000000-0005-0000-0000-000081190000}"/>
    <cellStyle name="20% - Accent4 5 2 6 6 5" xfId="6534" xr:uid="{00000000-0005-0000-0000-000082190000}"/>
    <cellStyle name="20% - Accent4 5 2 6 7" xfId="6535" xr:uid="{00000000-0005-0000-0000-000083190000}"/>
    <cellStyle name="20% - Accent4 5 2 6 7 2" xfId="6536" xr:uid="{00000000-0005-0000-0000-000084190000}"/>
    <cellStyle name="20% - Accent4 5 2 6 7 2 2" xfId="6537" xr:uid="{00000000-0005-0000-0000-000085190000}"/>
    <cellStyle name="20% - Accent4 5 2 6 7 2 2 2" xfId="6538" xr:uid="{00000000-0005-0000-0000-000086190000}"/>
    <cellStyle name="20% - Accent4 5 2 6 7 2 3" xfId="6539" xr:uid="{00000000-0005-0000-0000-000087190000}"/>
    <cellStyle name="20% - Accent4 5 2 6 7 3" xfId="6540" xr:uid="{00000000-0005-0000-0000-000088190000}"/>
    <cellStyle name="20% - Accent4 5 2 6 7 3 2" xfId="6541" xr:uid="{00000000-0005-0000-0000-000089190000}"/>
    <cellStyle name="20% - Accent4 5 2 6 7 4" xfId="6542" xr:uid="{00000000-0005-0000-0000-00008A190000}"/>
    <cellStyle name="20% - Accent4 5 2 6 8" xfId="6543" xr:uid="{00000000-0005-0000-0000-00008B190000}"/>
    <cellStyle name="20% - Accent4 5 2 6 8 2" xfId="6544" xr:uid="{00000000-0005-0000-0000-00008C190000}"/>
    <cellStyle name="20% - Accent4 5 2 6 8 2 2" xfId="6545" xr:uid="{00000000-0005-0000-0000-00008D190000}"/>
    <cellStyle name="20% - Accent4 5 2 6 8 2 2 2" xfId="6546" xr:uid="{00000000-0005-0000-0000-00008E190000}"/>
    <cellStyle name="20% - Accent4 5 2 6 8 2 3" xfId="6547" xr:uid="{00000000-0005-0000-0000-00008F190000}"/>
    <cellStyle name="20% - Accent4 5 2 6 8 3" xfId="6548" xr:uid="{00000000-0005-0000-0000-000090190000}"/>
    <cellStyle name="20% - Accent4 5 2 6 8 3 2" xfId="6549" xr:uid="{00000000-0005-0000-0000-000091190000}"/>
    <cellStyle name="20% - Accent4 5 2 6 8 4" xfId="6550" xr:uid="{00000000-0005-0000-0000-000092190000}"/>
    <cellStyle name="20% - Accent4 5 2 6 9" xfId="6551" xr:uid="{00000000-0005-0000-0000-000093190000}"/>
    <cellStyle name="20% - Accent4 5 2 6 9 2" xfId="6552" xr:uid="{00000000-0005-0000-0000-000094190000}"/>
    <cellStyle name="20% - Accent4 5 2 6 9 2 2" xfId="6553" xr:uid="{00000000-0005-0000-0000-000095190000}"/>
    <cellStyle name="20% - Accent4 5 2 6 9 3" xfId="6554" xr:uid="{00000000-0005-0000-0000-000096190000}"/>
    <cellStyle name="20% - Accent4 5 2 7" xfId="6555" xr:uid="{00000000-0005-0000-0000-000097190000}"/>
    <cellStyle name="20% - Accent4 5 2 7 2" xfId="6556" xr:uid="{00000000-0005-0000-0000-000098190000}"/>
    <cellStyle name="20% - Accent4 5 2 7 2 2" xfId="6557" xr:uid="{00000000-0005-0000-0000-000099190000}"/>
    <cellStyle name="20% - Accent4 5 2 7 2 2 2" xfId="6558" xr:uid="{00000000-0005-0000-0000-00009A190000}"/>
    <cellStyle name="20% - Accent4 5 2 7 2 2 2 2" xfId="6559" xr:uid="{00000000-0005-0000-0000-00009B190000}"/>
    <cellStyle name="20% - Accent4 5 2 7 2 2 3" xfId="6560" xr:uid="{00000000-0005-0000-0000-00009C190000}"/>
    <cellStyle name="20% - Accent4 5 2 7 2 3" xfId="6561" xr:uid="{00000000-0005-0000-0000-00009D190000}"/>
    <cellStyle name="20% - Accent4 5 2 7 2 3 2" xfId="6562" xr:uid="{00000000-0005-0000-0000-00009E190000}"/>
    <cellStyle name="20% - Accent4 5 2 7 2 4" xfId="6563" xr:uid="{00000000-0005-0000-0000-00009F190000}"/>
    <cellStyle name="20% - Accent4 5 2 7 3" xfId="6564" xr:uid="{00000000-0005-0000-0000-0000A0190000}"/>
    <cellStyle name="20% - Accent4 5 2 7 3 2" xfId="6565" xr:uid="{00000000-0005-0000-0000-0000A1190000}"/>
    <cellStyle name="20% - Accent4 5 2 7 3 2 2" xfId="6566" xr:uid="{00000000-0005-0000-0000-0000A2190000}"/>
    <cellStyle name="20% - Accent4 5 2 7 3 3" xfId="6567" xr:uid="{00000000-0005-0000-0000-0000A3190000}"/>
    <cellStyle name="20% - Accent4 5 2 7 4" xfId="6568" xr:uid="{00000000-0005-0000-0000-0000A4190000}"/>
    <cellStyle name="20% - Accent4 5 2 7 4 2" xfId="6569" xr:uid="{00000000-0005-0000-0000-0000A5190000}"/>
    <cellStyle name="20% - Accent4 5 2 7 4 2 2" xfId="6570" xr:uid="{00000000-0005-0000-0000-0000A6190000}"/>
    <cellStyle name="20% - Accent4 5 2 7 4 3" xfId="6571" xr:uid="{00000000-0005-0000-0000-0000A7190000}"/>
    <cellStyle name="20% - Accent4 5 2 7 5" xfId="6572" xr:uid="{00000000-0005-0000-0000-0000A8190000}"/>
    <cellStyle name="20% - Accent4 5 2 7 5 2" xfId="6573" xr:uid="{00000000-0005-0000-0000-0000A9190000}"/>
    <cellStyle name="20% - Accent4 5 2 7 5 2 2" xfId="6574" xr:uid="{00000000-0005-0000-0000-0000AA190000}"/>
    <cellStyle name="20% - Accent4 5 2 7 5 3" xfId="6575" xr:uid="{00000000-0005-0000-0000-0000AB190000}"/>
    <cellStyle name="20% - Accent4 5 2 7 6" xfId="6576" xr:uid="{00000000-0005-0000-0000-0000AC190000}"/>
    <cellStyle name="20% - Accent4 5 2 7 6 2" xfId="6577" xr:uid="{00000000-0005-0000-0000-0000AD190000}"/>
    <cellStyle name="20% - Accent4 5 2 7 6 2 2" xfId="6578" xr:uid="{00000000-0005-0000-0000-0000AE190000}"/>
    <cellStyle name="20% - Accent4 5 2 7 6 3" xfId="6579" xr:uid="{00000000-0005-0000-0000-0000AF190000}"/>
    <cellStyle name="20% - Accent4 5 2 7 7" xfId="6580" xr:uid="{00000000-0005-0000-0000-0000B0190000}"/>
    <cellStyle name="20% - Accent4 5 2 7 7 2" xfId="6581" xr:uid="{00000000-0005-0000-0000-0000B1190000}"/>
    <cellStyle name="20% - Accent4 5 2 7 8" xfId="6582" xr:uid="{00000000-0005-0000-0000-0000B2190000}"/>
    <cellStyle name="20% - Accent4 5 2 8" xfId="6583" xr:uid="{00000000-0005-0000-0000-0000B3190000}"/>
    <cellStyle name="20% - Accent4 5 2 8 2" xfId="6584" xr:uid="{00000000-0005-0000-0000-0000B4190000}"/>
    <cellStyle name="20% - Accent4 5 2 8 2 2" xfId="6585" xr:uid="{00000000-0005-0000-0000-0000B5190000}"/>
    <cellStyle name="20% - Accent4 5 2 8 2 2 2" xfId="6586" xr:uid="{00000000-0005-0000-0000-0000B6190000}"/>
    <cellStyle name="20% - Accent4 5 2 8 2 2 2 2" xfId="6587" xr:uid="{00000000-0005-0000-0000-0000B7190000}"/>
    <cellStyle name="20% - Accent4 5 2 8 2 2 3" xfId="6588" xr:uid="{00000000-0005-0000-0000-0000B8190000}"/>
    <cellStyle name="20% - Accent4 5 2 8 2 3" xfId="6589" xr:uid="{00000000-0005-0000-0000-0000B9190000}"/>
    <cellStyle name="20% - Accent4 5 2 8 2 3 2" xfId="6590" xr:uid="{00000000-0005-0000-0000-0000BA190000}"/>
    <cellStyle name="20% - Accent4 5 2 8 2 4" xfId="6591" xr:uid="{00000000-0005-0000-0000-0000BB190000}"/>
    <cellStyle name="20% - Accent4 5 2 8 3" xfId="6592" xr:uid="{00000000-0005-0000-0000-0000BC190000}"/>
    <cellStyle name="20% - Accent4 5 2 8 3 2" xfId="6593" xr:uid="{00000000-0005-0000-0000-0000BD190000}"/>
    <cellStyle name="20% - Accent4 5 2 8 3 2 2" xfId="6594" xr:uid="{00000000-0005-0000-0000-0000BE190000}"/>
    <cellStyle name="20% - Accent4 5 2 8 3 3" xfId="6595" xr:uid="{00000000-0005-0000-0000-0000BF190000}"/>
    <cellStyle name="20% - Accent4 5 2 8 4" xfId="6596" xr:uid="{00000000-0005-0000-0000-0000C0190000}"/>
    <cellStyle name="20% - Accent4 5 2 8 4 2" xfId="6597" xr:uid="{00000000-0005-0000-0000-0000C1190000}"/>
    <cellStyle name="20% - Accent4 5 2 8 4 2 2" xfId="6598" xr:uid="{00000000-0005-0000-0000-0000C2190000}"/>
    <cellStyle name="20% - Accent4 5 2 8 4 3" xfId="6599" xr:uid="{00000000-0005-0000-0000-0000C3190000}"/>
    <cellStyle name="20% - Accent4 5 2 8 5" xfId="6600" xr:uid="{00000000-0005-0000-0000-0000C4190000}"/>
    <cellStyle name="20% - Accent4 5 2 8 5 2" xfId="6601" xr:uid="{00000000-0005-0000-0000-0000C5190000}"/>
    <cellStyle name="20% - Accent4 5 2 8 5 2 2" xfId="6602" xr:uid="{00000000-0005-0000-0000-0000C6190000}"/>
    <cellStyle name="20% - Accent4 5 2 8 5 3" xfId="6603" xr:uid="{00000000-0005-0000-0000-0000C7190000}"/>
    <cellStyle name="20% - Accent4 5 2 8 6" xfId="6604" xr:uid="{00000000-0005-0000-0000-0000C8190000}"/>
    <cellStyle name="20% - Accent4 5 2 8 6 2" xfId="6605" xr:uid="{00000000-0005-0000-0000-0000C9190000}"/>
    <cellStyle name="20% - Accent4 5 2 8 6 2 2" xfId="6606" xr:uid="{00000000-0005-0000-0000-0000CA190000}"/>
    <cellStyle name="20% - Accent4 5 2 8 6 3" xfId="6607" xr:uid="{00000000-0005-0000-0000-0000CB190000}"/>
    <cellStyle name="20% - Accent4 5 2 8 7" xfId="6608" xr:uid="{00000000-0005-0000-0000-0000CC190000}"/>
    <cellStyle name="20% - Accent4 5 2 8 7 2" xfId="6609" xr:uid="{00000000-0005-0000-0000-0000CD190000}"/>
    <cellStyle name="20% - Accent4 5 2 8 8" xfId="6610" xr:uid="{00000000-0005-0000-0000-0000CE190000}"/>
    <cellStyle name="20% - Accent4 5 2 9" xfId="6611" xr:uid="{00000000-0005-0000-0000-0000CF190000}"/>
    <cellStyle name="20% - Accent4 5 2 9 2" xfId="6612" xr:uid="{00000000-0005-0000-0000-0000D0190000}"/>
    <cellStyle name="20% - Accent4 5 2 9 2 2" xfId="6613" xr:uid="{00000000-0005-0000-0000-0000D1190000}"/>
    <cellStyle name="20% - Accent4 5 2 9 2 2 2" xfId="6614" xr:uid="{00000000-0005-0000-0000-0000D2190000}"/>
    <cellStyle name="20% - Accent4 5 2 9 2 2 2 2" xfId="6615" xr:uid="{00000000-0005-0000-0000-0000D3190000}"/>
    <cellStyle name="20% - Accent4 5 2 9 2 2 3" xfId="6616" xr:uid="{00000000-0005-0000-0000-0000D4190000}"/>
    <cellStyle name="20% - Accent4 5 2 9 2 3" xfId="6617" xr:uid="{00000000-0005-0000-0000-0000D5190000}"/>
    <cellStyle name="20% - Accent4 5 2 9 2 3 2" xfId="6618" xr:uid="{00000000-0005-0000-0000-0000D6190000}"/>
    <cellStyle name="20% - Accent4 5 2 9 2 4" xfId="6619" xr:uid="{00000000-0005-0000-0000-0000D7190000}"/>
    <cellStyle name="20% - Accent4 5 2 9 3" xfId="6620" xr:uid="{00000000-0005-0000-0000-0000D8190000}"/>
    <cellStyle name="20% - Accent4 5 2 9 3 2" xfId="6621" xr:uid="{00000000-0005-0000-0000-0000D9190000}"/>
    <cellStyle name="20% - Accent4 5 2 9 3 2 2" xfId="6622" xr:uid="{00000000-0005-0000-0000-0000DA190000}"/>
    <cellStyle name="20% - Accent4 5 2 9 3 3" xfId="6623" xr:uid="{00000000-0005-0000-0000-0000DB190000}"/>
    <cellStyle name="20% - Accent4 5 2 9 4" xfId="6624" xr:uid="{00000000-0005-0000-0000-0000DC190000}"/>
    <cellStyle name="20% - Accent4 5 2 9 4 2" xfId="6625" xr:uid="{00000000-0005-0000-0000-0000DD190000}"/>
    <cellStyle name="20% - Accent4 5 2 9 4 2 2" xfId="6626" xr:uid="{00000000-0005-0000-0000-0000DE190000}"/>
    <cellStyle name="20% - Accent4 5 2 9 4 3" xfId="6627" xr:uid="{00000000-0005-0000-0000-0000DF190000}"/>
    <cellStyle name="20% - Accent4 5 2 9 5" xfId="6628" xr:uid="{00000000-0005-0000-0000-0000E0190000}"/>
    <cellStyle name="20% - Accent4 5 2 9 5 2" xfId="6629" xr:uid="{00000000-0005-0000-0000-0000E1190000}"/>
    <cellStyle name="20% - Accent4 5 2 9 5 2 2" xfId="6630" xr:uid="{00000000-0005-0000-0000-0000E2190000}"/>
    <cellStyle name="20% - Accent4 5 2 9 5 3" xfId="6631" xr:uid="{00000000-0005-0000-0000-0000E3190000}"/>
    <cellStyle name="20% - Accent4 5 2 9 6" xfId="6632" xr:uid="{00000000-0005-0000-0000-0000E4190000}"/>
    <cellStyle name="20% - Accent4 5 2 9 6 2" xfId="6633" xr:uid="{00000000-0005-0000-0000-0000E5190000}"/>
    <cellStyle name="20% - Accent4 5 2 9 6 2 2" xfId="6634" xr:uid="{00000000-0005-0000-0000-0000E6190000}"/>
    <cellStyle name="20% - Accent4 5 2 9 6 3" xfId="6635" xr:uid="{00000000-0005-0000-0000-0000E7190000}"/>
    <cellStyle name="20% - Accent4 5 2 9 7" xfId="6636" xr:uid="{00000000-0005-0000-0000-0000E8190000}"/>
    <cellStyle name="20% - Accent4 5 2 9 7 2" xfId="6637" xr:uid="{00000000-0005-0000-0000-0000E9190000}"/>
    <cellStyle name="20% - Accent4 5 2 9 8" xfId="6638" xr:uid="{00000000-0005-0000-0000-0000EA190000}"/>
    <cellStyle name="20% - Accent4 5 20" xfId="6639" xr:uid="{00000000-0005-0000-0000-0000EB190000}"/>
    <cellStyle name="20% - Accent4 5 20 2" xfId="6640" xr:uid="{00000000-0005-0000-0000-0000EC190000}"/>
    <cellStyle name="20% - Accent4 5 21" xfId="6641" xr:uid="{00000000-0005-0000-0000-0000ED190000}"/>
    <cellStyle name="20% - Accent4 5 3" xfId="6642" xr:uid="{00000000-0005-0000-0000-0000EE190000}"/>
    <cellStyle name="20% - Accent4 5 3 10" xfId="6643" xr:uid="{00000000-0005-0000-0000-0000EF190000}"/>
    <cellStyle name="20% - Accent4 5 3 10 2" xfId="6644" xr:uid="{00000000-0005-0000-0000-0000F0190000}"/>
    <cellStyle name="20% - Accent4 5 3 10 2 2" xfId="6645" xr:uid="{00000000-0005-0000-0000-0000F1190000}"/>
    <cellStyle name="20% - Accent4 5 3 10 3" xfId="6646" xr:uid="{00000000-0005-0000-0000-0000F2190000}"/>
    <cellStyle name="20% - Accent4 5 3 11" xfId="6647" xr:uid="{00000000-0005-0000-0000-0000F3190000}"/>
    <cellStyle name="20% - Accent4 5 3 11 2" xfId="6648" xr:uid="{00000000-0005-0000-0000-0000F4190000}"/>
    <cellStyle name="20% - Accent4 5 3 11 2 2" xfId="6649" xr:uid="{00000000-0005-0000-0000-0000F5190000}"/>
    <cellStyle name="20% - Accent4 5 3 11 3" xfId="6650" xr:uid="{00000000-0005-0000-0000-0000F6190000}"/>
    <cellStyle name="20% - Accent4 5 3 12" xfId="6651" xr:uid="{00000000-0005-0000-0000-0000F7190000}"/>
    <cellStyle name="20% - Accent4 5 3 12 2" xfId="6652" xr:uid="{00000000-0005-0000-0000-0000F8190000}"/>
    <cellStyle name="20% - Accent4 5 3 12 2 2" xfId="6653" xr:uid="{00000000-0005-0000-0000-0000F9190000}"/>
    <cellStyle name="20% - Accent4 5 3 12 3" xfId="6654" xr:uid="{00000000-0005-0000-0000-0000FA190000}"/>
    <cellStyle name="20% - Accent4 5 3 13" xfId="6655" xr:uid="{00000000-0005-0000-0000-0000FB190000}"/>
    <cellStyle name="20% - Accent4 5 3 13 2" xfId="6656" xr:uid="{00000000-0005-0000-0000-0000FC190000}"/>
    <cellStyle name="20% - Accent4 5 3 14" xfId="6657" xr:uid="{00000000-0005-0000-0000-0000FD190000}"/>
    <cellStyle name="20% - Accent4 5 3 2" xfId="6658" xr:uid="{00000000-0005-0000-0000-0000FE190000}"/>
    <cellStyle name="20% - Accent4 5 3 2 2" xfId="6659" xr:uid="{00000000-0005-0000-0000-0000FF190000}"/>
    <cellStyle name="20% - Accent4 5 3 2 2 2" xfId="6660" xr:uid="{00000000-0005-0000-0000-0000001A0000}"/>
    <cellStyle name="20% - Accent4 5 3 2 2 2 2" xfId="6661" xr:uid="{00000000-0005-0000-0000-0000011A0000}"/>
    <cellStyle name="20% - Accent4 5 3 2 2 2 2 2" xfId="6662" xr:uid="{00000000-0005-0000-0000-0000021A0000}"/>
    <cellStyle name="20% - Accent4 5 3 2 2 2 3" xfId="6663" xr:uid="{00000000-0005-0000-0000-0000031A0000}"/>
    <cellStyle name="20% - Accent4 5 3 2 2 3" xfId="6664" xr:uid="{00000000-0005-0000-0000-0000041A0000}"/>
    <cellStyle name="20% - Accent4 5 3 2 2 3 2" xfId="6665" xr:uid="{00000000-0005-0000-0000-0000051A0000}"/>
    <cellStyle name="20% - Accent4 5 3 2 2 4" xfId="6666" xr:uid="{00000000-0005-0000-0000-0000061A0000}"/>
    <cellStyle name="20% - Accent4 5 3 2 3" xfId="6667" xr:uid="{00000000-0005-0000-0000-0000071A0000}"/>
    <cellStyle name="20% - Accent4 5 3 2 3 2" xfId="6668" xr:uid="{00000000-0005-0000-0000-0000081A0000}"/>
    <cellStyle name="20% - Accent4 5 3 2 3 2 2" xfId="6669" xr:uid="{00000000-0005-0000-0000-0000091A0000}"/>
    <cellStyle name="20% - Accent4 5 3 2 3 3" xfId="6670" xr:uid="{00000000-0005-0000-0000-00000A1A0000}"/>
    <cellStyle name="20% - Accent4 5 3 2 4" xfId="6671" xr:uid="{00000000-0005-0000-0000-00000B1A0000}"/>
    <cellStyle name="20% - Accent4 5 3 2 4 2" xfId="6672" xr:uid="{00000000-0005-0000-0000-00000C1A0000}"/>
    <cellStyle name="20% - Accent4 5 3 2 4 2 2" xfId="6673" xr:uid="{00000000-0005-0000-0000-00000D1A0000}"/>
    <cellStyle name="20% - Accent4 5 3 2 4 3" xfId="6674" xr:uid="{00000000-0005-0000-0000-00000E1A0000}"/>
    <cellStyle name="20% - Accent4 5 3 2 5" xfId="6675" xr:uid="{00000000-0005-0000-0000-00000F1A0000}"/>
    <cellStyle name="20% - Accent4 5 3 2 5 2" xfId="6676" xr:uid="{00000000-0005-0000-0000-0000101A0000}"/>
    <cellStyle name="20% - Accent4 5 3 2 5 2 2" xfId="6677" xr:uid="{00000000-0005-0000-0000-0000111A0000}"/>
    <cellStyle name="20% - Accent4 5 3 2 5 3" xfId="6678" xr:uid="{00000000-0005-0000-0000-0000121A0000}"/>
    <cellStyle name="20% - Accent4 5 3 2 6" xfId="6679" xr:uid="{00000000-0005-0000-0000-0000131A0000}"/>
    <cellStyle name="20% - Accent4 5 3 2 6 2" xfId="6680" xr:uid="{00000000-0005-0000-0000-0000141A0000}"/>
    <cellStyle name="20% - Accent4 5 3 2 6 2 2" xfId="6681" xr:uid="{00000000-0005-0000-0000-0000151A0000}"/>
    <cellStyle name="20% - Accent4 5 3 2 6 3" xfId="6682" xr:uid="{00000000-0005-0000-0000-0000161A0000}"/>
    <cellStyle name="20% - Accent4 5 3 2 7" xfId="6683" xr:uid="{00000000-0005-0000-0000-0000171A0000}"/>
    <cellStyle name="20% - Accent4 5 3 2 7 2" xfId="6684" xr:uid="{00000000-0005-0000-0000-0000181A0000}"/>
    <cellStyle name="20% - Accent4 5 3 2 8" xfId="6685" xr:uid="{00000000-0005-0000-0000-0000191A0000}"/>
    <cellStyle name="20% - Accent4 5 3 3" xfId="6686" xr:uid="{00000000-0005-0000-0000-00001A1A0000}"/>
    <cellStyle name="20% - Accent4 5 3 3 2" xfId="6687" xr:uid="{00000000-0005-0000-0000-00001B1A0000}"/>
    <cellStyle name="20% - Accent4 5 3 3 2 2" xfId="6688" xr:uid="{00000000-0005-0000-0000-00001C1A0000}"/>
    <cellStyle name="20% - Accent4 5 3 3 2 2 2" xfId="6689" xr:uid="{00000000-0005-0000-0000-00001D1A0000}"/>
    <cellStyle name="20% - Accent4 5 3 3 2 2 2 2" xfId="6690" xr:uid="{00000000-0005-0000-0000-00001E1A0000}"/>
    <cellStyle name="20% - Accent4 5 3 3 2 2 3" xfId="6691" xr:uid="{00000000-0005-0000-0000-00001F1A0000}"/>
    <cellStyle name="20% - Accent4 5 3 3 2 3" xfId="6692" xr:uid="{00000000-0005-0000-0000-0000201A0000}"/>
    <cellStyle name="20% - Accent4 5 3 3 2 3 2" xfId="6693" xr:uid="{00000000-0005-0000-0000-0000211A0000}"/>
    <cellStyle name="20% - Accent4 5 3 3 2 4" xfId="6694" xr:uid="{00000000-0005-0000-0000-0000221A0000}"/>
    <cellStyle name="20% - Accent4 5 3 3 3" xfId="6695" xr:uid="{00000000-0005-0000-0000-0000231A0000}"/>
    <cellStyle name="20% - Accent4 5 3 3 3 2" xfId="6696" xr:uid="{00000000-0005-0000-0000-0000241A0000}"/>
    <cellStyle name="20% - Accent4 5 3 3 3 2 2" xfId="6697" xr:uid="{00000000-0005-0000-0000-0000251A0000}"/>
    <cellStyle name="20% - Accent4 5 3 3 3 3" xfId="6698" xr:uid="{00000000-0005-0000-0000-0000261A0000}"/>
    <cellStyle name="20% - Accent4 5 3 3 4" xfId="6699" xr:uid="{00000000-0005-0000-0000-0000271A0000}"/>
    <cellStyle name="20% - Accent4 5 3 3 4 2" xfId="6700" xr:uid="{00000000-0005-0000-0000-0000281A0000}"/>
    <cellStyle name="20% - Accent4 5 3 3 4 2 2" xfId="6701" xr:uid="{00000000-0005-0000-0000-0000291A0000}"/>
    <cellStyle name="20% - Accent4 5 3 3 4 3" xfId="6702" xr:uid="{00000000-0005-0000-0000-00002A1A0000}"/>
    <cellStyle name="20% - Accent4 5 3 3 5" xfId="6703" xr:uid="{00000000-0005-0000-0000-00002B1A0000}"/>
    <cellStyle name="20% - Accent4 5 3 3 5 2" xfId="6704" xr:uid="{00000000-0005-0000-0000-00002C1A0000}"/>
    <cellStyle name="20% - Accent4 5 3 3 5 2 2" xfId="6705" xr:uid="{00000000-0005-0000-0000-00002D1A0000}"/>
    <cellStyle name="20% - Accent4 5 3 3 5 3" xfId="6706" xr:uid="{00000000-0005-0000-0000-00002E1A0000}"/>
    <cellStyle name="20% - Accent4 5 3 3 6" xfId="6707" xr:uid="{00000000-0005-0000-0000-00002F1A0000}"/>
    <cellStyle name="20% - Accent4 5 3 3 6 2" xfId="6708" xr:uid="{00000000-0005-0000-0000-0000301A0000}"/>
    <cellStyle name="20% - Accent4 5 3 3 6 2 2" xfId="6709" xr:uid="{00000000-0005-0000-0000-0000311A0000}"/>
    <cellStyle name="20% - Accent4 5 3 3 6 3" xfId="6710" xr:uid="{00000000-0005-0000-0000-0000321A0000}"/>
    <cellStyle name="20% - Accent4 5 3 3 7" xfId="6711" xr:uid="{00000000-0005-0000-0000-0000331A0000}"/>
    <cellStyle name="20% - Accent4 5 3 3 7 2" xfId="6712" xr:uid="{00000000-0005-0000-0000-0000341A0000}"/>
    <cellStyle name="20% - Accent4 5 3 3 8" xfId="6713" xr:uid="{00000000-0005-0000-0000-0000351A0000}"/>
    <cellStyle name="20% - Accent4 5 3 4" xfId="6714" xr:uid="{00000000-0005-0000-0000-0000361A0000}"/>
    <cellStyle name="20% - Accent4 5 3 4 2" xfId="6715" xr:uid="{00000000-0005-0000-0000-0000371A0000}"/>
    <cellStyle name="20% - Accent4 5 3 4 2 2" xfId="6716" xr:uid="{00000000-0005-0000-0000-0000381A0000}"/>
    <cellStyle name="20% - Accent4 5 3 4 2 2 2" xfId="6717" xr:uid="{00000000-0005-0000-0000-0000391A0000}"/>
    <cellStyle name="20% - Accent4 5 3 4 2 2 2 2" xfId="6718" xr:uid="{00000000-0005-0000-0000-00003A1A0000}"/>
    <cellStyle name="20% - Accent4 5 3 4 2 2 3" xfId="6719" xr:uid="{00000000-0005-0000-0000-00003B1A0000}"/>
    <cellStyle name="20% - Accent4 5 3 4 2 3" xfId="6720" xr:uid="{00000000-0005-0000-0000-00003C1A0000}"/>
    <cellStyle name="20% - Accent4 5 3 4 2 3 2" xfId="6721" xr:uid="{00000000-0005-0000-0000-00003D1A0000}"/>
    <cellStyle name="20% - Accent4 5 3 4 2 4" xfId="6722" xr:uid="{00000000-0005-0000-0000-00003E1A0000}"/>
    <cellStyle name="20% - Accent4 5 3 4 3" xfId="6723" xr:uid="{00000000-0005-0000-0000-00003F1A0000}"/>
    <cellStyle name="20% - Accent4 5 3 4 3 2" xfId="6724" xr:uid="{00000000-0005-0000-0000-0000401A0000}"/>
    <cellStyle name="20% - Accent4 5 3 4 3 2 2" xfId="6725" xr:uid="{00000000-0005-0000-0000-0000411A0000}"/>
    <cellStyle name="20% - Accent4 5 3 4 3 3" xfId="6726" xr:uid="{00000000-0005-0000-0000-0000421A0000}"/>
    <cellStyle name="20% - Accent4 5 3 4 4" xfId="6727" xr:uid="{00000000-0005-0000-0000-0000431A0000}"/>
    <cellStyle name="20% - Accent4 5 3 4 4 2" xfId="6728" xr:uid="{00000000-0005-0000-0000-0000441A0000}"/>
    <cellStyle name="20% - Accent4 5 3 4 4 2 2" xfId="6729" xr:uid="{00000000-0005-0000-0000-0000451A0000}"/>
    <cellStyle name="20% - Accent4 5 3 4 4 3" xfId="6730" xr:uid="{00000000-0005-0000-0000-0000461A0000}"/>
    <cellStyle name="20% - Accent4 5 3 4 5" xfId="6731" xr:uid="{00000000-0005-0000-0000-0000471A0000}"/>
    <cellStyle name="20% - Accent4 5 3 4 5 2" xfId="6732" xr:uid="{00000000-0005-0000-0000-0000481A0000}"/>
    <cellStyle name="20% - Accent4 5 3 4 5 2 2" xfId="6733" xr:uid="{00000000-0005-0000-0000-0000491A0000}"/>
    <cellStyle name="20% - Accent4 5 3 4 5 3" xfId="6734" xr:uid="{00000000-0005-0000-0000-00004A1A0000}"/>
    <cellStyle name="20% - Accent4 5 3 4 6" xfId="6735" xr:uid="{00000000-0005-0000-0000-00004B1A0000}"/>
    <cellStyle name="20% - Accent4 5 3 4 6 2" xfId="6736" xr:uid="{00000000-0005-0000-0000-00004C1A0000}"/>
    <cellStyle name="20% - Accent4 5 3 4 6 2 2" xfId="6737" xr:uid="{00000000-0005-0000-0000-00004D1A0000}"/>
    <cellStyle name="20% - Accent4 5 3 4 6 3" xfId="6738" xr:uid="{00000000-0005-0000-0000-00004E1A0000}"/>
    <cellStyle name="20% - Accent4 5 3 4 7" xfId="6739" xr:uid="{00000000-0005-0000-0000-00004F1A0000}"/>
    <cellStyle name="20% - Accent4 5 3 4 7 2" xfId="6740" xr:uid="{00000000-0005-0000-0000-0000501A0000}"/>
    <cellStyle name="20% - Accent4 5 3 4 8" xfId="6741" xr:uid="{00000000-0005-0000-0000-0000511A0000}"/>
    <cellStyle name="20% - Accent4 5 3 5" xfId="6742" xr:uid="{00000000-0005-0000-0000-0000521A0000}"/>
    <cellStyle name="20% - Accent4 5 3 5 2" xfId="6743" xr:uid="{00000000-0005-0000-0000-0000531A0000}"/>
    <cellStyle name="20% - Accent4 5 3 5 2 2" xfId="6744" xr:uid="{00000000-0005-0000-0000-0000541A0000}"/>
    <cellStyle name="20% - Accent4 5 3 5 2 2 2" xfId="6745" xr:uid="{00000000-0005-0000-0000-0000551A0000}"/>
    <cellStyle name="20% - Accent4 5 3 5 2 2 2 2" xfId="6746" xr:uid="{00000000-0005-0000-0000-0000561A0000}"/>
    <cellStyle name="20% - Accent4 5 3 5 2 2 3" xfId="6747" xr:uid="{00000000-0005-0000-0000-0000571A0000}"/>
    <cellStyle name="20% - Accent4 5 3 5 2 3" xfId="6748" xr:uid="{00000000-0005-0000-0000-0000581A0000}"/>
    <cellStyle name="20% - Accent4 5 3 5 2 3 2" xfId="6749" xr:uid="{00000000-0005-0000-0000-0000591A0000}"/>
    <cellStyle name="20% - Accent4 5 3 5 2 4" xfId="6750" xr:uid="{00000000-0005-0000-0000-00005A1A0000}"/>
    <cellStyle name="20% - Accent4 5 3 5 3" xfId="6751" xr:uid="{00000000-0005-0000-0000-00005B1A0000}"/>
    <cellStyle name="20% - Accent4 5 3 5 3 2" xfId="6752" xr:uid="{00000000-0005-0000-0000-00005C1A0000}"/>
    <cellStyle name="20% - Accent4 5 3 5 3 2 2" xfId="6753" xr:uid="{00000000-0005-0000-0000-00005D1A0000}"/>
    <cellStyle name="20% - Accent4 5 3 5 3 3" xfId="6754" xr:uid="{00000000-0005-0000-0000-00005E1A0000}"/>
    <cellStyle name="20% - Accent4 5 3 5 4" xfId="6755" xr:uid="{00000000-0005-0000-0000-00005F1A0000}"/>
    <cellStyle name="20% - Accent4 5 3 5 4 2" xfId="6756" xr:uid="{00000000-0005-0000-0000-0000601A0000}"/>
    <cellStyle name="20% - Accent4 5 3 5 5" xfId="6757" xr:uid="{00000000-0005-0000-0000-0000611A0000}"/>
    <cellStyle name="20% - Accent4 5 3 6" xfId="6758" xr:uid="{00000000-0005-0000-0000-0000621A0000}"/>
    <cellStyle name="20% - Accent4 5 3 6 2" xfId="6759" xr:uid="{00000000-0005-0000-0000-0000631A0000}"/>
    <cellStyle name="20% - Accent4 5 3 6 2 2" xfId="6760" xr:uid="{00000000-0005-0000-0000-0000641A0000}"/>
    <cellStyle name="20% - Accent4 5 3 6 2 2 2" xfId="6761" xr:uid="{00000000-0005-0000-0000-0000651A0000}"/>
    <cellStyle name="20% - Accent4 5 3 6 2 2 2 2" xfId="6762" xr:uid="{00000000-0005-0000-0000-0000661A0000}"/>
    <cellStyle name="20% - Accent4 5 3 6 2 2 3" xfId="6763" xr:uid="{00000000-0005-0000-0000-0000671A0000}"/>
    <cellStyle name="20% - Accent4 5 3 6 2 3" xfId="6764" xr:uid="{00000000-0005-0000-0000-0000681A0000}"/>
    <cellStyle name="20% - Accent4 5 3 6 2 3 2" xfId="6765" xr:uid="{00000000-0005-0000-0000-0000691A0000}"/>
    <cellStyle name="20% - Accent4 5 3 6 2 4" xfId="6766" xr:uid="{00000000-0005-0000-0000-00006A1A0000}"/>
    <cellStyle name="20% - Accent4 5 3 6 3" xfId="6767" xr:uid="{00000000-0005-0000-0000-00006B1A0000}"/>
    <cellStyle name="20% - Accent4 5 3 6 3 2" xfId="6768" xr:uid="{00000000-0005-0000-0000-00006C1A0000}"/>
    <cellStyle name="20% - Accent4 5 3 6 3 2 2" xfId="6769" xr:uid="{00000000-0005-0000-0000-00006D1A0000}"/>
    <cellStyle name="20% - Accent4 5 3 6 3 3" xfId="6770" xr:uid="{00000000-0005-0000-0000-00006E1A0000}"/>
    <cellStyle name="20% - Accent4 5 3 6 4" xfId="6771" xr:uid="{00000000-0005-0000-0000-00006F1A0000}"/>
    <cellStyle name="20% - Accent4 5 3 6 4 2" xfId="6772" xr:uid="{00000000-0005-0000-0000-0000701A0000}"/>
    <cellStyle name="20% - Accent4 5 3 6 5" xfId="6773" xr:uid="{00000000-0005-0000-0000-0000711A0000}"/>
    <cellStyle name="20% - Accent4 5 3 7" xfId="6774" xr:uid="{00000000-0005-0000-0000-0000721A0000}"/>
    <cellStyle name="20% - Accent4 5 3 7 2" xfId="6775" xr:uid="{00000000-0005-0000-0000-0000731A0000}"/>
    <cellStyle name="20% - Accent4 5 3 7 2 2" xfId="6776" xr:uid="{00000000-0005-0000-0000-0000741A0000}"/>
    <cellStyle name="20% - Accent4 5 3 7 2 2 2" xfId="6777" xr:uid="{00000000-0005-0000-0000-0000751A0000}"/>
    <cellStyle name="20% - Accent4 5 3 7 2 3" xfId="6778" xr:uid="{00000000-0005-0000-0000-0000761A0000}"/>
    <cellStyle name="20% - Accent4 5 3 7 3" xfId="6779" xr:uid="{00000000-0005-0000-0000-0000771A0000}"/>
    <cellStyle name="20% - Accent4 5 3 7 3 2" xfId="6780" xr:uid="{00000000-0005-0000-0000-0000781A0000}"/>
    <cellStyle name="20% - Accent4 5 3 7 4" xfId="6781" xr:uid="{00000000-0005-0000-0000-0000791A0000}"/>
    <cellStyle name="20% - Accent4 5 3 8" xfId="6782" xr:uid="{00000000-0005-0000-0000-00007A1A0000}"/>
    <cellStyle name="20% - Accent4 5 3 8 2" xfId="6783" xr:uid="{00000000-0005-0000-0000-00007B1A0000}"/>
    <cellStyle name="20% - Accent4 5 3 8 2 2" xfId="6784" xr:uid="{00000000-0005-0000-0000-00007C1A0000}"/>
    <cellStyle name="20% - Accent4 5 3 8 2 2 2" xfId="6785" xr:uid="{00000000-0005-0000-0000-00007D1A0000}"/>
    <cellStyle name="20% - Accent4 5 3 8 2 3" xfId="6786" xr:uid="{00000000-0005-0000-0000-00007E1A0000}"/>
    <cellStyle name="20% - Accent4 5 3 8 3" xfId="6787" xr:uid="{00000000-0005-0000-0000-00007F1A0000}"/>
    <cellStyle name="20% - Accent4 5 3 8 3 2" xfId="6788" xr:uid="{00000000-0005-0000-0000-0000801A0000}"/>
    <cellStyle name="20% - Accent4 5 3 8 4" xfId="6789" xr:uid="{00000000-0005-0000-0000-0000811A0000}"/>
    <cellStyle name="20% - Accent4 5 3 9" xfId="6790" xr:uid="{00000000-0005-0000-0000-0000821A0000}"/>
    <cellStyle name="20% - Accent4 5 3 9 2" xfId="6791" xr:uid="{00000000-0005-0000-0000-0000831A0000}"/>
    <cellStyle name="20% - Accent4 5 3 9 2 2" xfId="6792" xr:uid="{00000000-0005-0000-0000-0000841A0000}"/>
    <cellStyle name="20% - Accent4 5 3 9 3" xfId="6793" xr:uid="{00000000-0005-0000-0000-0000851A0000}"/>
    <cellStyle name="20% - Accent4 5 4" xfId="6794" xr:uid="{00000000-0005-0000-0000-0000861A0000}"/>
    <cellStyle name="20% - Accent4 5 4 10" xfId="6795" xr:uid="{00000000-0005-0000-0000-0000871A0000}"/>
    <cellStyle name="20% - Accent4 5 4 10 2" xfId="6796" xr:uid="{00000000-0005-0000-0000-0000881A0000}"/>
    <cellStyle name="20% - Accent4 5 4 10 2 2" xfId="6797" xr:uid="{00000000-0005-0000-0000-0000891A0000}"/>
    <cellStyle name="20% - Accent4 5 4 10 3" xfId="6798" xr:uid="{00000000-0005-0000-0000-00008A1A0000}"/>
    <cellStyle name="20% - Accent4 5 4 11" xfId="6799" xr:uid="{00000000-0005-0000-0000-00008B1A0000}"/>
    <cellStyle name="20% - Accent4 5 4 11 2" xfId="6800" xr:uid="{00000000-0005-0000-0000-00008C1A0000}"/>
    <cellStyle name="20% - Accent4 5 4 11 2 2" xfId="6801" xr:uid="{00000000-0005-0000-0000-00008D1A0000}"/>
    <cellStyle name="20% - Accent4 5 4 11 3" xfId="6802" xr:uid="{00000000-0005-0000-0000-00008E1A0000}"/>
    <cellStyle name="20% - Accent4 5 4 12" xfId="6803" xr:uid="{00000000-0005-0000-0000-00008F1A0000}"/>
    <cellStyle name="20% - Accent4 5 4 12 2" xfId="6804" xr:uid="{00000000-0005-0000-0000-0000901A0000}"/>
    <cellStyle name="20% - Accent4 5 4 12 2 2" xfId="6805" xr:uid="{00000000-0005-0000-0000-0000911A0000}"/>
    <cellStyle name="20% - Accent4 5 4 12 3" xfId="6806" xr:uid="{00000000-0005-0000-0000-0000921A0000}"/>
    <cellStyle name="20% - Accent4 5 4 13" xfId="6807" xr:uid="{00000000-0005-0000-0000-0000931A0000}"/>
    <cellStyle name="20% - Accent4 5 4 13 2" xfId="6808" xr:uid="{00000000-0005-0000-0000-0000941A0000}"/>
    <cellStyle name="20% - Accent4 5 4 14" xfId="6809" xr:uid="{00000000-0005-0000-0000-0000951A0000}"/>
    <cellStyle name="20% - Accent4 5 4 2" xfId="6810" xr:uid="{00000000-0005-0000-0000-0000961A0000}"/>
    <cellStyle name="20% - Accent4 5 4 2 2" xfId="6811" xr:uid="{00000000-0005-0000-0000-0000971A0000}"/>
    <cellStyle name="20% - Accent4 5 4 2 2 2" xfId="6812" xr:uid="{00000000-0005-0000-0000-0000981A0000}"/>
    <cellStyle name="20% - Accent4 5 4 2 2 2 2" xfId="6813" xr:uid="{00000000-0005-0000-0000-0000991A0000}"/>
    <cellStyle name="20% - Accent4 5 4 2 2 2 2 2" xfId="6814" xr:uid="{00000000-0005-0000-0000-00009A1A0000}"/>
    <cellStyle name="20% - Accent4 5 4 2 2 2 3" xfId="6815" xr:uid="{00000000-0005-0000-0000-00009B1A0000}"/>
    <cellStyle name="20% - Accent4 5 4 2 2 3" xfId="6816" xr:uid="{00000000-0005-0000-0000-00009C1A0000}"/>
    <cellStyle name="20% - Accent4 5 4 2 2 3 2" xfId="6817" xr:uid="{00000000-0005-0000-0000-00009D1A0000}"/>
    <cellStyle name="20% - Accent4 5 4 2 2 4" xfId="6818" xr:uid="{00000000-0005-0000-0000-00009E1A0000}"/>
    <cellStyle name="20% - Accent4 5 4 2 3" xfId="6819" xr:uid="{00000000-0005-0000-0000-00009F1A0000}"/>
    <cellStyle name="20% - Accent4 5 4 2 3 2" xfId="6820" xr:uid="{00000000-0005-0000-0000-0000A01A0000}"/>
    <cellStyle name="20% - Accent4 5 4 2 3 2 2" xfId="6821" xr:uid="{00000000-0005-0000-0000-0000A11A0000}"/>
    <cellStyle name="20% - Accent4 5 4 2 3 3" xfId="6822" xr:uid="{00000000-0005-0000-0000-0000A21A0000}"/>
    <cellStyle name="20% - Accent4 5 4 2 4" xfId="6823" xr:uid="{00000000-0005-0000-0000-0000A31A0000}"/>
    <cellStyle name="20% - Accent4 5 4 2 4 2" xfId="6824" xr:uid="{00000000-0005-0000-0000-0000A41A0000}"/>
    <cellStyle name="20% - Accent4 5 4 2 4 2 2" xfId="6825" xr:uid="{00000000-0005-0000-0000-0000A51A0000}"/>
    <cellStyle name="20% - Accent4 5 4 2 4 3" xfId="6826" xr:uid="{00000000-0005-0000-0000-0000A61A0000}"/>
    <cellStyle name="20% - Accent4 5 4 2 5" xfId="6827" xr:uid="{00000000-0005-0000-0000-0000A71A0000}"/>
    <cellStyle name="20% - Accent4 5 4 2 5 2" xfId="6828" xr:uid="{00000000-0005-0000-0000-0000A81A0000}"/>
    <cellStyle name="20% - Accent4 5 4 2 5 2 2" xfId="6829" xr:uid="{00000000-0005-0000-0000-0000A91A0000}"/>
    <cellStyle name="20% - Accent4 5 4 2 5 3" xfId="6830" xr:uid="{00000000-0005-0000-0000-0000AA1A0000}"/>
    <cellStyle name="20% - Accent4 5 4 2 6" xfId="6831" xr:uid="{00000000-0005-0000-0000-0000AB1A0000}"/>
    <cellStyle name="20% - Accent4 5 4 2 6 2" xfId="6832" xr:uid="{00000000-0005-0000-0000-0000AC1A0000}"/>
    <cellStyle name="20% - Accent4 5 4 2 6 2 2" xfId="6833" xr:uid="{00000000-0005-0000-0000-0000AD1A0000}"/>
    <cellStyle name="20% - Accent4 5 4 2 6 3" xfId="6834" xr:uid="{00000000-0005-0000-0000-0000AE1A0000}"/>
    <cellStyle name="20% - Accent4 5 4 2 7" xfId="6835" xr:uid="{00000000-0005-0000-0000-0000AF1A0000}"/>
    <cellStyle name="20% - Accent4 5 4 2 7 2" xfId="6836" xr:uid="{00000000-0005-0000-0000-0000B01A0000}"/>
    <cellStyle name="20% - Accent4 5 4 2 8" xfId="6837" xr:uid="{00000000-0005-0000-0000-0000B11A0000}"/>
    <cellStyle name="20% - Accent4 5 4 3" xfId="6838" xr:uid="{00000000-0005-0000-0000-0000B21A0000}"/>
    <cellStyle name="20% - Accent4 5 4 3 2" xfId="6839" xr:uid="{00000000-0005-0000-0000-0000B31A0000}"/>
    <cellStyle name="20% - Accent4 5 4 3 2 2" xfId="6840" xr:uid="{00000000-0005-0000-0000-0000B41A0000}"/>
    <cellStyle name="20% - Accent4 5 4 3 2 2 2" xfId="6841" xr:uid="{00000000-0005-0000-0000-0000B51A0000}"/>
    <cellStyle name="20% - Accent4 5 4 3 2 2 2 2" xfId="6842" xr:uid="{00000000-0005-0000-0000-0000B61A0000}"/>
    <cellStyle name="20% - Accent4 5 4 3 2 2 3" xfId="6843" xr:uid="{00000000-0005-0000-0000-0000B71A0000}"/>
    <cellStyle name="20% - Accent4 5 4 3 2 3" xfId="6844" xr:uid="{00000000-0005-0000-0000-0000B81A0000}"/>
    <cellStyle name="20% - Accent4 5 4 3 2 3 2" xfId="6845" xr:uid="{00000000-0005-0000-0000-0000B91A0000}"/>
    <cellStyle name="20% - Accent4 5 4 3 2 4" xfId="6846" xr:uid="{00000000-0005-0000-0000-0000BA1A0000}"/>
    <cellStyle name="20% - Accent4 5 4 3 3" xfId="6847" xr:uid="{00000000-0005-0000-0000-0000BB1A0000}"/>
    <cellStyle name="20% - Accent4 5 4 3 3 2" xfId="6848" xr:uid="{00000000-0005-0000-0000-0000BC1A0000}"/>
    <cellStyle name="20% - Accent4 5 4 3 3 2 2" xfId="6849" xr:uid="{00000000-0005-0000-0000-0000BD1A0000}"/>
    <cellStyle name="20% - Accent4 5 4 3 3 3" xfId="6850" xr:uid="{00000000-0005-0000-0000-0000BE1A0000}"/>
    <cellStyle name="20% - Accent4 5 4 3 4" xfId="6851" xr:uid="{00000000-0005-0000-0000-0000BF1A0000}"/>
    <cellStyle name="20% - Accent4 5 4 3 4 2" xfId="6852" xr:uid="{00000000-0005-0000-0000-0000C01A0000}"/>
    <cellStyle name="20% - Accent4 5 4 3 4 2 2" xfId="6853" xr:uid="{00000000-0005-0000-0000-0000C11A0000}"/>
    <cellStyle name="20% - Accent4 5 4 3 4 3" xfId="6854" xr:uid="{00000000-0005-0000-0000-0000C21A0000}"/>
    <cellStyle name="20% - Accent4 5 4 3 5" xfId="6855" xr:uid="{00000000-0005-0000-0000-0000C31A0000}"/>
    <cellStyle name="20% - Accent4 5 4 3 5 2" xfId="6856" xr:uid="{00000000-0005-0000-0000-0000C41A0000}"/>
    <cellStyle name="20% - Accent4 5 4 3 5 2 2" xfId="6857" xr:uid="{00000000-0005-0000-0000-0000C51A0000}"/>
    <cellStyle name="20% - Accent4 5 4 3 5 3" xfId="6858" xr:uid="{00000000-0005-0000-0000-0000C61A0000}"/>
    <cellStyle name="20% - Accent4 5 4 3 6" xfId="6859" xr:uid="{00000000-0005-0000-0000-0000C71A0000}"/>
    <cellStyle name="20% - Accent4 5 4 3 6 2" xfId="6860" xr:uid="{00000000-0005-0000-0000-0000C81A0000}"/>
    <cellStyle name="20% - Accent4 5 4 3 6 2 2" xfId="6861" xr:uid="{00000000-0005-0000-0000-0000C91A0000}"/>
    <cellStyle name="20% - Accent4 5 4 3 6 3" xfId="6862" xr:uid="{00000000-0005-0000-0000-0000CA1A0000}"/>
    <cellStyle name="20% - Accent4 5 4 3 7" xfId="6863" xr:uid="{00000000-0005-0000-0000-0000CB1A0000}"/>
    <cellStyle name="20% - Accent4 5 4 3 7 2" xfId="6864" xr:uid="{00000000-0005-0000-0000-0000CC1A0000}"/>
    <cellStyle name="20% - Accent4 5 4 3 8" xfId="6865" xr:uid="{00000000-0005-0000-0000-0000CD1A0000}"/>
    <cellStyle name="20% - Accent4 5 4 4" xfId="6866" xr:uid="{00000000-0005-0000-0000-0000CE1A0000}"/>
    <cellStyle name="20% - Accent4 5 4 4 2" xfId="6867" xr:uid="{00000000-0005-0000-0000-0000CF1A0000}"/>
    <cellStyle name="20% - Accent4 5 4 4 2 2" xfId="6868" xr:uid="{00000000-0005-0000-0000-0000D01A0000}"/>
    <cellStyle name="20% - Accent4 5 4 4 2 2 2" xfId="6869" xr:uid="{00000000-0005-0000-0000-0000D11A0000}"/>
    <cellStyle name="20% - Accent4 5 4 4 2 2 2 2" xfId="6870" xr:uid="{00000000-0005-0000-0000-0000D21A0000}"/>
    <cellStyle name="20% - Accent4 5 4 4 2 2 3" xfId="6871" xr:uid="{00000000-0005-0000-0000-0000D31A0000}"/>
    <cellStyle name="20% - Accent4 5 4 4 2 3" xfId="6872" xr:uid="{00000000-0005-0000-0000-0000D41A0000}"/>
    <cellStyle name="20% - Accent4 5 4 4 2 3 2" xfId="6873" xr:uid="{00000000-0005-0000-0000-0000D51A0000}"/>
    <cellStyle name="20% - Accent4 5 4 4 2 4" xfId="6874" xr:uid="{00000000-0005-0000-0000-0000D61A0000}"/>
    <cellStyle name="20% - Accent4 5 4 4 3" xfId="6875" xr:uid="{00000000-0005-0000-0000-0000D71A0000}"/>
    <cellStyle name="20% - Accent4 5 4 4 3 2" xfId="6876" xr:uid="{00000000-0005-0000-0000-0000D81A0000}"/>
    <cellStyle name="20% - Accent4 5 4 4 3 2 2" xfId="6877" xr:uid="{00000000-0005-0000-0000-0000D91A0000}"/>
    <cellStyle name="20% - Accent4 5 4 4 3 3" xfId="6878" xr:uid="{00000000-0005-0000-0000-0000DA1A0000}"/>
    <cellStyle name="20% - Accent4 5 4 4 4" xfId="6879" xr:uid="{00000000-0005-0000-0000-0000DB1A0000}"/>
    <cellStyle name="20% - Accent4 5 4 4 4 2" xfId="6880" xr:uid="{00000000-0005-0000-0000-0000DC1A0000}"/>
    <cellStyle name="20% - Accent4 5 4 4 4 2 2" xfId="6881" xr:uid="{00000000-0005-0000-0000-0000DD1A0000}"/>
    <cellStyle name="20% - Accent4 5 4 4 4 3" xfId="6882" xr:uid="{00000000-0005-0000-0000-0000DE1A0000}"/>
    <cellStyle name="20% - Accent4 5 4 4 5" xfId="6883" xr:uid="{00000000-0005-0000-0000-0000DF1A0000}"/>
    <cellStyle name="20% - Accent4 5 4 4 5 2" xfId="6884" xr:uid="{00000000-0005-0000-0000-0000E01A0000}"/>
    <cellStyle name="20% - Accent4 5 4 4 5 2 2" xfId="6885" xr:uid="{00000000-0005-0000-0000-0000E11A0000}"/>
    <cellStyle name="20% - Accent4 5 4 4 5 3" xfId="6886" xr:uid="{00000000-0005-0000-0000-0000E21A0000}"/>
    <cellStyle name="20% - Accent4 5 4 4 6" xfId="6887" xr:uid="{00000000-0005-0000-0000-0000E31A0000}"/>
    <cellStyle name="20% - Accent4 5 4 4 6 2" xfId="6888" xr:uid="{00000000-0005-0000-0000-0000E41A0000}"/>
    <cellStyle name="20% - Accent4 5 4 4 6 2 2" xfId="6889" xr:uid="{00000000-0005-0000-0000-0000E51A0000}"/>
    <cellStyle name="20% - Accent4 5 4 4 6 3" xfId="6890" xr:uid="{00000000-0005-0000-0000-0000E61A0000}"/>
    <cellStyle name="20% - Accent4 5 4 4 7" xfId="6891" xr:uid="{00000000-0005-0000-0000-0000E71A0000}"/>
    <cellStyle name="20% - Accent4 5 4 4 7 2" xfId="6892" xr:uid="{00000000-0005-0000-0000-0000E81A0000}"/>
    <cellStyle name="20% - Accent4 5 4 4 8" xfId="6893" xr:uid="{00000000-0005-0000-0000-0000E91A0000}"/>
    <cellStyle name="20% - Accent4 5 4 5" xfId="6894" xr:uid="{00000000-0005-0000-0000-0000EA1A0000}"/>
    <cellStyle name="20% - Accent4 5 4 5 2" xfId="6895" xr:uid="{00000000-0005-0000-0000-0000EB1A0000}"/>
    <cellStyle name="20% - Accent4 5 4 5 2 2" xfId="6896" xr:uid="{00000000-0005-0000-0000-0000EC1A0000}"/>
    <cellStyle name="20% - Accent4 5 4 5 2 2 2" xfId="6897" xr:uid="{00000000-0005-0000-0000-0000ED1A0000}"/>
    <cellStyle name="20% - Accent4 5 4 5 2 2 2 2" xfId="6898" xr:uid="{00000000-0005-0000-0000-0000EE1A0000}"/>
    <cellStyle name="20% - Accent4 5 4 5 2 2 3" xfId="6899" xr:uid="{00000000-0005-0000-0000-0000EF1A0000}"/>
    <cellStyle name="20% - Accent4 5 4 5 2 3" xfId="6900" xr:uid="{00000000-0005-0000-0000-0000F01A0000}"/>
    <cellStyle name="20% - Accent4 5 4 5 2 3 2" xfId="6901" xr:uid="{00000000-0005-0000-0000-0000F11A0000}"/>
    <cellStyle name="20% - Accent4 5 4 5 2 4" xfId="6902" xr:uid="{00000000-0005-0000-0000-0000F21A0000}"/>
    <cellStyle name="20% - Accent4 5 4 5 3" xfId="6903" xr:uid="{00000000-0005-0000-0000-0000F31A0000}"/>
    <cellStyle name="20% - Accent4 5 4 5 3 2" xfId="6904" xr:uid="{00000000-0005-0000-0000-0000F41A0000}"/>
    <cellStyle name="20% - Accent4 5 4 5 3 2 2" xfId="6905" xr:uid="{00000000-0005-0000-0000-0000F51A0000}"/>
    <cellStyle name="20% - Accent4 5 4 5 3 3" xfId="6906" xr:uid="{00000000-0005-0000-0000-0000F61A0000}"/>
    <cellStyle name="20% - Accent4 5 4 5 4" xfId="6907" xr:uid="{00000000-0005-0000-0000-0000F71A0000}"/>
    <cellStyle name="20% - Accent4 5 4 5 4 2" xfId="6908" xr:uid="{00000000-0005-0000-0000-0000F81A0000}"/>
    <cellStyle name="20% - Accent4 5 4 5 5" xfId="6909" xr:uid="{00000000-0005-0000-0000-0000F91A0000}"/>
    <cellStyle name="20% - Accent4 5 4 6" xfId="6910" xr:uid="{00000000-0005-0000-0000-0000FA1A0000}"/>
    <cellStyle name="20% - Accent4 5 4 6 2" xfId="6911" xr:uid="{00000000-0005-0000-0000-0000FB1A0000}"/>
    <cellStyle name="20% - Accent4 5 4 6 2 2" xfId="6912" xr:uid="{00000000-0005-0000-0000-0000FC1A0000}"/>
    <cellStyle name="20% - Accent4 5 4 6 2 2 2" xfId="6913" xr:uid="{00000000-0005-0000-0000-0000FD1A0000}"/>
    <cellStyle name="20% - Accent4 5 4 6 2 2 2 2" xfId="6914" xr:uid="{00000000-0005-0000-0000-0000FE1A0000}"/>
    <cellStyle name="20% - Accent4 5 4 6 2 2 3" xfId="6915" xr:uid="{00000000-0005-0000-0000-0000FF1A0000}"/>
    <cellStyle name="20% - Accent4 5 4 6 2 3" xfId="6916" xr:uid="{00000000-0005-0000-0000-0000001B0000}"/>
    <cellStyle name="20% - Accent4 5 4 6 2 3 2" xfId="6917" xr:uid="{00000000-0005-0000-0000-0000011B0000}"/>
    <cellStyle name="20% - Accent4 5 4 6 2 4" xfId="6918" xr:uid="{00000000-0005-0000-0000-0000021B0000}"/>
    <cellStyle name="20% - Accent4 5 4 6 3" xfId="6919" xr:uid="{00000000-0005-0000-0000-0000031B0000}"/>
    <cellStyle name="20% - Accent4 5 4 6 3 2" xfId="6920" xr:uid="{00000000-0005-0000-0000-0000041B0000}"/>
    <cellStyle name="20% - Accent4 5 4 6 3 2 2" xfId="6921" xr:uid="{00000000-0005-0000-0000-0000051B0000}"/>
    <cellStyle name="20% - Accent4 5 4 6 3 3" xfId="6922" xr:uid="{00000000-0005-0000-0000-0000061B0000}"/>
    <cellStyle name="20% - Accent4 5 4 6 4" xfId="6923" xr:uid="{00000000-0005-0000-0000-0000071B0000}"/>
    <cellStyle name="20% - Accent4 5 4 6 4 2" xfId="6924" xr:uid="{00000000-0005-0000-0000-0000081B0000}"/>
    <cellStyle name="20% - Accent4 5 4 6 5" xfId="6925" xr:uid="{00000000-0005-0000-0000-0000091B0000}"/>
    <cellStyle name="20% - Accent4 5 4 7" xfId="6926" xr:uid="{00000000-0005-0000-0000-00000A1B0000}"/>
    <cellStyle name="20% - Accent4 5 4 7 2" xfId="6927" xr:uid="{00000000-0005-0000-0000-00000B1B0000}"/>
    <cellStyle name="20% - Accent4 5 4 7 2 2" xfId="6928" xr:uid="{00000000-0005-0000-0000-00000C1B0000}"/>
    <cellStyle name="20% - Accent4 5 4 7 2 2 2" xfId="6929" xr:uid="{00000000-0005-0000-0000-00000D1B0000}"/>
    <cellStyle name="20% - Accent4 5 4 7 2 3" xfId="6930" xr:uid="{00000000-0005-0000-0000-00000E1B0000}"/>
    <cellStyle name="20% - Accent4 5 4 7 3" xfId="6931" xr:uid="{00000000-0005-0000-0000-00000F1B0000}"/>
    <cellStyle name="20% - Accent4 5 4 7 3 2" xfId="6932" xr:uid="{00000000-0005-0000-0000-0000101B0000}"/>
    <cellStyle name="20% - Accent4 5 4 7 4" xfId="6933" xr:uid="{00000000-0005-0000-0000-0000111B0000}"/>
    <cellStyle name="20% - Accent4 5 4 8" xfId="6934" xr:uid="{00000000-0005-0000-0000-0000121B0000}"/>
    <cellStyle name="20% - Accent4 5 4 8 2" xfId="6935" xr:uid="{00000000-0005-0000-0000-0000131B0000}"/>
    <cellStyle name="20% - Accent4 5 4 8 2 2" xfId="6936" xr:uid="{00000000-0005-0000-0000-0000141B0000}"/>
    <cellStyle name="20% - Accent4 5 4 8 2 2 2" xfId="6937" xr:uid="{00000000-0005-0000-0000-0000151B0000}"/>
    <cellStyle name="20% - Accent4 5 4 8 2 3" xfId="6938" xr:uid="{00000000-0005-0000-0000-0000161B0000}"/>
    <cellStyle name="20% - Accent4 5 4 8 3" xfId="6939" xr:uid="{00000000-0005-0000-0000-0000171B0000}"/>
    <cellStyle name="20% - Accent4 5 4 8 3 2" xfId="6940" xr:uid="{00000000-0005-0000-0000-0000181B0000}"/>
    <cellStyle name="20% - Accent4 5 4 8 4" xfId="6941" xr:uid="{00000000-0005-0000-0000-0000191B0000}"/>
    <cellStyle name="20% - Accent4 5 4 9" xfId="6942" xr:uid="{00000000-0005-0000-0000-00001A1B0000}"/>
    <cellStyle name="20% - Accent4 5 4 9 2" xfId="6943" xr:uid="{00000000-0005-0000-0000-00001B1B0000}"/>
    <cellStyle name="20% - Accent4 5 4 9 2 2" xfId="6944" xr:uid="{00000000-0005-0000-0000-00001C1B0000}"/>
    <cellStyle name="20% - Accent4 5 4 9 3" xfId="6945" xr:uid="{00000000-0005-0000-0000-00001D1B0000}"/>
    <cellStyle name="20% - Accent4 5 5" xfId="6946" xr:uid="{00000000-0005-0000-0000-00001E1B0000}"/>
    <cellStyle name="20% - Accent4 5 5 10" xfId="6947" xr:uid="{00000000-0005-0000-0000-00001F1B0000}"/>
    <cellStyle name="20% - Accent4 5 5 10 2" xfId="6948" xr:uid="{00000000-0005-0000-0000-0000201B0000}"/>
    <cellStyle name="20% - Accent4 5 5 10 2 2" xfId="6949" xr:uid="{00000000-0005-0000-0000-0000211B0000}"/>
    <cellStyle name="20% - Accent4 5 5 10 3" xfId="6950" xr:uid="{00000000-0005-0000-0000-0000221B0000}"/>
    <cellStyle name="20% - Accent4 5 5 11" xfId="6951" xr:uid="{00000000-0005-0000-0000-0000231B0000}"/>
    <cellStyle name="20% - Accent4 5 5 11 2" xfId="6952" xr:uid="{00000000-0005-0000-0000-0000241B0000}"/>
    <cellStyle name="20% - Accent4 5 5 11 2 2" xfId="6953" xr:uid="{00000000-0005-0000-0000-0000251B0000}"/>
    <cellStyle name="20% - Accent4 5 5 11 3" xfId="6954" xr:uid="{00000000-0005-0000-0000-0000261B0000}"/>
    <cellStyle name="20% - Accent4 5 5 12" xfId="6955" xr:uid="{00000000-0005-0000-0000-0000271B0000}"/>
    <cellStyle name="20% - Accent4 5 5 12 2" xfId="6956" xr:uid="{00000000-0005-0000-0000-0000281B0000}"/>
    <cellStyle name="20% - Accent4 5 5 12 2 2" xfId="6957" xr:uid="{00000000-0005-0000-0000-0000291B0000}"/>
    <cellStyle name="20% - Accent4 5 5 12 3" xfId="6958" xr:uid="{00000000-0005-0000-0000-00002A1B0000}"/>
    <cellStyle name="20% - Accent4 5 5 13" xfId="6959" xr:uid="{00000000-0005-0000-0000-00002B1B0000}"/>
    <cellStyle name="20% - Accent4 5 5 13 2" xfId="6960" xr:uid="{00000000-0005-0000-0000-00002C1B0000}"/>
    <cellStyle name="20% - Accent4 5 5 14" xfId="6961" xr:uid="{00000000-0005-0000-0000-00002D1B0000}"/>
    <cellStyle name="20% - Accent4 5 5 2" xfId="6962" xr:uid="{00000000-0005-0000-0000-00002E1B0000}"/>
    <cellStyle name="20% - Accent4 5 5 2 2" xfId="6963" xr:uid="{00000000-0005-0000-0000-00002F1B0000}"/>
    <cellStyle name="20% - Accent4 5 5 2 2 2" xfId="6964" xr:uid="{00000000-0005-0000-0000-0000301B0000}"/>
    <cellStyle name="20% - Accent4 5 5 2 2 2 2" xfId="6965" xr:uid="{00000000-0005-0000-0000-0000311B0000}"/>
    <cellStyle name="20% - Accent4 5 5 2 2 2 2 2" xfId="6966" xr:uid="{00000000-0005-0000-0000-0000321B0000}"/>
    <cellStyle name="20% - Accent4 5 5 2 2 2 3" xfId="6967" xr:uid="{00000000-0005-0000-0000-0000331B0000}"/>
    <cellStyle name="20% - Accent4 5 5 2 2 3" xfId="6968" xr:uid="{00000000-0005-0000-0000-0000341B0000}"/>
    <cellStyle name="20% - Accent4 5 5 2 2 3 2" xfId="6969" xr:uid="{00000000-0005-0000-0000-0000351B0000}"/>
    <cellStyle name="20% - Accent4 5 5 2 2 4" xfId="6970" xr:uid="{00000000-0005-0000-0000-0000361B0000}"/>
    <cellStyle name="20% - Accent4 5 5 2 3" xfId="6971" xr:uid="{00000000-0005-0000-0000-0000371B0000}"/>
    <cellStyle name="20% - Accent4 5 5 2 3 2" xfId="6972" xr:uid="{00000000-0005-0000-0000-0000381B0000}"/>
    <cellStyle name="20% - Accent4 5 5 2 3 2 2" xfId="6973" xr:uid="{00000000-0005-0000-0000-0000391B0000}"/>
    <cellStyle name="20% - Accent4 5 5 2 3 3" xfId="6974" xr:uid="{00000000-0005-0000-0000-00003A1B0000}"/>
    <cellStyle name="20% - Accent4 5 5 2 4" xfId="6975" xr:uid="{00000000-0005-0000-0000-00003B1B0000}"/>
    <cellStyle name="20% - Accent4 5 5 2 4 2" xfId="6976" xr:uid="{00000000-0005-0000-0000-00003C1B0000}"/>
    <cellStyle name="20% - Accent4 5 5 2 4 2 2" xfId="6977" xr:uid="{00000000-0005-0000-0000-00003D1B0000}"/>
    <cellStyle name="20% - Accent4 5 5 2 4 3" xfId="6978" xr:uid="{00000000-0005-0000-0000-00003E1B0000}"/>
    <cellStyle name="20% - Accent4 5 5 2 5" xfId="6979" xr:uid="{00000000-0005-0000-0000-00003F1B0000}"/>
    <cellStyle name="20% - Accent4 5 5 2 5 2" xfId="6980" xr:uid="{00000000-0005-0000-0000-0000401B0000}"/>
    <cellStyle name="20% - Accent4 5 5 2 5 2 2" xfId="6981" xr:uid="{00000000-0005-0000-0000-0000411B0000}"/>
    <cellStyle name="20% - Accent4 5 5 2 5 3" xfId="6982" xr:uid="{00000000-0005-0000-0000-0000421B0000}"/>
    <cellStyle name="20% - Accent4 5 5 2 6" xfId="6983" xr:uid="{00000000-0005-0000-0000-0000431B0000}"/>
    <cellStyle name="20% - Accent4 5 5 2 6 2" xfId="6984" xr:uid="{00000000-0005-0000-0000-0000441B0000}"/>
    <cellStyle name="20% - Accent4 5 5 2 6 2 2" xfId="6985" xr:uid="{00000000-0005-0000-0000-0000451B0000}"/>
    <cellStyle name="20% - Accent4 5 5 2 6 3" xfId="6986" xr:uid="{00000000-0005-0000-0000-0000461B0000}"/>
    <cellStyle name="20% - Accent4 5 5 2 7" xfId="6987" xr:uid="{00000000-0005-0000-0000-0000471B0000}"/>
    <cellStyle name="20% - Accent4 5 5 2 7 2" xfId="6988" xr:uid="{00000000-0005-0000-0000-0000481B0000}"/>
    <cellStyle name="20% - Accent4 5 5 2 8" xfId="6989" xr:uid="{00000000-0005-0000-0000-0000491B0000}"/>
    <cellStyle name="20% - Accent4 5 5 3" xfId="6990" xr:uid="{00000000-0005-0000-0000-00004A1B0000}"/>
    <cellStyle name="20% - Accent4 5 5 3 2" xfId="6991" xr:uid="{00000000-0005-0000-0000-00004B1B0000}"/>
    <cellStyle name="20% - Accent4 5 5 3 2 2" xfId="6992" xr:uid="{00000000-0005-0000-0000-00004C1B0000}"/>
    <cellStyle name="20% - Accent4 5 5 3 2 2 2" xfId="6993" xr:uid="{00000000-0005-0000-0000-00004D1B0000}"/>
    <cellStyle name="20% - Accent4 5 5 3 2 2 2 2" xfId="6994" xr:uid="{00000000-0005-0000-0000-00004E1B0000}"/>
    <cellStyle name="20% - Accent4 5 5 3 2 2 3" xfId="6995" xr:uid="{00000000-0005-0000-0000-00004F1B0000}"/>
    <cellStyle name="20% - Accent4 5 5 3 2 3" xfId="6996" xr:uid="{00000000-0005-0000-0000-0000501B0000}"/>
    <cellStyle name="20% - Accent4 5 5 3 2 3 2" xfId="6997" xr:uid="{00000000-0005-0000-0000-0000511B0000}"/>
    <cellStyle name="20% - Accent4 5 5 3 2 4" xfId="6998" xr:uid="{00000000-0005-0000-0000-0000521B0000}"/>
    <cellStyle name="20% - Accent4 5 5 3 3" xfId="6999" xr:uid="{00000000-0005-0000-0000-0000531B0000}"/>
    <cellStyle name="20% - Accent4 5 5 3 3 2" xfId="7000" xr:uid="{00000000-0005-0000-0000-0000541B0000}"/>
    <cellStyle name="20% - Accent4 5 5 3 3 2 2" xfId="7001" xr:uid="{00000000-0005-0000-0000-0000551B0000}"/>
    <cellStyle name="20% - Accent4 5 5 3 3 3" xfId="7002" xr:uid="{00000000-0005-0000-0000-0000561B0000}"/>
    <cellStyle name="20% - Accent4 5 5 3 4" xfId="7003" xr:uid="{00000000-0005-0000-0000-0000571B0000}"/>
    <cellStyle name="20% - Accent4 5 5 3 4 2" xfId="7004" xr:uid="{00000000-0005-0000-0000-0000581B0000}"/>
    <cellStyle name="20% - Accent4 5 5 3 4 2 2" xfId="7005" xr:uid="{00000000-0005-0000-0000-0000591B0000}"/>
    <cellStyle name="20% - Accent4 5 5 3 4 3" xfId="7006" xr:uid="{00000000-0005-0000-0000-00005A1B0000}"/>
    <cellStyle name="20% - Accent4 5 5 3 5" xfId="7007" xr:uid="{00000000-0005-0000-0000-00005B1B0000}"/>
    <cellStyle name="20% - Accent4 5 5 3 5 2" xfId="7008" xr:uid="{00000000-0005-0000-0000-00005C1B0000}"/>
    <cellStyle name="20% - Accent4 5 5 3 5 2 2" xfId="7009" xr:uid="{00000000-0005-0000-0000-00005D1B0000}"/>
    <cellStyle name="20% - Accent4 5 5 3 5 3" xfId="7010" xr:uid="{00000000-0005-0000-0000-00005E1B0000}"/>
    <cellStyle name="20% - Accent4 5 5 3 6" xfId="7011" xr:uid="{00000000-0005-0000-0000-00005F1B0000}"/>
    <cellStyle name="20% - Accent4 5 5 3 6 2" xfId="7012" xr:uid="{00000000-0005-0000-0000-0000601B0000}"/>
    <cellStyle name="20% - Accent4 5 5 3 6 2 2" xfId="7013" xr:uid="{00000000-0005-0000-0000-0000611B0000}"/>
    <cellStyle name="20% - Accent4 5 5 3 6 3" xfId="7014" xr:uid="{00000000-0005-0000-0000-0000621B0000}"/>
    <cellStyle name="20% - Accent4 5 5 3 7" xfId="7015" xr:uid="{00000000-0005-0000-0000-0000631B0000}"/>
    <cellStyle name="20% - Accent4 5 5 3 7 2" xfId="7016" xr:uid="{00000000-0005-0000-0000-0000641B0000}"/>
    <cellStyle name="20% - Accent4 5 5 3 8" xfId="7017" xr:uid="{00000000-0005-0000-0000-0000651B0000}"/>
    <cellStyle name="20% - Accent4 5 5 4" xfId="7018" xr:uid="{00000000-0005-0000-0000-0000661B0000}"/>
    <cellStyle name="20% - Accent4 5 5 4 2" xfId="7019" xr:uid="{00000000-0005-0000-0000-0000671B0000}"/>
    <cellStyle name="20% - Accent4 5 5 4 2 2" xfId="7020" xr:uid="{00000000-0005-0000-0000-0000681B0000}"/>
    <cellStyle name="20% - Accent4 5 5 4 2 2 2" xfId="7021" xr:uid="{00000000-0005-0000-0000-0000691B0000}"/>
    <cellStyle name="20% - Accent4 5 5 4 2 2 2 2" xfId="7022" xr:uid="{00000000-0005-0000-0000-00006A1B0000}"/>
    <cellStyle name="20% - Accent4 5 5 4 2 2 3" xfId="7023" xr:uid="{00000000-0005-0000-0000-00006B1B0000}"/>
    <cellStyle name="20% - Accent4 5 5 4 2 3" xfId="7024" xr:uid="{00000000-0005-0000-0000-00006C1B0000}"/>
    <cellStyle name="20% - Accent4 5 5 4 2 3 2" xfId="7025" xr:uid="{00000000-0005-0000-0000-00006D1B0000}"/>
    <cellStyle name="20% - Accent4 5 5 4 2 4" xfId="7026" xr:uid="{00000000-0005-0000-0000-00006E1B0000}"/>
    <cellStyle name="20% - Accent4 5 5 4 3" xfId="7027" xr:uid="{00000000-0005-0000-0000-00006F1B0000}"/>
    <cellStyle name="20% - Accent4 5 5 4 3 2" xfId="7028" xr:uid="{00000000-0005-0000-0000-0000701B0000}"/>
    <cellStyle name="20% - Accent4 5 5 4 3 2 2" xfId="7029" xr:uid="{00000000-0005-0000-0000-0000711B0000}"/>
    <cellStyle name="20% - Accent4 5 5 4 3 3" xfId="7030" xr:uid="{00000000-0005-0000-0000-0000721B0000}"/>
    <cellStyle name="20% - Accent4 5 5 4 4" xfId="7031" xr:uid="{00000000-0005-0000-0000-0000731B0000}"/>
    <cellStyle name="20% - Accent4 5 5 4 4 2" xfId="7032" xr:uid="{00000000-0005-0000-0000-0000741B0000}"/>
    <cellStyle name="20% - Accent4 5 5 4 4 2 2" xfId="7033" xr:uid="{00000000-0005-0000-0000-0000751B0000}"/>
    <cellStyle name="20% - Accent4 5 5 4 4 3" xfId="7034" xr:uid="{00000000-0005-0000-0000-0000761B0000}"/>
    <cellStyle name="20% - Accent4 5 5 4 5" xfId="7035" xr:uid="{00000000-0005-0000-0000-0000771B0000}"/>
    <cellStyle name="20% - Accent4 5 5 4 5 2" xfId="7036" xr:uid="{00000000-0005-0000-0000-0000781B0000}"/>
    <cellStyle name="20% - Accent4 5 5 4 5 2 2" xfId="7037" xr:uid="{00000000-0005-0000-0000-0000791B0000}"/>
    <cellStyle name="20% - Accent4 5 5 4 5 3" xfId="7038" xr:uid="{00000000-0005-0000-0000-00007A1B0000}"/>
    <cellStyle name="20% - Accent4 5 5 4 6" xfId="7039" xr:uid="{00000000-0005-0000-0000-00007B1B0000}"/>
    <cellStyle name="20% - Accent4 5 5 4 6 2" xfId="7040" xr:uid="{00000000-0005-0000-0000-00007C1B0000}"/>
    <cellStyle name="20% - Accent4 5 5 4 6 2 2" xfId="7041" xr:uid="{00000000-0005-0000-0000-00007D1B0000}"/>
    <cellStyle name="20% - Accent4 5 5 4 6 3" xfId="7042" xr:uid="{00000000-0005-0000-0000-00007E1B0000}"/>
    <cellStyle name="20% - Accent4 5 5 4 7" xfId="7043" xr:uid="{00000000-0005-0000-0000-00007F1B0000}"/>
    <cellStyle name="20% - Accent4 5 5 4 7 2" xfId="7044" xr:uid="{00000000-0005-0000-0000-0000801B0000}"/>
    <cellStyle name="20% - Accent4 5 5 4 8" xfId="7045" xr:uid="{00000000-0005-0000-0000-0000811B0000}"/>
    <cellStyle name="20% - Accent4 5 5 5" xfId="7046" xr:uid="{00000000-0005-0000-0000-0000821B0000}"/>
    <cellStyle name="20% - Accent4 5 5 5 2" xfId="7047" xr:uid="{00000000-0005-0000-0000-0000831B0000}"/>
    <cellStyle name="20% - Accent4 5 5 5 2 2" xfId="7048" xr:uid="{00000000-0005-0000-0000-0000841B0000}"/>
    <cellStyle name="20% - Accent4 5 5 5 2 2 2" xfId="7049" xr:uid="{00000000-0005-0000-0000-0000851B0000}"/>
    <cellStyle name="20% - Accent4 5 5 5 2 2 2 2" xfId="7050" xr:uid="{00000000-0005-0000-0000-0000861B0000}"/>
    <cellStyle name="20% - Accent4 5 5 5 2 2 3" xfId="7051" xr:uid="{00000000-0005-0000-0000-0000871B0000}"/>
    <cellStyle name="20% - Accent4 5 5 5 2 3" xfId="7052" xr:uid="{00000000-0005-0000-0000-0000881B0000}"/>
    <cellStyle name="20% - Accent4 5 5 5 2 3 2" xfId="7053" xr:uid="{00000000-0005-0000-0000-0000891B0000}"/>
    <cellStyle name="20% - Accent4 5 5 5 2 4" xfId="7054" xr:uid="{00000000-0005-0000-0000-00008A1B0000}"/>
    <cellStyle name="20% - Accent4 5 5 5 3" xfId="7055" xr:uid="{00000000-0005-0000-0000-00008B1B0000}"/>
    <cellStyle name="20% - Accent4 5 5 5 3 2" xfId="7056" xr:uid="{00000000-0005-0000-0000-00008C1B0000}"/>
    <cellStyle name="20% - Accent4 5 5 5 3 2 2" xfId="7057" xr:uid="{00000000-0005-0000-0000-00008D1B0000}"/>
    <cellStyle name="20% - Accent4 5 5 5 3 3" xfId="7058" xr:uid="{00000000-0005-0000-0000-00008E1B0000}"/>
    <cellStyle name="20% - Accent4 5 5 5 4" xfId="7059" xr:uid="{00000000-0005-0000-0000-00008F1B0000}"/>
    <cellStyle name="20% - Accent4 5 5 5 4 2" xfId="7060" xr:uid="{00000000-0005-0000-0000-0000901B0000}"/>
    <cellStyle name="20% - Accent4 5 5 5 5" xfId="7061" xr:uid="{00000000-0005-0000-0000-0000911B0000}"/>
    <cellStyle name="20% - Accent4 5 5 6" xfId="7062" xr:uid="{00000000-0005-0000-0000-0000921B0000}"/>
    <cellStyle name="20% - Accent4 5 5 6 2" xfId="7063" xr:uid="{00000000-0005-0000-0000-0000931B0000}"/>
    <cellStyle name="20% - Accent4 5 5 6 2 2" xfId="7064" xr:uid="{00000000-0005-0000-0000-0000941B0000}"/>
    <cellStyle name="20% - Accent4 5 5 6 2 2 2" xfId="7065" xr:uid="{00000000-0005-0000-0000-0000951B0000}"/>
    <cellStyle name="20% - Accent4 5 5 6 2 2 2 2" xfId="7066" xr:uid="{00000000-0005-0000-0000-0000961B0000}"/>
    <cellStyle name="20% - Accent4 5 5 6 2 2 3" xfId="7067" xr:uid="{00000000-0005-0000-0000-0000971B0000}"/>
    <cellStyle name="20% - Accent4 5 5 6 2 3" xfId="7068" xr:uid="{00000000-0005-0000-0000-0000981B0000}"/>
    <cellStyle name="20% - Accent4 5 5 6 2 3 2" xfId="7069" xr:uid="{00000000-0005-0000-0000-0000991B0000}"/>
    <cellStyle name="20% - Accent4 5 5 6 2 4" xfId="7070" xr:uid="{00000000-0005-0000-0000-00009A1B0000}"/>
    <cellStyle name="20% - Accent4 5 5 6 3" xfId="7071" xr:uid="{00000000-0005-0000-0000-00009B1B0000}"/>
    <cellStyle name="20% - Accent4 5 5 6 3 2" xfId="7072" xr:uid="{00000000-0005-0000-0000-00009C1B0000}"/>
    <cellStyle name="20% - Accent4 5 5 6 3 2 2" xfId="7073" xr:uid="{00000000-0005-0000-0000-00009D1B0000}"/>
    <cellStyle name="20% - Accent4 5 5 6 3 3" xfId="7074" xr:uid="{00000000-0005-0000-0000-00009E1B0000}"/>
    <cellStyle name="20% - Accent4 5 5 6 4" xfId="7075" xr:uid="{00000000-0005-0000-0000-00009F1B0000}"/>
    <cellStyle name="20% - Accent4 5 5 6 4 2" xfId="7076" xr:uid="{00000000-0005-0000-0000-0000A01B0000}"/>
    <cellStyle name="20% - Accent4 5 5 6 5" xfId="7077" xr:uid="{00000000-0005-0000-0000-0000A11B0000}"/>
    <cellStyle name="20% - Accent4 5 5 7" xfId="7078" xr:uid="{00000000-0005-0000-0000-0000A21B0000}"/>
    <cellStyle name="20% - Accent4 5 5 7 2" xfId="7079" xr:uid="{00000000-0005-0000-0000-0000A31B0000}"/>
    <cellStyle name="20% - Accent4 5 5 7 2 2" xfId="7080" xr:uid="{00000000-0005-0000-0000-0000A41B0000}"/>
    <cellStyle name="20% - Accent4 5 5 7 2 2 2" xfId="7081" xr:uid="{00000000-0005-0000-0000-0000A51B0000}"/>
    <cellStyle name="20% - Accent4 5 5 7 2 3" xfId="7082" xr:uid="{00000000-0005-0000-0000-0000A61B0000}"/>
    <cellStyle name="20% - Accent4 5 5 7 3" xfId="7083" xr:uid="{00000000-0005-0000-0000-0000A71B0000}"/>
    <cellStyle name="20% - Accent4 5 5 7 3 2" xfId="7084" xr:uid="{00000000-0005-0000-0000-0000A81B0000}"/>
    <cellStyle name="20% - Accent4 5 5 7 4" xfId="7085" xr:uid="{00000000-0005-0000-0000-0000A91B0000}"/>
    <cellStyle name="20% - Accent4 5 5 8" xfId="7086" xr:uid="{00000000-0005-0000-0000-0000AA1B0000}"/>
    <cellStyle name="20% - Accent4 5 5 8 2" xfId="7087" xr:uid="{00000000-0005-0000-0000-0000AB1B0000}"/>
    <cellStyle name="20% - Accent4 5 5 8 2 2" xfId="7088" xr:uid="{00000000-0005-0000-0000-0000AC1B0000}"/>
    <cellStyle name="20% - Accent4 5 5 8 2 2 2" xfId="7089" xr:uid="{00000000-0005-0000-0000-0000AD1B0000}"/>
    <cellStyle name="20% - Accent4 5 5 8 2 3" xfId="7090" xr:uid="{00000000-0005-0000-0000-0000AE1B0000}"/>
    <cellStyle name="20% - Accent4 5 5 8 3" xfId="7091" xr:uid="{00000000-0005-0000-0000-0000AF1B0000}"/>
    <cellStyle name="20% - Accent4 5 5 8 3 2" xfId="7092" xr:uid="{00000000-0005-0000-0000-0000B01B0000}"/>
    <cellStyle name="20% - Accent4 5 5 8 4" xfId="7093" xr:uid="{00000000-0005-0000-0000-0000B11B0000}"/>
    <cellStyle name="20% - Accent4 5 5 9" xfId="7094" xr:uid="{00000000-0005-0000-0000-0000B21B0000}"/>
    <cellStyle name="20% - Accent4 5 5 9 2" xfId="7095" xr:uid="{00000000-0005-0000-0000-0000B31B0000}"/>
    <cellStyle name="20% - Accent4 5 5 9 2 2" xfId="7096" xr:uid="{00000000-0005-0000-0000-0000B41B0000}"/>
    <cellStyle name="20% - Accent4 5 5 9 3" xfId="7097" xr:uid="{00000000-0005-0000-0000-0000B51B0000}"/>
    <cellStyle name="20% - Accent4 5 6" xfId="7098" xr:uid="{00000000-0005-0000-0000-0000B61B0000}"/>
    <cellStyle name="20% - Accent4 5 6 10" xfId="7099" xr:uid="{00000000-0005-0000-0000-0000B71B0000}"/>
    <cellStyle name="20% - Accent4 5 6 10 2" xfId="7100" xr:uid="{00000000-0005-0000-0000-0000B81B0000}"/>
    <cellStyle name="20% - Accent4 5 6 10 2 2" xfId="7101" xr:uid="{00000000-0005-0000-0000-0000B91B0000}"/>
    <cellStyle name="20% - Accent4 5 6 10 3" xfId="7102" xr:uid="{00000000-0005-0000-0000-0000BA1B0000}"/>
    <cellStyle name="20% - Accent4 5 6 11" xfId="7103" xr:uid="{00000000-0005-0000-0000-0000BB1B0000}"/>
    <cellStyle name="20% - Accent4 5 6 11 2" xfId="7104" xr:uid="{00000000-0005-0000-0000-0000BC1B0000}"/>
    <cellStyle name="20% - Accent4 5 6 11 2 2" xfId="7105" xr:uid="{00000000-0005-0000-0000-0000BD1B0000}"/>
    <cellStyle name="20% - Accent4 5 6 11 3" xfId="7106" xr:uid="{00000000-0005-0000-0000-0000BE1B0000}"/>
    <cellStyle name="20% - Accent4 5 6 12" xfId="7107" xr:uid="{00000000-0005-0000-0000-0000BF1B0000}"/>
    <cellStyle name="20% - Accent4 5 6 12 2" xfId="7108" xr:uid="{00000000-0005-0000-0000-0000C01B0000}"/>
    <cellStyle name="20% - Accent4 5 6 12 2 2" xfId="7109" xr:uid="{00000000-0005-0000-0000-0000C11B0000}"/>
    <cellStyle name="20% - Accent4 5 6 12 3" xfId="7110" xr:uid="{00000000-0005-0000-0000-0000C21B0000}"/>
    <cellStyle name="20% - Accent4 5 6 13" xfId="7111" xr:uid="{00000000-0005-0000-0000-0000C31B0000}"/>
    <cellStyle name="20% - Accent4 5 6 13 2" xfId="7112" xr:uid="{00000000-0005-0000-0000-0000C41B0000}"/>
    <cellStyle name="20% - Accent4 5 6 14" xfId="7113" xr:uid="{00000000-0005-0000-0000-0000C51B0000}"/>
    <cellStyle name="20% - Accent4 5 6 2" xfId="7114" xr:uid="{00000000-0005-0000-0000-0000C61B0000}"/>
    <cellStyle name="20% - Accent4 5 6 2 2" xfId="7115" xr:uid="{00000000-0005-0000-0000-0000C71B0000}"/>
    <cellStyle name="20% - Accent4 5 6 2 2 2" xfId="7116" xr:uid="{00000000-0005-0000-0000-0000C81B0000}"/>
    <cellStyle name="20% - Accent4 5 6 2 2 2 2" xfId="7117" xr:uid="{00000000-0005-0000-0000-0000C91B0000}"/>
    <cellStyle name="20% - Accent4 5 6 2 2 2 2 2" xfId="7118" xr:uid="{00000000-0005-0000-0000-0000CA1B0000}"/>
    <cellStyle name="20% - Accent4 5 6 2 2 2 3" xfId="7119" xr:uid="{00000000-0005-0000-0000-0000CB1B0000}"/>
    <cellStyle name="20% - Accent4 5 6 2 2 3" xfId="7120" xr:uid="{00000000-0005-0000-0000-0000CC1B0000}"/>
    <cellStyle name="20% - Accent4 5 6 2 2 3 2" xfId="7121" xr:uid="{00000000-0005-0000-0000-0000CD1B0000}"/>
    <cellStyle name="20% - Accent4 5 6 2 2 4" xfId="7122" xr:uid="{00000000-0005-0000-0000-0000CE1B0000}"/>
    <cellStyle name="20% - Accent4 5 6 2 3" xfId="7123" xr:uid="{00000000-0005-0000-0000-0000CF1B0000}"/>
    <cellStyle name="20% - Accent4 5 6 2 3 2" xfId="7124" xr:uid="{00000000-0005-0000-0000-0000D01B0000}"/>
    <cellStyle name="20% - Accent4 5 6 2 3 2 2" xfId="7125" xr:uid="{00000000-0005-0000-0000-0000D11B0000}"/>
    <cellStyle name="20% - Accent4 5 6 2 3 3" xfId="7126" xr:uid="{00000000-0005-0000-0000-0000D21B0000}"/>
    <cellStyle name="20% - Accent4 5 6 2 4" xfId="7127" xr:uid="{00000000-0005-0000-0000-0000D31B0000}"/>
    <cellStyle name="20% - Accent4 5 6 2 4 2" xfId="7128" xr:uid="{00000000-0005-0000-0000-0000D41B0000}"/>
    <cellStyle name="20% - Accent4 5 6 2 4 2 2" xfId="7129" xr:uid="{00000000-0005-0000-0000-0000D51B0000}"/>
    <cellStyle name="20% - Accent4 5 6 2 4 3" xfId="7130" xr:uid="{00000000-0005-0000-0000-0000D61B0000}"/>
    <cellStyle name="20% - Accent4 5 6 2 5" xfId="7131" xr:uid="{00000000-0005-0000-0000-0000D71B0000}"/>
    <cellStyle name="20% - Accent4 5 6 2 5 2" xfId="7132" xr:uid="{00000000-0005-0000-0000-0000D81B0000}"/>
    <cellStyle name="20% - Accent4 5 6 2 5 2 2" xfId="7133" xr:uid="{00000000-0005-0000-0000-0000D91B0000}"/>
    <cellStyle name="20% - Accent4 5 6 2 5 3" xfId="7134" xr:uid="{00000000-0005-0000-0000-0000DA1B0000}"/>
    <cellStyle name="20% - Accent4 5 6 2 6" xfId="7135" xr:uid="{00000000-0005-0000-0000-0000DB1B0000}"/>
    <cellStyle name="20% - Accent4 5 6 2 6 2" xfId="7136" xr:uid="{00000000-0005-0000-0000-0000DC1B0000}"/>
    <cellStyle name="20% - Accent4 5 6 2 6 2 2" xfId="7137" xr:uid="{00000000-0005-0000-0000-0000DD1B0000}"/>
    <cellStyle name="20% - Accent4 5 6 2 6 3" xfId="7138" xr:uid="{00000000-0005-0000-0000-0000DE1B0000}"/>
    <cellStyle name="20% - Accent4 5 6 2 7" xfId="7139" xr:uid="{00000000-0005-0000-0000-0000DF1B0000}"/>
    <cellStyle name="20% - Accent4 5 6 2 7 2" xfId="7140" xr:uid="{00000000-0005-0000-0000-0000E01B0000}"/>
    <cellStyle name="20% - Accent4 5 6 2 8" xfId="7141" xr:uid="{00000000-0005-0000-0000-0000E11B0000}"/>
    <cellStyle name="20% - Accent4 5 6 3" xfId="7142" xr:uid="{00000000-0005-0000-0000-0000E21B0000}"/>
    <cellStyle name="20% - Accent4 5 6 3 2" xfId="7143" xr:uid="{00000000-0005-0000-0000-0000E31B0000}"/>
    <cellStyle name="20% - Accent4 5 6 3 2 2" xfId="7144" xr:uid="{00000000-0005-0000-0000-0000E41B0000}"/>
    <cellStyle name="20% - Accent4 5 6 3 2 2 2" xfId="7145" xr:uid="{00000000-0005-0000-0000-0000E51B0000}"/>
    <cellStyle name="20% - Accent4 5 6 3 2 2 2 2" xfId="7146" xr:uid="{00000000-0005-0000-0000-0000E61B0000}"/>
    <cellStyle name="20% - Accent4 5 6 3 2 2 3" xfId="7147" xr:uid="{00000000-0005-0000-0000-0000E71B0000}"/>
    <cellStyle name="20% - Accent4 5 6 3 2 3" xfId="7148" xr:uid="{00000000-0005-0000-0000-0000E81B0000}"/>
    <cellStyle name="20% - Accent4 5 6 3 2 3 2" xfId="7149" xr:uid="{00000000-0005-0000-0000-0000E91B0000}"/>
    <cellStyle name="20% - Accent4 5 6 3 2 4" xfId="7150" xr:uid="{00000000-0005-0000-0000-0000EA1B0000}"/>
    <cellStyle name="20% - Accent4 5 6 3 3" xfId="7151" xr:uid="{00000000-0005-0000-0000-0000EB1B0000}"/>
    <cellStyle name="20% - Accent4 5 6 3 3 2" xfId="7152" xr:uid="{00000000-0005-0000-0000-0000EC1B0000}"/>
    <cellStyle name="20% - Accent4 5 6 3 3 2 2" xfId="7153" xr:uid="{00000000-0005-0000-0000-0000ED1B0000}"/>
    <cellStyle name="20% - Accent4 5 6 3 3 3" xfId="7154" xr:uid="{00000000-0005-0000-0000-0000EE1B0000}"/>
    <cellStyle name="20% - Accent4 5 6 3 4" xfId="7155" xr:uid="{00000000-0005-0000-0000-0000EF1B0000}"/>
    <cellStyle name="20% - Accent4 5 6 3 4 2" xfId="7156" xr:uid="{00000000-0005-0000-0000-0000F01B0000}"/>
    <cellStyle name="20% - Accent4 5 6 3 4 2 2" xfId="7157" xr:uid="{00000000-0005-0000-0000-0000F11B0000}"/>
    <cellStyle name="20% - Accent4 5 6 3 4 3" xfId="7158" xr:uid="{00000000-0005-0000-0000-0000F21B0000}"/>
    <cellStyle name="20% - Accent4 5 6 3 5" xfId="7159" xr:uid="{00000000-0005-0000-0000-0000F31B0000}"/>
    <cellStyle name="20% - Accent4 5 6 3 5 2" xfId="7160" xr:uid="{00000000-0005-0000-0000-0000F41B0000}"/>
    <cellStyle name="20% - Accent4 5 6 3 5 2 2" xfId="7161" xr:uid="{00000000-0005-0000-0000-0000F51B0000}"/>
    <cellStyle name="20% - Accent4 5 6 3 5 3" xfId="7162" xr:uid="{00000000-0005-0000-0000-0000F61B0000}"/>
    <cellStyle name="20% - Accent4 5 6 3 6" xfId="7163" xr:uid="{00000000-0005-0000-0000-0000F71B0000}"/>
    <cellStyle name="20% - Accent4 5 6 3 6 2" xfId="7164" xr:uid="{00000000-0005-0000-0000-0000F81B0000}"/>
    <cellStyle name="20% - Accent4 5 6 3 6 2 2" xfId="7165" xr:uid="{00000000-0005-0000-0000-0000F91B0000}"/>
    <cellStyle name="20% - Accent4 5 6 3 6 3" xfId="7166" xr:uid="{00000000-0005-0000-0000-0000FA1B0000}"/>
    <cellStyle name="20% - Accent4 5 6 3 7" xfId="7167" xr:uid="{00000000-0005-0000-0000-0000FB1B0000}"/>
    <cellStyle name="20% - Accent4 5 6 3 7 2" xfId="7168" xr:uid="{00000000-0005-0000-0000-0000FC1B0000}"/>
    <cellStyle name="20% - Accent4 5 6 3 8" xfId="7169" xr:uid="{00000000-0005-0000-0000-0000FD1B0000}"/>
    <cellStyle name="20% - Accent4 5 6 4" xfId="7170" xr:uid="{00000000-0005-0000-0000-0000FE1B0000}"/>
    <cellStyle name="20% - Accent4 5 6 4 2" xfId="7171" xr:uid="{00000000-0005-0000-0000-0000FF1B0000}"/>
    <cellStyle name="20% - Accent4 5 6 4 2 2" xfId="7172" xr:uid="{00000000-0005-0000-0000-0000001C0000}"/>
    <cellStyle name="20% - Accent4 5 6 4 2 2 2" xfId="7173" xr:uid="{00000000-0005-0000-0000-0000011C0000}"/>
    <cellStyle name="20% - Accent4 5 6 4 2 2 2 2" xfId="7174" xr:uid="{00000000-0005-0000-0000-0000021C0000}"/>
    <cellStyle name="20% - Accent4 5 6 4 2 2 3" xfId="7175" xr:uid="{00000000-0005-0000-0000-0000031C0000}"/>
    <cellStyle name="20% - Accent4 5 6 4 2 3" xfId="7176" xr:uid="{00000000-0005-0000-0000-0000041C0000}"/>
    <cellStyle name="20% - Accent4 5 6 4 2 3 2" xfId="7177" xr:uid="{00000000-0005-0000-0000-0000051C0000}"/>
    <cellStyle name="20% - Accent4 5 6 4 2 4" xfId="7178" xr:uid="{00000000-0005-0000-0000-0000061C0000}"/>
    <cellStyle name="20% - Accent4 5 6 4 3" xfId="7179" xr:uid="{00000000-0005-0000-0000-0000071C0000}"/>
    <cellStyle name="20% - Accent4 5 6 4 3 2" xfId="7180" xr:uid="{00000000-0005-0000-0000-0000081C0000}"/>
    <cellStyle name="20% - Accent4 5 6 4 3 2 2" xfId="7181" xr:uid="{00000000-0005-0000-0000-0000091C0000}"/>
    <cellStyle name="20% - Accent4 5 6 4 3 3" xfId="7182" xr:uid="{00000000-0005-0000-0000-00000A1C0000}"/>
    <cellStyle name="20% - Accent4 5 6 4 4" xfId="7183" xr:uid="{00000000-0005-0000-0000-00000B1C0000}"/>
    <cellStyle name="20% - Accent4 5 6 4 4 2" xfId="7184" xr:uid="{00000000-0005-0000-0000-00000C1C0000}"/>
    <cellStyle name="20% - Accent4 5 6 4 4 2 2" xfId="7185" xr:uid="{00000000-0005-0000-0000-00000D1C0000}"/>
    <cellStyle name="20% - Accent4 5 6 4 4 3" xfId="7186" xr:uid="{00000000-0005-0000-0000-00000E1C0000}"/>
    <cellStyle name="20% - Accent4 5 6 4 5" xfId="7187" xr:uid="{00000000-0005-0000-0000-00000F1C0000}"/>
    <cellStyle name="20% - Accent4 5 6 4 5 2" xfId="7188" xr:uid="{00000000-0005-0000-0000-0000101C0000}"/>
    <cellStyle name="20% - Accent4 5 6 4 5 2 2" xfId="7189" xr:uid="{00000000-0005-0000-0000-0000111C0000}"/>
    <cellStyle name="20% - Accent4 5 6 4 5 3" xfId="7190" xr:uid="{00000000-0005-0000-0000-0000121C0000}"/>
    <cellStyle name="20% - Accent4 5 6 4 6" xfId="7191" xr:uid="{00000000-0005-0000-0000-0000131C0000}"/>
    <cellStyle name="20% - Accent4 5 6 4 6 2" xfId="7192" xr:uid="{00000000-0005-0000-0000-0000141C0000}"/>
    <cellStyle name="20% - Accent4 5 6 4 6 2 2" xfId="7193" xr:uid="{00000000-0005-0000-0000-0000151C0000}"/>
    <cellStyle name="20% - Accent4 5 6 4 6 3" xfId="7194" xr:uid="{00000000-0005-0000-0000-0000161C0000}"/>
    <cellStyle name="20% - Accent4 5 6 4 7" xfId="7195" xr:uid="{00000000-0005-0000-0000-0000171C0000}"/>
    <cellStyle name="20% - Accent4 5 6 4 7 2" xfId="7196" xr:uid="{00000000-0005-0000-0000-0000181C0000}"/>
    <cellStyle name="20% - Accent4 5 6 4 8" xfId="7197" xr:uid="{00000000-0005-0000-0000-0000191C0000}"/>
    <cellStyle name="20% - Accent4 5 6 5" xfId="7198" xr:uid="{00000000-0005-0000-0000-00001A1C0000}"/>
    <cellStyle name="20% - Accent4 5 6 5 2" xfId="7199" xr:uid="{00000000-0005-0000-0000-00001B1C0000}"/>
    <cellStyle name="20% - Accent4 5 6 5 2 2" xfId="7200" xr:uid="{00000000-0005-0000-0000-00001C1C0000}"/>
    <cellStyle name="20% - Accent4 5 6 5 2 2 2" xfId="7201" xr:uid="{00000000-0005-0000-0000-00001D1C0000}"/>
    <cellStyle name="20% - Accent4 5 6 5 2 2 2 2" xfId="7202" xr:uid="{00000000-0005-0000-0000-00001E1C0000}"/>
    <cellStyle name="20% - Accent4 5 6 5 2 2 3" xfId="7203" xr:uid="{00000000-0005-0000-0000-00001F1C0000}"/>
    <cellStyle name="20% - Accent4 5 6 5 2 3" xfId="7204" xr:uid="{00000000-0005-0000-0000-0000201C0000}"/>
    <cellStyle name="20% - Accent4 5 6 5 2 3 2" xfId="7205" xr:uid="{00000000-0005-0000-0000-0000211C0000}"/>
    <cellStyle name="20% - Accent4 5 6 5 2 4" xfId="7206" xr:uid="{00000000-0005-0000-0000-0000221C0000}"/>
    <cellStyle name="20% - Accent4 5 6 5 3" xfId="7207" xr:uid="{00000000-0005-0000-0000-0000231C0000}"/>
    <cellStyle name="20% - Accent4 5 6 5 3 2" xfId="7208" xr:uid="{00000000-0005-0000-0000-0000241C0000}"/>
    <cellStyle name="20% - Accent4 5 6 5 3 2 2" xfId="7209" xr:uid="{00000000-0005-0000-0000-0000251C0000}"/>
    <cellStyle name="20% - Accent4 5 6 5 3 3" xfId="7210" xr:uid="{00000000-0005-0000-0000-0000261C0000}"/>
    <cellStyle name="20% - Accent4 5 6 5 4" xfId="7211" xr:uid="{00000000-0005-0000-0000-0000271C0000}"/>
    <cellStyle name="20% - Accent4 5 6 5 4 2" xfId="7212" xr:uid="{00000000-0005-0000-0000-0000281C0000}"/>
    <cellStyle name="20% - Accent4 5 6 5 5" xfId="7213" xr:uid="{00000000-0005-0000-0000-0000291C0000}"/>
    <cellStyle name="20% - Accent4 5 6 6" xfId="7214" xr:uid="{00000000-0005-0000-0000-00002A1C0000}"/>
    <cellStyle name="20% - Accent4 5 6 6 2" xfId="7215" xr:uid="{00000000-0005-0000-0000-00002B1C0000}"/>
    <cellStyle name="20% - Accent4 5 6 6 2 2" xfId="7216" xr:uid="{00000000-0005-0000-0000-00002C1C0000}"/>
    <cellStyle name="20% - Accent4 5 6 6 2 2 2" xfId="7217" xr:uid="{00000000-0005-0000-0000-00002D1C0000}"/>
    <cellStyle name="20% - Accent4 5 6 6 2 2 2 2" xfId="7218" xr:uid="{00000000-0005-0000-0000-00002E1C0000}"/>
    <cellStyle name="20% - Accent4 5 6 6 2 2 3" xfId="7219" xr:uid="{00000000-0005-0000-0000-00002F1C0000}"/>
    <cellStyle name="20% - Accent4 5 6 6 2 3" xfId="7220" xr:uid="{00000000-0005-0000-0000-0000301C0000}"/>
    <cellStyle name="20% - Accent4 5 6 6 2 3 2" xfId="7221" xr:uid="{00000000-0005-0000-0000-0000311C0000}"/>
    <cellStyle name="20% - Accent4 5 6 6 2 4" xfId="7222" xr:uid="{00000000-0005-0000-0000-0000321C0000}"/>
    <cellStyle name="20% - Accent4 5 6 6 3" xfId="7223" xr:uid="{00000000-0005-0000-0000-0000331C0000}"/>
    <cellStyle name="20% - Accent4 5 6 6 3 2" xfId="7224" xr:uid="{00000000-0005-0000-0000-0000341C0000}"/>
    <cellStyle name="20% - Accent4 5 6 6 3 2 2" xfId="7225" xr:uid="{00000000-0005-0000-0000-0000351C0000}"/>
    <cellStyle name="20% - Accent4 5 6 6 3 3" xfId="7226" xr:uid="{00000000-0005-0000-0000-0000361C0000}"/>
    <cellStyle name="20% - Accent4 5 6 6 4" xfId="7227" xr:uid="{00000000-0005-0000-0000-0000371C0000}"/>
    <cellStyle name="20% - Accent4 5 6 6 4 2" xfId="7228" xr:uid="{00000000-0005-0000-0000-0000381C0000}"/>
    <cellStyle name="20% - Accent4 5 6 6 5" xfId="7229" xr:uid="{00000000-0005-0000-0000-0000391C0000}"/>
    <cellStyle name="20% - Accent4 5 6 7" xfId="7230" xr:uid="{00000000-0005-0000-0000-00003A1C0000}"/>
    <cellStyle name="20% - Accent4 5 6 7 2" xfId="7231" xr:uid="{00000000-0005-0000-0000-00003B1C0000}"/>
    <cellStyle name="20% - Accent4 5 6 7 2 2" xfId="7232" xr:uid="{00000000-0005-0000-0000-00003C1C0000}"/>
    <cellStyle name="20% - Accent4 5 6 7 2 2 2" xfId="7233" xr:uid="{00000000-0005-0000-0000-00003D1C0000}"/>
    <cellStyle name="20% - Accent4 5 6 7 2 3" xfId="7234" xr:uid="{00000000-0005-0000-0000-00003E1C0000}"/>
    <cellStyle name="20% - Accent4 5 6 7 3" xfId="7235" xr:uid="{00000000-0005-0000-0000-00003F1C0000}"/>
    <cellStyle name="20% - Accent4 5 6 7 3 2" xfId="7236" xr:uid="{00000000-0005-0000-0000-0000401C0000}"/>
    <cellStyle name="20% - Accent4 5 6 7 4" xfId="7237" xr:uid="{00000000-0005-0000-0000-0000411C0000}"/>
    <cellStyle name="20% - Accent4 5 6 8" xfId="7238" xr:uid="{00000000-0005-0000-0000-0000421C0000}"/>
    <cellStyle name="20% - Accent4 5 6 8 2" xfId="7239" xr:uid="{00000000-0005-0000-0000-0000431C0000}"/>
    <cellStyle name="20% - Accent4 5 6 8 2 2" xfId="7240" xr:uid="{00000000-0005-0000-0000-0000441C0000}"/>
    <cellStyle name="20% - Accent4 5 6 8 2 2 2" xfId="7241" xr:uid="{00000000-0005-0000-0000-0000451C0000}"/>
    <cellStyle name="20% - Accent4 5 6 8 2 3" xfId="7242" xr:uid="{00000000-0005-0000-0000-0000461C0000}"/>
    <cellStyle name="20% - Accent4 5 6 8 3" xfId="7243" xr:uid="{00000000-0005-0000-0000-0000471C0000}"/>
    <cellStyle name="20% - Accent4 5 6 8 3 2" xfId="7244" xr:uid="{00000000-0005-0000-0000-0000481C0000}"/>
    <cellStyle name="20% - Accent4 5 6 8 4" xfId="7245" xr:uid="{00000000-0005-0000-0000-0000491C0000}"/>
    <cellStyle name="20% - Accent4 5 6 9" xfId="7246" xr:uid="{00000000-0005-0000-0000-00004A1C0000}"/>
    <cellStyle name="20% - Accent4 5 6 9 2" xfId="7247" xr:uid="{00000000-0005-0000-0000-00004B1C0000}"/>
    <cellStyle name="20% - Accent4 5 6 9 2 2" xfId="7248" xr:uid="{00000000-0005-0000-0000-00004C1C0000}"/>
    <cellStyle name="20% - Accent4 5 6 9 3" xfId="7249" xr:uid="{00000000-0005-0000-0000-00004D1C0000}"/>
    <cellStyle name="20% - Accent4 5 7" xfId="7250" xr:uid="{00000000-0005-0000-0000-00004E1C0000}"/>
    <cellStyle name="20% - Accent4 5 7 10" xfId="7251" xr:uid="{00000000-0005-0000-0000-00004F1C0000}"/>
    <cellStyle name="20% - Accent4 5 7 10 2" xfId="7252" xr:uid="{00000000-0005-0000-0000-0000501C0000}"/>
    <cellStyle name="20% - Accent4 5 7 10 2 2" xfId="7253" xr:uid="{00000000-0005-0000-0000-0000511C0000}"/>
    <cellStyle name="20% - Accent4 5 7 10 3" xfId="7254" xr:uid="{00000000-0005-0000-0000-0000521C0000}"/>
    <cellStyle name="20% - Accent4 5 7 11" xfId="7255" xr:uid="{00000000-0005-0000-0000-0000531C0000}"/>
    <cellStyle name="20% - Accent4 5 7 11 2" xfId="7256" xr:uid="{00000000-0005-0000-0000-0000541C0000}"/>
    <cellStyle name="20% - Accent4 5 7 11 2 2" xfId="7257" xr:uid="{00000000-0005-0000-0000-0000551C0000}"/>
    <cellStyle name="20% - Accent4 5 7 11 3" xfId="7258" xr:uid="{00000000-0005-0000-0000-0000561C0000}"/>
    <cellStyle name="20% - Accent4 5 7 12" xfId="7259" xr:uid="{00000000-0005-0000-0000-0000571C0000}"/>
    <cellStyle name="20% - Accent4 5 7 12 2" xfId="7260" xr:uid="{00000000-0005-0000-0000-0000581C0000}"/>
    <cellStyle name="20% - Accent4 5 7 12 2 2" xfId="7261" xr:uid="{00000000-0005-0000-0000-0000591C0000}"/>
    <cellStyle name="20% - Accent4 5 7 12 3" xfId="7262" xr:uid="{00000000-0005-0000-0000-00005A1C0000}"/>
    <cellStyle name="20% - Accent4 5 7 13" xfId="7263" xr:uid="{00000000-0005-0000-0000-00005B1C0000}"/>
    <cellStyle name="20% - Accent4 5 7 13 2" xfId="7264" xr:uid="{00000000-0005-0000-0000-00005C1C0000}"/>
    <cellStyle name="20% - Accent4 5 7 14" xfId="7265" xr:uid="{00000000-0005-0000-0000-00005D1C0000}"/>
    <cellStyle name="20% - Accent4 5 7 2" xfId="7266" xr:uid="{00000000-0005-0000-0000-00005E1C0000}"/>
    <cellStyle name="20% - Accent4 5 7 2 2" xfId="7267" xr:uid="{00000000-0005-0000-0000-00005F1C0000}"/>
    <cellStyle name="20% - Accent4 5 7 2 2 2" xfId="7268" xr:uid="{00000000-0005-0000-0000-0000601C0000}"/>
    <cellStyle name="20% - Accent4 5 7 2 2 2 2" xfId="7269" xr:uid="{00000000-0005-0000-0000-0000611C0000}"/>
    <cellStyle name="20% - Accent4 5 7 2 2 2 2 2" xfId="7270" xr:uid="{00000000-0005-0000-0000-0000621C0000}"/>
    <cellStyle name="20% - Accent4 5 7 2 2 2 3" xfId="7271" xr:uid="{00000000-0005-0000-0000-0000631C0000}"/>
    <cellStyle name="20% - Accent4 5 7 2 2 3" xfId="7272" xr:uid="{00000000-0005-0000-0000-0000641C0000}"/>
    <cellStyle name="20% - Accent4 5 7 2 2 3 2" xfId="7273" xr:uid="{00000000-0005-0000-0000-0000651C0000}"/>
    <cellStyle name="20% - Accent4 5 7 2 2 4" xfId="7274" xr:uid="{00000000-0005-0000-0000-0000661C0000}"/>
    <cellStyle name="20% - Accent4 5 7 2 3" xfId="7275" xr:uid="{00000000-0005-0000-0000-0000671C0000}"/>
    <cellStyle name="20% - Accent4 5 7 2 3 2" xfId="7276" xr:uid="{00000000-0005-0000-0000-0000681C0000}"/>
    <cellStyle name="20% - Accent4 5 7 2 3 2 2" xfId="7277" xr:uid="{00000000-0005-0000-0000-0000691C0000}"/>
    <cellStyle name="20% - Accent4 5 7 2 3 3" xfId="7278" xr:uid="{00000000-0005-0000-0000-00006A1C0000}"/>
    <cellStyle name="20% - Accent4 5 7 2 4" xfId="7279" xr:uid="{00000000-0005-0000-0000-00006B1C0000}"/>
    <cellStyle name="20% - Accent4 5 7 2 4 2" xfId="7280" xr:uid="{00000000-0005-0000-0000-00006C1C0000}"/>
    <cellStyle name="20% - Accent4 5 7 2 4 2 2" xfId="7281" xr:uid="{00000000-0005-0000-0000-00006D1C0000}"/>
    <cellStyle name="20% - Accent4 5 7 2 4 3" xfId="7282" xr:uid="{00000000-0005-0000-0000-00006E1C0000}"/>
    <cellStyle name="20% - Accent4 5 7 2 5" xfId="7283" xr:uid="{00000000-0005-0000-0000-00006F1C0000}"/>
    <cellStyle name="20% - Accent4 5 7 2 5 2" xfId="7284" xr:uid="{00000000-0005-0000-0000-0000701C0000}"/>
    <cellStyle name="20% - Accent4 5 7 2 5 2 2" xfId="7285" xr:uid="{00000000-0005-0000-0000-0000711C0000}"/>
    <cellStyle name="20% - Accent4 5 7 2 5 3" xfId="7286" xr:uid="{00000000-0005-0000-0000-0000721C0000}"/>
    <cellStyle name="20% - Accent4 5 7 2 6" xfId="7287" xr:uid="{00000000-0005-0000-0000-0000731C0000}"/>
    <cellStyle name="20% - Accent4 5 7 2 6 2" xfId="7288" xr:uid="{00000000-0005-0000-0000-0000741C0000}"/>
    <cellStyle name="20% - Accent4 5 7 2 6 2 2" xfId="7289" xr:uid="{00000000-0005-0000-0000-0000751C0000}"/>
    <cellStyle name="20% - Accent4 5 7 2 6 3" xfId="7290" xr:uid="{00000000-0005-0000-0000-0000761C0000}"/>
    <cellStyle name="20% - Accent4 5 7 2 7" xfId="7291" xr:uid="{00000000-0005-0000-0000-0000771C0000}"/>
    <cellStyle name="20% - Accent4 5 7 2 7 2" xfId="7292" xr:uid="{00000000-0005-0000-0000-0000781C0000}"/>
    <cellStyle name="20% - Accent4 5 7 2 8" xfId="7293" xr:uid="{00000000-0005-0000-0000-0000791C0000}"/>
    <cellStyle name="20% - Accent4 5 7 3" xfId="7294" xr:uid="{00000000-0005-0000-0000-00007A1C0000}"/>
    <cellStyle name="20% - Accent4 5 7 3 2" xfId="7295" xr:uid="{00000000-0005-0000-0000-00007B1C0000}"/>
    <cellStyle name="20% - Accent4 5 7 3 2 2" xfId="7296" xr:uid="{00000000-0005-0000-0000-00007C1C0000}"/>
    <cellStyle name="20% - Accent4 5 7 3 2 2 2" xfId="7297" xr:uid="{00000000-0005-0000-0000-00007D1C0000}"/>
    <cellStyle name="20% - Accent4 5 7 3 2 2 2 2" xfId="7298" xr:uid="{00000000-0005-0000-0000-00007E1C0000}"/>
    <cellStyle name="20% - Accent4 5 7 3 2 2 3" xfId="7299" xr:uid="{00000000-0005-0000-0000-00007F1C0000}"/>
    <cellStyle name="20% - Accent4 5 7 3 2 3" xfId="7300" xr:uid="{00000000-0005-0000-0000-0000801C0000}"/>
    <cellStyle name="20% - Accent4 5 7 3 2 3 2" xfId="7301" xr:uid="{00000000-0005-0000-0000-0000811C0000}"/>
    <cellStyle name="20% - Accent4 5 7 3 2 4" xfId="7302" xr:uid="{00000000-0005-0000-0000-0000821C0000}"/>
    <cellStyle name="20% - Accent4 5 7 3 3" xfId="7303" xr:uid="{00000000-0005-0000-0000-0000831C0000}"/>
    <cellStyle name="20% - Accent4 5 7 3 3 2" xfId="7304" xr:uid="{00000000-0005-0000-0000-0000841C0000}"/>
    <cellStyle name="20% - Accent4 5 7 3 3 2 2" xfId="7305" xr:uid="{00000000-0005-0000-0000-0000851C0000}"/>
    <cellStyle name="20% - Accent4 5 7 3 3 3" xfId="7306" xr:uid="{00000000-0005-0000-0000-0000861C0000}"/>
    <cellStyle name="20% - Accent4 5 7 3 4" xfId="7307" xr:uid="{00000000-0005-0000-0000-0000871C0000}"/>
    <cellStyle name="20% - Accent4 5 7 3 4 2" xfId="7308" xr:uid="{00000000-0005-0000-0000-0000881C0000}"/>
    <cellStyle name="20% - Accent4 5 7 3 4 2 2" xfId="7309" xr:uid="{00000000-0005-0000-0000-0000891C0000}"/>
    <cellStyle name="20% - Accent4 5 7 3 4 3" xfId="7310" xr:uid="{00000000-0005-0000-0000-00008A1C0000}"/>
    <cellStyle name="20% - Accent4 5 7 3 5" xfId="7311" xr:uid="{00000000-0005-0000-0000-00008B1C0000}"/>
    <cellStyle name="20% - Accent4 5 7 3 5 2" xfId="7312" xr:uid="{00000000-0005-0000-0000-00008C1C0000}"/>
    <cellStyle name="20% - Accent4 5 7 3 5 2 2" xfId="7313" xr:uid="{00000000-0005-0000-0000-00008D1C0000}"/>
    <cellStyle name="20% - Accent4 5 7 3 5 3" xfId="7314" xr:uid="{00000000-0005-0000-0000-00008E1C0000}"/>
    <cellStyle name="20% - Accent4 5 7 3 6" xfId="7315" xr:uid="{00000000-0005-0000-0000-00008F1C0000}"/>
    <cellStyle name="20% - Accent4 5 7 3 6 2" xfId="7316" xr:uid="{00000000-0005-0000-0000-0000901C0000}"/>
    <cellStyle name="20% - Accent4 5 7 3 6 2 2" xfId="7317" xr:uid="{00000000-0005-0000-0000-0000911C0000}"/>
    <cellStyle name="20% - Accent4 5 7 3 6 3" xfId="7318" xr:uid="{00000000-0005-0000-0000-0000921C0000}"/>
    <cellStyle name="20% - Accent4 5 7 3 7" xfId="7319" xr:uid="{00000000-0005-0000-0000-0000931C0000}"/>
    <cellStyle name="20% - Accent4 5 7 3 7 2" xfId="7320" xr:uid="{00000000-0005-0000-0000-0000941C0000}"/>
    <cellStyle name="20% - Accent4 5 7 3 8" xfId="7321" xr:uid="{00000000-0005-0000-0000-0000951C0000}"/>
    <cellStyle name="20% - Accent4 5 7 4" xfId="7322" xr:uid="{00000000-0005-0000-0000-0000961C0000}"/>
    <cellStyle name="20% - Accent4 5 7 4 2" xfId="7323" xr:uid="{00000000-0005-0000-0000-0000971C0000}"/>
    <cellStyle name="20% - Accent4 5 7 4 2 2" xfId="7324" xr:uid="{00000000-0005-0000-0000-0000981C0000}"/>
    <cellStyle name="20% - Accent4 5 7 4 2 2 2" xfId="7325" xr:uid="{00000000-0005-0000-0000-0000991C0000}"/>
    <cellStyle name="20% - Accent4 5 7 4 2 2 2 2" xfId="7326" xr:uid="{00000000-0005-0000-0000-00009A1C0000}"/>
    <cellStyle name="20% - Accent4 5 7 4 2 2 3" xfId="7327" xr:uid="{00000000-0005-0000-0000-00009B1C0000}"/>
    <cellStyle name="20% - Accent4 5 7 4 2 3" xfId="7328" xr:uid="{00000000-0005-0000-0000-00009C1C0000}"/>
    <cellStyle name="20% - Accent4 5 7 4 2 3 2" xfId="7329" xr:uid="{00000000-0005-0000-0000-00009D1C0000}"/>
    <cellStyle name="20% - Accent4 5 7 4 2 4" xfId="7330" xr:uid="{00000000-0005-0000-0000-00009E1C0000}"/>
    <cellStyle name="20% - Accent4 5 7 4 3" xfId="7331" xr:uid="{00000000-0005-0000-0000-00009F1C0000}"/>
    <cellStyle name="20% - Accent4 5 7 4 3 2" xfId="7332" xr:uid="{00000000-0005-0000-0000-0000A01C0000}"/>
    <cellStyle name="20% - Accent4 5 7 4 3 2 2" xfId="7333" xr:uid="{00000000-0005-0000-0000-0000A11C0000}"/>
    <cellStyle name="20% - Accent4 5 7 4 3 3" xfId="7334" xr:uid="{00000000-0005-0000-0000-0000A21C0000}"/>
    <cellStyle name="20% - Accent4 5 7 4 4" xfId="7335" xr:uid="{00000000-0005-0000-0000-0000A31C0000}"/>
    <cellStyle name="20% - Accent4 5 7 4 4 2" xfId="7336" xr:uid="{00000000-0005-0000-0000-0000A41C0000}"/>
    <cellStyle name="20% - Accent4 5 7 4 4 2 2" xfId="7337" xr:uid="{00000000-0005-0000-0000-0000A51C0000}"/>
    <cellStyle name="20% - Accent4 5 7 4 4 3" xfId="7338" xr:uid="{00000000-0005-0000-0000-0000A61C0000}"/>
    <cellStyle name="20% - Accent4 5 7 4 5" xfId="7339" xr:uid="{00000000-0005-0000-0000-0000A71C0000}"/>
    <cellStyle name="20% - Accent4 5 7 4 5 2" xfId="7340" xr:uid="{00000000-0005-0000-0000-0000A81C0000}"/>
    <cellStyle name="20% - Accent4 5 7 4 5 2 2" xfId="7341" xr:uid="{00000000-0005-0000-0000-0000A91C0000}"/>
    <cellStyle name="20% - Accent4 5 7 4 5 3" xfId="7342" xr:uid="{00000000-0005-0000-0000-0000AA1C0000}"/>
    <cellStyle name="20% - Accent4 5 7 4 6" xfId="7343" xr:uid="{00000000-0005-0000-0000-0000AB1C0000}"/>
    <cellStyle name="20% - Accent4 5 7 4 6 2" xfId="7344" xr:uid="{00000000-0005-0000-0000-0000AC1C0000}"/>
    <cellStyle name="20% - Accent4 5 7 4 6 2 2" xfId="7345" xr:uid="{00000000-0005-0000-0000-0000AD1C0000}"/>
    <cellStyle name="20% - Accent4 5 7 4 6 3" xfId="7346" xr:uid="{00000000-0005-0000-0000-0000AE1C0000}"/>
    <cellStyle name="20% - Accent4 5 7 4 7" xfId="7347" xr:uid="{00000000-0005-0000-0000-0000AF1C0000}"/>
    <cellStyle name="20% - Accent4 5 7 4 7 2" xfId="7348" xr:uid="{00000000-0005-0000-0000-0000B01C0000}"/>
    <cellStyle name="20% - Accent4 5 7 4 8" xfId="7349" xr:uid="{00000000-0005-0000-0000-0000B11C0000}"/>
    <cellStyle name="20% - Accent4 5 7 5" xfId="7350" xr:uid="{00000000-0005-0000-0000-0000B21C0000}"/>
    <cellStyle name="20% - Accent4 5 7 5 2" xfId="7351" xr:uid="{00000000-0005-0000-0000-0000B31C0000}"/>
    <cellStyle name="20% - Accent4 5 7 5 2 2" xfId="7352" xr:uid="{00000000-0005-0000-0000-0000B41C0000}"/>
    <cellStyle name="20% - Accent4 5 7 5 2 2 2" xfId="7353" xr:uid="{00000000-0005-0000-0000-0000B51C0000}"/>
    <cellStyle name="20% - Accent4 5 7 5 2 2 2 2" xfId="7354" xr:uid="{00000000-0005-0000-0000-0000B61C0000}"/>
    <cellStyle name="20% - Accent4 5 7 5 2 2 3" xfId="7355" xr:uid="{00000000-0005-0000-0000-0000B71C0000}"/>
    <cellStyle name="20% - Accent4 5 7 5 2 3" xfId="7356" xr:uid="{00000000-0005-0000-0000-0000B81C0000}"/>
    <cellStyle name="20% - Accent4 5 7 5 2 3 2" xfId="7357" xr:uid="{00000000-0005-0000-0000-0000B91C0000}"/>
    <cellStyle name="20% - Accent4 5 7 5 2 4" xfId="7358" xr:uid="{00000000-0005-0000-0000-0000BA1C0000}"/>
    <cellStyle name="20% - Accent4 5 7 5 3" xfId="7359" xr:uid="{00000000-0005-0000-0000-0000BB1C0000}"/>
    <cellStyle name="20% - Accent4 5 7 5 3 2" xfId="7360" xr:uid="{00000000-0005-0000-0000-0000BC1C0000}"/>
    <cellStyle name="20% - Accent4 5 7 5 3 2 2" xfId="7361" xr:uid="{00000000-0005-0000-0000-0000BD1C0000}"/>
    <cellStyle name="20% - Accent4 5 7 5 3 3" xfId="7362" xr:uid="{00000000-0005-0000-0000-0000BE1C0000}"/>
    <cellStyle name="20% - Accent4 5 7 5 4" xfId="7363" xr:uid="{00000000-0005-0000-0000-0000BF1C0000}"/>
    <cellStyle name="20% - Accent4 5 7 5 4 2" xfId="7364" xr:uid="{00000000-0005-0000-0000-0000C01C0000}"/>
    <cellStyle name="20% - Accent4 5 7 5 5" xfId="7365" xr:uid="{00000000-0005-0000-0000-0000C11C0000}"/>
    <cellStyle name="20% - Accent4 5 7 6" xfId="7366" xr:uid="{00000000-0005-0000-0000-0000C21C0000}"/>
    <cellStyle name="20% - Accent4 5 7 6 2" xfId="7367" xr:uid="{00000000-0005-0000-0000-0000C31C0000}"/>
    <cellStyle name="20% - Accent4 5 7 6 2 2" xfId="7368" xr:uid="{00000000-0005-0000-0000-0000C41C0000}"/>
    <cellStyle name="20% - Accent4 5 7 6 2 2 2" xfId="7369" xr:uid="{00000000-0005-0000-0000-0000C51C0000}"/>
    <cellStyle name="20% - Accent4 5 7 6 2 2 2 2" xfId="7370" xr:uid="{00000000-0005-0000-0000-0000C61C0000}"/>
    <cellStyle name="20% - Accent4 5 7 6 2 2 3" xfId="7371" xr:uid="{00000000-0005-0000-0000-0000C71C0000}"/>
    <cellStyle name="20% - Accent4 5 7 6 2 3" xfId="7372" xr:uid="{00000000-0005-0000-0000-0000C81C0000}"/>
    <cellStyle name="20% - Accent4 5 7 6 2 3 2" xfId="7373" xr:uid="{00000000-0005-0000-0000-0000C91C0000}"/>
    <cellStyle name="20% - Accent4 5 7 6 2 4" xfId="7374" xr:uid="{00000000-0005-0000-0000-0000CA1C0000}"/>
    <cellStyle name="20% - Accent4 5 7 6 3" xfId="7375" xr:uid="{00000000-0005-0000-0000-0000CB1C0000}"/>
    <cellStyle name="20% - Accent4 5 7 6 3 2" xfId="7376" xr:uid="{00000000-0005-0000-0000-0000CC1C0000}"/>
    <cellStyle name="20% - Accent4 5 7 6 3 2 2" xfId="7377" xr:uid="{00000000-0005-0000-0000-0000CD1C0000}"/>
    <cellStyle name="20% - Accent4 5 7 6 3 3" xfId="7378" xr:uid="{00000000-0005-0000-0000-0000CE1C0000}"/>
    <cellStyle name="20% - Accent4 5 7 6 4" xfId="7379" xr:uid="{00000000-0005-0000-0000-0000CF1C0000}"/>
    <cellStyle name="20% - Accent4 5 7 6 4 2" xfId="7380" xr:uid="{00000000-0005-0000-0000-0000D01C0000}"/>
    <cellStyle name="20% - Accent4 5 7 6 5" xfId="7381" xr:uid="{00000000-0005-0000-0000-0000D11C0000}"/>
    <cellStyle name="20% - Accent4 5 7 7" xfId="7382" xr:uid="{00000000-0005-0000-0000-0000D21C0000}"/>
    <cellStyle name="20% - Accent4 5 7 7 2" xfId="7383" xr:uid="{00000000-0005-0000-0000-0000D31C0000}"/>
    <cellStyle name="20% - Accent4 5 7 7 2 2" xfId="7384" xr:uid="{00000000-0005-0000-0000-0000D41C0000}"/>
    <cellStyle name="20% - Accent4 5 7 7 2 2 2" xfId="7385" xr:uid="{00000000-0005-0000-0000-0000D51C0000}"/>
    <cellStyle name="20% - Accent4 5 7 7 2 3" xfId="7386" xr:uid="{00000000-0005-0000-0000-0000D61C0000}"/>
    <cellStyle name="20% - Accent4 5 7 7 3" xfId="7387" xr:uid="{00000000-0005-0000-0000-0000D71C0000}"/>
    <cellStyle name="20% - Accent4 5 7 7 3 2" xfId="7388" xr:uid="{00000000-0005-0000-0000-0000D81C0000}"/>
    <cellStyle name="20% - Accent4 5 7 7 4" xfId="7389" xr:uid="{00000000-0005-0000-0000-0000D91C0000}"/>
    <cellStyle name="20% - Accent4 5 7 8" xfId="7390" xr:uid="{00000000-0005-0000-0000-0000DA1C0000}"/>
    <cellStyle name="20% - Accent4 5 7 8 2" xfId="7391" xr:uid="{00000000-0005-0000-0000-0000DB1C0000}"/>
    <cellStyle name="20% - Accent4 5 7 8 2 2" xfId="7392" xr:uid="{00000000-0005-0000-0000-0000DC1C0000}"/>
    <cellStyle name="20% - Accent4 5 7 8 2 2 2" xfId="7393" xr:uid="{00000000-0005-0000-0000-0000DD1C0000}"/>
    <cellStyle name="20% - Accent4 5 7 8 2 3" xfId="7394" xr:uid="{00000000-0005-0000-0000-0000DE1C0000}"/>
    <cellStyle name="20% - Accent4 5 7 8 3" xfId="7395" xr:uid="{00000000-0005-0000-0000-0000DF1C0000}"/>
    <cellStyle name="20% - Accent4 5 7 8 3 2" xfId="7396" xr:uid="{00000000-0005-0000-0000-0000E01C0000}"/>
    <cellStyle name="20% - Accent4 5 7 8 4" xfId="7397" xr:uid="{00000000-0005-0000-0000-0000E11C0000}"/>
    <cellStyle name="20% - Accent4 5 7 9" xfId="7398" xr:uid="{00000000-0005-0000-0000-0000E21C0000}"/>
    <cellStyle name="20% - Accent4 5 7 9 2" xfId="7399" xr:uid="{00000000-0005-0000-0000-0000E31C0000}"/>
    <cellStyle name="20% - Accent4 5 7 9 2 2" xfId="7400" xr:uid="{00000000-0005-0000-0000-0000E41C0000}"/>
    <cellStyle name="20% - Accent4 5 7 9 3" xfId="7401" xr:uid="{00000000-0005-0000-0000-0000E51C0000}"/>
    <cellStyle name="20% - Accent4 5 8" xfId="7402" xr:uid="{00000000-0005-0000-0000-0000E61C0000}"/>
    <cellStyle name="20% - Accent4 5 8 2" xfId="7403" xr:uid="{00000000-0005-0000-0000-0000E71C0000}"/>
    <cellStyle name="20% - Accent4 5 8 2 2" xfId="7404" xr:uid="{00000000-0005-0000-0000-0000E81C0000}"/>
    <cellStyle name="20% - Accent4 5 8 2 2 2" xfId="7405" xr:uid="{00000000-0005-0000-0000-0000E91C0000}"/>
    <cellStyle name="20% - Accent4 5 8 2 2 2 2" xfId="7406" xr:uid="{00000000-0005-0000-0000-0000EA1C0000}"/>
    <cellStyle name="20% - Accent4 5 8 2 2 3" xfId="7407" xr:uid="{00000000-0005-0000-0000-0000EB1C0000}"/>
    <cellStyle name="20% - Accent4 5 8 2 3" xfId="7408" xr:uid="{00000000-0005-0000-0000-0000EC1C0000}"/>
    <cellStyle name="20% - Accent4 5 8 2 3 2" xfId="7409" xr:uid="{00000000-0005-0000-0000-0000ED1C0000}"/>
    <cellStyle name="20% - Accent4 5 8 2 4" xfId="7410" xr:uid="{00000000-0005-0000-0000-0000EE1C0000}"/>
    <cellStyle name="20% - Accent4 5 8 3" xfId="7411" xr:uid="{00000000-0005-0000-0000-0000EF1C0000}"/>
    <cellStyle name="20% - Accent4 5 8 3 2" xfId="7412" xr:uid="{00000000-0005-0000-0000-0000F01C0000}"/>
    <cellStyle name="20% - Accent4 5 8 3 2 2" xfId="7413" xr:uid="{00000000-0005-0000-0000-0000F11C0000}"/>
    <cellStyle name="20% - Accent4 5 8 3 3" xfId="7414" xr:uid="{00000000-0005-0000-0000-0000F21C0000}"/>
    <cellStyle name="20% - Accent4 5 8 4" xfId="7415" xr:uid="{00000000-0005-0000-0000-0000F31C0000}"/>
    <cellStyle name="20% - Accent4 5 8 4 2" xfId="7416" xr:uid="{00000000-0005-0000-0000-0000F41C0000}"/>
    <cellStyle name="20% - Accent4 5 8 4 2 2" xfId="7417" xr:uid="{00000000-0005-0000-0000-0000F51C0000}"/>
    <cellStyle name="20% - Accent4 5 8 4 3" xfId="7418" xr:uid="{00000000-0005-0000-0000-0000F61C0000}"/>
    <cellStyle name="20% - Accent4 5 8 5" xfId="7419" xr:uid="{00000000-0005-0000-0000-0000F71C0000}"/>
    <cellStyle name="20% - Accent4 5 8 5 2" xfId="7420" xr:uid="{00000000-0005-0000-0000-0000F81C0000}"/>
    <cellStyle name="20% - Accent4 5 8 5 2 2" xfId="7421" xr:uid="{00000000-0005-0000-0000-0000F91C0000}"/>
    <cellStyle name="20% - Accent4 5 8 5 3" xfId="7422" xr:uid="{00000000-0005-0000-0000-0000FA1C0000}"/>
    <cellStyle name="20% - Accent4 5 8 6" xfId="7423" xr:uid="{00000000-0005-0000-0000-0000FB1C0000}"/>
    <cellStyle name="20% - Accent4 5 8 6 2" xfId="7424" xr:uid="{00000000-0005-0000-0000-0000FC1C0000}"/>
    <cellStyle name="20% - Accent4 5 8 6 2 2" xfId="7425" xr:uid="{00000000-0005-0000-0000-0000FD1C0000}"/>
    <cellStyle name="20% - Accent4 5 8 6 3" xfId="7426" xr:uid="{00000000-0005-0000-0000-0000FE1C0000}"/>
    <cellStyle name="20% - Accent4 5 8 7" xfId="7427" xr:uid="{00000000-0005-0000-0000-0000FF1C0000}"/>
    <cellStyle name="20% - Accent4 5 8 7 2" xfId="7428" xr:uid="{00000000-0005-0000-0000-0000001D0000}"/>
    <cellStyle name="20% - Accent4 5 8 8" xfId="7429" xr:uid="{00000000-0005-0000-0000-0000011D0000}"/>
    <cellStyle name="20% - Accent4 5 9" xfId="7430" xr:uid="{00000000-0005-0000-0000-0000021D0000}"/>
    <cellStyle name="20% - Accent4 5 9 2" xfId="7431" xr:uid="{00000000-0005-0000-0000-0000031D0000}"/>
    <cellStyle name="20% - Accent4 5 9 2 2" xfId="7432" xr:uid="{00000000-0005-0000-0000-0000041D0000}"/>
    <cellStyle name="20% - Accent4 5 9 2 2 2" xfId="7433" xr:uid="{00000000-0005-0000-0000-0000051D0000}"/>
    <cellStyle name="20% - Accent4 5 9 2 2 2 2" xfId="7434" xr:uid="{00000000-0005-0000-0000-0000061D0000}"/>
    <cellStyle name="20% - Accent4 5 9 2 2 3" xfId="7435" xr:uid="{00000000-0005-0000-0000-0000071D0000}"/>
    <cellStyle name="20% - Accent4 5 9 2 3" xfId="7436" xr:uid="{00000000-0005-0000-0000-0000081D0000}"/>
    <cellStyle name="20% - Accent4 5 9 2 3 2" xfId="7437" xr:uid="{00000000-0005-0000-0000-0000091D0000}"/>
    <cellStyle name="20% - Accent4 5 9 2 4" xfId="7438" xr:uid="{00000000-0005-0000-0000-00000A1D0000}"/>
    <cellStyle name="20% - Accent4 5 9 3" xfId="7439" xr:uid="{00000000-0005-0000-0000-00000B1D0000}"/>
    <cellStyle name="20% - Accent4 5 9 3 2" xfId="7440" xr:uid="{00000000-0005-0000-0000-00000C1D0000}"/>
    <cellStyle name="20% - Accent4 5 9 3 2 2" xfId="7441" xr:uid="{00000000-0005-0000-0000-00000D1D0000}"/>
    <cellStyle name="20% - Accent4 5 9 3 3" xfId="7442" xr:uid="{00000000-0005-0000-0000-00000E1D0000}"/>
    <cellStyle name="20% - Accent4 5 9 4" xfId="7443" xr:uid="{00000000-0005-0000-0000-00000F1D0000}"/>
    <cellStyle name="20% - Accent4 5 9 4 2" xfId="7444" xr:uid="{00000000-0005-0000-0000-0000101D0000}"/>
    <cellStyle name="20% - Accent4 5 9 4 2 2" xfId="7445" xr:uid="{00000000-0005-0000-0000-0000111D0000}"/>
    <cellStyle name="20% - Accent4 5 9 4 3" xfId="7446" xr:uid="{00000000-0005-0000-0000-0000121D0000}"/>
    <cellStyle name="20% - Accent4 5 9 5" xfId="7447" xr:uid="{00000000-0005-0000-0000-0000131D0000}"/>
    <cellStyle name="20% - Accent4 5 9 5 2" xfId="7448" xr:uid="{00000000-0005-0000-0000-0000141D0000}"/>
    <cellStyle name="20% - Accent4 5 9 5 2 2" xfId="7449" xr:uid="{00000000-0005-0000-0000-0000151D0000}"/>
    <cellStyle name="20% - Accent4 5 9 5 3" xfId="7450" xr:uid="{00000000-0005-0000-0000-0000161D0000}"/>
    <cellStyle name="20% - Accent4 5 9 6" xfId="7451" xr:uid="{00000000-0005-0000-0000-0000171D0000}"/>
    <cellStyle name="20% - Accent4 5 9 6 2" xfId="7452" xr:uid="{00000000-0005-0000-0000-0000181D0000}"/>
    <cellStyle name="20% - Accent4 5 9 6 2 2" xfId="7453" xr:uid="{00000000-0005-0000-0000-0000191D0000}"/>
    <cellStyle name="20% - Accent4 5 9 6 3" xfId="7454" xr:uid="{00000000-0005-0000-0000-00001A1D0000}"/>
    <cellStyle name="20% - Accent4 5 9 7" xfId="7455" xr:uid="{00000000-0005-0000-0000-00001B1D0000}"/>
    <cellStyle name="20% - Accent4 5 9 7 2" xfId="7456" xr:uid="{00000000-0005-0000-0000-00001C1D0000}"/>
    <cellStyle name="20% - Accent4 5 9 8" xfId="7457" xr:uid="{00000000-0005-0000-0000-00001D1D0000}"/>
    <cellStyle name="20% - Accent4 6" xfId="7458" xr:uid="{00000000-0005-0000-0000-00001E1D0000}"/>
    <cellStyle name="20% - Accent5 2" xfId="7459" xr:uid="{00000000-0005-0000-0000-00001F1D0000}"/>
    <cellStyle name="20% - Accent5 3" xfId="7460" xr:uid="{00000000-0005-0000-0000-0000201D0000}"/>
    <cellStyle name="20% - Accent5 4" xfId="7461" xr:uid="{00000000-0005-0000-0000-0000211D0000}"/>
    <cellStyle name="20% - Accent5 5" xfId="7462" xr:uid="{00000000-0005-0000-0000-0000221D0000}"/>
    <cellStyle name="20% - Accent5 5 10" xfId="7463" xr:uid="{00000000-0005-0000-0000-0000231D0000}"/>
    <cellStyle name="20% - Accent5 5 10 2" xfId="7464" xr:uid="{00000000-0005-0000-0000-0000241D0000}"/>
    <cellStyle name="20% - Accent5 5 10 2 2" xfId="7465" xr:uid="{00000000-0005-0000-0000-0000251D0000}"/>
    <cellStyle name="20% - Accent5 5 10 2 2 2" xfId="7466" xr:uid="{00000000-0005-0000-0000-0000261D0000}"/>
    <cellStyle name="20% - Accent5 5 10 2 2 2 2" xfId="7467" xr:uid="{00000000-0005-0000-0000-0000271D0000}"/>
    <cellStyle name="20% - Accent5 5 10 2 2 3" xfId="7468" xr:uid="{00000000-0005-0000-0000-0000281D0000}"/>
    <cellStyle name="20% - Accent5 5 10 2 3" xfId="7469" xr:uid="{00000000-0005-0000-0000-0000291D0000}"/>
    <cellStyle name="20% - Accent5 5 10 2 3 2" xfId="7470" xr:uid="{00000000-0005-0000-0000-00002A1D0000}"/>
    <cellStyle name="20% - Accent5 5 10 2 4" xfId="7471" xr:uid="{00000000-0005-0000-0000-00002B1D0000}"/>
    <cellStyle name="20% - Accent5 5 10 3" xfId="7472" xr:uid="{00000000-0005-0000-0000-00002C1D0000}"/>
    <cellStyle name="20% - Accent5 5 10 3 2" xfId="7473" xr:uid="{00000000-0005-0000-0000-00002D1D0000}"/>
    <cellStyle name="20% - Accent5 5 10 3 2 2" xfId="7474" xr:uid="{00000000-0005-0000-0000-00002E1D0000}"/>
    <cellStyle name="20% - Accent5 5 10 3 3" xfId="7475" xr:uid="{00000000-0005-0000-0000-00002F1D0000}"/>
    <cellStyle name="20% - Accent5 5 10 4" xfId="7476" xr:uid="{00000000-0005-0000-0000-0000301D0000}"/>
    <cellStyle name="20% - Accent5 5 10 4 2" xfId="7477" xr:uid="{00000000-0005-0000-0000-0000311D0000}"/>
    <cellStyle name="20% - Accent5 5 10 4 2 2" xfId="7478" xr:uid="{00000000-0005-0000-0000-0000321D0000}"/>
    <cellStyle name="20% - Accent5 5 10 4 3" xfId="7479" xr:uid="{00000000-0005-0000-0000-0000331D0000}"/>
    <cellStyle name="20% - Accent5 5 10 5" xfId="7480" xr:uid="{00000000-0005-0000-0000-0000341D0000}"/>
    <cellStyle name="20% - Accent5 5 10 5 2" xfId="7481" xr:uid="{00000000-0005-0000-0000-0000351D0000}"/>
    <cellStyle name="20% - Accent5 5 10 5 2 2" xfId="7482" xr:uid="{00000000-0005-0000-0000-0000361D0000}"/>
    <cellStyle name="20% - Accent5 5 10 5 3" xfId="7483" xr:uid="{00000000-0005-0000-0000-0000371D0000}"/>
    <cellStyle name="20% - Accent5 5 10 6" xfId="7484" xr:uid="{00000000-0005-0000-0000-0000381D0000}"/>
    <cellStyle name="20% - Accent5 5 10 6 2" xfId="7485" xr:uid="{00000000-0005-0000-0000-0000391D0000}"/>
    <cellStyle name="20% - Accent5 5 10 6 2 2" xfId="7486" xr:uid="{00000000-0005-0000-0000-00003A1D0000}"/>
    <cellStyle name="20% - Accent5 5 10 6 3" xfId="7487" xr:uid="{00000000-0005-0000-0000-00003B1D0000}"/>
    <cellStyle name="20% - Accent5 5 10 7" xfId="7488" xr:uid="{00000000-0005-0000-0000-00003C1D0000}"/>
    <cellStyle name="20% - Accent5 5 10 7 2" xfId="7489" xr:uid="{00000000-0005-0000-0000-00003D1D0000}"/>
    <cellStyle name="20% - Accent5 5 10 8" xfId="7490" xr:uid="{00000000-0005-0000-0000-00003E1D0000}"/>
    <cellStyle name="20% - Accent5 5 11" xfId="7491" xr:uid="{00000000-0005-0000-0000-00003F1D0000}"/>
    <cellStyle name="20% - Accent5 5 11 2" xfId="7492" xr:uid="{00000000-0005-0000-0000-0000401D0000}"/>
    <cellStyle name="20% - Accent5 5 11 2 2" xfId="7493" xr:uid="{00000000-0005-0000-0000-0000411D0000}"/>
    <cellStyle name="20% - Accent5 5 11 2 2 2" xfId="7494" xr:uid="{00000000-0005-0000-0000-0000421D0000}"/>
    <cellStyle name="20% - Accent5 5 11 2 2 2 2" xfId="7495" xr:uid="{00000000-0005-0000-0000-0000431D0000}"/>
    <cellStyle name="20% - Accent5 5 11 2 2 3" xfId="7496" xr:uid="{00000000-0005-0000-0000-0000441D0000}"/>
    <cellStyle name="20% - Accent5 5 11 2 3" xfId="7497" xr:uid="{00000000-0005-0000-0000-0000451D0000}"/>
    <cellStyle name="20% - Accent5 5 11 2 3 2" xfId="7498" xr:uid="{00000000-0005-0000-0000-0000461D0000}"/>
    <cellStyle name="20% - Accent5 5 11 2 4" xfId="7499" xr:uid="{00000000-0005-0000-0000-0000471D0000}"/>
    <cellStyle name="20% - Accent5 5 11 3" xfId="7500" xr:uid="{00000000-0005-0000-0000-0000481D0000}"/>
    <cellStyle name="20% - Accent5 5 11 3 2" xfId="7501" xr:uid="{00000000-0005-0000-0000-0000491D0000}"/>
    <cellStyle name="20% - Accent5 5 11 3 2 2" xfId="7502" xr:uid="{00000000-0005-0000-0000-00004A1D0000}"/>
    <cellStyle name="20% - Accent5 5 11 3 3" xfId="7503" xr:uid="{00000000-0005-0000-0000-00004B1D0000}"/>
    <cellStyle name="20% - Accent5 5 11 4" xfId="7504" xr:uid="{00000000-0005-0000-0000-00004C1D0000}"/>
    <cellStyle name="20% - Accent5 5 11 4 2" xfId="7505" xr:uid="{00000000-0005-0000-0000-00004D1D0000}"/>
    <cellStyle name="20% - Accent5 5 11 5" xfId="7506" xr:uid="{00000000-0005-0000-0000-00004E1D0000}"/>
    <cellStyle name="20% - Accent5 5 12" xfId="7507" xr:uid="{00000000-0005-0000-0000-00004F1D0000}"/>
    <cellStyle name="20% - Accent5 5 12 2" xfId="7508" xr:uid="{00000000-0005-0000-0000-0000501D0000}"/>
    <cellStyle name="20% - Accent5 5 12 2 2" xfId="7509" xr:uid="{00000000-0005-0000-0000-0000511D0000}"/>
    <cellStyle name="20% - Accent5 5 12 2 2 2" xfId="7510" xr:uid="{00000000-0005-0000-0000-0000521D0000}"/>
    <cellStyle name="20% - Accent5 5 12 2 2 2 2" xfId="7511" xr:uid="{00000000-0005-0000-0000-0000531D0000}"/>
    <cellStyle name="20% - Accent5 5 12 2 2 3" xfId="7512" xr:uid="{00000000-0005-0000-0000-0000541D0000}"/>
    <cellStyle name="20% - Accent5 5 12 2 3" xfId="7513" xr:uid="{00000000-0005-0000-0000-0000551D0000}"/>
    <cellStyle name="20% - Accent5 5 12 2 3 2" xfId="7514" xr:uid="{00000000-0005-0000-0000-0000561D0000}"/>
    <cellStyle name="20% - Accent5 5 12 2 4" xfId="7515" xr:uid="{00000000-0005-0000-0000-0000571D0000}"/>
    <cellStyle name="20% - Accent5 5 12 3" xfId="7516" xr:uid="{00000000-0005-0000-0000-0000581D0000}"/>
    <cellStyle name="20% - Accent5 5 12 3 2" xfId="7517" xr:uid="{00000000-0005-0000-0000-0000591D0000}"/>
    <cellStyle name="20% - Accent5 5 12 3 2 2" xfId="7518" xr:uid="{00000000-0005-0000-0000-00005A1D0000}"/>
    <cellStyle name="20% - Accent5 5 12 3 3" xfId="7519" xr:uid="{00000000-0005-0000-0000-00005B1D0000}"/>
    <cellStyle name="20% - Accent5 5 12 4" xfId="7520" xr:uid="{00000000-0005-0000-0000-00005C1D0000}"/>
    <cellStyle name="20% - Accent5 5 12 4 2" xfId="7521" xr:uid="{00000000-0005-0000-0000-00005D1D0000}"/>
    <cellStyle name="20% - Accent5 5 12 5" xfId="7522" xr:uid="{00000000-0005-0000-0000-00005E1D0000}"/>
    <cellStyle name="20% - Accent5 5 13" xfId="7523" xr:uid="{00000000-0005-0000-0000-00005F1D0000}"/>
    <cellStyle name="20% - Accent5 5 13 2" xfId="7524" xr:uid="{00000000-0005-0000-0000-0000601D0000}"/>
    <cellStyle name="20% - Accent5 5 13 2 2" xfId="7525" xr:uid="{00000000-0005-0000-0000-0000611D0000}"/>
    <cellStyle name="20% - Accent5 5 13 2 2 2" xfId="7526" xr:uid="{00000000-0005-0000-0000-0000621D0000}"/>
    <cellStyle name="20% - Accent5 5 13 2 2 2 2" xfId="7527" xr:uid="{00000000-0005-0000-0000-0000631D0000}"/>
    <cellStyle name="20% - Accent5 5 13 2 2 3" xfId="7528" xr:uid="{00000000-0005-0000-0000-0000641D0000}"/>
    <cellStyle name="20% - Accent5 5 13 2 3" xfId="7529" xr:uid="{00000000-0005-0000-0000-0000651D0000}"/>
    <cellStyle name="20% - Accent5 5 13 2 3 2" xfId="7530" xr:uid="{00000000-0005-0000-0000-0000661D0000}"/>
    <cellStyle name="20% - Accent5 5 13 2 4" xfId="7531" xr:uid="{00000000-0005-0000-0000-0000671D0000}"/>
    <cellStyle name="20% - Accent5 5 13 3" xfId="7532" xr:uid="{00000000-0005-0000-0000-0000681D0000}"/>
    <cellStyle name="20% - Accent5 5 13 3 2" xfId="7533" xr:uid="{00000000-0005-0000-0000-0000691D0000}"/>
    <cellStyle name="20% - Accent5 5 13 3 2 2" xfId="7534" xr:uid="{00000000-0005-0000-0000-00006A1D0000}"/>
    <cellStyle name="20% - Accent5 5 13 3 3" xfId="7535" xr:uid="{00000000-0005-0000-0000-00006B1D0000}"/>
    <cellStyle name="20% - Accent5 5 13 4" xfId="7536" xr:uid="{00000000-0005-0000-0000-00006C1D0000}"/>
    <cellStyle name="20% - Accent5 5 13 4 2" xfId="7537" xr:uid="{00000000-0005-0000-0000-00006D1D0000}"/>
    <cellStyle name="20% - Accent5 5 13 5" xfId="7538" xr:uid="{00000000-0005-0000-0000-00006E1D0000}"/>
    <cellStyle name="20% - Accent5 5 14" xfId="7539" xr:uid="{00000000-0005-0000-0000-00006F1D0000}"/>
    <cellStyle name="20% - Accent5 5 14 2" xfId="7540" xr:uid="{00000000-0005-0000-0000-0000701D0000}"/>
    <cellStyle name="20% - Accent5 5 14 2 2" xfId="7541" xr:uid="{00000000-0005-0000-0000-0000711D0000}"/>
    <cellStyle name="20% - Accent5 5 14 2 2 2" xfId="7542" xr:uid="{00000000-0005-0000-0000-0000721D0000}"/>
    <cellStyle name="20% - Accent5 5 14 2 3" xfId="7543" xr:uid="{00000000-0005-0000-0000-0000731D0000}"/>
    <cellStyle name="20% - Accent5 5 14 3" xfId="7544" xr:uid="{00000000-0005-0000-0000-0000741D0000}"/>
    <cellStyle name="20% - Accent5 5 14 3 2" xfId="7545" xr:uid="{00000000-0005-0000-0000-0000751D0000}"/>
    <cellStyle name="20% - Accent5 5 14 4" xfId="7546" xr:uid="{00000000-0005-0000-0000-0000761D0000}"/>
    <cellStyle name="20% - Accent5 5 15" xfId="7547" xr:uid="{00000000-0005-0000-0000-0000771D0000}"/>
    <cellStyle name="20% - Accent5 5 15 2" xfId="7548" xr:uid="{00000000-0005-0000-0000-0000781D0000}"/>
    <cellStyle name="20% - Accent5 5 15 2 2" xfId="7549" xr:uid="{00000000-0005-0000-0000-0000791D0000}"/>
    <cellStyle name="20% - Accent5 5 15 2 2 2" xfId="7550" xr:uid="{00000000-0005-0000-0000-00007A1D0000}"/>
    <cellStyle name="20% - Accent5 5 15 2 3" xfId="7551" xr:uid="{00000000-0005-0000-0000-00007B1D0000}"/>
    <cellStyle name="20% - Accent5 5 15 3" xfId="7552" xr:uid="{00000000-0005-0000-0000-00007C1D0000}"/>
    <cellStyle name="20% - Accent5 5 15 3 2" xfId="7553" xr:uid="{00000000-0005-0000-0000-00007D1D0000}"/>
    <cellStyle name="20% - Accent5 5 15 4" xfId="7554" xr:uid="{00000000-0005-0000-0000-00007E1D0000}"/>
    <cellStyle name="20% - Accent5 5 16" xfId="7555" xr:uid="{00000000-0005-0000-0000-00007F1D0000}"/>
    <cellStyle name="20% - Accent5 5 16 2" xfId="7556" xr:uid="{00000000-0005-0000-0000-0000801D0000}"/>
    <cellStyle name="20% - Accent5 5 16 2 2" xfId="7557" xr:uid="{00000000-0005-0000-0000-0000811D0000}"/>
    <cellStyle name="20% - Accent5 5 16 3" xfId="7558" xr:uid="{00000000-0005-0000-0000-0000821D0000}"/>
    <cellStyle name="20% - Accent5 5 17" xfId="7559" xr:uid="{00000000-0005-0000-0000-0000831D0000}"/>
    <cellStyle name="20% - Accent5 5 17 2" xfId="7560" xr:uid="{00000000-0005-0000-0000-0000841D0000}"/>
    <cellStyle name="20% - Accent5 5 17 2 2" xfId="7561" xr:uid="{00000000-0005-0000-0000-0000851D0000}"/>
    <cellStyle name="20% - Accent5 5 17 3" xfId="7562" xr:uid="{00000000-0005-0000-0000-0000861D0000}"/>
    <cellStyle name="20% - Accent5 5 18" xfId="7563" xr:uid="{00000000-0005-0000-0000-0000871D0000}"/>
    <cellStyle name="20% - Accent5 5 18 2" xfId="7564" xr:uid="{00000000-0005-0000-0000-0000881D0000}"/>
    <cellStyle name="20% - Accent5 5 18 2 2" xfId="7565" xr:uid="{00000000-0005-0000-0000-0000891D0000}"/>
    <cellStyle name="20% - Accent5 5 18 3" xfId="7566" xr:uid="{00000000-0005-0000-0000-00008A1D0000}"/>
    <cellStyle name="20% - Accent5 5 19" xfId="7567" xr:uid="{00000000-0005-0000-0000-00008B1D0000}"/>
    <cellStyle name="20% - Accent5 5 19 2" xfId="7568" xr:uid="{00000000-0005-0000-0000-00008C1D0000}"/>
    <cellStyle name="20% - Accent5 5 19 2 2" xfId="7569" xr:uid="{00000000-0005-0000-0000-00008D1D0000}"/>
    <cellStyle name="20% - Accent5 5 19 3" xfId="7570" xr:uid="{00000000-0005-0000-0000-00008E1D0000}"/>
    <cellStyle name="20% - Accent5 5 2" xfId="7571" xr:uid="{00000000-0005-0000-0000-00008F1D0000}"/>
    <cellStyle name="20% - Accent5 5 2 10" xfId="7572" xr:uid="{00000000-0005-0000-0000-0000901D0000}"/>
    <cellStyle name="20% - Accent5 5 2 10 2" xfId="7573" xr:uid="{00000000-0005-0000-0000-0000911D0000}"/>
    <cellStyle name="20% - Accent5 5 2 10 2 2" xfId="7574" xr:uid="{00000000-0005-0000-0000-0000921D0000}"/>
    <cellStyle name="20% - Accent5 5 2 10 2 2 2" xfId="7575" xr:uid="{00000000-0005-0000-0000-0000931D0000}"/>
    <cellStyle name="20% - Accent5 5 2 10 2 2 2 2" xfId="7576" xr:uid="{00000000-0005-0000-0000-0000941D0000}"/>
    <cellStyle name="20% - Accent5 5 2 10 2 2 3" xfId="7577" xr:uid="{00000000-0005-0000-0000-0000951D0000}"/>
    <cellStyle name="20% - Accent5 5 2 10 2 3" xfId="7578" xr:uid="{00000000-0005-0000-0000-0000961D0000}"/>
    <cellStyle name="20% - Accent5 5 2 10 2 3 2" xfId="7579" xr:uid="{00000000-0005-0000-0000-0000971D0000}"/>
    <cellStyle name="20% - Accent5 5 2 10 2 4" xfId="7580" xr:uid="{00000000-0005-0000-0000-0000981D0000}"/>
    <cellStyle name="20% - Accent5 5 2 10 3" xfId="7581" xr:uid="{00000000-0005-0000-0000-0000991D0000}"/>
    <cellStyle name="20% - Accent5 5 2 10 3 2" xfId="7582" xr:uid="{00000000-0005-0000-0000-00009A1D0000}"/>
    <cellStyle name="20% - Accent5 5 2 10 3 2 2" xfId="7583" xr:uid="{00000000-0005-0000-0000-00009B1D0000}"/>
    <cellStyle name="20% - Accent5 5 2 10 3 3" xfId="7584" xr:uid="{00000000-0005-0000-0000-00009C1D0000}"/>
    <cellStyle name="20% - Accent5 5 2 10 4" xfId="7585" xr:uid="{00000000-0005-0000-0000-00009D1D0000}"/>
    <cellStyle name="20% - Accent5 5 2 10 4 2" xfId="7586" xr:uid="{00000000-0005-0000-0000-00009E1D0000}"/>
    <cellStyle name="20% - Accent5 5 2 10 5" xfId="7587" xr:uid="{00000000-0005-0000-0000-00009F1D0000}"/>
    <cellStyle name="20% - Accent5 5 2 11" xfId="7588" xr:uid="{00000000-0005-0000-0000-0000A01D0000}"/>
    <cellStyle name="20% - Accent5 5 2 11 2" xfId="7589" xr:uid="{00000000-0005-0000-0000-0000A11D0000}"/>
    <cellStyle name="20% - Accent5 5 2 11 2 2" xfId="7590" xr:uid="{00000000-0005-0000-0000-0000A21D0000}"/>
    <cellStyle name="20% - Accent5 5 2 11 2 2 2" xfId="7591" xr:uid="{00000000-0005-0000-0000-0000A31D0000}"/>
    <cellStyle name="20% - Accent5 5 2 11 2 2 2 2" xfId="7592" xr:uid="{00000000-0005-0000-0000-0000A41D0000}"/>
    <cellStyle name="20% - Accent5 5 2 11 2 2 3" xfId="7593" xr:uid="{00000000-0005-0000-0000-0000A51D0000}"/>
    <cellStyle name="20% - Accent5 5 2 11 2 3" xfId="7594" xr:uid="{00000000-0005-0000-0000-0000A61D0000}"/>
    <cellStyle name="20% - Accent5 5 2 11 2 3 2" xfId="7595" xr:uid="{00000000-0005-0000-0000-0000A71D0000}"/>
    <cellStyle name="20% - Accent5 5 2 11 2 4" xfId="7596" xr:uid="{00000000-0005-0000-0000-0000A81D0000}"/>
    <cellStyle name="20% - Accent5 5 2 11 3" xfId="7597" xr:uid="{00000000-0005-0000-0000-0000A91D0000}"/>
    <cellStyle name="20% - Accent5 5 2 11 3 2" xfId="7598" xr:uid="{00000000-0005-0000-0000-0000AA1D0000}"/>
    <cellStyle name="20% - Accent5 5 2 11 3 2 2" xfId="7599" xr:uid="{00000000-0005-0000-0000-0000AB1D0000}"/>
    <cellStyle name="20% - Accent5 5 2 11 3 3" xfId="7600" xr:uid="{00000000-0005-0000-0000-0000AC1D0000}"/>
    <cellStyle name="20% - Accent5 5 2 11 4" xfId="7601" xr:uid="{00000000-0005-0000-0000-0000AD1D0000}"/>
    <cellStyle name="20% - Accent5 5 2 11 4 2" xfId="7602" xr:uid="{00000000-0005-0000-0000-0000AE1D0000}"/>
    <cellStyle name="20% - Accent5 5 2 11 5" xfId="7603" xr:uid="{00000000-0005-0000-0000-0000AF1D0000}"/>
    <cellStyle name="20% - Accent5 5 2 12" xfId="7604" xr:uid="{00000000-0005-0000-0000-0000B01D0000}"/>
    <cellStyle name="20% - Accent5 5 2 12 2" xfId="7605" xr:uid="{00000000-0005-0000-0000-0000B11D0000}"/>
    <cellStyle name="20% - Accent5 5 2 12 2 2" xfId="7606" xr:uid="{00000000-0005-0000-0000-0000B21D0000}"/>
    <cellStyle name="20% - Accent5 5 2 12 2 2 2" xfId="7607" xr:uid="{00000000-0005-0000-0000-0000B31D0000}"/>
    <cellStyle name="20% - Accent5 5 2 12 2 2 2 2" xfId="7608" xr:uid="{00000000-0005-0000-0000-0000B41D0000}"/>
    <cellStyle name="20% - Accent5 5 2 12 2 2 3" xfId="7609" xr:uid="{00000000-0005-0000-0000-0000B51D0000}"/>
    <cellStyle name="20% - Accent5 5 2 12 2 3" xfId="7610" xr:uid="{00000000-0005-0000-0000-0000B61D0000}"/>
    <cellStyle name="20% - Accent5 5 2 12 2 3 2" xfId="7611" xr:uid="{00000000-0005-0000-0000-0000B71D0000}"/>
    <cellStyle name="20% - Accent5 5 2 12 2 4" xfId="7612" xr:uid="{00000000-0005-0000-0000-0000B81D0000}"/>
    <cellStyle name="20% - Accent5 5 2 12 3" xfId="7613" xr:uid="{00000000-0005-0000-0000-0000B91D0000}"/>
    <cellStyle name="20% - Accent5 5 2 12 3 2" xfId="7614" xr:uid="{00000000-0005-0000-0000-0000BA1D0000}"/>
    <cellStyle name="20% - Accent5 5 2 12 3 2 2" xfId="7615" xr:uid="{00000000-0005-0000-0000-0000BB1D0000}"/>
    <cellStyle name="20% - Accent5 5 2 12 3 3" xfId="7616" xr:uid="{00000000-0005-0000-0000-0000BC1D0000}"/>
    <cellStyle name="20% - Accent5 5 2 12 4" xfId="7617" xr:uid="{00000000-0005-0000-0000-0000BD1D0000}"/>
    <cellStyle name="20% - Accent5 5 2 12 4 2" xfId="7618" xr:uid="{00000000-0005-0000-0000-0000BE1D0000}"/>
    <cellStyle name="20% - Accent5 5 2 12 5" xfId="7619" xr:uid="{00000000-0005-0000-0000-0000BF1D0000}"/>
    <cellStyle name="20% - Accent5 5 2 13" xfId="7620" xr:uid="{00000000-0005-0000-0000-0000C01D0000}"/>
    <cellStyle name="20% - Accent5 5 2 13 2" xfId="7621" xr:uid="{00000000-0005-0000-0000-0000C11D0000}"/>
    <cellStyle name="20% - Accent5 5 2 13 2 2" xfId="7622" xr:uid="{00000000-0005-0000-0000-0000C21D0000}"/>
    <cellStyle name="20% - Accent5 5 2 13 2 2 2" xfId="7623" xr:uid="{00000000-0005-0000-0000-0000C31D0000}"/>
    <cellStyle name="20% - Accent5 5 2 13 2 3" xfId="7624" xr:uid="{00000000-0005-0000-0000-0000C41D0000}"/>
    <cellStyle name="20% - Accent5 5 2 13 3" xfId="7625" xr:uid="{00000000-0005-0000-0000-0000C51D0000}"/>
    <cellStyle name="20% - Accent5 5 2 13 3 2" xfId="7626" xr:uid="{00000000-0005-0000-0000-0000C61D0000}"/>
    <cellStyle name="20% - Accent5 5 2 13 4" xfId="7627" xr:uid="{00000000-0005-0000-0000-0000C71D0000}"/>
    <cellStyle name="20% - Accent5 5 2 14" xfId="7628" xr:uid="{00000000-0005-0000-0000-0000C81D0000}"/>
    <cellStyle name="20% - Accent5 5 2 14 2" xfId="7629" xr:uid="{00000000-0005-0000-0000-0000C91D0000}"/>
    <cellStyle name="20% - Accent5 5 2 14 2 2" xfId="7630" xr:uid="{00000000-0005-0000-0000-0000CA1D0000}"/>
    <cellStyle name="20% - Accent5 5 2 14 2 2 2" xfId="7631" xr:uid="{00000000-0005-0000-0000-0000CB1D0000}"/>
    <cellStyle name="20% - Accent5 5 2 14 2 3" xfId="7632" xr:uid="{00000000-0005-0000-0000-0000CC1D0000}"/>
    <cellStyle name="20% - Accent5 5 2 14 3" xfId="7633" xr:uid="{00000000-0005-0000-0000-0000CD1D0000}"/>
    <cellStyle name="20% - Accent5 5 2 14 3 2" xfId="7634" xr:uid="{00000000-0005-0000-0000-0000CE1D0000}"/>
    <cellStyle name="20% - Accent5 5 2 14 4" xfId="7635" xr:uid="{00000000-0005-0000-0000-0000CF1D0000}"/>
    <cellStyle name="20% - Accent5 5 2 15" xfId="7636" xr:uid="{00000000-0005-0000-0000-0000D01D0000}"/>
    <cellStyle name="20% - Accent5 5 2 15 2" xfId="7637" xr:uid="{00000000-0005-0000-0000-0000D11D0000}"/>
    <cellStyle name="20% - Accent5 5 2 15 2 2" xfId="7638" xr:uid="{00000000-0005-0000-0000-0000D21D0000}"/>
    <cellStyle name="20% - Accent5 5 2 15 3" xfId="7639" xr:uid="{00000000-0005-0000-0000-0000D31D0000}"/>
    <cellStyle name="20% - Accent5 5 2 16" xfId="7640" xr:uid="{00000000-0005-0000-0000-0000D41D0000}"/>
    <cellStyle name="20% - Accent5 5 2 16 2" xfId="7641" xr:uid="{00000000-0005-0000-0000-0000D51D0000}"/>
    <cellStyle name="20% - Accent5 5 2 16 2 2" xfId="7642" xr:uid="{00000000-0005-0000-0000-0000D61D0000}"/>
    <cellStyle name="20% - Accent5 5 2 16 3" xfId="7643" xr:uid="{00000000-0005-0000-0000-0000D71D0000}"/>
    <cellStyle name="20% - Accent5 5 2 17" xfId="7644" xr:uid="{00000000-0005-0000-0000-0000D81D0000}"/>
    <cellStyle name="20% - Accent5 5 2 17 2" xfId="7645" xr:uid="{00000000-0005-0000-0000-0000D91D0000}"/>
    <cellStyle name="20% - Accent5 5 2 17 2 2" xfId="7646" xr:uid="{00000000-0005-0000-0000-0000DA1D0000}"/>
    <cellStyle name="20% - Accent5 5 2 17 3" xfId="7647" xr:uid="{00000000-0005-0000-0000-0000DB1D0000}"/>
    <cellStyle name="20% - Accent5 5 2 18" xfId="7648" xr:uid="{00000000-0005-0000-0000-0000DC1D0000}"/>
    <cellStyle name="20% - Accent5 5 2 18 2" xfId="7649" xr:uid="{00000000-0005-0000-0000-0000DD1D0000}"/>
    <cellStyle name="20% - Accent5 5 2 18 2 2" xfId="7650" xr:uid="{00000000-0005-0000-0000-0000DE1D0000}"/>
    <cellStyle name="20% - Accent5 5 2 18 3" xfId="7651" xr:uid="{00000000-0005-0000-0000-0000DF1D0000}"/>
    <cellStyle name="20% - Accent5 5 2 19" xfId="7652" xr:uid="{00000000-0005-0000-0000-0000E01D0000}"/>
    <cellStyle name="20% - Accent5 5 2 19 2" xfId="7653" xr:uid="{00000000-0005-0000-0000-0000E11D0000}"/>
    <cellStyle name="20% - Accent5 5 2 2" xfId="7654" xr:uid="{00000000-0005-0000-0000-0000E21D0000}"/>
    <cellStyle name="20% - Accent5 5 2 2 10" xfId="7655" xr:uid="{00000000-0005-0000-0000-0000E31D0000}"/>
    <cellStyle name="20% - Accent5 5 2 2 10 2" xfId="7656" xr:uid="{00000000-0005-0000-0000-0000E41D0000}"/>
    <cellStyle name="20% - Accent5 5 2 2 10 2 2" xfId="7657" xr:uid="{00000000-0005-0000-0000-0000E51D0000}"/>
    <cellStyle name="20% - Accent5 5 2 2 10 3" xfId="7658" xr:uid="{00000000-0005-0000-0000-0000E61D0000}"/>
    <cellStyle name="20% - Accent5 5 2 2 11" xfId="7659" xr:uid="{00000000-0005-0000-0000-0000E71D0000}"/>
    <cellStyle name="20% - Accent5 5 2 2 11 2" xfId="7660" xr:uid="{00000000-0005-0000-0000-0000E81D0000}"/>
    <cellStyle name="20% - Accent5 5 2 2 11 2 2" xfId="7661" xr:uid="{00000000-0005-0000-0000-0000E91D0000}"/>
    <cellStyle name="20% - Accent5 5 2 2 11 3" xfId="7662" xr:uid="{00000000-0005-0000-0000-0000EA1D0000}"/>
    <cellStyle name="20% - Accent5 5 2 2 12" xfId="7663" xr:uid="{00000000-0005-0000-0000-0000EB1D0000}"/>
    <cellStyle name="20% - Accent5 5 2 2 12 2" xfId="7664" xr:uid="{00000000-0005-0000-0000-0000EC1D0000}"/>
    <cellStyle name="20% - Accent5 5 2 2 12 2 2" xfId="7665" xr:uid="{00000000-0005-0000-0000-0000ED1D0000}"/>
    <cellStyle name="20% - Accent5 5 2 2 12 3" xfId="7666" xr:uid="{00000000-0005-0000-0000-0000EE1D0000}"/>
    <cellStyle name="20% - Accent5 5 2 2 13" xfId="7667" xr:uid="{00000000-0005-0000-0000-0000EF1D0000}"/>
    <cellStyle name="20% - Accent5 5 2 2 13 2" xfId="7668" xr:uid="{00000000-0005-0000-0000-0000F01D0000}"/>
    <cellStyle name="20% - Accent5 5 2 2 14" xfId="7669" xr:uid="{00000000-0005-0000-0000-0000F11D0000}"/>
    <cellStyle name="20% - Accent5 5 2 2 2" xfId="7670" xr:uid="{00000000-0005-0000-0000-0000F21D0000}"/>
    <cellStyle name="20% - Accent5 5 2 2 2 2" xfId="7671" xr:uid="{00000000-0005-0000-0000-0000F31D0000}"/>
    <cellStyle name="20% - Accent5 5 2 2 2 2 2" xfId="7672" xr:uid="{00000000-0005-0000-0000-0000F41D0000}"/>
    <cellStyle name="20% - Accent5 5 2 2 2 2 2 2" xfId="7673" xr:uid="{00000000-0005-0000-0000-0000F51D0000}"/>
    <cellStyle name="20% - Accent5 5 2 2 2 2 2 2 2" xfId="7674" xr:uid="{00000000-0005-0000-0000-0000F61D0000}"/>
    <cellStyle name="20% - Accent5 5 2 2 2 2 2 3" xfId="7675" xr:uid="{00000000-0005-0000-0000-0000F71D0000}"/>
    <cellStyle name="20% - Accent5 5 2 2 2 2 3" xfId="7676" xr:uid="{00000000-0005-0000-0000-0000F81D0000}"/>
    <cellStyle name="20% - Accent5 5 2 2 2 2 3 2" xfId="7677" xr:uid="{00000000-0005-0000-0000-0000F91D0000}"/>
    <cellStyle name="20% - Accent5 5 2 2 2 2 4" xfId="7678" xr:uid="{00000000-0005-0000-0000-0000FA1D0000}"/>
    <cellStyle name="20% - Accent5 5 2 2 2 3" xfId="7679" xr:uid="{00000000-0005-0000-0000-0000FB1D0000}"/>
    <cellStyle name="20% - Accent5 5 2 2 2 3 2" xfId="7680" xr:uid="{00000000-0005-0000-0000-0000FC1D0000}"/>
    <cellStyle name="20% - Accent5 5 2 2 2 3 2 2" xfId="7681" xr:uid="{00000000-0005-0000-0000-0000FD1D0000}"/>
    <cellStyle name="20% - Accent5 5 2 2 2 3 3" xfId="7682" xr:uid="{00000000-0005-0000-0000-0000FE1D0000}"/>
    <cellStyle name="20% - Accent5 5 2 2 2 4" xfId="7683" xr:uid="{00000000-0005-0000-0000-0000FF1D0000}"/>
    <cellStyle name="20% - Accent5 5 2 2 2 4 2" xfId="7684" xr:uid="{00000000-0005-0000-0000-0000001E0000}"/>
    <cellStyle name="20% - Accent5 5 2 2 2 4 2 2" xfId="7685" xr:uid="{00000000-0005-0000-0000-0000011E0000}"/>
    <cellStyle name="20% - Accent5 5 2 2 2 4 3" xfId="7686" xr:uid="{00000000-0005-0000-0000-0000021E0000}"/>
    <cellStyle name="20% - Accent5 5 2 2 2 5" xfId="7687" xr:uid="{00000000-0005-0000-0000-0000031E0000}"/>
    <cellStyle name="20% - Accent5 5 2 2 2 5 2" xfId="7688" xr:uid="{00000000-0005-0000-0000-0000041E0000}"/>
    <cellStyle name="20% - Accent5 5 2 2 2 5 2 2" xfId="7689" xr:uid="{00000000-0005-0000-0000-0000051E0000}"/>
    <cellStyle name="20% - Accent5 5 2 2 2 5 3" xfId="7690" xr:uid="{00000000-0005-0000-0000-0000061E0000}"/>
    <cellStyle name="20% - Accent5 5 2 2 2 6" xfId="7691" xr:uid="{00000000-0005-0000-0000-0000071E0000}"/>
    <cellStyle name="20% - Accent5 5 2 2 2 6 2" xfId="7692" xr:uid="{00000000-0005-0000-0000-0000081E0000}"/>
    <cellStyle name="20% - Accent5 5 2 2 2 6 2 2" xfId="7693" xr:uid="{00000000-0005-0000-0000-0000091E0000}"/>
    <cellStyle name="20% - Accent5 5 2 2 2 6 3" xfId="7694" xr:uid="{00000000-0005-0000-0000-00000A1E0000}"/>
    <cellStyle name="20% - Accent5 5 2 2 2 7" xfId="7695" xr:uid="{00000000-0005-0000-0000-00000B1E0000}"/>
    <cellStyle name="20% - Accent5 5 2 2 2 7 2" xfId="7696" xr:uid="{00000000-0005-0000-0000-00000C1E0000}"/>
    <cellStyle name="20% - Accent5 5 2 2 2 8" xfId="7697" xr:uid="{00000000-0005-0000-0000-00000D1E0000}"/>
    <cellStyle name="20% - Accent5 5 2 2 3" xfId="7698" xr:uid="{00000000-0005-0000-0000-00000E1E0000}"/>
    <cellStyle name="20% - Accent5 5 2 2 3 2" xfId="7699" xr:uid="{00000000-0005-0000-0000-00000F1E0000}"/>
    <cellStyle name="20% - Accent5 5 2 2 3 2 2" xfId="7700" xr:uid="{00000000-0005-0000-0000-0000101E0000}"/>
    <cellStyle name="20% - Accent5 5 2 2 3 2 2 2" xfId="7701" xr:uid="{00000000-0005-0000-0000-0000111E0000}"/>
    <cellStyle name="20% - Accent5 5 2 2 3 2 2 2 2" xfId="7702" xr:uid="{00000000-0005-0000-0000-0000121E0000}"/>
    <cellStyle name="20% - Accent5 5 2 2 3 2 2 3" xfId="7703" xr:uid="{00000000-0005-0000-0000-0000131E0000}"/>
    <cellStyle name="20% - Accent5 5 2 2 3 2 3" xfId="7704" xr:uid="{00000000-0005-0000-0000-0000141E0000}"/>
    <cellStyle name="20% - Accent5 5 2 2 3 2 3 2" xfId="7705" xr:uid="{00000000-0005-0000-0000-0000151E0000}"/>
    <cellStyle name="20% - Accent5 5 2 2 3 2 4" xfId="7706" xr:uid="{00000000-0005-0000-0000-0000161E0000}"/>
    <cellStyle name="20% - Accent5 5 2 2 3 3" xfId="7707" xr:uid="{00000000-0005-0000-0000-0000171E0000}"/>
    <cellStyle name="20% - Accent5 5 2 2 3 3 2" xfId="7708" xr:uid="{00000000-0005-0000-0000-0000181E0000}"/>
    <cellStyle name="20% - Accent5 5 2 2 3 3 2 2" xfId="7709" xr:uid="{00000000-0005-0000-0000-0000191E0000}"/>
    <cellStyle name="20% - Accent5 5 2 2 3 3 3" xfId="7710" xr:uid="{00000000-0005-0000-0000-00001A1E0000}"/>
    <cellStyle name="20% - Accent5 5 2 2 3 4" xfId="7711" xr:uid="{00000000-0005-0000-0000-00001B1E0000}"/>
    <cellStyle name="20% - Accent5 5 2 2 3 4 2" xfId="7712" xr:uid="{00000000-0005-0000-0000-00001C1E0000}"/>
    <cellStyle name="20% - Accent5 5 2 2 3 4 2 2" xfId="7713" xr:uid="{00000000-0005-0000-0000-00001D1E0000}"/>
    <cellStyle name="20% - Accent5 5 2 2 3 4 3" xfId="7714" xr:uid="{00000000-0005-0000-0000-00001E1E0000}"/>
    <cellStyle name="20% - Accent5 5 2 2 3 5" xfId="7715" xr:uid="{00000000-0005-0000-0000-00001F1E0000}"/>
    <cellStyle name="20% - Accent5 5 2 2 3 5 2" xfId="7716" xr:uid="{00000000-0005-0000-0000-0000201E0000}"/>
    <cellStyle name="20% - Accent5 5 2 2 3 5 2 2" xfId="7717" xr:uid="{00000000-0005-0000-0000-0000211E0000}"/>
    <cellStyle name="20% - Accent5 5 2 2 3 5 3" xfId="7718" xr:uid="{00000000-0005-0000-0000-0000221E0000}"/>
    <cellStyle name="20% - Accent5 5 2 2 3 6" xfId="7719" xr:uid="{00000000-0005-0000-0000-0000231E0000}"/>
    <cellStyle name="20% - Accent5 5 2 2 3 6 2" xfId="7720" xr:uid="{00000000-0005-0000-0000-0000241E0000}"/>
    <cellStyle name="20% - Accent5 5 2 2 3 6 2 2" xfId="7721" xr:uid="{00000000-0005-0000-0000-0000251E0000}"/>
    <cellStyle name="20% - Accent5 5 2 2 3 6 3" xfId="7722" xr:uid="{00000000-0005-0000-0000-0000261E0000}"/>
    <cellStyle name="20% - Accent5 5 2 2 3 7" xfId="7723" xr:uid="{00000000-0005-0000-0000-0000271E0000}"/>
    <cellStyle name="20% - Accent5 5 2 2 3 7 2" xfId="7724" xr:uid="{00000000-0005-0000-0000-0000281E0000}"/>
    <cellStyle name="20% - Accent5 5 2 2 3 8" xfId="7725" xr:uid="{00000000-0005-0000-0000-0000291E0000}"/>
    <cellStyle name="20% - Accent5 5 2 2 4" xfId="7726" xr:uid="{00000000-0005-0000-0000-00002A1E0000}"/>
    <cellStyle name="20% - Accent5 5 2 2 4 2" xfId="7727" xr:uid="{00000000-0005-0000-0000-00002B1E0000}"/>
    <cellStyle name="20% - Accent5 5 2 2 4 2 2" xfId="7728" xr:uid="{00000000-0005-0000-0000-00002C1E0000}"/>
    <cellStyle name="20% - Accent5 5 2 2 4 2 2 2" xfId="7729" xr:uid="{00000000-0005-0000-0000-00002D1E0000}"/>
    <cellStyle name="20% - Accent5 5 2 2 4 2 2 2 2" xfId="7730" xr:uid="{00000000-0005-0000-0000-00002E1E0000}"/>
    <cellStyle name="20% - Accent5 5 2 2 4 2 2 3" xfId="7731" xr:uid="{00000000-0005-0000-0000-00002F1E0000}"/>
    <cellStyle name="20% - Accent5 5 2 2 4 2 3" xfId="7732" xr:uid="{00000000-0005-0000-0000-0000301E0000}"/>
    <cellStyle name="20% - Accent5 5 2 2 4 2 3 2" xfId="7733" xr:uid="{00000000-0005-0000-0000-0000311E0000}"/>
    <cellStyle name="20% - Accent5 5 2 2 4 2 4" xfId="7734" xr:uid="{00000000-0005-0000-0000-0000321E0000}"/>
    <cellStyle name="20% - Accent5 5 2 2 4 3" xfId="7735" xr:uid="{00000000-0005-0000-0000-0000331E0000}"/>
    <cellStyle name="20% - Accent5 5 2 2 4 3 2" xfId="7736" xr:uid="{00000000-0005-0000-0000-0000341E0000}"/>
    <cellStyle name="20% - Accent5 5 2 2 4 3 2 2" xfId="7737" xr:uid="{00000000-0005-0000-0000-0000351E0000}"/>
    <cellStyle name="20% - Accent5 5 2 2 4 3 3" xfId="7738" xr:uid="{00000000-0005-0000-0000-0000361E0000}"/>
    <cellStyle name="20% - Accent5 5 2 2 4 4" xfId="7739" xr:uid="{00000000-0005-0000-0000-0000371E0000}"/>
    <cellStyle name="20% - Accent5 5 2 2 4 4 2" xfId="7740" xr:uid="{00000000-0005-0000-0000-0000381E0000}"/>
    <cellStyle name="20% - Accent5 5 2 2 4 4 2 2" xfId="7741" xr:uid="{00000000-0005-0000-0000-0000391E0000}"/>
    <cellStyle name="20% - Accent5 5 2 2 4 4 3" xfId="7742" xr:uid="{00000000-0005-0000-0000-00003A1E0000}"/>
    <cellStyle name="20% - Accent5 5 2 2 4 5" xfId="7743" xr:uid="{00000000-0005-0000-0000-00003B1E0000}"/>
    <cellStyle name="20% - Accent5 5 2 2 4 5 2" xfId="7744" xr:uid="{00000000-0005-0000-0000-00003C1E0000}"/>
    <cellStyle name="20% - Accent5 5 2 2 4 5 2 2" xfId="7745" xr:uid="{00000000-0005-0000-0000-00003D1E0000}"/>
    <cellStyle name="20% - Accent5 5 2 2 4 5 3" xfId="7746" xr:uid="{00000000-0005-0000-0000-00003E1E0000}"/>
    <cellStyle name="20% - Accent5 5 2 2 4 6" xfId="7747" xr:uid="{00000000-0005-0000-0000-00003F1E0000}"/>
    <cellStyle name="20% - Accent5 5 2 2 4 6 2" xfId="7748" xr:uid="{00000000-0005-0000-0000-0000401E0000}"/>
    <cellStyle name="20% - Accent5 5 2 2 4 6 2 2" xfId="7749" xr:uid="{00000000-0005-0000-0000-0000411E0000}"/>
    <cellStyle name="20% - Accent5 5 2 2 4 6 3" xfId="7750" xr:uid="{00000000-0005-0000-0000-0000421E0000}"/>
    <cellStyle name="20% - Accent5 5 2 2 4 7" xfId="7751" xr:uid="{00000000-0005-0000-0000-0000431E0000}"/>
    <cellStyle name="20% - Accent5 5 2 2 4 7 2" xfId="7752" xr:uid="{00000000-0005-0000-0000-0000441E0000}"/>
    <cellStyle name="20% - Accent5 5 2 2 4 8" xfId="7753" xr:uid="{00000000-0005-0000-0000-0000451E0000}"/>
    <cellStyle name="20% - Accent5 5 2 2 5" xfId="7754" xr:uid="{00000000-0005-0000-0000-0000461E0000}"/>
    <cellStyle name="20% - Accent5 5 2 2 5 2" xfId="7755" xr:uid="{00000000-0005-0000-0000-0000471E0000}"/>
    <cellStyle name="20% - Accent5 5 2 2 5 2 2" xfId="7756" xr:uid="{00000000-0005-0000-0000-0000481E0000}"/>
    <cellStyle name="20% - Accent5 5 2 2 5 2 2 2" xfId="7757" xr:uid="{00000000-0005-0000-0000-0000491E0000}"/>
    <cellStyle name="20% - Accent5 5 2 2 5 2 2 2 2" xfId="7758" xr:uid="{00000000-0005-0000-0000-00004A1E0000}"/>
    <cellStyle name="20% - Accent5 5 2 2 5 2 2 3" xfId="7759" xr:uid="{00000000-0005-0000-0000-00004B1E0000}"/>
    <cellStyle name="20% - Accent5 5 2 2 5 2 3" xfId="7760" xr:uid="{00000000-0005-0000-0000-00004C1E0000}"/>
    <cellStyle name="20% - Accent5 5 2 2 5 2 3 2" xfId="7761" xr:uid="{00000000-0005-0000-0000-00004D1E0000}"/>
    <cellStyle name="20% - Accent5 5 2 2 5 2 4" xfId="7762" xr:uid="{00000000-0005-0000-0000-00004E1E0000}"/>
    <cellStyle name="20% - Accent5 5 2 2 5 3" xfId="7763" xr:uid="{00000000-0005-0000-0000-00004F1E0000}"/>
    <cellStyle name="20% - Accent5 5 2 2 5 3 2" xfId="7764" xr:uid="{00000000-0005-0000-0000-0000501E0000}"/>
    <cellStyle name="20% - Accent5 5 2 2 5 3 2 2" xfId="7765" xr:uid="{00000000-0005-0000-0000-0000511E0000}"/>
    <cellStyle name="20% - Accent5 5 2 2 5 3 3" xfId="7766" xr:uid="{00000000-0005-0000-0000-0000521E0000}"/>
    <cellStyle name="20% - Accent5 5 2 2 5 4" xfId="7767" xr:uid="{00000000-0005-0000-0000-0000531E0000}"/>
    <cellStyle name="20% - Accent5 5 2 2 5 4 2" xfId="7768" xr:uid="{00000000-0005-0000-0000-0000541E0000}"/>
    <cellStyle name="20% - Accent5 5 2 2 5 5" xfId="7769" xr:uid="{00000000-0005-0000-0000-0000551E0000}"/>
    <cellStyle name="20% - Accent5 5 2 2 6" xfId="7770" xr:uid="{00000000-0005-0000-0000-0000561E0000}"/>
    <cellStyle name="20% - Accent5 5 2 2 6 2" xfId="7771" xr:uid="{00000000-0005-0000-0000-0000571E0000}"/>
    <cellStyle name="20% - Accent5 5 2 2 6 2 2" xfId="7772" xr:uid="{00000000-0005-0000-0000-0000581E0000}"/>
    <cellStyle name="20% - Accent5 5 2 2 6 2 2 2" xfId="7773" xr:uid="{00000000-0005-0000-0000-0000591E0000}"/>
    <cellStyle name="20% - Accent5 5 2 2 6 2 2 2 2" xfId="7774" xr:uid="{00000000-0005-0000-0000-00005A1E0000}"/>
    <cellStyle name="20% - Accent5 5 2 2 6 2 2 3" xfId="7775" xr:uid="{00000000-0005-0000-0000-00005B1E0000}"/>
    <cellStyle name="20% - Accent5 5 2 2 6 2 3" xfId="7776" xr:uid="{00000000-0005-0000-0000-00005C1E0000}"/>
    <cellStyle name="20% - Accent5 5 2 2 6 2 3 2" xfId="7777" xr:uid="{00000000-0005-0000-0000-00005D1E0000}"/>
    <cellStyle name="20% - Accent5 5 2 2 6 2 4" xfId="7778" xr:uid="{00000000-0005-0000-0000-00005E1E0000}"/>
    <cellStyle name="20% - Accent5 5 2 2 6 3" xfId="7779" xr:uid="{00000000-0005-0000-0000-00005F1E0000}"/>
    <cellStyle name="20% - Accent5 5 2 2 6 3 2" xfId="7780" xr:uid="{00000000-0005-0000-0000-0000601E0000}"/>
    <cellStyle name="20% - Accent5 5 2 2 6 3 2 2" xfId="7781" xr:uid="{00000000-0005-0000-0000-0000611E0000}"/>
    <cellStyle name="20% - Accent5 5 2 2 6 3 3" xfId="7782" xr:uid="{00000000-0005-0000-0000-0000621E0000}"/>
    <cellStyle name="20% - Accent5 5 2 2 6 4" xfId="7783" xr:uid="{00000000-0005-0000-0000-0000631E0000}"/>
    <cellStyle name="20% - Accent5 5 2 2 6 4 2" xfId="7784" xr:uid="{00000000-0005-0000-0000-0000641E0000}"/>
    <cellStyle name="20% - Accent5 5 2 2 6 5" xfId="7785" xr:uid="{00000000-0005-0000-0000-0000651E0000}"/>
    <cellStyle name="20% - Accent5 5 2 2 7" xfId="7786" xr:uid="{00000000-0005-0000-0000-0000661E0000}"/>
    <cellStyle name="20% - Accent5 5 2 2 7 2" xfId="7787" xr:uid="{00000000-0005-0000-0000-0000671E0000}"/>
    <cellStyle name="20% - Accent5 5 2 2 7 2 2" xfId="7788" xr:uid="{00000000-0005-0000-0000-0000681E0000}"/>
    <cellStyle name="20% - Accent5 5 2 2 7 2 2 2" xfId="7789" xr:uid="{00000000-0005-0000-0000-0000691E0000}"/>
    <cellStyle name="20% - Accent5 5 2 2 7 2 3" xfId="7790" xr:uid="{00000000-0005-0000-0000-00006A1E0000}"/>
    <cellStyle name="20% - Accent5 5 2 2 7 3" xfId="7791" xr:uid="{00000000-0005-0000-0000-00006B1E0000}"/>
    <cellStyle name="20% - Accent5 5 2 2 7 3 2" xfId="7792" xr:uid="{00000000-0005-0000-0000-00006C1E0000}"/>
    <cellStyle name="20% - Accent5 5 2 2 7 4" xfId="7793" xr:uid="{00000000-0005-0000-0000-00006D1E0000}"/>
    <cellStyle name="20% - Accent5 5 2 2 8" xfId="7794" xr:uid="{00000000-0005-0000-0000-00006E1E0000}"/>
    <cellStyle name="20% - Accent5 5 2 2 8 2" xfId="7795" xr:uid="{00000000-0005-0000-0000-00006F1E0000}"/>
    <cellStyle name="20% - Accent5 5 2 2 8 2 2" xfId="7796" xr:uid="{00000000-0005-0000-0000-0000701E0000}"/>
    <cellStyle name="20% - Accent5 5 2 2 8 2 2 2" xfId="7797" xr:uid="{00000000-0005-0000-0000-0000711E0000}"/>
    <cellStyle name="20% - Accent5 5 2 2 8 2 3" xfId="7798" xr:uid="{00000000-0005-0000-0000-0000721E0000}"/>
    <cellStyle name="20% - Accent5 5 2 2 8 3" xfId="7799" xr:uid="{00000000-0005-0000-0000-0000731E0000}"/>
    <cellStyle name="20% - Accent5 5 2 2 8 3 2" xfId="7800" xr:uid="{00000000-0005-0000-0000-0000741E0000}"/>
    <cellStyle name="20% - Accent5 5 2 2 8 4" xfId="7801" xr:uid="{00000000-0005-0000-0000-0000751E0000}"/>
    <cellStyle name="20% - Accent5 5 2 2 9" xfId="7802" xr:uid="{00000000-0005-0000-0000-0000761E0000}"/>
    <cellStyle name="20% - Accent5 5 2 2 9 2" xfId="7803" xr:uid="{00000000-0005-0000-0000-0000771E0000}"/>
    <cellStyle name="20% - Accent5 5 2 2 9 2 2" xfId="7804" xr:uid="{00000000-0005-0000-0000-0000781E0000}"/>
    <cellStyle name="20% - Accent5 5 2 2 9 3" xfId="7805" xr:uid="{00000000-0005-0000-0000-0000791E0000}"/>
    <cellStyle name="20% - Accent5 5 2 20" xfId="7806" xr:uid="{00000000-0005-0000-0000-00007A1E0000}"/>
    <cellStyle name="20% - Accent5 5 2 3" xfId="7807" xr:uid="{00000000-0005-0000-0000-00007B1E0000}"/>
    <cellStyle name="20% - Accent5 5 2 3 10" xfId="7808" xr:uid="{00000000-0005-0000-0000-00007C1E0000}"/>
    <cellStyle name="20% - Accent5 5 2 3 10 2" xfId="7809" xr:uid="{00000000-0005-0000-0000-00007D1E0000}"/>
    <cellStyle name="20% - Accent5 5 2 3 10 2 2" xfId="7810" xr:uid="{00000000-0005-0000-0000-00007E1E0000}"/>
    <cellStyle name="20% - Accent5 5 2 3 10 3" xfId="7811" xr:uid="{00000000-0005-0000-0000-00007F1E0000}"/>
    <cellStyle name="20% - Accent5 5 2 3 11" xfId="7812" xr:uid="{00000000-0005-0000-0000-0000801E0000}"/>
    <cellStyle name="20% - Accent5 5 2 3 11 2" xfId="7813" xr:uid="{00000000-0005-0000-0000-0000811E0000}"/>
    <cellStyle name="20% - Accent5 5 2 3 11 2 2" xfId="7814" xr:uid="{00000000-0005-0000-0000-0000821E0000}"/>
    <cellStyle name="20% - Accent5 5 2 3 11 3" xfId="7815" xr:uid="{00000000-0005-0000-0000-0000831E0000}"/>
    <cellStyle name="20% - Accent5 5 2 3 12" xfId="7816" xr:uid="{00000000-0005-0000-0000-0000841E0000}"/>
    <cellStyle name="20% - Accent5 5 2 3 12 2" xfId="7817" xr:uid="{00000000-0005-0000-0000-0000851E0000}"/>
    <cellStyle name="20% - Accent5 5 2 3 12 2 2" xfId="7818" xr:uid="{00000000-0005-0000-0000-0000861E0000}"/>
    <cellStyle name="20% - Accent5 5 2 3 12 3" xfId="7819" xr:uid="{00000000-0005-0000-0000-0000871E0000}"/>
    <cellStyle name="20% - Accent5 5 2 3 13" xfId="7820" xr:uid="{00000000-0005-0000-0000-0000881E0000}"/>
    <cellStyle name="20% - Accent5 5 2 3 13 2" xfId="7821" xr:uid="{00000000-0005-0000-0000-0000891E0000}"/>
    <cellStyle name="20% - Accent5 5 2 3 14" xfId="7822" xr:uid="{00000000-0005-0000-0000-00008A1E0000}"/>
    <cellStyle name="20% - Accent5 5 2 3 2" xfId="7823" xr:uid="{00000000-0005-0000-0000-00008B1E0000}"/>
    <cellStyle name="20% - Accent5 5 2 3 2 2" xfId="7824" xr:uid="{00000000-0005-0000-0000-00008C1E0000}"/>
    <cellStyle name="20% - Accent5 5 2 3 2 2 2" xfId="7825" xr:uid="{00000000-0005-0000-0000-00008D1E0000}"/>
    <cellStyle name="20% - Accent5 5 2 3 2 2 2 2" xfId="7826" xr:uid="{00000000-0005-0000-0000-00008E1E0000}"/>
    <cellStyle name="20% - Accent5 5 2 3 2 2 2 2 2" xfId="7827" xr:uid="{00000000-0005-0000-0000-00008F1E0000}"/>
    <cellStyle name="20% - Accent5 5 2 3 2 2 2 3" xfId="7828" xr:uid="{00000000-0005-0000-0000-0000901E0000}"/>
    <cellStyle name="20% - Accent5 5 2 3 2 2 3" xfId="7829" xr:uid="{00000000-0005-0000-0000-0000911E0000}"/>
    <cellStyle name="20% - Accent5 5 2 3 2 2 3 2" xfId="7830" xr:uid="{00000000-0005-0000-0000-0000921E0000}"/>
    <cellStyle name="20% - Accent5 5 2 3 2 2 4" xfId="7831" xr:uid="{00000000-0005-0000-0000-0000931E0000}"/>
    <cellStyle name="20% - Accent5 5 2 3 2 3" xfId="7832" xr:uid="{00000000-0005-0000-0000-0000941E0000}"/>
    <cellStyle name="20% - Accent5 5 2 3 2 3 2" xfId="7833" xr:uid="{00000000-0005-0000-0000-0000951E0000}"/>
    <cellStyle name="20% - Accent5 5 2 3 2 3 2 2" xfId="7834" xr:uid="{00000000-0005-0000-0000-0000961E0000}"/>
    <cellStyle name="20% - Accent5 5 2 3 2 3 3" xfId="7835" xr:uid="{00000000-0005-0000-0000-0000971E0000}"/>
    <cellStyle name="20% - Accent5 5 2 3 2 4" xfId="7836" xr:uid="{00000000-0005-0000-0000-0000981E0000}"/>
    <cellStyle name="20% - Accent5 5 2 3 2 4 2" xfId="7837" xr:uid="{00000000-0005-0000-0000-0000991E0000}"/>
    <cellStyle name="20% - Accent5 5 2 3 2 4 2 2" xfId="7838" xr:uid="{00000000-0005-0000-0000-00009A1E0000}"/>
    <cellStyle name="20% - Accent5 5 2 3 2 4 3" xfId="7839" xr:uid="{00000000-0005-0000-0000-00009B1E0000}"/>
    <cellStyle name="20% - Accent5 5 2 3 2 5" xfId="7840" xr:uid="{00000000-0005-0000-0000-00009C1E0000}"/>
    <cellStyle name="20% - Accent5 5 2 3 2 5 2" xfId="7841" xr:uid="{00000000-0005-0000-0000-00009D1E0000}"/>
    <cellStyle name="20% - Accent5 5 2 3 2 5 2 2" xfId="7842" xr:uid="{00000000-0005-0000-0000-00009E1E0000}"/>
    <cellStyle name="20% - Accent5 5 2 3 2 5 3" xfId="7843" xr:uid="{00000000-0005-0000-0000-00009F1E0000}"/>
    <cellStyle name="20% - Accent5 5 2 3 2 6" xfId="7844" xr:uid="{00000000-0005-0000-0000-0000A01E0000}"/>
    <cellStyle name="20% - Accent5 5 2 3 2 6 2" xfId="7845" xr:uid="{00000000-0005-0000-0000-0000A11E0000}"/>
    <cellStyle name="20% - Accent5 5 2 3 2 6 2 2" xfId="7846" xr:uid="{00000000-0005-0000-0000-0000A21E0000}"/>
    <cellStyle name="20% - Accent5 5 2 3 2 6 3" xfId="7847" xr:uid="{00000000-0005-0000-0000-0000A31E0000}"/>
    <cellStyle name="20% - Accent5 5 2 3 2 7" xfId="7848" xr:uid="{00000000-0005-0000-0000-0000A41E0000}"/>
    <cellStyle name="20% - Accent5 5 2 3 2 7 2" xfId="7849" xr:uid="{00000000-0005-0000-0000-0000A51E0000}"/>
    <cellStyle name="20% - Accent5 5 2 3 2 8" xfId="7850" xr:uid="{00000000-0005-0000-0000-0000A61E0000}"/>
    <cellStyle name="20% - Accent5 5 2 3 3" xfId="7851" xr:uid="{00000000-0005-0000-0000-0000A71E0000}"/>
    <cellStyle name="20% - Accent5 5 2 3 3 2" xfId="7852" xr:uid="{00000000-0005-0000-0000-0000A81E0000}"/>
    <cellStyle name="20% - Accent5 5 2 3 3 2 2" xfId="7853" xr:uid="{00000000-0005-0000-0000-0000A91E0000}"/>
    <cellStyle name="20% - Accent5 5 2 3 3 2 2 2" xfId="7854" xr:uid="{00000000-0005-0000-0000-0000AA1E0000}"/>
    <cellStyle name="20% - Accent5 5 2 3 3 2 2 2 2" xfId="7855" xr:uid="{00000000-0005-0000-0000-0000AB1E0000}"/>
    <cellStyle name="20% - Accent5 5 2 3 3 2 2 3" xfId="7856" xr:uid="{00000000-0005-0000-0000-0000AC1E0000}"/>
    <cellStyle name="20% - Accent5 5 2 3 3 2 3" xfId="7857" xr:uid="{00000000-0005-0000-0000-0000AD1E0000}"/>
    <cellStyle name="20% - Accent5 5 2 3 3 2 3 2" xfId="7858" xr:uid="{00000000-0005-0000-0000-0000AE1E0000}"/>
    <cellStyle name="20% - Accent5 5 2 3 3 2 4" xfId="7859" xr:uid="{00000000-0005-0000-0000-0000AF1E0000}"/>
    <cellStyle name="20% - Accent5 5 2 3 3 3" xfId="7860" xr:uid="{00000000-0005-0000-0000-0000B01E0000}"/>
    <cellStyle name="20% - Accent5 5 2 3 3 3 2" xfId="7861" xr:uid="{00000000-0005-0000-0000-0000B11E0000}"/>
    <cellStyle name="20% - Accent5 5 2 3 3 3 2 2" xfId="7862" xr:uid="{00000000-0005-0000-0000-0000B21E0000}"/>
    <cellStyle name="20% - Accent5 5 2 3 3 3 3" xfId="7863" xr:uid="{00000000-0005-0000-0000-0000B31E0000}"/>
    <cellStyle name="20% - Accent5 5 2 3 3 4" xfId="7864" xr:uid="{00000000-0005-0000-0000-0000B41E0000}"/>
    <cellStyle name="20% - Accent5 5 2 3 3 4 2" xfId="7865" xr:uid="{00000000-0005-0000-0000-0000B51E0000}"/>
    <cellStyle name="20% - Accent5 5 2 3 3 4 2 2" xfId="7866" xr:uid="{00000000-0005-0000-0000-0000B61E0000}"/>
    <cellStyle name="20% - Accent5 5 2 3 3 4 3" xfId="7867" xr:uid="{00000000-0005-0000-0000-0000B71E0000}"/>
    <cellStyle name="20% - Accent5 5 2 3 3 5" xfId="7868" xr:uid="{00000000-0005-0000-0000-0000B81E0000}"/>
    <cellStyle name="20% - Accent5 5 2 3 3 5 2" xfId="7869" xr:uid="{00000000-0005-0000-0000-0000B91E0000}"/>
    <cellStyle name="20% - Accent5 5 2 3 3 5 2 2" xfId="7870" xr:uid="{00000000-0005-0000-0000-0000BA1E0000}"/>
    <cellStyle name="20% - Accent5 5 2 3 3 5 3" xfId="7871" xr:uid="{00000000-0005-0000-0000-0000BB1E0000}"/>
    <cellStyle name="20% - Accent5 5 2 3 3 6" xfId="7872" xr:uid="{00000000-0005-0000-0000-0000BC1E0000}"/>
    <cellStyle name="20% - Accent5 5 2 3 3 6 2" xfId="7873" xr:uid="{00000000-0005-0000-0000-0000BD1E0000}"/>
    <cellStyle name="20% - Accent5 5 2 3 3 6 2 2" xfId="7874" xr:uid="{00000000-0005-0000-0000-0000BE1E0000}"/>
    <cellStyle name="20% - Accent5 5 2 3 3 6 3" xfId="7875" xr:uid="{00000000-0005-0000-0000-0000BF1E0000}"/>
    <cellStyle name="20% - Accent5 5 2 3 3 7" xfId="7876" xr:uid="{00000000-0005-0000-0000-0000C01E0000}"/>
    <cellStyle name="20% - Accent5 5 2 3 3 7 2" xfId="7877" xr:uid="{00000000-0005-0000-0000-0000C11E0000}"/>
    <cellStyle name="20% - Accent5 5 2 3 3 8" xfId="7878" xr:uid="{00000000-0005-0000-0000-0000C21E0000}"/>
    <cellStyle name="20% - Accent5 5 2 3 4" xfId="7879" xr:uid="{00000000-0005-0000-0000-0000C31E0000}"/>
    <cellStyle name="20% - Accent5 5 2 3 4 2" xfId="7880" xr:uid="{00000000-0005-0000-0000-0000C41E0000}"/>
    <cellStyle name="20% - Accent5 5 2 3 4 2 2" xfId="7881" xr:uid="{00000000-0005-0000-0000-0000C51E0000}"/>
    <cellStyle name="20% - Accent5 5 2 3 4 2 2 2" xfId="7882" xr:uid="{00000000-0005-0000-0000-0000C61E0000}"/>
    <cellStyle name="20% - Accent5 5 2 3 4 2 2 2 2" xfId="7883" xr:uid="{00000000-0005-0000-0000-0000C71E0000}"/>
    <cellStyle name="20% - Accent5 5 2 3 4 2 2 3" xfId="7884" xr:uid="{00000000-0005-0000-0000-0000C81E0000}"/>
    <cellStyle name="20% - Accent5 5 2 3 4 2 3" xfId="7885" xr:uid="{00000000-0005-0000-0000-0000C91E0000}"/>
    <cellStyle name="20% - Accent5 5 2 3 4 2 3 2" xfId="7886" xr:uid="{00000000-0005-0000-0000-0000CA1E0000}"/>
    <cellStyle name="20% - Accent5 5 2 3 4 2 4" xfId="7887" xr:uid="{00000000-0005-0000-0000-0000CB1E0000}"/>
    <cellStyle name="20% - Accent5 5 2 3 4 3" xfId="7888" xr:uid="{00000000-0005-0000-0000-0000CC1E0000}"/>
    <cellStyle name="20% - Accent5 5 2 3 4 3 2" xfId="7889" xr:uid="{00000000-0005-0000-0000-0000CD1E0000}"/>
    <cellStyle name="20% - Accent5 5 2 3 4 3 2 2" xfId="7890" xr:uid="{00000000-0005-0000-0000-0000CE1E0000}"/>
    <cellStyle name="20% - Accent5 5 2 3 4 3 3" xfId="7891" xr:uid="{00000000-0005-0000-0000-0000CF1E0000}"/>
    <cellStyle name="20% - Accent5 5 2 3 4 4" xfId="7892" xr:uid="{00000000-0005-0000-0000-0000D01E0000}"/>
    <cellStyle name="20% - Accent5 5 2 3 4 4 2" xfId="7893" xr:uid="{00000000-0005-0000-0000-0000D11E0000}"/>
    <cellStyle name="20% - Accent5 5 2 3 4 4 2 2" xfId="7894" xr:uid="{00000000-0005-0000-0000-0000D21E0000}"/>
    <cellStyle name="20% - Accent5 5 2 3 4 4 3" xfId="7895" xr:uid="{00000000-0005-0000-0000-0000D31E0000}"/>
    <cellStyle name="20% - Accent5 5 2 3 4 5" xfId="7896" xr:uid="{00000000-0005-0000-0000-0000D41E0000}"/>
    <cellStyle name="20% - Accent5 5 2 3 4 5 2" xfId="7897" xr:uid="{00000000-0005-0000-0000-0000D51E0000}"/>
    <cellStyle name="20% - Accent5 5 2 3 4 5 2 2" xfId="7898" xr:uid="{00000000-0005-0000-0000-0000D61E0000}"/>
    <cellStyle name="20% - Accent5 5 2 3 4 5 3" xfId="7899" xr:uid="{00000000-0005-0000-0000-0000D71E0000}"/>
    <cellStyle name="20% - Accent5 5 2 3 4 6" xfId="7900" xr:uid="{00000000-0005-0000-0000-0000D81E0000}"/>
    <cellStyle name="20% - Accent5 5 2 3 4 6 2" xfId="7901" xr:uid="{00000000-0005-0000-0000-0000D91E0000}"/>
    <cellStyle name="20% - Accent5 5 2 3 4 6 2 2" xfId="7902" xr:uid="{00000000-0005-0000-0000-0000DA1E0000}"/>
    <cellStyle name="20% - Accent5 5 2 3 4 6 3" xfId="7903" xr:uid="{00000000-0005-0000-0000-0000DB1E0000}"/>
    <cellStyle name="20% - Accent5 5 2 3 4 7" xfId="7904" xr:uid="{00000000-0005-0000-0000-0000DC1E0000}"/>
    <cellStyle name="20% - Accent5 5 2 3 4 7 2" xfId="7905" xr:uid="{00000000-0005-0000-0000-0000DD1E0000}"/>
    <cellStyle name="20% - Accent5 5 2 3 4 8" xfId="7906" xr:uid="{00000000-0005-0000-0000-0000DE1E0000}"/>
    <cellStyle name="20% - Accent5 5 2 3 5" xfId="7907" xr:uid="{00000000-0005-0000-0000-0000DF1E0000}"/>
    <cellStyle name="20% - Accent5 5 2 3 5 2" xfId="7908" xr:uid="{00000000-0005-0000-0000-0000E01E0000}"/>
    <cellStyle name="20% - Accent5 5 2 3 5 2 2" xfId="7909" xr:uid="{00000000-0005-0000-0000-0000E11E0000}"/>
    <cellStyle name="20% - Accent5 5 2 3 5 2 2 2" xfId="7910" xr:uid="{00000000-0005-0000-0000-0000E21E0000}"/>
    <cellStyle name="20% - Accent5 5 2 3 5 2 2 2 2" xfId="7911" xr:uid="{00000000-0005-0000-0000-0000E31E0000}"/>
    <cellStyle name="20% - Accent5 5 2 3 5 2 2 3" xfId="7912" xr:uid="{00000000-0005-0000-0000-0000E41E0000}"/>
    <cellStyle name="20% - Accent5 5 2 3 5 2 3" xfId="7913" xr:uid="{00000000-0005-0000-0000-0000E51E0000}"/>
    <cellStyle name="20% - Accent5 5 2 3 5 2 3 2" xfId="7914" xr:uid="{00000000-0005-0000-0000-0000E61E0000}"/>
    <cellStyle name="20% - Accent5 5 2 3 5 2 4" xfId="7915" xr:uid="{00000000-0005-0000-0000-0000E71E0000}"/>
    <cellStyle name="20% - Accent5 5 2 3 5 3" xfId="7916" xr:uid="{00000000-0005-0000-0000-0000E81E0000}"/>
    <cellStyle name="20% - Accent5 5 2 3 5 3 2" xfId="7917" xr:uid="{00000000-0005-0000-0000-0000E91E0000}"/>
    <cellStyle name="20% - Accent5 5 2 3 5 3 2 2" xfId="7918" xr:uid="{00000000-0005-0000-0000-0000EA1E0000}"/>
    <cellStyle name="20% - Accent5 5 2 3 5 3 3" xfId="7919" xr:uid="{00000000-0005-0000-0000-0000EB1E0000}"/>
    <cellStyle name="20% - Accent5 5 2 3 5 4" xfId="7920" xr:uid="{00000000-0005-0000-0000-0000EC1E0000}"/>
    <cellStyle name="20% - Accent5 5 2 3 5 4 2" xfId="7921" xr:uid="{00000000-0005-0000-0000-0000ED1E0000}"/>
    <cellStyle name="20% - Accent5 5 2 3 5 5" xfId="7922" xr:uid="{00000000-0005-0000-0000-0000EE1E0000}"/>
    <cellStyle name="20% - Accent5 5 2 3 6" xfId="7923" xr:uid="{00000000-0005-0000-0000-0000EF1E0000}"/>
    <cellStyle name="20% - Accent5 5 2 3 6 2" xfId="7924" xr:uid="{00000000-0005-0000-0000-0000F01E0000}"/>
    <cellStyle name="20% - Accent5 5 2 3 6 2 2" xfId="7925" xr:uid="{00000000-0005-0000-0000-0000F11E0000}"/>
    <cellStyle name="20% - Accent5 5 2 3 6 2 2 2" xfId="7926" xr:uid="{00000000-0005-0000-0000-0000F21E0000}"/>
    <cellStyle name="20% - Accent5 5 2 3 6 2 2 2 2" xfId="7927" xr:uid="{00000000-0005-0000-0000-0000F31E0000}"/>
    <cellStyle name="20% - Accent5 5 2 3 6 2 2 3" xfId="7928" xr:uid="{00000000-0005-0000-0000-0000F41E0000}"/>
    <cellStyle name="20% - Accent5 5 2 3 6 2 3" xfId="7929" xr:uid="{00000000-0005-0000-0000-0000F51E0000}"/>
    <cellStyle name="20% - Accent5 5 2 3 6 2 3 2" xfId="7930" xr:uid="{00000000-0005-0000-0000-0000F61E0000}"/>
    <cellStyle name="20% - Accent5 5 2 3 6 2 4" xfId="7931" xr:uid="{00000000-0005-0000-0000-0000F71E0000}"/>
    <cellStyle name="20% - Accent5 5 2 3 6 3" xfId="7932" xr:uid="{00000000-0005-0000-0000-0000F81E0000}"/>
    <cellStyle name="20% - Accent5 5 2 3 6 3 2" xfId="7933" xr:uid="{00000000-0005-0000-0000-0000F91E0000}"/>
    <cellStyle name="20% - Accent5 5 2 3 6 3 2 2" xfId="7934" xr:uid="{00000000-0005-0000-0000-0000FA1E0000}"/>
    <cellStyle name="20% - Accent5 5 2 3 6 3 3" xfId="7935" xr:uid="{00000000-0005-0000-0000-0000FB1E0000}"/>
    <cellStyle name="20% - Accent5 5 2 3 6 4" xfId="7936" xr:uid="{00000000-0005-0000-0000-0000FC1E0000}"/>
    <cellStyle name="20% - Accent5 5 2 3 6 4 2" xfId="7937" xr:uid="{00000000-0005-0000-0000-0000FD1E0000}"/>
    <cellStyle name="20% - Accent5 5 2 3 6 5" xfId="7938" xr:uid="{00000000-0005-0000-0000-0000FE1E0000}"/>
    <cellStyle name="20% - Accent5 5 2 3 7" xfId="7939" xr:uid="{00000000-0005-0000-0000-0000FF1E0000}"/>
    <cellStyle name="20% - Accent5 5 2 3 7 2" xfId="7940" xr:uid="{00000000-0005-0000-0000-0000001F0000}"/>
    <cellStyle name="20% - Accent5 5 2 3 7 2 2" xfId="7941" xr:uid="{00000000-0005-0000-0000-0000011F0000}"/>
    <cellStyle name="20% - Accent5 5 2 3 7 2 2 2" xfId="7942" xr:uid="{00000000-0005-0000-0000-0000021F0000}"/>
    <cellStyle name="20% - Accent5 5 2 3 7 2 3" xfId="7943" xr:uid="{00000000-0005-0000-0000-0000031F0000}"/>
    <cellStyle name="20% - Accent5 5 2 3 7 3" xfId="7944" xr:uid="{00000000-0005-0000-0000-0000041F0000}"/>
    <cellStyle name="20% - Accent5 5 2 3 7 3 2" xfId="7945" xr:uid="{00000000-0005-0000-0000-0000051F0000}"/>
    <cellStyle name="20% - Accent5 5 2 3 7 4" xfId="7946" xr:uid="{00000000-0005-0000-0000-0000061F0000}"/>
    <cellStyle name="20% - Accent5 5 2 3 8" xfId="7947" xr:uid="{00000000-0005-0000-0000-0000071F0000}"/>
    <cellStyle name="20% - Accent5 5 2 3 8 2" xfId="7948" xr:uid="{00000000-0005-0000-0000-0000081F0000}"/>
    <cellStyle name="20% - Accent5 5 2 3 8 2 2" xfId="7949" xr:uid="{00000000-0005-0000-0000-0000091F0000}"/>
    <cellStyle name="20% - Accent5 5 2 3 8 2 2 2" xfId="7950" xr:uid="{00000000-0005-0000-0000-00000A1F0000}"/>
    <cellStyle name="20% - Accent5 5 2 3 8 2 3" xfId="7951" xr:uid="{00000000-0005-0000-0000-00000B1F0000}"/>
    <cellStyle name="20% - Accent5 5 2 3 8 3" xfId="7952" xr:uid="{00000000-0005-0000-0000-00000C1F0000}"/>
    <cellStyle name="20% - Accent5 5 2 3 8 3 2" xfId="7953" xr:uid="{00000000-0005-0000-0000-00000D1F0000}"/>
    <cellStyle name="20% - Accent5 5 2 3 8 4" xfId="7954" xr:uid="{00000000-0005-0000-0000-00000E1F0000}"/>
    <cellStyle name="20% - Accent5 5 2 3 9" xfId="7955" xr:uid="{00000000-0005-0000-0000-00000F1F0000}"/>
    <cellStyle name="20% - Accent5 5 2 3 9 2" xfId="7956" xr:uid="{00000000-0005-0000-0000-0000101F0000}"/>
    <cellStyle name="20% - Accent5 5 2 3 9 2 2" xfId="7957" xr:uid="{00000000-0005-0000-0000-0000111F0000}"/>
    <cellStyle name="20% - Accent5 5 2 3 9 3" xfId="7958" xr:uid="{00000000-0005-0000-0000-0000121F0000}"/>
    <cellStyle name="20% - Accent5 5 2 4" xfId="7959" xr:uid="{00000000-0005-0000-0000-0000131F0000}"/>
    <cellStyle name="20% - Accent5 5 2 4 10" xfId="7960" xr:uid="{00000000-0005-0000-0000-0000141F0000}"/>
    <cellStyle name="20% - Accent5 5 2 4 10 2" xfId="7961" xr:uid="{00000000-0005-0000-0000-0000151F0000}"/>
    <cellStyle name="20% - Accent5 5 2 4 10 2 2" xfId="7962" xr:uid="{00000000-0005-0000-0000-0000161F0000}"/>
    <cellStyle name="20% - Accent5 5 2 4 10 3" xfId="7963" xr:uid="{00000000-0005-0000-0000-0000171F0000}"/>
    <cellStyle name="20% - Accent5 5 2 4 11" xfId="7964" xr:uid="{00000000-0005-0000-0000-0000181F0000}"/>
    <cellStyle name="20% - Accent5 5 2 4 11 2" xfId="7965" xr:uid="{00000000-0005-0000-0000-0000191F0000}"/>
    <cellStyle name="20% - Accent5 5 2 4 11 2 2" xfId="7966" xr:uid="{00000000-0005-0000-0000-00001A1F0000}"/>
    <cellStyle name="20% - Accent5 5 2 4 11 3" xfId="7967" xr:uid="{00000000-0005-0000-0000-00001B1F0000}"/>
    <cellStyle name="20% - Accent5 5 2 4 12" xfId="7968" xr:uid="{00000000-0005-0000-0000-00001C1F0000}"/>
    <cellStyle name="20% - Accent5 5 2 4 12 2" xfId="7969" xr:uid="{00000000-0005-0000-0000-00001D1F0000}"/>
    <cellStyle name="20% - Accent5 5 2 4 12 2 2" xfId="7970" xr:uid="{00000000-0005-0000-0000-00001E1F0000}"/>
    <cellStyle name="20% - Accent5 5 2 4 12 3" xfId="7971" xr:uid="{00000000-0005-0000-0000-00001F1F0000}"/>
    <cellStyle name="20% - Accent5 5 2 4 13" xfId="7972" xr:uid="{00000000-0005-0000-0000-0000201F0000}"/>
    <cellStyle name="20% - Accent5 5 2 4 13 2" xfId="7973" xr:uid="{00000000-0005-0000-0000-0000211F0000}"/>
    <cellStyle name="20% - Accent5 5 2 4 14" xfId="7974" xr:uid="{00000000-0005-0000-0000-0000221F0000}"/>
    <cellStyle name="20% - Accent5 5 2 4 2" xfId="7975" xr:uid="{00000000-0005-0000-0000-0000231F0000}"/>
    <cellStyle name="20% - Accent5 5 2 4 2 2" xfId="7976" xr:uid="{00000000-0005-0000-0000-0000241F0000}"/>
    <cellStyle name="20% - Accent5 5 2 4 2 2 2" xfId="7977" xr:uid="{00000000-0005-0000-0000-0000251F0000}"/>
    <cellStyle name="20% - Accent5 5 2 4 2 2 2 2" xfId="7978" xr:uid="{00000000-0005-0000-0000-0000261F0000}"/>
    <cellStyle name="20% - Accent5 5 2 4 2 2 2 2 2" xfId="7979" xr:uid="{00000000-0005-0000-0000-0000271F0000}"/>
    <cellStyle name="20% - Accent5 5 2 4 2 2 2 3" xfId="7980" xr:uid="{00000000-0005-0000-0000-0000281F0000}"/>
    <cellStyle name="20% - Accent5 5 2 4 2 2 3" xfId="7981" xr:uid="{00000000-0005-0000-0000-0000291F0000}"/>
    <cellStyle name="20% - Accent5 5 2 4 2 2 3 2" xfId="7982" xr:uid="{00000000-0005-0000-0000-00002A1F0000}"/>
    <cellStyle name="20% - Accent5 5 2 4 2 2 4" xfId="7983" xr:uid="{00000000-0005-0000-0000-00002B1F0000}"/>
    <cellStyle name="20% - Accent5 5 2 4 2 3" xfId="7984" xr:uid="{00000000-0005-0000-0000-00002C1F0000}"/>
    <cellStyle name="20% - Accent5 5 2 4 2 3 2" xfId="7985" xr:uid="{00000000-0005-0000-0000-00002D1F0000}"/>
    <cellStyle name="20% - Accent5 5 2 4 2 3 2 2" xfId="7986" xr:uid="{00000000-0005-0000-0000-00002E1F0000}"/>
    <cellStyle name="20% - Accent5 5 2 4 2 3 3" xfId="7987" xr:uid="{00000000-0005-0000-0000-00002F1F0000}"/>
    <cellStyle name="20% - Accent5 5 2 4 2 4" xfId="7988" xr:uid="{00000000-0005-0000-0000-0000301F0000}"/>
    <cellStyle name="20% - Accent5 5 2 4 2 4 2" xfId="7989" xr:uid="{00000000-0005-0000-0000-0000311F0000}"/>
    <cellStyle name="20% - Accent5 5 2 4 2 4 2 2" xfId="7990" xr:uid="{00000000-0005-0000-0000-0000321F0000}"/>
    <cellStyle name="20% - Accent5 5 2 4 2 4 3" xfId="7991" xr:uid="{00000000-0005-0000-0000-0000331F0000}"/>
    <cellStyle name="20% - Accent5 5 2 4 2 5" xfId="7992" xr:uid="{00000000-0005-0000-0000-0000341F0000}"/>
    <cellStyle name="20% - Accent5 5 2 4 2 5 2" xfId="7993" xr:uid="{00000000-0005-0000-0000-0000351F0000}"/>
    <cellStyle name="20% - Accent5 5 2 4 2 5 2 2" xfId="7994" xr:uid="{00000000-0005-0000-0000-0000361F0000}"/>
    <cellStyle name="20% - Accent5 5 2 4 2 5 3" xfId="7995" xr:uid="{00000000-0005-0000-0000-0000371F0000}"/>
    <cellStyle name="20% - Accent5 5 2 4 2 6" xfId="7996" xr:uid="{00000000-0005-0000-0000-0000381F0000}"/>
    <cellStyle name="20% - Accent5 5 2 4 2 6 2" xfId="7997" xr:uid="{00000000-0005-0000-0000-0000391F0000}"/>
    <cellStyle name="20% - Accent5 5 2 4 2 6 2 2" xfId="7998" xr:uid="{00000000-0005-0000-0000-00003A1F0000}"/>
    <cellStyle name="20% - Accent5 5 2 4 2 6 3" xfId="7999" xr:uid="{00000000-0005-0000-0000-00003B1F0000}"/>
    <cellStyle name="20% - Accent5 5 2 4 2 7" xfId="8000" xr:uid="{00000000-0005-0000-0000-00003C1F0000}"/>
    <cellStyle name="20% - Accent5 5 2 4 2 7 2" xfId="8001" xr:uid="{00000000-0005-0000-0000-00003D1F0000}"/>
    <cellStyle name="20% - Accent5 5 2 4 2 8" xfId="8002" xr:uid="{00000000-0005-0000-0000-00003E1F0000}"/>
    <cellStyle name="20% - Accent5 5 2 4 3" xfId="8003" xr:uid="{00000000-0005-0000-0000-00003F1F0000}"/>
    <cellStyle name="20% - Accent5 5 2 4 3 2" xfId="8004" xr:uid="{00000000-0005-0000-0000-0000401F0000}"/>
    <cellStyle name="20% - Accent5 5 2 4 3 2 2" xfId="8005" xr:uid="{00000000-0005-0000-0000-0000411F0000}"/>
    <cellStyle name="20% - Accent5 5 2 4 3 2 2 2" xfId="8006" xr:uid="{00000000-0005-0000-0000-0000421F0000}"/>
    <cellStyle name="20% - Accent5 5 2 4 3 2 2 2 2" xfId="8007" xr:uid="{00000000-0005-0000-0000-0000431F0000}"/>
    <cellStyle name="20% - Accent5 5 2 4 3 2 2 3" xfId="8008" xr:uid="{00000000-0005-0000-0000-0000441F0000}"/>
    <cellStyle name="20% - Accent5 5 2 4 3 2 3" xfId="8009" xr:uid="{00000000-0005-0000-0000-0000451F0000}"/>
    <cellStyle name="20% - Accent5 5 2 4 3 2 3 2" xfId="8010" xr:uid="{00000000-0005-0000-0000-0000461F0000}"/>
    <cellStyle name="20% - Accent5 5 2 4 3 2 4" xfId="8011" xr:uid="{00000000-0005-0000-0000-0000471F0000}"/>
    <cellStyle name="20% - Accent5 5 2 4 3 3" xfId="8012" xr:uid="{00000000-0005-0000-0000-0000481F0000}"/>
    <cellStyle name="20% - Accent5 5 2 4 3 3 2" xfId="8013" xr:uid="{00000000-0005-0000-0000-0000491F0000}"/>
    <cellStyle name="20% - Accent5 5 2 4 3 3 2 2" xfId="8014" xr:uid="{00000000-0005-0000-0000-00004A1F0000}"/>
    <cellStyle name="20% - Accent5 5 2 4 3 3 3" xfId="8015" xr:uid="{00000000-0005-0000-0000-00004B1F0000}"/>
    <cellStyle name="20% - Accent5 5 2 4 3 4" xfId="8016" xr:uid="{00000000-0005-0000-0000-00004C1F0000}"/>
    <cellStyle name="20% - Accent5 5 2 4 3 4 2" xfId="8017" xr:uid="{00000000-0005-0000-0000-00004D1F0000}"/>
    <cellStyle name="20% - Accent5 5 2 4 3 4 2 2" xfId="8018" xr:uid="{00000000-0005-0000-0000-00004E1F0000}"/>
    <cellStyle name="20% - Accent5 5 2 4 3 4 3" xfId="8019" xr:uid="{00000000-0005-0000-0000-00004F1F0000}"/>
    <cellStyle name="20% - Accent5 5 2 4 3 5" xfId="8020" xr:uid="{00000000-0005-0000-0000-0000501F0000}"/>
    <cellStyle name="20% - Accent5 5 2 4 3 5 2" xfId="8021" xr:uid="{00000000-0005-0000-0000-0000511F0000}"/>
    <cellStyle name="20% - Accent5 5 2 4 3 5 2 2" xfId="8022" xr:uid="{00000000-0005-0000-0000-0000521F0000}"/>
    <cellStyle name="20% - Accent5 5 2 4 3 5 3" xfId="8023" xr:uid="{00000000-0005-0000-0000-0000531F0000}"/>
    <cellStyle name="20% - Accent5 5 2 4 3 6" xfId="8024" xr:uid="{00000000-0005-0000-0000-0000541F0000}"/>
    <cellStyle name="20% - Accent5 5 2 4 3 6 2" xfId="8025" xr:uid="{00000000-0005-0000-0000-0000551F0000}"/>
    <cellStyle name="20% - Accent5 5 2 4 3 6 2 2" xfId="8026" xr:uid="{00000000-0005-0000-0000-0000561F0000}"/>
    <cellStyle name="20% - Accent5 5 2 4 3 6 3" xfId="8027" xr:uid="{00000000-0005-0000-0000-0000571F0000}"/>
    <cellStyle name="20% - Accent5 5 2 4 3 7" xfId="8028" xr:uid="{00000000-0005-0000-0000-0000581F0000}"/>
    <cellStyle name="20% - Accent5 5 2 4 3 7 2" xfId="8029" xr:uid="{00000000-0005-0000-0000-0000591F0000}"/>
    <cellStyle name="20% - Accent5 5 2 4 3 8" xfId="8030" xr:uid="{00000000-0005-0000-0000-00005A1F0000}"/>
    <cellStyle name="20% - Accent5 5 2 4 4" xfId="8031" xr:uid="{00000000-0005-0000-0000-00005B1F0000}"/>
    <cellStyle name="20% - Accent5 5 2 4 4 2" xfId="8032" xr:uid="{00000000-0005-0000-0000-00005C1F0000}"/>
    <cellStyle name="20% - Accent5 5 2 4 4 2 2" xfId="8033" xr:uid="{00000000-0005-0000-0000-00005D1F0000}"/>
    <cellStyle name="20% - Accent5 5 2 4 4 2 2 2" xfId="8034" xr:uid="{00000000-0005-0000-0000-00005E1F0000}"/>
    <cellStyle name="20% - Accent5 5 2 4 4 2 2 2 2" xfId="8035" xr:uid="{00000000-0005-0000-0000-00005F1F0000}"/>
    <cellStyle name="20% - Accent5 5 2 4 4 2 2 3" xfId="8036" xr:uid="{00000000-0005-0000-0000-0000601F0000}"/>
    <cellStyle name="20% - Accent5 5 2 4 4 2 3" xfId="8037" xr:uid="{00000000-0005-0000-0000-0000611F0000}"/>
    <cellStyle name="20% - Accent5 5 2 4 4 2 3 2" xfId="8038" xr:uid="{00000000-0005-0000-0000-0000621F0000}"/>
    <cellStyle name="20% - Accent5 5 2 4 4 2 4" xfId="8039" xr:uid="{00000000-0005-0000-0000-0000631F0000}"/>
    <cellStyle name="20% - Accent5 5 2 4 4 3" xfId="8040" xr:uid="{00000000-0005-0000-0000-0000641F0000}"/>
    <cellStyle name="20% - Accent5 5 2 4 4 3 2" xfId="8041" xr:uid="{00000000-0005-0000-0000-0000651F0000}"/>
    <cellStyle name="20% - Accent5 5 2 4 4 3 2 2" xfId="8042" xr:uid="{00000000-0005-0000-0000-0000661F0000}"/>
    <cellStyle name="20% - Accent5 5 2 4 4 3 3" xfId="8043" xr:uid="{00000000-0005-0000-0000-0000671F0000}"/>
    <cellStyle name="20% - Accent5 5 2 4 4 4" xfId="8044" xr:uid="{00000000-0005-0000-0000-0000681F0000}"/>
    <cellStyle name="20% - Accent5 5 2 4 4 4 2" xfId="8045" xr:uid="{00000000-0005-0000-0000-0000691F0000}"/>
    <cellStyle name="20% - Accent5 5 2 4 4 4 2 2" xfId="8046" xr:uid="{00000000-0005-0000-0000-00006A1F0000}"/>
    <cellStyle name="20% - Accent5 5 2 4 4 4 3" xfId="8047" xr:uid="{00000000-0005-0000-0000-00006B1F0000}"/>
    <cellStyle name="20% - Accent5 5 2 4 4 5" xfId="8048" xr:uid="{00000000-0005-0000-0000-00006C1F0000}"/>
    <cellStyle name="20% - Accent5 5 2 4 4 5 2" xfId="8049" xr:uid="{00000000-0005-0000-0000-00006D1F0000}"/>
    <cellStyle name="20% - Accent5 5 2 4 4 5 2 2" xfId="8050" xr:uid="{00000000-0005-0000-0000-00006E1F0000}"/>
    <cellStyle name="20% - Accent5 5 2 4 4 5 3" xfId="8051" xr:uid="{00000000-0005-0000-0000-00006F1F0000}"/>
    <cellStyle name="20% - Accent5 5 2 4 4 6" xfId="8052" xr:uid="{00000000-0005-0000-0000-0000701F0000}"/>
    <cellStyle name="20% - Accent5 5 2 4 4 6 2" xfId="8053" xr:uid="{00000000-0005-0000-0000-0000711F0000}"/>
    <cellStyle name="20% - Accent5 5 2 4 4 6 2 2" xfId="8054" xr:uid="{00000000-0005-0000-0000-0000721F0000}"/>
    <cellStyle name="20% - Accent5 5 2 4 4 6 3" xfId="8055" xr:uid="{00000000-0005-0000-0000-0000731F0000}"/>
    <cellStyle name="20% - Accent5 5 2 4 4 7" xfId="8056" xr:uid="{00000000-0005-0000-0000-0000741F0000}"/>
    <cellStyle name="20% - Accent5 5 2 4 4 7 2" xfId="8057" xr:uid="{00000000-0005-0000-0000-0000751F0000}"/>
    <cellStyle name="20% - Accent5 5 2 4 4 8" xfId="8058" xr:uid="{00000000-0005-0000-0000-0000761F0000}"/>
    <cellStyle name="20% - Accent5 5 2 4 5" xfId="8059" xr:uid="{00000000-0005-0000-0000-0000771F0000}"/>
    <cellStyle name="20% - Accent5 5 2 4 5 2" xfId="8060" xr:uid="{00000000-0005-0000-0000-0000781F0000}"/>
    <cellStyle name="20% - Accent5 5 2 4 5 2 2" xfId="8061" xr:uid="{00000000-0005-0000-0000-0000791F0000}"/>
    <cellStyle name="20% - Accent5 5 2 4 5 2 2 2" xfId="8062" xr:uid="{00000000-0005-0000-0000-00007A1F0000}"/>
    <cellStyle name="20% - Accent5 5 2 4 5 2 2 2 2" xfId="8063" xr:uid="{00000000-0005-0000-0000-00007B1F0000}"/>
    <cellStyle name="20% - Accent5 5 2 4 5 2 2 3" xfId="8064" xr:uid="{00000000-0005-0000-0000-00007C1F0000}"/>
    <cellStyle name="20% - Accent5 5 2 4 5 2 3" xfId="8065" xr:uid="{00000000-0005-0000-0000-00007D1F0000}"/>
    <cellStyle name="20% - Accent5 5 2 4 5 2 3 2" xfId="8066" xr:uid="{00000000-0005-0000-0000-00007E1F0000}"/>
    <cellStyle name="20% - Accent5 5 2 4 5 2 4" xfId="8067" xr:uid="{00000000-0005-0000-0000-00007F1F0000}"/>
    <cellStyle name="20% - Accent5 5 2 4 5 3" xfId="8068" xr:uid="{00000000-0005-0000-0000-0000801F0000}"/>
    <cellStyle name="20% - Accent5 5 2 4 5 3 2" xfId="8069" xr:uid="{00000000-0005-0000-0000-0000811F0000}"/>
    <cellStyle name="20% - Accent5 5 2 4 5 3 2 2" xfId="8070" xr:uid="{00000000-0005-0000-0000-0000821F0000}"/>
    <cellStyle name="20% - Accent5 5 2 4 5 3 3" xfId="8071" xr:uid="{00000000-0005-0000-0000-0000831F0000}"/>
    <cellStyle name="20% - Accent5 5 2 4 5 4" xfId="8072" xr:uid="{00000000-0005-0000-0000-0000841F0000}"/>
    <cellStyle name="20% - Accent5 5 2 4 5 4 2" xfId="8073" xr:uid="{00000000-0005-0000-0000-0000851F0000}"/>
    <cellStyle name="20% - Accent5 5 2 4 5 5" xfId="8074" xr:uid="{00000000-0005-0000-0000-0000861F0000}"/>
    <cellStyle name="20% - Accent5 5 2 4 6" xfId="8075" xr:uid="{00000000-0005-0000-0000-0000871F0000}"/>
    <cellStyle name="20% - Accent5 5 2 4 6 2" xfId="8076" xr:uid="{00000000-0005-0000-0000-0000881F0000}"/>
    <cellStyle name="20% - Accent5 5 2 4 6 2 2" xfId="8077" xr:uid="{00000000-0005-0000-0000-0000891F0000}"/>
    <cellStyle name="20% - Accent5 5 2 4 6 2 2 2" xfId="8078" xr:uid="{00000000-0005-0000-0000-00008A1F0000}"/>
    <cellStyle name="20% - Accent5 5 2 4 6 2 2 2 2" xfId="8079" xr:uid="{00000000-0005-0000-0000-00008B1F0000}"/>
    <cellStyle name="20% - Accent5 5 2 4 6 2 2 3" xfId="8080" xr:uid="{00000000-0005-0000-0000-00008C1F0000}"/>
    <cellStyle name="20% - Accent5 5 2 4 6 2 3" xfId="8081" xr:uid="{00000000-0005-0000-0000-00008D1F0000}"/>
    <cellStyle name="20% - Accent5 5 2 4 6 2 3 2" xfId="8082" xr:uid="{00000000-0005-0000-0000-00008E1F0000}"/>
    <cellStyle name="20% - Accent5 5 2 4 6 2 4" xfId="8083" xr:uid="{00000000-0005-0000-0000-00008F1F0000}"/>
    <cellStyle name="20% - Accent5 5 2 4 6 3" xfId="8084" xr:uid="{00000000-0005-0000-0000-0000901F0000}"/>
    <cellStyle name="20% - Accent5 5 2 4 6 3 2" xfId="8085" xr:uid="{00000000-0005-0000-0000-0000911F0000}"/>
    <cellStyle name="20% - Accent5 5 2 4 6 3 2 2" xfId="8086" xr:uid="{00000000-0005-0000-0000-0000921F0000}"/>
    <cellStyle name="20% - Accent5 5 2 4 6 3 3" xfId="8087" xr:uid="{00000000-0005-0000-0000-0000931F0000}"/>
    <cellStyle name="20% - Accent5 5 2 4 6 4" xfId="8088" xr:uid="{00000000-0005-0000-0000-0000941F0000}"/>
    <cellStyle name="20% - Accent5 5 2 4 6 4 2" xfId="8089" xr:uid="{00000000-0005-0000-0000-0000951F0000}"/>
    <cellStyle name="20% - Accent5 5 2 4 6 5" xfId="8090" xr:uid="{00000000-0005-0000-0000-0000961F0000}"/>
    <cellStyle name="20% - Accent5 5 2 4 7" xfId="8091" xr:uid="{00000000-0005-0000-0000-0000971F0000}"/>
    <cellStyle name="20% - Accent5 5 2 4 7 2" xfId="8092" xr:uid="{00000000-0005-0000-0000-0000981F0000}"/>
    <cellStyle name="20% - Accent5 5 2 4 7 2 2" xfId="8093" xr:uid="{00000000-0005-0000-0000-0000991F0000}"/>
    <cellStyle name="20% - Accent5 5 2 4 7 2 2 2" xfId="8094" xr:uid="{00000000-0005-0000-0000-00009A1F0000}"/>
    <cellStyle name="20% - Accent5 5 2 4 7 2 3" xfId="8095" xr:uid="{00000000-0005-0000-0000-00009B1F0000}"/>
    <cellStyle name="20% - Accent5 5 2 4 7 3" xfId="8096" xr:uid="{00000000-0005-0000-0000-00009C1F0000}"/>
    <cellStyle name="20% - Accent5 5 2 4 7 3 2" xfId="8097" xr:uid="{00000000-0005-0000-0000-00009D1F0000}"/>
    <cellStyle name="20% - Accent5 5 2 4 7 4" xfId="8098" xr:uid="{00000000-0005-0000-0000-00009E1F0000}"/>
    <cellStyle name="20% - Accent5 5 2 4 8" xfId="8099" xr:uid="{00000000-0005-0000-0000-00009F1F0000}"/>
    <cellStyle name="20% - Accent5 5 2 4 8 2" xfId="8100" xr:uid="{00000000-0005-0000-0000-0000A01F0000}"/>
    <cellStyle name="20% - Accent5 5 2 4 8 2 2" xfId="8101" xr:uid="{00000000-0005-0000-0000-0000A11F0000}"/>
    <cellStyle name="20% - Accent5 5 2 4 8 2 2 2" xfId="8102" xr:uid="{00000000-0005-0000-0000-0000A21F0000}"/>
    <cellStyle name="20% - Accent5 5 2 4 8 2 3" xfId="8103" xr:uid="{00000000-0005-0000-0000-0000A31F0000}"/>
    <cellStyle name="20% - Accent5 5 2 4 8 3" xfId="8104" xr:uid="{00000000-0005-0000-0000-0000A41F0000}"/>
    <cellStyle name="20% - Accent5 5 2 4 8 3 2" xfId="8105" xr:uid="{00000000-0005-0000-0000-0000A51F0000}"/>
    <cellStyle name="20% - Accent5 5 2 4 8 4" xfId="8106" xr:uid="{00000000-0005-0000-0000-0000A61F0000}"/>
    <cellStyle name="20% - Accent5 5 2 4 9" xfId="8107" xr:uid="{00000000-0005-0000-0000-0000A71F0000}"/>
    <cellStyle name="20% - Accent5 5 2 4 9 2" xfId="8108" xr:uid="{00000000-0005-0000-0000-0000A81F0000}"/>
    <cellStyle name="20% - Accent5 5 2 4 9 2 2" xfId="8109" xr:uid="{00000000-0005-0000-0000-0000A91F0000}"/>
    <cellStyle name="20% - Accent5 5 2 4 9 3" xfId="8110" xr:uid="{00000000-0005-0000-0000-0000AA1F0000}"/>
    <cellStyle name="20% - Accent5 5 2 5" xfId="8111" xr:uid="{00000000-0005-0000-0000-0000AB1F0000}"/>
    <cellStyle name="20% - Accent5 5 2 5 10" xfId="8112" xr:uid="{00000000-0005-0000-0000-0000AC1F0000}"/>
    <cellStyle name="20% - Accent5 5 2 5 10 2" xfId="8113" xr:uid="{00000000-0005-0000-0000-0000AD1F0000}"/>
    <cellStyle name="20% - Accent5 5 2 5 10 2 2" xfId="8114" xr:uid="{00000000-0005-0000-0000-0000AE1F0000}"/>
    <cellStyle name="20% - Accent5 5 2 5 10 3" xfId="8115" xr:uid="{00000000-0005-0000-0000-0000AF1F0000}"/>
    <cellStyle name="20% - Accent5 5 2 5 11" xfId="8116" xr:uid="{00000000-0005-0000-0000-0000B01F0000}"/>
    <cellStyle name="20% - Accent5 5 2 5 11 2" xfId="8117" xr:uid="{00000000-0005-0000-0000-0000B11F0000}"/>
    <cellStyle name="20% - Accent5 5 2 5 11 2 2" xfId="8118" xr:uid="{00000000-0005-0000-0000-0000B21F0000}"/>
    <cellStyle name="20% - Accent5 5 2 5 11 3" xfId="8119" xr:uid="{00000000-0005-0000-0000-0000B31F0000}"/>
    <cellStyle name="20% - Accent5 5 2 5 12" xfId="8120" xr:uid="{00000000-0005-0000-0000-0000B41F0000}"/>
    <cellStyle name="20% - Accent5 5 2 5 12 2" xfId="8121" xr:uid="{00000000-0005-0000-0000-0000B51F0000}"/>
    <cellStyle name="20% - Accent5 5 2 5 12 2 2" xfId="8122" xr:uid="{00000000-0005-0000-0000-0000B61F0000}"/>
    <cellStyle name="20% - Accent5 5 2 5 12 3" xfId="8123" xr:uid="{00000000-0005-0000-0000-0000B71F0000}"/>
    <cellStyle name="20% - Accent5 5 2 5 13" xfId="8124" xr:uid="{00000000-0005-0000-0000-0000B81F0000}"/>
    <cellStyle name="20% - Accent5 5 2 5 13 2" xfId="8125" xr:uid="{00000000-0005-0000-0000-0000B91F0000}"/>
    <cellStyle name="20% - Accent5 5 2 5 14" xfId="8126" xr:uid="{00000000-0005-0000-0000-0000BA1F0000}"/>
    <cellStyle name="20% - Accent5 5 2 5 2" xfId="8127" xr:uid="{00000000-0005-0000-0000-0000BB1F0000}"/>
    <cellStyle name="20% - Accent5 5 2 5 2 2" xfId="8128" xr:uid="{00000000-0005-0000-0000-0000BC1F0000}"/>
    <cellStyle name="20% - Accent5 5 2 5 2 2 2" xfId="8129" xr:uid="{00000000-0005-0000-0000-0000BD1F0000}"/>
    <cellStyle name="20% - Accent5 5 2 5 2 2 2 2" xfId="8130" xr:uid="{00000000-0005-0000-0000-0000BE1F0000}"/>
    <cellStyle name="20% - Accent5 5 2 5 2 2 2 2 2" xfId="8131" xr:uid="{00000000-0005-0000-0000-0000BF1F0000}"/>
    <cellStyle name="20% - Accent5 5 2 5 2 2 2 3" xfId="8132" xr:uid="{00000000-0005-0000-0000-0000C01F0000}"/>
    <cellStyle name="20% - Accent5 5 2 5 2 2 3" xfId="8133" xr:uid="{00000000-0005-0000-0000-0000C11F0000}"/>
    <cellStyle name="20% - Accent5 5 2 5 2 2 3 2" xfId="8134" xr:uid="{00000000-0005-0000-0000-0000C21F0000}"/>
    <cellStyle name="20% - Accent5 5 2 5 2 2 4" xfId="8135" xr:uid="{00000000-0005-0000-0000-0000C31F0000}"/>
    <cellStyle name="20% - Accent5 5 2 5 2 3" xfId="8136" xr:uid="{00000000-0005-0000-0000-0000C41F0000}"/>
    <cellStyle name="20% - Accent5 5 2 5 2 3 2" xfId="8137" xr:uid="{00000000-0005-0000-0000-0000C51F0000}"/>
    <cellStyle name="20% - Accent5 5 2 5 2 3 2 2" xfId="8138" xr:uid="{00000000-0005-0000-0000-0000C61F0000}"/>
    <cellStyle name="20% - Accent5 5 2 5 2 3 3" xfId="8139" xr:uid="{00000000-0005-0000-0000-0000C71F0000}"/>
    <cellStyle name="20% - Accent5 5 2 5 2 4" xfId="8140" xr:uid="{00000000-0005-0000-0000-0000C81F0000}"/>
    <cellStyle name="20% - Accent5 5 2 5 2 4 2" xfId="8141" xr:uid="{00000000-0005-0000-0000-0000C91F0000}"/>
    <cellStyle name="20% - Accent5 5 2 5 2 4 2 2" xfId="8142" xr:uid="{00000000-0005-0000-0000-0000CA1F0000}"/>
    <cellStyle name="20% - Accent5 5 2 5 2 4 3" xfId="8143" xr:uid="{00000000-0005-0000-0000-0000CB1F0000}"/>
    <cellStyle name="20% - Accent5 5 2 5 2 5" xfId="8144" xr:uid="{00000000-0005-0000-0000-0000CC1F0000}"/>
    <cellStyle name="20% - Accent5 5 2 5 2 5 2" xfId="8145" xr:uid="{00000000-0005-0000-0000-0000CD1F0000}"/>
    <cellStyle name="20% - Accent5 5 2 5 2 5 2 2" xfId="8146" xr:uid="{00000000-0005-0000-0000-0000CE1F0000}"/>
    <cellStyle name="20% - Accent5 5 2 5 2 5 3" xfId="8147" xr:uid="{00000000-0005-0000-0000-0000CF1F0000}"/>
    <cellStyle name="20% - Accent5 5 2 5 2 6" xfId="8148" xr:uid="{00000000-0005-0000-0000-0000D01F0000}"/>
    <cellStyle name="20% - Accent5 5 2 5 2 6 2" xfId="8149" xr:uid="{00000000-0005-0000-0000-0000D11F0000}"/>
    <cellStyle name="20% - Accent5 5 2 5 2 6 2 2" xfId="8150" xr:uid="{00000000-0005-0000-0000-0000D21F0000}"/>
    <cellStyle name="20% - Accent5 5 2 5 2 6 3" xfId="8151" xr:uid="{00000000-0005-0000-0000-0000D31F0000}"/>
    <cellStyle name="20% - Accent5 5 2 5 2 7" xfId="8152" xr:uid="{00000000-0005-0000-0000-0000D41F0000}"/>
    <cellStyle name="20% - Accent5 5 2 5 2 7 2" xfId="8153" xr:uid="{00000000-0005-0000-0000-0000D51F0000}"/>
    <cellStyle name="20% - Accent5 5 2 5 2 8" xfId="8154" xr:uid="{00000000-0005-0000-0000-0000D61F0000}"/>
    <cellStyle name="20% - Accent5 5 2 5 3" xfId="8155" xr:uid="{00000000-0005-0000-0000-0000D71F0000}"/>
    <cellStyle name="20% - Accent5 5 2 5 3 2" xfId="8156" xr:uid="{00000000-0005-0000-0000-0000D81F0000}"/>
    <cellStyle name="20% - Accent5 5 2 5 3 2 2" xfId="8157" xr:uid="{00000000-0005-0000-0000-0000D91F0000}"/>
    <cellStyle name="20% - Accent5 5 2 5 3 2 2 2" xfId="8158" xr:uid="{00000000-0005-0000-0000-0000DA1F0000}"/>
    <cellStyle name="20% - Accent5 5 2 5 3 2 2 2 2" xfId="8159" xr:uid="{00000000-0005-0000-0000-0000DB1F0000}"/>
    <cellStyle name="20% - Accent5 5 2 5 3 2 2 3" xfId="8160" xr:uid="{00000000-0005-0000-0000-0000DC1F0000}"/>
    <cellStyle name="20% - Accent5 5 2 5 3 2 3" xfId="8161" xr:uid="{00000000-0005-0000-0000-0000DD1F0000}"/>
    <cellStyle name="20% - Accent5 5 2 5 3 2 3 2" xfId="8162" xr:uid="{00000000-0005-0000-0000-0000DE1F0000}"/>
    <cellStyle name="20% - Accent5 5 2 5 3 2 4" xfId="8163" xr:uid="{00000000-0005-0000-0000-0000DF1F0000}"/>
    <cellStyle name="20% - Accent5 5 2 5 3 3" xfId="8164" xr:uid="{00000000-0005-0000-0000-0000E01F0000}"/>
    <cellStyle name="20% - Accent5 5 2 5 3 3 2" xfId="8165" xr:uid="{00000000-0005-0000-0000-0000E11F0000}"/>
    <cellStyle name="20% - Accent5 5 2 5 3 3 2 2" xfId="8166" xr:uid="{00000000-0005-0000-0000-0000E21F0000}"/>
    <cellStyle name="20% - Accent5 5 2 5 3 3 3" xfId="8167" xr:uid="{00000000-0005-0000-0000-0000E31F0000}"/>
    <cellStyle name="20% - Accent5 5 2 5 3 4" xfId="8168" xr:uid="{00000000-0005-0000-0000-0000E41F0000}"/>
    <cellStyle name="20% - Accent5 5 2 5 3 4 2" xfId="8169" xr:uid="{00000000-0005-0000-0000-0000E51F0000}"/>
    <cellStyle name="20% - Accent5 5 2 5 3 4 2 2" xfId="8170" xr:uid="{00000000-0005-0000-0000-0000E61F0000}"/>
    <cellStyle name="20% - Accent5 5 2 5 3 4 3" xfId="8171" xr:uid="{00000000-0005-0000-0000-0000E71F0000}"/>
    <cellStyle name="20% - Accent5 5 2 5 3 5" xfId="8172" xr:uid="{00000000-0005-0000-0000-0000E81F0000}"/>
    <cellStyle name="20% - Accent5 5 2 5 3 5 2" xfId="8173" xr:uid="{00000000-0005-0000-0000-0000E91F0000}"/>
    <cellStyle name="20% - Accent5 5 2 5 3 5 2 2" xfId="8174" xr:uid="{00000000-0005-0000-0000-0000EA1F0000}"/>
    <cellStyle name="20% - Accent5 5 2 5 3 5 3" xfId="8175" xr:uid="{00000000-0005-0000-0000-0000EB1F0000}"/>
    <cellStyle name="20% - Accent5 5 2 5 3 6" xfId="8176" xr:uid="{00000000-0005-0000-0000-0000EC1F0000}"/>
    <cellStyle name="20% - Accent5 5 2 5 3 6 2" xfId="8177" xr:uid="{00000000-0005-0000-0000-0000ED1F0000}"/>
    <cellStyle name="20% - Accent5 5 2 5 3 6 2 2" xfId="8178" xr:uid="{00000000-0005-0000-0000-0000EE1F0000}"/>
    <cellStyle name="20% - Accent5 5 2 5 3 6 3" xfId="8179" xr:uid="{00000000-0005-0000-0000-0000EF1F0000}"/>
    <cellStyle name="20% - Accent5 5 2 5 3 7" xfId="8180" xr:uid="{00000000-0005-0000-0000-0000F01F0000}"/>
    <cellStyle name="20% - Accent5 5 2 5 3 7 2" xfId="8181" xr:uid="{00000000-0005-0000-0000-0000F11F0000}"/>
    <cellStyle name="20% - Accent5 5 2 5 3 8" xfId="8182" xr:uid="{00000000-0005-0000-0000-0000F21F0000}"/>
    <cellStyle name="20% - Accent5 5 2 5 4" xfId="8183" xr:uid="{00000000-0005-0000-0000-0000F31F0000}"/>
    <cellStyle name="20% - Accent5 5 2 5 4 2" xfId="8184" xr:uid="{00000000-0005-0000-0000-0000F41F0000}"/>
    <cellStyle name="20% - Accent5 5 2 5 4 2 2" xfId="8185" xr:uid="{00000000-0005-0000-0000-0000F51F0000}"/>
    <cellStyle name="20% - Accent5 5 2 5 4 2 2 2" xfId="8186" xr:uid="{00000000-0005-0000-0000-0000F61F0000}"/>
    <cellStyle name="20% - Accent5 5 2 5 4 2 2 2 2" xfId="8187" xr:uid="{00000000-0005-0000-0000-0000F71F0000}"/>
    <cellStyle name="20% - Accent5 5 2 5 4 2 2 3" xfId="8188" xr:uid="{00000000-0005-0000-0000-0000F81F0000}"/>
    <cellStyle name="20% - Accent5 5 2 5 4 2 3" xfId="8189" xr:uid="{00000000-0005-0000-0000-0000F91F0000}"/>
    <cellStyle name="20% - Accent5 5 2 5 4 2 3 2" xfId="8190" xr:uid="{00000000-0005-0000-0000-0000FA1F0000}"/>
    <cellStyle name="20% - Accent5 5 2 5 4 2 4" xfId="8191" xr:uid="{00000000-0005-0000-0000-0000FB1F0000}"/>
    <cellStyle name="20% - Accent5 5 2 5 4 3" xfId="8192" xr:uid="{00000000-0005-0000-0000-0000FC1F0000}"/>
    <cellStyle name="20% - Accent5 5 2 5 4 3 2" xfId="8193" xr:uid="{00000000-0005-0000-0000-0000FD1F0000}"/>
    <cellStyle name="20% - Accent5 5 2 5 4 3 2 2" xfId="8194" xr:uid="{00000000-0005-0000-0000-0000FE1F0000}"/>
    <cellStyle name="20% - Accent5 5 2 5 4 3 3" xfId="8195" xr:uid="{00000000-0005-0000-0000-0000FF1F0000}"/>
    <cellStyle name="20% - Accent5 5 2 5 4 4" xfId="8196" xr:uid="{00000000-0005-0000-0000-000000200000}"/>
    <cellStyle name="20% - Accent5 5 2 5 4 4 2" xfId="8197" xr:uid="{00000000-0005-0000-0000-000001200000}"/>
    <cellStyle name="20% - Accent5 5 2 5 4 4 2 2" xfId="8198" xr:uid="{00000000-0005-0000-0000-000002200000}"/>
    <cellStyle name="20% - Accent5 5 2 5 4 4 3" xfId="8199" xr:uid="{00000000-0005-0000-0000-000003200000}"/>
    <cellStyle name="20% - Accent5 5 2 5 4 5" xfId="8200" xr:uid="{00000000-0005-0000-0000-000004200000}"/>
    <cellStyle name="20% - Accent5 5 2 5 4 5 2" xfId="8201" xr:uid="{00000000-0005-0000-0000-000005200000}"/>
    <cellStyle name="20% - Accent5 5 2 5 4 5 2 2" xfId="8202" xr:uid="{00000000-0005-0000-0000-000006200000}"/>
    <cellStyle name="20% - Accent5 5 2 5 4 5 3" xfId="8203" xr:uid="{00000000-0005-0000-0000-000007200000}"/>
    <cellStyle name="20% - Accent5 5 2 5 4 6" xfId="8204" xr:uid="{00000000-0005-0000-0000-000008200000}"/>
    <cellStyle name="20% - Accent5 5 2 5 4 6 2" xfId="8205" xr:uid="{00000000-0005-0000-0000-000009200000}"/>
    <cellStyle name="20% - Accent5 5 2 5 4 6 2 2" xfId="8206" xr:uid="{00000000-0005-0000-0000-00000A200000}"/>
    <cellStyle name="20% - Accent5 5 2 5 4 6 3" xfId="8207" xr:uid="{00000000-0005-0000-0000-00000B200000}"/>
    <cellStyle name="20% - Accent5 5 2 5 4 7" xfId="8208" xr:uid="{00000000-0005-0000-0000-00000C200000}"/>
    <cellStyle name="20% - Accent5 5 2 5 4 7 2" xfId="8209" xr:uid="{00000000-0005-0000-0000-00000D200000}"/>
    <cellStyle name="20% - Accent5 5 2 5 4 8" xfId="8210" xr:uid="{00000000-0005-0000-0000-00000E200000}"/>
    <cellStyle name="20% - Accent5 5 2 5 5" xfId="8211" xr:uid="{00000000-0005-0000-0000-00000F200000}"/>
    <cellStyle name="20% - Accent5 5 2 5 5 2" xfId="8212" xr:uid="{00000000-0005-0000-0000-000010200000}"/>
    <cellStyle name="20% - Accent5 5 2 5 5 2 2" xfId="8213" xr:uid="{00000000-0005-0000-0000-000011200000}"/>
    <cellStyle name="20% - Accent5 5 2 5 5 2 2 2" xfId="8214" xr:uid="{00000000-0005-0000-0000-000012200000}"/>
    <cellStyle name="20% - Accent5 5 2 5 5 2 2 2 2" xfId="8215" xr:uid="{00000000-0005-0000-0000-000013200000}"/>
    <cellStyle name="20% - Accent5 5 2 5 5 2 2 3" xfId="8216" xr:uid="{00000000-0005-0000-0000-000014200000}"/>
    <cellStyle name="20% - Accent5 5 2 5 5 2 3" xfId="8217" xr:uid="{00000000-0005-0000-0000-000015200000}"/>
    <cellStyle name="20% - Accent5 5 2 5 5 2 3 2" xfId="8218" xr:uid="{00000000-0005-0000-0000-000016200000}"/>
    <cellStyle name="20% - Accent5 5 2 5 5 2 4" xfId="8219" xr:uid="{00000000-0005-0000-0000-000017200000}"/>
    <cellStyle name="20% - Accent5 5 2 5 5 3" xfId="8220" xr:uid="{00000000-0005-0000-0000-000018200000}"/>
    <cellStyle name="20% - Accent5 5 2 5 5 3 2" xfId="8221" xr:uid="{00000000-0005-0000-0000-000019200000}"/>
    <cellStyle name="20% - Accent5 5 2 5 5 3 2 2" xfId="8222" xr:uid="{00000000-0005-0000-0000-00001A200000}"/>
    <cellStyle name="20% - Accent5 5 2 5 5 3 3" xfId="8223" xr:uid="{00000000-0005-0000-0000-00001B200000}"/>
    <cellStyle name="20% - Accent5 5 2 5 5 4" xfId="8224" xr:uid="{00000000-0005-0000-0000-00001C200000}"/>
    <cellStyle name="20% - Accent5 5 2 5 5 4 2" xfId="8225" xr:uid="{00000000-0005-0000-0000-00001D200000}"/>
    <cellStyle name="20% - Accent5 5 2 5 5 5" xfId="8226" xr:uid="{00000000-0005-0000-0000-00001E200000}"/>
    <cellStyle name="20% - Accent5 5 2 5 6" xfId="8227" xr:uid="{00000000-0005-0000-0000-00001F200000}"/>
    <cellStyle name="20% - Accent5 5 2 5 6 2" xfId="8228" xr:uid="{00000000-0005-0000-0000-000020200000}"/>
    <cellStyle name="20% - Accent5 5 2 5 6 2 2" xfId="8229" xr:uid="{00000000-0005-0000-0000-000021200000}"/>
    <cellStyle name="20% - Accent5 5 2 5 6 2 2 2" xfId="8230" xr:uid="{00000000-0005-0000-0000-000022200000}"/>
    <cellStyle name="20% - Accent5 5 2 5 6 2 2 2 2" xfId="8231" xr:uid="{00000000-0005-0000-0000-000023200000}"/>
    <cellStyle name="20% - Accent5 5 2 5 6 2 2 3" xfId="8232" xr:uid="{00000000-0005-0000-0000-000024200000}"/>
    <cellStyle name="20% - Accent5 5 2 5 6 2 3" xfId="8233" xr:uid="{00000000-0005-0000-0000-000025200000}"/>
    <cellStyle name="20% - Accent5 5 2 5 6 2 3 2" xfId="8234" xr:uid="{00000000-0005-0000-0000-000026200000}"/>
    <cellStyle name="20% - Accent5 5 2 5 6 2 4" xfId="8235" xr:uid="{00000000-0005-0000-0000-000027200000}"/>
    <cellStyle name="20% - Accent5 5 2 5 6 3" xfId="8236" xr:uid="{00000000-0005-0000-0000-000028200000}"/>
    <cellStyle name="20% - Accent5 5 2 5 6 3 2" xfId="8237" xr:uid="{00000000-0005-0000-0000-000029200000}"/>
    <cellStyle name="20% - Accent5 5 2 5 6 3 2 2" xfId="8238" xr:uid="{00000000-0005-0000-0000-00002A200000}"/>
    <cellStyle name="20% - Accent5 5 2 5 6 3 3" xfId="8239" xr:uid="{00000000-0005-0000-0000-00002B200000}"/>
    <cellStyle name="20% - Accent5 5 2 5 6 4" xfId="8240" xr:uid="{00000000-0005-0000-0000-00002C200000}"/>
    <cellStyle name="20% - Accent5 5 2 5 6 4 2" xfId="8241" xr:uid="{00000000-0005-0000-0000-00002D200000}"/>
    <cellStyle name="20% - Accent5 5 2 5 6 5" xfId="8242" xr:uid="{00000000-0005-0000-0000-00002E200000}"/>
    <cellStyle name="20% - Accent5 5 2 5 7" xfId="8243" xr:uid="{00000000-0005-0000-0000-00002F200000}"/>
    <cellStyle name="20% - Accent5 5 2 5 7 2" xfId="8244" xr:uid="{00000000-0005-0000-0000-000030200000}"/>
    <cellStyle name="20% - Accent5 5 2 5 7 2 2" xfId="8245" xr:uid="{00000000-0005-0000-0000-000031200000}"/>
    <cellStyle name="20% - Accent5 5 2 5 7 2 2 2" xfId="8246" xr:uid="{00000000-0005-0000-0000-000032200000}"/>
    <cellStyle name="20% - Accent5 5 2 5 7 2 3" xfId="8247" xr:uid="{00000000-0005-0000-0000-000033200000}"/>
    <cellStyle name="20% - Accent5 5 2 5 7 3" xfId="8248" xr:uid="{00000000-0005-0000-0000-000034200000}"/>
    <cellStyle name="20% - Accent5 5 2 5 7 3 2" xfId="8249" xr:uid="{00000000-0005-0000-0000-000035200000}"/>
    <cellStyle name="20% - Accent5 5 2 5 7 4" xfId="8250" xr:uid="{00000000-0005-0000-0000-000036200000}"/>
    <cellStyle name="20% - Accent5 5 2 5 8" xfId="8251" xr:uid="{00000000-0005-0000-0000-000037200000}"/>
    <cellStyle name="20% - Accent5 5 2 5 8 2" xfId="8252" xr:uid="{00000000-0005-0000-0000-000038200000}"/>
    <cellStyle name="20% - Accent5 5 2 5 8 2 2" xfId="8253" xr:uid="{00000000-0005-0000-0000-000039200000}"/>
    <cellStyle name="20% - Accent5 5 2 5 8 2 2 2" xfId="8254" xr:uid="{00000000-0005-0000-0000-00003A200000}"/>
    <cellStyle name="20% - Accent5 5 2 5 8 2 3" xfId="8255" xr:uid="{00000000-0005-0000-0000-00003B200000}"/>
    <cellStyle name="20% - Accent5 5 2 5 8 3" xfId="8256" xr:uid="{00000000-0005-0000-0000-00003C200000}"/>
    <cellStyle name="20% - Accent5 5 2 5 8 3 2" xfId="8257" xr:uid="{00000000-0005-0000-0000-00003D200000}"/>
    <cellStyle name="20% - Accent5 5 2 5 8 4" xfId="8258" xr:uid="{00000000-0005-0000-0000-00003E200000}"/>
    <cellStyle name="20% - Accent5 5 2 5 9" xfId="8259" xr:uid="{00000000-0005-0000-0000-00003F200000}"/>
    <cellStyle name="20% - Accent5 5 2 5 9 2" xfId="8260" xr:uid="{00000000-0005-0000-0000-000040200000}"/>
    <cellStyle name="20% - Accent5 5 2 5 9 2 2" xfId="8261" xr:uid="{00000000-0005-0000-0000-000041200000}"/>
    <cellStyle name="20% - Accent5 5 2 5 9 3" xfId="8262" xr:uid="{00000000-0005-0000-0000-000042200000}"/>
    <cellStyle name="20% - Accent5 5 2 6" xfId="8263" xr:uid="{00000000-0005-0000-0000-000043200000}"/>
    <cellStyle name="20% - Accent5 5 2 6 10" xfId="8264" xr:uid="{00000000-0005-0000-0000-000044200000}"/>
    <cellStyle name="20% - Accent5 5 2 6 10 2" xfId="8265" xr:uid="{00000000-0005-0000-0000-000045200000}"/>
    <cellStyle name="20% - Accent5 5 2 6 10 2 2" xfId="8266" xr:uid="{00000000-0005-0000-0000-000046200000}"/>
    <cellStyle name="20% - Accent5 5 2 6 10 3" xfId="8267" xr:uid="{00000000-0005-0000-0000-000047200000}"/>
    <cellStyle name="20% - Accent5 5 2 6 11" xfId="8268" xr:uid="{00000000-0005-0000-0000-000048200000}"/>
    <cellStyle name="20% - Accent5 5 2 6 11 2" xfId="8269" xr:uid="{00000000-0005-0000-0000-000049200000}"/>
    <cellStyle name="20% - Accent5 5 2 6 11 2 2" xfId="8270" xr:uid="{00000000-0005-0000-0000-00004A200000}"/>
    <cellStyle name="20% - Accent5 5 2 6 11 3" xfId="8271" xr:uid="{00000000-0005-0000-0000-00004B200000}"/>
    <cellStyle name="20% - Accent5 5 2 6 12" xfId="8272" xr:uid="{00000000-0005-0000-0000-00004C200000}"/>
    <cellStyle name="20% - Accent5 5 2 6 12 2" xfId="8273" xr:uid="{00000000-0005-0000-0000-00004D200000}"/>
    <cellStyle name="20% - Accent5 5 2 6 12 2 2" xfId="8274" xr:uid="{00000000-0005-0000-0000-00004E200000}"/>
    <cellStyle name="20% - Accent5 5 2 6 12 3" xfId="8275" xr:uid="{00000000-0005-0000-0000-00004F200000}"/>
    <cellStyle name="20% - Accent5 5 2 6 13" xfId="8276" xr:uid="{00000000-0005-0000-0000-000050200000}"/>
    <cellStyle name="20% - Accent5 5 2 6 13 2" xfId="8277" xr:uid="{00000000-0005-0000-0000-000051200000}"/>
    <cellStyle name="20% - Accent5 5 2 6 14" xfId="8278" xr:uid="{00000000-0005-0000-0000-000052200000}"/>
    <cellStyle name="20% - Accent5 5 2 6 2" xfId="8279" xr:uid="{00000000-0005-0000-0000-000053200000}"/>
    <cellStyle name="20% - Accent5 5 2 6 2 2" xfId="8280" xr:uid="{00000000-0005-0000-0000-000054200000}"/>
    <cellStyle name="20% - Accent5 5 2 6 2 2 2" xfId="8281" xr:uid="{00000000-0005-0000-0000-000055200000}"/>
    <cellStyle name="20% - Accent5 5 2 6 2 2 2 2" xfId="8282" xr:uid="{00000000-0005-0000-0000-000056200000}"/>
    <cellStyle name="20% - Accent5 5 2 6 2 2 2 2 2" xfId="8283" xr:uid="{00000000-0005-0000-0000-000057200000}"/>
    <cellStyle name="20% - Accent5 5 2 6 2 2 2 3" xfId="8284" xr:uid="{00000000-0005-0000-0000-000058200000}"/>
    <cellStyle name="20% - Accent5 5 2 6 2 2 3" xfId="8285" xr:uid="{00000000-0005-0000-0000-000059200000}"/>
    <cellStyle name="20% - Accent5 5 2 6 2 2 3 2" xfId="8286" xr:uid="{00000000-0005-0000-0000-00005A200000}"/>
    <cellStyle name="20% - Accent5 5 2 6 2 2 4" xfId="8287" xr:uid="{00000000-0005-0000-0000-00005B200000}"/>
    <cellStyle name="20% - Accent5 5 2 6 2 3" xfId="8288" xr:uid="{00000000-0005-0000-0000-00005C200000}"/>
    <cellStyle name="20% - Accent5 5 2 6 2 3 2" xfId="8289" xr:uid="{00000000-0005-0000-0000-00005D200000}"/>
    <cellStyle name="20% - Accent5 5 2 6 2 3 2 2" xfId="8290" xr:uid="{00000000-0005-0000-0000-00005E200000}"/>
    <cellStyle name="20% - Accent5 5 2 6 2 3 3" xfId="8291" xr:uid="{00000000-0005-0000-0000-00005F200000}"/>
    <cellStyle name="20% - Accent5 5 2 6 2 4" xfId="8292" xr:uid="{00000000-0005-0000-0000-000060200000}"/>
    <cellStyle name="20% - Accent5 5 2 6 2 4 2" xfId="8293" xr:uid="{00000000-0005-0000-0000-000061200000}"/>
    <cellStyle name="20% - Accent5 5 2 6 2 4 2 2" xfId="8294" xr:uid="{00000000-0005-0000-0000-000062200000}"/>
    <cellStyle name="20% - Accent5 5 2 6 2 4 3" xfId="8295" xr:uid="{00000000-0005-0000-0000-000063200000}"/>
    <cellStyle name="20% - Accent5 5 2 6 2 5" xfId="8296" xr:uid="{00000000-0005-0000-0000-000064200000}"/>
    <cellStyle name="20% - Accent5 5 2 6 2 5 2" xfId="8297" xr:uid="{00000000-0005-0000-0000-000065200000}"/>
    <cellStyle name="20% - Accent5 5 2 6 2 5 2 2" xfId="8298" xr:uid="{00000000-0005-0000-0000-000066200000}"/>
    <cellStyle name="20% - Accent5 5 2 6 2 5 3" xfId="8299" xr:uid="{00000000-0005-0000-0000-000067200000}"/>
    <cellStyle name="20% - Accent5 5 2 6 2 6" xfId="8300" xr:uid="{00000000-0005-0000-0000-000068200000}"/>
    <cellStyle name="20% - Accent5 5 2 6 2 6 2" xfId="8301" xr:uid="{00000000-0005-0000-0000-000069200000}"/>
    <cellStyle name="20% - Accent5 5 2 6 2 6 2 2" xfId="8302" xr:uid="{00000000-0005-0000-0000-00006A200000}"/>
    <cellStyle name="20% - Accent5 5 2 6 2 6 3" xfId="8303" xr:uid="{00000000-0005-0000-0000-00006B200000}"/>
    <cellStyle name="20% - Accent5 5 2 6 2 7" xfId="8304" xr:uid="{00000000-0005-0000-0000-00006C200000}"/>
    <cellStyle name="20% - Accent5 5 2 6 2 7 2" xfId="8305" xr:uid="{00000000-0005-0000-0000-00006D200000}"/>
    <cellStyle name="20% - Accent5 5 2 6 2 8" xfId="8306" xr:uid="{00000000-0005-0000-0000-00006E200000}"/>
    <cellStyle name="20% - Accent5 5 2 6 3" xfId="8307" xr:uid="{00000000-0005-0000-0000-00006F200000}"/>
    <cellStyle name="20% - Accent5 5 2 6 3 2" xfId="8308" xr:uid="{00000000-0005-0000-0000-000070200000}"/>
    <cellStyle name="20% - Accent5 5 2 6 3 2 2" xfId="8309" xr:uid="{00000000-0005-0000-0000-000071200000}"/>
    <cellStyle name="20% - Accent5 5 2 6 3 2 2 2" xfId="8310" xr:uid="{00000000-0005-0000-0000-000072200000}"/>
    <cellStyle name="20% - Accent5 5 2 6 3 2 2 2 2" xfId="8311" xr:uid="{00000000-0005-0000-0000-000073200000}"/>
    <cellStyle name="20% - Accent5 5 2 6 3 2 2 3" xfId="8312" xr:uid="{00000000-0005-0000-0000-000074200000}"/>
    <cellStyle name="20% - Accent5 5 2 6 3 2 3" xfId="8313" xr:uid="{00000000-0005-0000-0000-000075200000}"/>
    <cellStyle name="20% - Accent5 5 2 6 3 2 3 2" xfId="8314" xr:uid="{00000000-0005-0000-0000-000076200000}"/>
    <cellStyle name="20% - Accent5 5 2 6 3 2 4" xfId="8315" xr:uid="{00000000-0005-0000-0000-000077200000}"/>
    <cellStyle name="20% - Accent5 5 2 6 3 3" xfId="8316" xr:uid="{00000000-0005-0000-0000-000078200000}"/>
    <cellStyle name="20% - Accent5 5 2 6 3 3 2" xfId="8317" xr:uid="{00000000-0005-0000-0000-000079200000}"/>
    <cellStyle name="20% - Accent5 5 2 6 3 3 2 2" xfId="8318" xr:uid="{00000000-0005-0000-0000-00007A200000}"/>
    <cellStyle name="20% - Accent5 5 2 6 3 3 3" xfId="8319" xr:uid="{00000000-0005-0000-0000-00007B200000}"/>
    <cellStyle name="20% - Accent5 5 2 6 3 4" xfId="8320" xr:uid="{00000000-0005-0000-0000-00007C200000}"/>
    <cellStyle name="20% - Accent5 5 2 6 3 4 2" xfId="8321" xr:uid="{00000000-0005-0000-0000-00007D200000}"/>
    <cellStyle name="20% - Accent5 5 2 6 3 4 2 2" xfId="8322" xr:uid="{00000000-0005-0000-0000-00007E200000}"/>
    <cellStyle name="20% - Accent5 5 2 6 3 4 3" xfId="8323" xr:uid="{00000000-0005-0000-0000-00007F200000}"/>
    <cellStyle name="20% - Accent5 5 2 6 3 5" xfId="8324" xr:uid="{00000000-0005-0000-0000-000080200000}"/>
    <cellStyle name="20% - Accent5 5 2 6 3 5 2" xfId="8325" xr:uid="{00000000-0005-0000-0000-000081200000}"/>
    <cellStyle name="20% - Accent5 5 2 6 3 5 2 2" xfId="8326" xr:uid="{00000000-0005-0000-0000-000082200000}"/>
    <cellStyle name="20% - Accent5 5 2 6 3 5 3" xfId="8327" xr:uid="{00000000-0005-0000-0000-000083200000}"/>
    <cellStyle name="20% - Accent5 5 2 6 3 6" xfId="8328" xr:uid="{00000000-0005-0000-0000-000084200000}"/>
    <cellStyle name="20% - Accent5 5 2 6 3 6 2" xfId="8329" xr:uid="{00000000-0005-0000-0000-000085200000}"/>
    <cellStyle name="20% - Accent5 5 2 6 3 6 2 2" xfId="8330" xr:uid="{00000000-0005-0000-0000-000086200000}"/>
    <cellStyle name="20% - Accent5 5 2 6 3 6 3" xfId="8331" xr:uid="{00000000-0005-0000-0000-000087200000}"/>
    <cellStyle name="20% - Accent5 5 2 6 3 7" xfId="8332" xr:uid="{00000000-0005-0000-0000-000088200000}"/>
    <cellStyle name="20% - Accent5 5 2 6 3 7 2" xfId="8333" xr:uid="{00000000-0005-0000-0000-000089200000}"/>
    <cellStyle name="20% - Accent5 5 2 6 3 8" xfId="8334" xr:uid="{00000000-0005-0000-0000-00008A200000}"/>
    <cellStyle name="20% - Accent5 5 2 6 4" xfId="8335" xr:uid="{00000000-0005-0000-0000-00008B200000}"/>
    <cellStyle name="20% - Accent5 5 2 6 4 2" xfId="8336" xr:uid="{00000000-0005-0000-0000-00008C200000}"/>
    <cellStyle name="20% - Accent5 5 2 6 4 2 2" xfId="8337" xr:uid="{00000000-0005-0000-0000-00008D200000}"/>
    <cellStyle name="20% - Accent5 5 2 6 4 2 2 2" xfId="8338" xr:uid="{00000000-0005-0000-0000-00008E200000}"/>
    <cellStyle name="20% - Accent5 5 2 6 4 2 2 2 2" xfId="8339" xr:uid="{00000000-0005-0000-0000-00008F200000}"/>
    <cellStyle name="20% - Accent5 5 2 6 4 2 2 3" xfId="8340" xr:uid="{00000000-0005-0000-0000-000090200000}"/>
    <cellStyle name="20% - Accent5 5 2 6 4 2 3" xfId="8341" xr:uid="{00000000-0005-0000-0000-000091200000}"/>
    <cellStyle name="20% - Accent5 5 2 6 4 2 3 2" xfId="8342" xr:uid="{00000000-0005-0000-0000-000092200000}"/>
    <cellStyle name="20% - Accent5 5 2 6 4 2 4" xfId="8343" xr:uid="{00000000-0005-0000-0000-000093200000}"/>
    <cellStyle name="20% - Accent5 5 2 6 4 3" xfId="8344" xr:uid="{00000000-0005-0000-0000-000094200000}"/>
    <cellStyle name="20% - Accent5 5 2 6 4 3 2" xfId="8345" xr:uid="{00000000-0005-0000-0000-000095200000}"/>
    <cellStyle name="20% - Accent5 5 2 6 4 3 2 2" xfId="8346" xr:uid="{00000000-0005-0000-0000-000096200000}"/>
    <cellStyle name="20% - Accent5 5 2 6 4 3 3" xfId="8347" xr:uid="{00000000-0005-0000-0000-000097200000}"/>
    <cellStyle name="20% - Accent5 5 2 6 4 4" xfId="8348" xr:uid="{00000000-0005-0000-0000-000098200000}"/>
    <cellStyle name="20% - Accent5 5 2 6 4 4 2" xfId="8349" xr:uid="{00000000-0005-0000-0000-000099200000}"/>
    <cellStyle name="20% - Accent5 5 2 6 4 4 2 2" xfId="8350" xr:uid="{00000000-0005-0000-0000-00009A200000}"/>
    <cellStyle name="20% - Accent5 5 2 6 4 4 3" xfId="8351" xr:uid="{00000000-0005-0000-0000-00009B200000}"/>
    <cellStyle name="20% - Accent5 5 2 6 4 5" xfId="8352" xr:uid="{00000000-0005-0000-0000-00009C200000}"/>
    <cellStyle name="20% - Accent5 5 2 6 4 5 2" xfId="8353" xr:uid="{00000000-0005-0000-0000-00009D200000}"/>
    <cellStyle name="20% - Accent5 5 2 6 4 5 2 2" xfId="8354" xr:uid="{00000000-0005-0000-0000-00009E200000}"/>
    <cellStyle name="20% - Accent5 5 2 6 4 5 3" xfId="8355" xr:uid="{00000000-0005-0000-0000-00009F200000}"/>
    <cellStyle name="20% - Accent5 5 2 6 4 6" xfId="8356" xr:uid="{00000000-0005-0000-0000-0000A0200000}"/>
    <cellStyle name="20% - Accent5 5 2 6 4 6 2" xfId="8357" xr:uid="{00000000-0005-0000-0000-0000A1200000}"/>
    <cellStyle name="20% - Accent5 5 2 6 4 6 2 2" xfId="8358" xr:uid="{00000000-0005-0000-0000-0000A2200000}"/>
    <cellStyle name="20% - Accent5 5 2 6 4 6 3" xfId="8359" xr:uid="{00000000-0005-0000-0000-0000A3200000}"/>
    <cellStyle name="20% - Accent5 5 2 6 4 7" xfId="8360" xr:uid="{00000000-0005-0000-0000-0000A4200000}"/>
    <cellStyle name="20% - Accent5 5 2 6 4 7 2" xfId="8361" xr:uid="{00000000-0005-0000-0000-0000A5200000}"/>
    <cellStyle name="20% - Accent5 5 2 6 4 8" xfId="8362" xr:uid="{00000000-0005-0000-0000-0000A6200000}"/>
    <cellStyle name="20% - Accent5 5 2 6 5" xfId="8363" xr:uid="{00000000-0005-0000-0000-0000A7200000}"/>
    <cellStyle name="20% - Accent5 5 2 6 5 2" xfId="8364" xr:uid="{00000000-0005-0000-0000-0000A8200000}"/>
    <cellStyle name="20% - Accent5 5 2 6 5 2 2" xfId="8365" xr:uid="{00000000-0005-0000-0000-0000A9200000}"/>
    <cellStyle name="20% - Accent5 5 2 6 5 2 2 2" xfId="8366" xr:uid="{00000000-0005-0000-0000-0000AA200000}"/>
    <cellStyle name="20% - Accent5 5 2 6 5 2 2 2 2" xfId="8367" xr:uid="{00000000-0005-0000-0000-0000AB200000}"/>
    <cellStyle name="20% - Accent5 5 2 6 5 2 2 3" xfId="8368" xr:uid="{00000000-0005-0000-0000-0000AC200000}"/>
    <cellStyle name="20% - Accent5 5 2 6 5 2 3" xfId="8369" xr:uid="{00000000-0005-0000-0000-0000AD200000}"/>
    <cellStyle name="20% - Accent5 5 2 6 5 2 3 2" xfId="8370" xr:uid="{00000000-0005-0000-0000-0000AE200000}"/>
    <cellStyle name="20% - Accent5 5 2 6 5 2 4" xfId="8371" xr:uid="{00000000-0005-0000-0000-0000AF200000}"/>
    <cellStyle name="20% - Accent5 5 2 6 5 3" xfId="8372" xr:uid="{00000000-0005-0000-0000-0000B0200000}"/>
    <cellStyle name="20% - Accent5 5 2 6 5 3 2" xfId="8373" xr:uid="{00000000-0005-0000-0000-0000B1200000}"/>
    <cellStyle name="20% - Accent5 5 2 6 5 3 2 2" xfId="8374" xr:uid="{00000000-0005-0000-0000-0000B2200000}"/>
    <cellStyle name="20% - Accent5 5 2 6 5 3 3" xfId="8375" xr:uid="{00000000-0005-0000-0000-0000B3200000}"/>
    <cellStyle name="20% - Accent5 5 2 6 5 4" xfId="8376" xr:uid="{00000000-0005-0000-0000-0000B4200000}"/>
    <cellStyle name="20% - Accent5 5 2 6 5 4 2" xfId="8377" xr:uid="{00000000-0005-0000-0000-0000B5200000}"/>
    <cellStyle name="20% - Accent5 5 2 6 5 5" xfId="8378" xr:uid="{00000000-0005-0000-0000-0000B6200000}"/>
    <cellStyle name="20% - Accent5 5 2 6 6" xfId="8379" xr:uid="{00000000-0005-0000-0000-0000B7200000}"/>
    <cellStyle name="20% - Accent5 5 2 6 6 2" xfId="8380" xr:uid="{00000000-0005-0000-0000-0000B8200000}"/>
    <cellStyle name="20% - Accent5 5 2 6 6 2 2" xfId="8381" xr:uid="{00000000-0005-0000-0000-0000B9200000}"/>
    <cellStyle name="20% - Accent5 5 2 6 6 2 2 2" xfId="8382" xr:uid="{00000000-0005-0000-0000-0000BA200000}"/>
    <cellStyle name="20% - Accent5 5 2 6 6 2 2 2 2" xfId="8383" xr:uid="{00000000-0005-0000-0000-0000BB200000}"/>
    <cellStyle name="20% - Accent5 5 2 6 6 2 2 3" xfId="8384" xr:uid="{00000000-0005-0000-0000-0000BC200000}"/>
    <cellStyle name="20% - Accent5 5 2 6 6 2 3" xfId="8385" xr:uid="{00000000-0005-0000-0000-0000BD200000}"/>
    <cellStyle name="20% - Accent5 5 2 6 6 2 3 2" xfId="8386" xr:uid="{00000000-0005-0000-0000-0000BE200000}"/>
    <cellStyle name="20% - Accent5 5 2 6 6 2 4" xfId="8387" xr:uid="{00000000-0005-0000-0000-0000BF200000}"/>
    <cellStyle name="20% - Accent5 5 2 6 6 3" xfId="8388" xr:uid="{00000000-0005-0000-0000-0000C0200000}"/>
    <cellStyle name="20% - Accent5 5 2 6 6 3 2" xfId="8389" xr:uid="{00000000-0005-0000-0000-0000C1200000}"/>
    <cellStyle name="20% - Accent5 5 2 6 6 3 2 2" xfId="8390" xr:uid="{00000000-0005-0000-0000-0000C2200000}"/>
    <cellStyle name="20% - Accent5 5 2 6 6 3 3" xfId="8391" xr:uid="{00000000-0005-0000-0000-0000C3200000}"/>
    <cellStyle name="20% - Accent5 5 2 6 6 4" xfId="8392" xr:uid="{00000000-0005-0000-0000-0000C4200000}"/>
    <cellStyle name="20% - Accent5 5 2 6 6 4 2" xfId="8393" xr:uid="{00000000-0005-0000-0000-0000C5200000}"/>
    <cellStyle name="20% - Accent5 5 2 6 6 5" xfId="8394" xr:uid="{00000000-0005-0000-0000-0000C6200000}"/>
    <cellStyle name="20% - Accent5 5 2 6 7" xfId="8395" xr:uid="{00000000-0005-0000-0000-0000C7200000}"/>
    <cellStyle name="20% - Accent5 5 2 6 7 2" xfId="8396" xr:uid="{00000000-0005-0000-0000-0000C8200000}"/>
    <cellStyle name="20% - Accent5 5 2 6 7 2 2" xfId="8397" xr:uid="{00000000-0005-0000-0000-0000C9200000}"/>
    <cellStyle name="20% - Accent5 5 2 6 7 2 2 2" xfId="8398" xr:uid="{00000000-0005-0000-0000-0000CA200000}"/>
    <cellStyle name="20% - Accent5 5 2 6 7 2 3" xfId="8399" xr:uid="{00000000-0005-0000-0000-0000CB200000}"/>
    <cellStyle name="20% - Accent5 5 2 6 7 3" xfId="8400" xr:uid="{00000000-0005-0000-0000-0000CC200000}"/>
    <cellStyle name="20% - Accent5 5 2 6 7 3 2" xfId="8401" xr:uid="{00000000-0005-0000-0000-0000CD200000}"/>
    <cellStyle name="20% - Accent5 5 2 6 7 4" xfId="8402" xr:uid="{00000000-0005-0000-0000-0000CE200000}"/>
    <cellStyle name="20% - Accent5 5 2 6 8" xfId="8403" xr:uid="{00000000-0005-0000-0000-0000CF200000}"/>
    <cellStyle name="20% - Accent5 5 2 6 8 2" xfId="8404" xr:uid="{00000000-0005-0000-0000-0000D0200000}"/>
    <cellStyle name="20% - Accent5 5 2 6 8 2 2" xfId="8405" xr:uid="{00000000-0005-0000-0000-0000D1200000}"/>
    <cellStyle name="20% - Accent5 5 2 6 8 2 2 2" xfId="8406" xr:uid="{00000000-0005-0000-0000-0000D2200000}"/>
    <cellStyle name="20% - Accent5 5 2 6 8 2 3" xfId="8407" xr:uid="{00000000-0005-0000-0000-0000D3200000}"/>
    <cellStyle name="20% - Accent5 5 2 6 8 3" xfId="8408" xr:uid="{00000000-0005-0000-0000-0000D4200000}"/>
    <cellStyle name="20% - Accent5 5 2 6 8 3 2" xfId="8409" xr:uid="{00000000-0005-0000-0000-0000D5200000}"/>
    <cellStyle name="20% - Accent5 5 2 6 8 4" xfId="8410" xr:uid="{00000000-0005-0000-0000-0000D6200000}"/>
    <cellStyle name="20% - Accent5 5 2 6 9" xfId="8411" xr:uid="{00000000-0005-0000-0000-0000D7200000}"/>
    <cellStyle name="20% - Accent5 5 2 6 9 2" xfId="8412" xr:uid="{00000000-0005-0000-0000-0000D8200000}"/>
    <cellStyle name="20% - Accent5 5 2 6 9 2 2" xfId="8413" xr:uid="{00000000-0005-0000-0000-0000D9200000}"/>
    <cellStyle name="20% - Accent5 5 2 6 9 3" xfId="8414" xr:uid="{00000000-0005-0000-0000-0000DA200000}"/>
    <cellStyle name="20% - Accent5 5 2 7" xfId="8415" xr:uid="{00000000-0005-0000-0000-0000DB200000}"/>
    <cellStyle name="20% - Accent5 5 2 7 2" xfId="8416" xr:uid="{00000000-0005-0000-0000-0000DC200000}"/>
    <cellStyle name="20% - Accent5 5 2 7 2 2" xfId="8417" xr:uid="{00000000-0005-0000-0000-0000DD200000}"/>
    <cellStyle name="20% - Accent5 5 2 7 2 2 2" xfId="8418" xr:uid="{00000000-0005-0000-0000-0000DE200000}"/>
    <cellStyle name="20% - Accent5 5 2 7 2 2 2 2" xfId="8419" xr:uid="{00000000-0005-0000-0000-0000DF200000}"/>
    <cellStyle name="20% - Accent5 5 2 7 2 2 3" xfId="8420" xr:uid="{00000000-0005-0000-0000-0000E0200000}"/>
    <cellStyle name="20% - Accent5 5 2 7 2 3" xfId="8421" xr:uid="{00000000-0005-0000-0000-0000E1200000}"/>
    <cellStyle name="20% - Accent5 5 2 7 2 3 2" xfId="8422" xr:uid="{00000000-0005-0000-0000-0000E2200000}"/>
    <cellStyle name="20% - Accent5 5 2 7 2 4" xfId="8423" xr:uid="{00000000-0005-0000-0000-0000E3200000}"/>
    <cellStyle name="20% - Accent5 5 2 7 3" xfId="8424" xr:uid="{00000000-0005-0000-0000-0000E4200000}"/>
    <cellStyle name="20% - Accent5 5 2 7 3 2" xfId="8425" xr:uid="{00000000-0005-0000-0000-0000E5200000}"/>
    <cellStyle name="20% - Accent5 5 2 7 3 2 2" xfId="8426" xr:uid="{00000000-0005-0000-0000-0000E6200000}"/>
    <cellStyle name="20% - Accent5 5 2 7 3 3" xfId="8427" xr:uid="{00000000-0005-0000-0000-0000E7200000}"/>
    <cellStyle name="20% - Accent5 5 2 7 4" xfId="8428" xr:uid="{00000000-0005-0000-0000-0000E8200000}"/>
    <cellStyle name="20% - Accent5 5 2 7 4 2" xfId="8429" xr:uid="{00000000-0005-0000-0000-0000E9200000}"/>
    <cellStyle name="20% - Accent5 5 2 7 4 2 2" xfId="8430" xr:uid="{00000000-0005-0000-0000-0000EA200000}"/>
    <cellStyle name="20% - Accent5 5 2 7 4 3" xfId="8431" xr:uid="{00000000-0005-0000-0000-0000EB200000}"/>
    <cellStyle name="20% - Accent5 5 2 7 5" xfId="8432" xr:uid="{00000000-0005-0000-0000-0000EC200000}"/>
    <cellStyle name="20% - Accent5 5 2 7 5 2" xfId="8433" xr:uid="{00000000-0005-0000-0000-0000ED200000}"/>
    <cellStyle name="20% - Accent5 5 2 7 5 2 2" xfId="8434" xr:uid="{00000000-0005-0000-0000-0000EE200000}"/>
    <cellStyle name="20% - Accent5 5 2 7 5 3" xfId="8435" xr:uid="{00000000-0005-0000-0000-0000EF200000}"/>
    <cellStyle name="20% - Accent5 5 2 7 6" xfId="8436" xr:uid="{00000000-0005-0000-0000-0000F0200000}"/>
    <cellStyle name="20% - Accent5 5 2 7 6 2" xfId="8437" xr:uid="{00000000-0005-0000-0000-0000F1200000}"/>
    <cellStyle name="20% - Accent5 5 2 7 6 2 2" xfId="8438" xr:uid="{00000000-0005-0000-0000-0000F2200000}"/>
    <cellStyle name="20% - Accent5 5 2 7 6 3" xfId="8439" xr:uid="{00000000-0005-0000-0000-0000F3200000}"/>
    <cellStyle name="20% - Accent5 5 2 7 7" xfId="8440" xr:uid="{00000000-0005-0000-0000-0000F4200000}"/>
    <cellStyle name="20% - Accent5 5 2 7 7 2" xfId="8441" xr:uid="{00000000-0005-0000-0000-0000F5200000}"/>
    <cellStyle name="20% - Accent5 5 2 7 8" xfId="8442" xr:uid="{00000000-0005-0000-0000-0000F6200000}"/>
    <cellStyle name="20% - Accent5 5 2 8" xfId="8443" xr:uid="{00000000-0005-0000-0000-0000F7200000}"/>
    <cellStyle name="20% - Accent5 5 2 8 2" xfId="8444" xr:uid="{00000000-0005-0000-0000-0000F8200000}"/>
    <cellStyle name="20% - Accent5 5 2 8 2 2" xfId="8445" xr:uid="{00000000-0005-0000-0000-0000F9200000}"/>
    <cellStyle name="20% - Accent5 5 2 8 2 2 2" xfId="8446" xr:uid="{00000000-0005-0000-0000-0000FA200000}"/>
    <cellStyle name="20% - Accent5 5 2 8 2 2 2 2" xfId="8447" xr:uid="{00000000-0005-0000-0000-0000FB200000}"/>
    <cellStyle name="20% - Accent5 5 2 8 2 2 3" xfId="8448" xr:uid="{00000000-0005-0000-0000-0000FC200000}"/>
    <cellStyle name="20% - Accent5 5 2 8 2 3" xfId="8449" xr:uid="{00000000-0005-0000-0000-0000FD200000}"/>
    <cellStyle name="20% - Accent5 5 2 8 2 3 2" xfId="8450" xr:uid="{00000000-0005-0000-0000-0000FE200000}"/>
    <cellStyle name="20% - Accent5 5 2 8 2 4" xfId="8451" xr:uid="{00000000-0005-0000-0000-0000FF200000}"/>
    <cellStyle name="20% - Accent5 5 2 8 3" xfId="8452" xr:uid="{00000000-0005-0000-0000-000000210000}"/>
    <cellStyle name="20% - Accent5 5 2 8 3 2" xfId="8453" xr:uid="{00000000-0005-0000-0000-000001210000}"/>
    <cellStyle name="20% - Accent5 5 2 8 3 2 2" xfId="8454" xr:uid="{00000000-0005-0000-0000-000002210000}"/>
    <cellStyle name="20% - Accent5 5 2 8 3 3" xfId="8455" xr:uid="{00000000-0005-0000-0000-000003210000}"/>
    <cellStyle name="20% - Accent5 5 2 8 4" xfId="8456" xr:uid="{00000000-0005-0000-0000-000004210000}"/>
    <cellStyle name="20% - Accent5 5 2 8 4 2" xfId="8457" xr:uid="{00000000-0005-0000-0000-000005210000}"/>
    <cellStyle name="20% - Accent5 5 2 8 4 2 2" xfId="8458" xr:uid="{00000000-0005-0000-0000-000006210000}"/>
    <cellStyle name="20% - Accent5 5 2 8 4 3" xfId="8459" xr:uid="{00000000-0005-0000-0000-000007210000}"/>
    <cellStyle name="20% - Accent5 5 2 8 5" xfId="8460" xr:uid="{00000000-0005-0000-0000-000008210000}"/>
    <cellStyle name="20% - Accent5 5 2 8 5 2" xfId="8461" xr:uid="{00000000-0005-0000-0000-000009210000}"/>
    <cellStyle name="20% - Accent5 5 2 8 5 2 2" xfId="8462" xr:uid="{00000000-0005-0000-0000-00000A210000}"/>
    <cellStyle name="20% - Accent5 5 2 8 5 3" xfId="8463" xr:uid="{00000000-0005-0000-0000-00000B210000}"/>
    <cellStyle name="20% - Accent5 5 2 8 6" xfId="8464" xr:uid="{00000000-0005-0000-0000-00000C210000}"/>
    <cellStyle name="20% - Accent5 5 2 8 6 2" xfId="8465" xr:uid="{00000000-0005-0000-0000-00000D210000}"/>
    <cellStyle name="20% - Accent5 5 2 8 6 2 2" xfId="8466" xr:uid="{00000000-0005-0000-0000-00000E210000}"/>
    <cellStyle name="20% - Accent5 5 2 8 6 3" xfId="8467" xr:uid="{00000000-0005-0000-0000-00000F210000}"/>
    <cellStyle name="20% - Accent5 5 2 8 7" xfId="8468" xr:uid="{00000000-0005-0000-0000-000010210000}"/>
    <cellStyle name="20% - Accent5 5 2 8 7 2" xfId="8469" xr:uid="{00000000-0005-0000-0000-000011210000}"/>
    <cellStyle name="20% - Accent5 5 2 8 8" xfId="8470" xr:uid="{00000000-0005-0000-0000-000012210000}"/>
    <cellStyle name="20% - Accent5 5 2 9" xfId="8471" xr:uid="{00000000-0005-0000-0000-000013210000}"/>
    <cellStyle name="20% - Accent5 5 2 9 2" xfId="8472" xr:uid="{00000000-0005-0000-0000-000014210000}"/>
    <cellStyle name="20% - Accent5 5 2 9 2 2" xfId="8473" xr:uid="{00000000-0005-0000-0000-000015210000}"/>
    <cellStyle name="20% - Accent5 5 2 9 2 2 2" xfId="8474" xr:uid="{00000000-0005-0000-0000-000016210000}"/>
    <cellStyle name="20% - Accent5 5 2 9 2 2 2 2" xfId="8475" xr:uid="{00000000-0005-0000-0000-000017210000}"/>
    <cellStyle name="20% - Accent5 5 2 9 2 2 3" xfId="8476" xr:uid="{00000000-0005-0000-0000-000018210000}"/>
    <cellStyle name="20% - Accent5 5 2 9 2 3" xfId="8477" xr:uid="{00000000-0005-0000-0000-000019210000}"/>
    <cellStyle name="20% - Accent5 5 2 9 2 3 2" xfId="8478" xr:uid="{00000000-0005-0000-0000-00001A210000}"/>
    <cellStyle name="20% - Accent5 5 2 9 2 4" xfId="8479" xr:uid="{00000000-0005-0000-0000-00001B210000}"/>
    <cellStyle name="20% - Accent5 5 2 9 3" xfId="8480" xr:uid="{00000000-0005-0000-0000-00001C210000}"/>
    <cellStyle name="20% - Accent5 5 2 9 3 2" xfId="8481" xr:uid="{00000000-0005-0000-0000-00001D210000}"/>
    <cellStyle name="20% - Accent5 5 2 9 3 2 2" xfId="8482" xr:uid="{00000000-0005-0000-0000-00001E210000}"/>
    <cellStyle name="20% - Accent5 5 2 9 3 3" xfId="8483" xr:uid="{00000000-0005-0000-0000-00001F210000}"/>
    <cellStyle name="20% - Accent5 5 2 9 4" xfId="8484" xr:uid="{00000000-0005-0000-0000-000020210000}"/>
    <cellStyle name="20% - Accent5 5 2 9 4 2" xfId="8485" xr:uid="{00000000-0005-0000-0000-000021210000}"/>
    <cellStyle name="20% - Accent5 5 2 9 4 2 2" xfId="8486" xr:uid="{00000000-0005-0000-0000-000022210000}"/>
    <cellStyle name="20% - Accent5 5 2 9 4 3" xfId="8487" xr:uid="{00000000-0005-0000-0000-000023210000}"/>
    <cellStyle name="20% - Accent5 5 2 9 5" xfId="8488" xr:uid="{00000000-0005-0000-0000-000024210000}"/>
    <cellStyle name="20% - Accent5 5 2 9 5 2" xfId="8489" xr:uid="{00000000-0005-0000-0000-000025210000}"/>
    <cellStyle name="20% - Accent5 5 2 9 5 2 2" xfId="8490" xr:uid="{00000000-0005-0000-0000-000026210000}"/>
    <cellStyle name="20% - Accent5 5 2 9 5 3" xfId="8491" xr:uid="{00000000-0005-0000-0000-000027210000}"/>
    <cellStyle name="20% - Accent5 5 2 9 6" xfId="8492" xr:uid="{00000000-0005-0000-0000-000028210000}"/>
    <cellStyle name="20% - Accent5 5 2 9 6 2" xfId="8493" xr:uid="{00000000-0005-0000-0000-000029210000}"/>
    <cellStyle name="20% - Accent5 5 2 9 6 2 2" xfId="8494" xr:uid="{00000000-0005-0000-0000-00002A210000}"/>
    <cellStyle name="20% - Accent5 5 2 9 6 3" xfId="8495" xr:uid="{00000000-0005-0000-0000-00002B210000}"/>
    <cellStyle name="20% - Accent5 5 2 9 7" xfId="8496" xr:uid="{00000000-0005-0000-0000-00002C210000}"/>
    <cellStyle name="20% - Accent5 5 2 9 7 2" xfId="8497" xr:uid="{00000000-0005-0000-0000-00002D210000}"/>
    <cellStyle name="20% - Accent5 5 2 9 8" xfId="8498" xr:uid="{00000000-0005-0000-0000-00002E210000}"/>
    <cellStyle name="20% - Accent5 5 20" xfId="8499" xr:uid="{00000000-0005-0000-0000-00002F210000}"/>
    <cellStyle name="20% - Accent5 5 20 2" xfId="8500" xr:uid="{00000000-0005-0000-0000-000030210000}"/>
    <cellStyle name="20% - Accent5 5 21" xfId="8501" xr:uid="{00000000-0005-0000-0000-000031210000}"/>
    <cellStyle name="20% - Accent5 5 3" xfId="8502" xr:uid="{00000000-0005-0000-0000-000032210000}"/>
    <cellStyle name="20% - Accent5 5 3 10" xfId="8503" xr:uid="{00000000-0005-0000-0000-000033210000}"/>
    <cellStyle name="20% - Accent5 5 3 10 2" xfId="8504" xr:uid="{00000000-0005-0000-0000-000034210000}"/>
    <cellStyle name="20% - Accent5 5 3 10 2 2" xfId="8505" xr:uid="{00000000-0005-0000-0000-000035210000}"/>
    <cellStyle name="20% - Accent5 5 3 10 3" xfId="8506" xr:uid="{00000000-0005-0000-0000-000036210000}"/>
    <cellStyle name="20% - Accent5 5 3 11" xfId="8507" xr:uid="{00000000-0005-0000-0000-000037210000}"/>
    <cellStyle name="20% - Accent5 5 3 11 2" xfId="8508" xr:uid="{00000000-0005-0000-0000-000038210000}"/>
    <cellStyle name="20% - Accent5 5 3 11 2 2" xfId="8509" xr:uid="{00000000-0005-0000-0000-000039210000}"/>
    <cellStyle name="20% - Accent5 5 3 11 3" xfId="8510" xr:uid="{00000000-0005-0000-0000-00003A210000}"/>
    <cellStyle name="20% - Accent5 5 3 12" xfId="8511" xr:uid="{00000000-0005-0000-0000-00003B210000}"/>
    <cellStyle name="20% - Accent5 5 3 12 2" xfId="8512" xr:uid="{00000000-0005-0000-0000-00003C210000}"/>
    <cellStyle name="20% - Accent5 5 3 12 2 2" xfId="8513" xr:uid="{00000000-0005-0000-0000-00003D210000}"/>
    <cellStyle name="20% - Accent5 5 3 12 3" xfId="8514" xr:uid="{00000000-0005-0000-0000-00003E210000}"/>
    <cellStyle name="20% - Accent5 5 3 13" xfId="8515" xr:uid="{00000000-0005-0000-0000-00003F210000}"/>
    <cellStyle name="20% - Accent5 5 3 13 2" xfId="8516" xr:uid="{00000000-0005-0000-0000-000040210000}"/>
    <cellStyle name="20% - Accent5 5 3 14" xfId="8517" xr:uid="{00000000-0005-0000-0000-000041210000}"/>
    <cellStyle name="20% - Accent5 5 3 2" xfId="8518" xr:uid="{00000000-0005-0000-0000-000042210000}"/>
    <cellStyle name="20% - Accent5 5 3 2 2" xfId="8519" xr:uid="{00000000-0005-0000-0000-000043210000}"/>
    <cellStyle name="20% - Accent5 5 3 2 2 2" xfId="8520" xr:uid="{00000000-0005-0000-0000-000044210000}"/>
    <cellStyle name="20% - Accent5 5 3 2 2 2 2" xfId="8521" xr:uid="{00000000-0005-0000-0000-000045210000}"/>
    <cellStyle name="20% - Accent5 5 3 2 2 2 2 2" xfId="8522" xr:uid="{00000000-0005-0000-0000-000046210000}"/>
    <cellStyle name="20% - Accent5 5 3 2 2 2 3" xfId="8523" xr:uid="{00000000-0005-0000-0000-000047210000}"/>
    <cellStyle name="20% - Accent5 5 3 2 2 3" xfId="8524" xr:uid="{00000000-0005-0000-0000-000048210000}"/>
    <cellStyle name="20% - Accent5 5 3 2 2 3 2" xfId="8525" xr:uid="{00000000-0005-0000-0000-000049210000}"/>
    <cellStyle name="20% - Accent5 5 3 2 2 4" xfId="8526" xr:uid="{00000000-0005-0000-0000-00004A210000}"/>
    <cellStyle name="20% - Accent5 5 3 2 3" xfId="8527" xr:uid="{00000000-0005-0000-0000-00004B210000}"/>
    <cellStyle name="20% - Accent5 5 3 2 3 2" xfId="8528" xr:uid="{00000000-0005-0000-0000-00004C210000}"/>
    <cellStyle name="20% - Accent5 5 3 2 3 2 2" xfId="8529" xr:uid="{00000000-0005-0000-0000-00004D210000}"/>
    <cellStyle name="20% - Accent5 5 3 2 3 3" xfId="8530" xr:uid="{00000000-0005-0000-0000-00004E210000}"/>
    <cellStyle name="20% - Accent5 5 3 2 4" xfId="8531" xr:uid="{00000000-0005-0000-0000-00004F210000}"/>
    <cellStyle name="20% - Accent5 5 3 2 4 2" xfId="8532" xr:uid="{00000000-0005-0000-0000-000050210000}"/>
    <cellStyle name="20% - Accent5 5 3 2 4 2 2" xfId="8533" xr:uid="{00000000-0005-0000-0000-000051210000}"/>
    <cellStyle name="20% - Accent5 5 3 2 4 3" xfId="8534" xr:uid="{00000000-0005-0000-0000-000052210000}"/>
    <cellStyle name="20% - Accent5 5 3 2 5" xfId="8535" xr:uid="{00000000-0005-0000-0000-000053210000}"/>
    <cellStyle name="20% - Accent5 5 3 2 5 2" xfId="8536" xr:uid="{00000000-0005-0000-0000-000054210000}"/>
    <cellStyle name="20% - Accent5 5 3 2 5 2 2" xfId="8537" xr:uid="{00000000-0005-0000-0000-000055210000}"/>
    <cellStyle name="20% - Accent5 5 3 2 5 3" xfId="8538" xr:uid="{00000000-0005-0000-0000-000056210000}"/>
    <cellStyle name="20% - Accent5 5 3 2 6" xfId="8539" xr:uid="{00000000-0005-0000-0000-000057210000}"/>
    <cellStyle name="20% - Accent5 5 3 2 6 2" xfId="8540" xr:uid="{00000000-0005-0000-0000-000058210000}"/>
    <cellStyle name="20% - Accent5 5 3 2 6 2 2" xfId="8541" xr:uid="{00000000-0005-0000-0000-000059210000}"/>
    <cellStyle name="20% - Accent5 5 3 2 6 3" xfId="8542" xr:uid="{00000000-0005-0000-0000-00005A210000}"/>
    <cellStyle name="20% - Accent5 5 3 2 7" xfId="8543" xr:uid="{00000000-0005-0000-0000-00005B210000}"/>
    <cellStyle name="20% - Accent5 5 3 2 7 2" xfId="8544" xr:uid="{00000000-0005-0000-0000-00005C210000}"/>
    <cellStyle name="20% - Accent5 5 3 2 8" xfId="8545" xr:uid="{00000000-0005-0000-0000-00005D210000}"/>
    <cellStyle name="20% - Accent5 5 3 3" xfId="8546" xr:uid="{00000000-0005-0000-0000-00005E210000}"/>
    <cellStyle name="20% - Accent5 5 3 3 2" xfId="8547" xr:uid="{00000000-0005-0000-0000-00005F210000}"/>
    <cellStyle name="20% - Accent5 5 3 3 2 2" xfId="8548" xr:uid="{00000000-0005-0000-0000-000060210000}"/>
    <cellStyle name="20% - Accent5 5 3 3 2 2 2" xfId="8549" xr:uid="{00000000-0005-0000-0000-000061210000}"/>
    <cellStyle name="20% - Accent5 5 3 3 2 2 2 2" xfId="8550" xr:uid="{00000000-0005-0000-0000-000062210000}"/>
    <cellStyle name="20% - Accent5 5 3 3 2 2 3" xfId="8551" xr:uid="{00000000-0005-0000-0000-000063210000}"/>
    <cellStyle name="20% - Accent5 5 3 3 2 3" xfId="8552" xr:uid="{00000000-0005-0000-0000-000064210000}"/>
    <cellStyle name="20% - Accent5 5 3 3 2 3 2" xfId="8553" xr:uid="{00000000-0005-0000-0000-000065210000}"/>
    <cellStyle name="20% - Accent5 5 3 3 2 4" xfId="8554" xr:uid="{00000000-0005-0000-0000-000066210000}"/>
    <cellStyle name="20% - Accent5 5 3 3 3" xfId="8555" xr:uid="{00000000-0005-0000-0000-000067210000}"/>
    <cellStyle name="20% - Accent5 5 3 3 3 2" xfId="8556" xr:uid="{00000000-0005-0000-0000-000068210000}"/>
    <cellStyle name="20% - Accent5 5 3 3 3 2 2" xfId="8557" xr:uid="{00000000-0005-0000-0000-000069210000}"/>
    <cellStyle name="20% - Accent5 5 3 3 3 3" xfId="8558" xr:uid="{00000000-0005-0000-0000-00006A210000}"/>
    <cellStyle name="20% - Accent5 5 3 3 4" xfId="8559" xr:uid="{00000000-0005-0000-0000-00006B210000}"/>
    <cellStyle name="20% - Accent5 5 3 3 4 2" xfId="8560" xr:uid="{00000000-0005-0000-0000-00006C210000}"/>
    <cellStyle name="20% - Accent5 5 3 3 4 2 2" xfId="8561" xr:uid="{00000000-0005-0000-0000-00006D210000}"/>
    <cellStyle name="20% - Accent5 5 3 3 4 3" xfId="8562" xr:uid="{00000000-0005-0000-0000-00006E210000}"/>
    <cellStyle name="20% - Accent5 5 3 3 5" xfId="8563" xr:uid="{00000000-0005-0000-0000-00006F210000}"/>
    <cellStyle name="20% - Accent5 5 3 3 5 2" xfId="8564" xr:uid="{00000000-0005-0000-0000-000070210000}"/>
    <cellStyle name="20% - Accent5 5 3 3 5 2 2" xfId="8565" xr:uid="{00000000-0005-0000-0000-000071210000}"/>
    <cellStyle name="20% - Accent5 5 3 3 5 3" xfId="8566" xr:uid="{00000000-0005-0000-0000-000072210000}"/>
    <cellStyle name="20% - Accent5 5 3 3 6" xfId="8567" xr:uid="{00000000-0005-0000-0000-000073210000}"/>
    <cellStyle name="20% - Accent5 5 3 3 6 2" xfId="8568" xr:uid="{00000000-0005-0000-0000-000074210000}"/>
    <cellStyle name="20% - Accent5 5 3 3 6 2 2" xfId="8569" xr:uid="{00000000-0005-0000-0000-000075210000}"/>
    <cellStyle name="20% - Accent5 5 3 3 6 3" xfId="8570" xr:uid="{00000000-0005-0000-0000-000076210000}"/>
    <cellStyle name="20% - Accent5 5 3 3 7" xfId="8571" xr:uid="{00000000-0005-0000-0000-000077210000}"/>
    <cellStyle name="20% - Accent5 5 3 3 7 2" xfId="8572" xr:uid="{00000000-0005-0000-0000-000078210000}"/>
    <cellStyle name="20% - Accent5 5 3 3 8" xfId="8573" xr:uid="{00000000-0005-0000-0000-000079210000}"/>
    <cellStyle name="20% - Accent5 5 3 4" xfId="8574" xr:uid="{00000000-0005-0000-0000-00007A210000}"/>
    <cellStyle name="20% - Accent5 5 3 4 2" xfId="8575" xr:uid="{00000000-0005-0000-0000-00007B210000}"/>
    <cellStyle name="20% - Accent5 5 3 4 2 2" xfId="8576" xr:uid="{00000000-0005-0000-0000-00007C210000}"/>
    <cellStyle name="20% - Accent5 5 3 4 2 2 2" xfId="8577" xr:uid="{00000000-0005-0000-0000-00007D210000}"/>
    <cellStyle name="20% - Accent5 5 3 4 2 2 2 2" xfId="8578" xr:uid="{00000000-0005-0000-0000-00007E210000}"/>
    <cellStyle name="20% - Accent5 5 3 4 2 2 3" xfId="8579" xr:uid="{00000000-0005-0000-0000-00007F210000}"/>
    <cellStyle name="20% - Accent5 5 3 4 2 3" xfId="8580" xr:uid="{00000000-0005-0000-0000-000080210000}"/>
    <cellStyle name="20% - Accent5 5 3 4 2 3 2" xfId="8581" xr:uid="{00000000-0005-0000-0000-000081210000}"/>
    <cellStyle name="20% - Accent5 5 3 4 2 4" xfId="8582" xr:uid="{00000000-0005-0000-0000-000082210000}"/>
    <cellStyle name="20% - Accent5 5 3 4 3" xfId="8583" xr:uid="{00000000-0005-0000-0000-000083210000}"/>
    <cellStyle name="20% - Accent5 5 3 4 3 2" xfId="8584" xr:uid="{00000000-0005-0000-0000-000084210000}"/>
    <cellStyle name="20% - Accent5 5 3 4 3 2 2" xfId="8585" xr:uid="{00000000-0005-0000-0000-000085210000}"/>
    <cellStyle name="20% - Accent5 5 3 4 3 3" xfId="8586" xr:uid="{00000000-0005-0000-0000-000086210000}"/>
    <cellStyle name="20% - Accent5 5 3 4 4" xfId="8587" xr:uid="{00000000-0005-0000-0000-000087210000}"/>
    <cellStyle name="20% - Accent5 5 3 4 4 2" xfId="8588" xr:uid="{00000000-0005-0000-0000-000088210000}"/>
    <cellStyle name="20% - Accent5 5 3 4 4 2 2" xfId="8589" xr:uid="{00000000-0005-0000-0000-000089210000}"/>
    <cellStyle name="20% - Accent5 5 3 4 4 3" xfId="8590" xr:uid="{00000000-0005-0000-0000-00008A210000}"/>
    <cellStyle name="20% - Accent5 5 3 4 5" xfId="8591" xr:uid="{00000000-0005-0000-0000-00008B210000}"/>
    <cellStyle name="20% - Accent5 5 3 4 5 2" xfId="8592" xr:uid="{00000000-0005-0000-0000-00008C210000}"/>
    <cellStyle name="20% - Accent5 5 3 4 5 2 2" xfId="8593" xr:uid="{00000000-0005-0000-0000-00008D210000}"/>
    <cellStyle name="20% - Accent5 5 3 4 5 3" xfId="8594" xr:uid="{00000000-0005-0000-0000-00008E210000}"/>
    <cellStyle name="20% - Accent5 5 3 4 6" xfId="8595" xr:uid="{00000000-0005-0000-0000-00008F210000}"/>
    <cellStyle name="20% - Accent5 5 3 4 6 2" xfId="8596" xr:uid="{00000000-0005-0000-0000-000090210000}"/>
    <cellStyle name="20% - Accent5 5 3 4 6 2 2" xfId="8597" xr:uid="{00000000-0005-0000-0000-000091210000}"/>
    <cellStyle name="20% - Accent5 5 3 4 6 3" xfId="8598" xr:uid="{00000000-0005-0000-0000-000092210000}"/>
    <cellStyle name="20% - Accent5 5 3 4 7" xfId="8599" xr:uid="{00000000-0005-0000-0000-000093210000}"/>
    <cellStyle name="20% - Accent5 5 3 4 7 2" xfId="8600" xr:uid="{00000000-0005-0000-0000-000094210000}"/>
    <cellStyle name="20% - Accent5 5 3 4 8" xfId="8601" xr:uid="{00000000-0005-0000-0000-000095210000}"/>
    <cellStyle name="20% - Accent5 5 3 5" xfId="8602" xr:uid="{00000000-0005-0000-0000-000096210000}"/>
    <cellStyle name="20% - Accent5 5 3 5 2" xfId="8603" xr:uid="{00000000-0005-0000-0000-000097210000}"/>
    <cellStyle name="20% - Accent5 5 3 5 2 2" xfId="8604" xr:uid="{00000000-0005-0000-0000-000098210000}"/>
    <cellStyle name="20% - Accent5 5 3 5 2 2 2" xfId="8605" xr:uid="{00000000-0005-0000-0000-000099210000}"/>
    <cellStyle name="20% - Accent5 5 3 5 2 2 2 2" xfId="8606" xr:uid="{00000000-0005-0000-0000-00009A210000}"/>
    <cellStyle name="20% - Accent5 5 3 5 2 2 3" xfId="8607" xr:uid="{00000000-0005-0000-0000-00009B210000}"/>
    <cellStyle name="20% - Accent5 5 3 5 2 3" xfId="8608" xr:uid="{00000000-0005-0000-0000-00009C210000}"/>
    <cellStyle name="20% - Accent5 5 3 5 2 3 2" xfId="8609" xr:uid="{00000000-0005-0000-0000-00009D210000}"/>
    <cellStyle name="20% - Accent5 5 3 5 2 4" xfId="8610" xr:uid="{00000000-0005-0000-0000-00009E210000}"/>
    <cellStyle name="20% - Accent5 5 3 5 3" xfId="8611" xr:uid="{00000000-0005-0000-0000-00009F210000}"/>
    <cellStyle name="20% - Accent5 5 3 5 3 2" xfId="8612" xr:uid="{00000000-0005-0000-0000-0000A0210000}"/>
    <cellStyle name="20% - Accent5 5 3 5 3 2 2" xfId="8613" xr:uid="{00000000-0005-0000-0000-0000A1210000}"/>
    <cellStyle name="20% - Accent5 5 3 5 3 3" xfId="8614" xr:uid="{00000000-0005-0000-0000-0000A2210000}"/>
    <cellStyle name="20% - Accent5 5 3 5 4" xfId="8615" xr:uid="{00000000-0005-0000-0000-0000A3210000}"/>
    <cellStyle name="20% - Accent5 5 3 5 4 2" xfId="8616" xr:uid="{00000000-0005-0000-0000-0000A4210000}"/>
    <cellStyle name="20% - Accent5 5 3 5 5" xfId="8617" xr:uid="{00000000-0005-0000-0000-0000A5210000}"/>
    <cellStyle name="20% - Accent5 5 3 6" xfId="8618" xr:uid="{00000000-0005-0000-0000-0000A6210000}"/>
    <cellStyle name="20% - Accent5 5 3 6 2" xfId="8619" xr:uid="{00000000-0005-0000-0000-0000A7210000}"/>
    <cellStyle name="20% - Accent5 5 3 6 2 2" xfId="8620" xr:uid="{00000000-0005-0000-0000-0000A8210000}"/>
    <cellStyle name="20% - Accent5 5 3 6 2 2 2" xfId="8621" xr:uid="{00000000-0005-0000-0000-0000A9210000}"/>
    <cellStyle name="20% - Accent5 5 3 6 2 2 2 2" xfId="8622" xr:uid="{00000000-0005-0000-0000-0000AA210000}"/>
    <cellStyle name="20% - Accent5 5 3 6 2 2 3" xfId="8623" xr:uid="{00000000-0005-0000-0000-0000AB210000}"/>
    <cellStyle name="20% - Accent5 5 3 6 2 3" xfId="8624" xr:uid="{00000000-0005-0000-0000-0000AC210000}"/>
    <cellStyle name="20% - Accent5 5 3 6 2 3 2" xfId="8625" xr:uid="{00000000-0005-0000-0000-0000AD210000}"/>
    <cellStyle name="20% - Accent5 5 3 6 2 4" xfId="8626" xr:uid="{00000000-0005-0000-0000-0000AE210000}"/>
    <cellStyle name="20% - Accent5 5 3 6 3" xfId="8627" xr:uid="{00000000-0005-0000-0000-0000AF210000}"/>
    <cellStyle name="20% - Accent5 5 3 6 3 2" xfId="8628" xr:uid="{00000000-0005-0000-0000-0000B0210000}"/>
    <cellStyle name="20% - Accent5 5 3 6 3 2 2" xfId="8629" xr:uid="{00000000-0005-0000-0000-0000B1210000}"/>
    <cellStyle name="20% - Accent5 5 3 6 3 3" xfId="8630" xr:uid="{00000000-0005-0000-0000-0000B2210000}"/>
    <cellStyle name="20% - Accent5 5 3 6 4" xfId="8631" xr:uid="{00000000-0005-0000-0000-0000B3210000}"/>
    <cellStyle name="20% - Accent5 5 3 6 4 2" xfId="8632" xr:uid="{00000000-0005-0000-0000-0000B4210000}"/>
    <cellStyle name="20% - Accent5 5 3 6 5" xfId="8633" xr:uid="{00000000-0005-0000-0000-0000B5210000}"/>
    <cellStyle name="20% - Accent5 5 3 7" xfId="8634" xr:uid="{00000000-0005-0000-0000-0000B6210000}"/>
    <cellStyle name="20% - Accent5 5 3 7 2" xfId="8635" xr:uid="{00000000-0005-0000-0000-0000B7210000}"/>
    <cellStyle name="20% - Accent5 5 3 7 2 2" xfId="8636" xr:uid="{00000000-0005-0000-0000-0000B8210000}"/>
    <cellStyle name="20% - Accent5 5 3 7 2 2 2" xfId="8637" xr:uid="{00000000-0005-0000-0000-0000B9210000}"/>
    <cellStyle name="20% - Accent5 5 3 7 2 3" xfId="8638" xr:uid="{00000000-0005-0000-0000-0000BA210000}"/>
    <cellStyle name="20% - Accent5 5 3 7 3" xfId="8639" xr:uid="{00000000-0005-0000-0000-0000BB210000}"/>
    <cellStyle name="20% - Accent5 5 3 7 3 2" xfId="8640" xr:uid="{00000000-0005-0000-0000-0000BC210000}"/>
    <cellStyle name="20% - Accent5 5 3 7 4" xfId="8641" xr:uid="{00000000-0005-0000-0000-0000BD210000}"/>
    <cellStyle name="20% - Accent5 5 3 8" xfId="8642" xr:uid="{00000000-0005-0000-0000-0000BE210000}"/>
    <cellStyle name="20% - Accent5 5 3 8 2" xfId="8643" xr:uid="{00000000-0005-0000-0000-0000BF210000}"/>
    <cellStyle name="20% - Accent5 5 3 8 2 2" xfId="8644" xr:uid="{00000000-0005-0000-0000-0000C0210000}"/>
    <cellStyle name="20% - Accent5 5 3 8 2 2 2" xfId="8645" xr:uid="{00000000-0005-0000-0000-0000C1210000}"/>
    <cellStyle name="20% - Accent5 5 3 8 2 3" xfId="8646" xr:uid="{00000000-0005-0000-0000-0000C2210000}"/>
    <cellStyle name="20% - Accent5 5 3 8 3" xfId="8647" xr:uid="{00000000-0005-0000-0000-0000C3210000}"/>
    <cellStyle name="20% - Accent5 5 3 8 3 2" xfId="8648" xr:uid="{00000000-0005-0000-0000-0000C4210000}"/>
    <cellStyle name="20% - Accent5 5 3 8 4" xfId="8649" xr:uid="{00000000-0005-0000-0000-0000C5210000}"/>
    <cellStyle name="20% - Accent5 5 3 9" xfId="8650" xr:uid="{00000000-0005-0000-0000-0000C6210000}"/>
    <cellStyle name="20% - Accent5 5 3 9 2" xfId="8651" xr:uid="{00000000-0005-0000-0000-0000C7210000}"/>
    <cellStyle name="20% - Accent5 5 3 9 2 2" xfId="8652" xr:uid="{00000000-0005-0000-0000-0000C8210000}"/>
    <cellStyle name="20% - Accent5 5 3 9 3" xfId="8653" xr:uid="{00000000-0005-0000-0000-0000C9210000}"/>
    <cellStyle name="20% - Accent5 5 4" xfId="8654" xr:uid="{00000000-0005-0000-0000-0000CA210000}"/>
    <cellStyle name="20% - Accent5 5 4 10" xfId="8655" xr:uid="{00000000-0005-0000-0000-0000CB210000}"/>
    <cellStyle name="20% - Accent5 5 4 10 2" xfId="8656" xr:uid="{00000000-0005-0000-0000-0000CC210000}"/>
    <cellStyle name="20% - Accent5 5 4 10 2 2" xfId="8657" xr:uid="{00000000-0005-0000-0000-0000CD210000}"/>
    <cellStyle name="20% - Accent5 5 4 10 3" xfId="8658" xr:uid="{00000000-0005-0000-0000-0000CE210000}"/>
    <cellStyle name="20% - Accent5 5 4 11" xfId="8659" xr:uid="{00000000-0005-0000-0000-0000CF210000}"/>
    <cellStyle name="20% - Accent5 5 4 11 2" xfId="8660" xr:uid="{00000000-0005-0000-0000-0000D0210000}"/>
    <cellStyle name="20% - Accent5 5 4 11 2 2" xfId="8661" xr:uid="{00000000-0005-0000-0000-0000D1210000}"/>
    <cellStyle name="20% - Accent5 5 4 11 3" xfId="8662" xr:uid="{00000000-0005-0000-0000-0000D2210000}"/>
    <cellStyle name="20% - Accent5 5 4 12" xfId="8663" xr:uid="{00000000-0005-0000-0000-0000D3210000}"/>
    <cellStyle name="20% - Accent5 5 4 12 2" xfId="8664" xr:uid="{00000000-0005-0000-0000-0000D4210000}"/>
    <cellStyle name="20% - Accent5 5 4 12 2 2" xfId="8665" xr:uid="{00000000-0005-0000-0000-0000D5210000}"/>
    <cellStyle name="20% - Accent5 5 4 12 3" xfId="8666" xr:uid="{00000000-0005-0000-0000-0000D6210000}"/>
    <cellStyle name="20% - Accent5 5 4 13" xfId="8667" xr:uid="{00000000-0005-0000-0000-0000D7210000}"/>
    <cellStyle name="20% - Accent5 5 4 13 2" xfId="8668" xr:uid="{00000000-0005-0000-0000-0000D8210000}"/>
    <cellStyle name="20% - Accent5 5 4 14" xfId="8669" xr:uid="{00000000-0005-0000-0000-0000D9210000}"/>
    <cellStyle name="20% - Accent5 5 4 2" xfId="8670" xr:uid="{00000000-0005-0000-0000-0000DA210000}"/>
    <cellStyle name="20% - Accent5 5 4 2 2" xfId="8671" xr:uid="{00000000-0005-0000-0000-0000DB210000}"/>
    <cellStyle name="20% - Accent5 5 4 2 2 2" xfId="8672" xr:uid="{00000000-0005-0000-0000-0000DC210000}"/>
    <cellStyle name="20% - Accent5 5 4 2 2 2 2" xfId="8673" xr:uid="{00000000-0005-0000-0000-0000DD210000}"/>
    <cellStyle name="20% - Accent5 5 4 2 2 2 2 2" xfId="8674" xr:uid="{00000000-0005-0000-0000-0000DE210000}"/>
    <cellStyle name="20% - Accent5 5 4 2 2 2 3" xfId="8675" xr:uid="{00000000-0005-0000-0000-0000DF210000}"/>
    <cellStyle name="20% - Accent5 5 4 2 2 3" xfId="8676" xr:uid="{00000000-0005-0000-0000-0000E0210000}"/>
    <cellStyle name="20% - Accent5 5 4 2 2 3 2" xfId="8677" xr:uid="{00000000-0005-0000-0000-0000E1210000}"/>
    <cellStyle name="20% - Accent5 5 4 2 2 4" xfId="8678" xr:uid="{00000000-0005-0000-0000-0000E2210000}"/>
    <cellStyle name="20% - Accent5 5 4 2 3" xfId="8679" xr:uid="{00000000-0005-0000-0000-0000E3210000}"/>
    <cellStyle name="20% - Accent5 5 4 2 3 2" xfId="8680" xr:uid="{00000000-0005-0000-0000-0000E4210000}"/>
    <cellStyle name="20% - Accent5 5 4 2 3 2 2" xfId="8681" xr:uid="{00000000-0005-0000-0000-0000E5210000}"/>
    <cellStyle name="20% - Accent5 5 4 2 3 3" xfId="8682" xr:uid="{00000000-0005-0000-0000-0000E6210000}"/>
    <cellStyle name="20% - Accent5 5 4 2 4" xfId="8683" xr:uid="{00000000-0005-0000-0000-0000E7210000}"/>
    <cellStyle name="20% - Accent5 5 4 2 4 2" xfId="8684" xr:uid="{00000000-0005-0000-0000-0000E8210000}"/>
    <cellStyle name="20% - Accent5 5 4 2 4 2 2" xfId="8685" xr:uid="{00000000-0005-0000-0000-0000E9210000}"/>
    <cellStyle name="20% - Accent5 5 4 2 4 3" xfId="8686" xr:uid="{00000000-0005-0000-0000-0000EA210000}"/>
    <cellStyle name="20% - Accent5 5 4 2 5" xfId="8687" xr:uid="{00000000-0005-0000-0000-0000EB210000}"/>
    <cellStyle name="20% - Accent5 5 4 2 5 2" xfId="8688" xr:uid="{00000000-0005-0000-0000-0000EC210000}"/>
    <cellStyle name="20% - Accent5 5 4 2 5 2 2" xfId="8689" xr:uid="{00000000-0005-0000-0000-0000ED210000}"/>
    <cellStyle name="20% - Accent5 5 4 2 5 3" xfId="8690" xr:uid="{00000000-0005-0000-0000-0000EE210000}"/>
    <cellStyle name="20% - Accent5 5 4 2 6" xfId="8691" xr:uid="{00000000-0005-0000-0000-0000EF210000}"/>
    <cellStyle name="20% - Accent5 5 4 2 6 2" xfId="8692" xr:uid="{00000000-0005-0000-0000-0000F0210000}"/>
    <cellStyle name="20% - Accent5 5 4 2 6 2 2" xfId="8693" xr:uid="{00000000-0005-0000-0000-0000F1210000}"/>
    <cellStyle name="20% - Accent5 5 4 2 6 3" xfId="8694" xr:uid="{00000000-0005-0000-0000-0000F2210000}"/>
    <cellStyle name="20% - Accent5 5 4 2 7" xfId="8695" xr:uid="{00000000-0005-0000-0000-0000F3210000}"/>
    <cellStyle name="20% - Accent5 5 4 2 7 2" xfId="8696" xr:uid="{00000000-0005-0000-0000-0000F4210000}"/>
    <cellStyle name="20% - Accent5 5 4 2 8" xfId="8697" xr:uid="{00000000-0005-0000-0000-0000F5210000}"/>
    <cellStyle name="20% - Accent5 5 4 3" xfId="8698" xr:uid="{00000000-0005-0000-0000-0000F6210000}"/>
    <cellStyle name="20% - Accent5 5 4 3 2" xfId="8699" xr:uid="{00000000-0005-0000-0000-0000F7210000}"/>
    <cellStyle name="20% - Accent5 5 4 3 2 2" xfId="8700" xr:uid="{00000000-0005-0000-0000-0000F8210000}"/>
    <cellStyle name="20% - Accent5 5 4 3 2 2 2" xfId="8701" xr:uid="{00000000-0005-0000-0000-0000F9210000}"/>
    <cellStyle name="20% - Accent5 5 4 3 2 2 2 2" xfId="8702" xr:uid="{00000000-0005-0000-0000-0000FA210000}"/>
    <cellStyle name="20% - Accent5 5 4 3 2 2 3" xfId="8703" xr:uid="{00000000-0005-0000-0000-0000FB210000}"/>
    <cellStyle name="20% - Accent5 5 4 3 2 3" xfId="8704" xr:uid="{00000000-0005-0000-0000-0000FC210000}"/>
    <cellStyle name="20% - Accent5 5 4 3 2 3 2" xfId="8705" xr:uid="{00000000-0005-0000-0000-0000FD210000}"/>
    <cellStyle name="20% - Accent5 5 4 3 2 4" xfId="8706" xr:uid="{00000000-0005-0000-0000-0000FE210000}"/>
    <cellStyle name="20% - Accent5 5 4 3 3" xfId="8707" xr:uid="{00000000-0005-0000-0000-0000FF210000}"/>
    <cellStyle name="20% - Accent5 5 4 3 3 2" xfId="8708" xr:uid="{00000000-0005-0000-0000-000000220000}"/>
    <cellStyle name="20% - Accent5 5 4 3 3 2 2" xfId="8709" xr:uid="{00000000-0005-0000-0000-000001220000}"/>
    <cellStyle name="20% - Accent5 5 4 3 3 3" xfId="8710" xr:uid="{00000000-0005-0000-0000-000002220000}"/>
    <cellStyle name="20% - Accent5 5 4 3 4" xfId="8711" xr:uid="{00000000-0005-0000-0000-000003220000}"/>
    <cellStyle name="20% - Accent5 5 4 3 4 2" xfId="8712" xr:uid="{00000000-0005-0000-0000-000004220000}"/>
    <cellStyle name="20% - Accent5 5 4 3 4 2 2" xfId="8713" xr:uid="{00000000-0005-0000-0000-000005220000}"/>
    <cellStyle name="20% - Accent5 5 4 3 4 3" xfId="8714" xr:uid="{00000000-0005-0000-0000-000006220000}"/>
    <cellStyle name="20% - Accent5 5 4 3 5" xfId="8715" xr:uid="{00000000-0005-0000-0000-000007220000}"/>
    <cellStyle name="20% - Accent5 5 4 3 5 2" xfId="8716" xr:uid="{00000000-0005-0000-0000-000008220000}"/>
    <cellStyle name="20% - Accent5 5 4 3 5 2 2" xfId="8717" xr:uid="{00000000-0005-0000-0000-000009220000}"/>
    <cellStyle name="20% - Accent5 5 4 3 5 3" xfId="8718" xr:uid="{00000000-0005-0000-0000-00000A220000}"/>
    <cellStyle name="20% - Accent5 5 4 3 6" xfId="8719" xr:uid="{00000000-0005-0000-0000-00000B220000}"/>
    <cellStyle name="20% - Accent5 5 4 3 6 2" xfId="8720" xr:uid="{00000000-0005-0000-0000-00000C220000}"/>
    <cellStyle name="20% - Accent5 5 4 3 6 2 2" xfId="8721" xr:uid="{00000000-0005-0000-0000-00000D220000}"/>
    <cellStyle name="20% - Accent5 5 4 3 6 3" xfId="8722" xr:uid="{00000000-0005-0000-0000-00000E220000}"/>
    <cellStyle name="20% - Accent5 5 4 3 7" xfId="8723" xr:uid="{00000000-0005-0000-0000-00000F220000}"/>
    <cellStyle name="20% - Accent5 5 4 3 7 2" xfId="8724" xr:uid="{00000000-0005-0000-0000-000010220000}"/>
    <cellStyle name="20% - Accent5 5 4 3 8" xfId="8725" xr:uid="{00000000-0005-0000-0000-000011220000}"/>
    <cellStyle name="20% - Accent5 5 4 4" xfId="8726" xr:uid="{00000000-0005-0000-0000-000012220000}"/>
    <cellStyle name="20% - Accent5 5 4 4 2" xfId="8727" xr:uid="{00000000-0005-0000-0000-000013220000}"/>
    <cellStyle name="20% - Accent5 5 4 4 2 2" xfId="8728" xr:uid="{00000000-0005-0000-0000-000014220000}"/>
    <cellStyle name="20% - Accent5 5 4 4 2 2 2" xfId="8729" xr:uid="{00000000-0005-0000-0000-000015220000}"/>
    <cellStyle name="20% - Accent5 5 4 4 2 2 2 2" xfId="8730" xr:uid="{00000000-0005-0000-0000-000016220000}"/>
    <cellStyle name="20% - Accent5 5 4 4 2 2 3" xfId="8731" xr:uid="{00000000-0005-0000-0000-000017220000}"/>
    <cellStyle name="20% - Accent5 5 4 4 2 3" xfId="8732" xr:uid="{00000000-0005-0000-0000-000018220000}"/>
    <cellStyle name="20% - Accent5 5 4 4 2 3 2" xfId="8733" xr:uid="{00000000-0005-0000-0000-000019220000}"/>
    <cellStyle name="20% - Accent5 5 4 4 2 4" xfId="8734" xr:uid="{00000000-0005-0000-0000-00001A220000}"/>
    <cellStyle name="20% - Accent5 5 4 4 3" xfId="8735" xr:uid="{00000000-0005-0000-0000-00001B220000}"/>
    <cellStyle name="20% - Accent5 5 4 4 3 2" xfId="8736" xr:uid="{00000000-0005-0000-0000-00001C220000}"/>
    <cellStyle name="20% - Accent5 5 4 4 3 2 2" xfId="8737" xr:uid="{00000000-0005-0000-0000-00001D220000}"/>
    <cellStyle name="20% - Accent5 5 4 4 3 3" xfId="8738" xr:uid="{00000000-0005-0000-0000-00001E220000}"/>
    <cellStyle name="20% - Accent5 5 4 4 4" xfId="8739" xr:uid="{00000000-0005-0000-0000-00001F220000}"/>
    <cellStyle name="20% - Accent5 5 4 4 4 2" xfId="8740" xr:uid="{00000000-0005-0000-0000-000020220000}"/>
    <cellStyle name="20% - Accent5 5 4 4 4 2 2" xfId="8741" xr:uid="{00000000-0005-0000-0000-000021220000}"/>
    <cellStyle name="20% - Accent5 5 4 4 4 3" xfId="8742" xr:uid="{00000000-0005-0000-0000-000022220000}"/>
    <cellStyle name="20% - Accent5 5 4 4 5" xfId="8743" xr:uid="{00000000-0005-0000-0000-000023220000}"/>
    <cellStyle name="20% - Accent5 5 4 4 5 2" xfId="8744" xr:uid="{00000000-0005-0000-0000-000024220000}"/>
    <cellStyle name="20% - Accent5 5 4 4 5 2 2" xfId="8745" xr:uid="{00000000-0005-0000-0000-000025220000}"/>
    <cellStyle name="20% - Accent5 5 4 4 5 3" xfId="8746" xr:uid="{00000000-0005-0000-0000-000026220000}"/>
    <cellStyle name="20% - Accent5 5 4 4 6" xfId="8747" xr:uid="{00000000-0005-0000-0000-000027220000}"/>
    <cellStyle name="20% - Accent5 5 4 4 6 2" xfId="8748" xr:uid="{00000000-0005-0000-0000-000028220000}"/>
    <cellStyle name="20% - Accent5 5 4 4 6 2 2" xfId="8749" xr:uid="{00000000-0005-0000-0000-000029220000}"/>
    <cellStyle name="20% - Accent5 5 4 4 6 3" xfId="8750" xr:uid="{00000000-0005-0000-0000-00002A220000}"/>
    <cellStyle name="20% - Accent5 5 4 4 7" xfId="8751" xr:uid="{00000000-0005-0000-0000-00002B220000}"/>
    <cellStyle name="20% - Accent5 5 4 4 7 2" xfId="8752" xr:uid="{00000000-0005-0000-0000-00002C220000}"/>
    <cellStyle name="20% - Accent5 5 4 4 8" xfId="8753" xr:uid="{00000000-0005-0000-0000-00002D220000}"/>
    <cellStyle name="20% - Accent5 5 4 5" xfId="8754" xr:uid="{00000000-0005-0000-0000-00002E220000}"/>
    <cellStyle name="20% - Accent5 5 4 5 2" xfId="8755" xr:uid="{00000000-0005-0000-0000-00002F220000}"/>
    <cellStyle name="20% - Accent5 5 4 5 2 2" xfId="8756" xr:uid="{00000000-0005-0000-0000-000030220000}"/>
    <cellStyle name="20% - Accent5 5 4 5 2 2 2" xfId="8757" xr:uid="{00000000-0005-0000-0000-000031220000}"/>
    <cellStyle name="20% - Accent5 5 4 5 2 2 2 2" xfId="8758" xr:uid="{00000000-0005-0000-0000-000032220000}"/>
    <cellStyle name="20% - Accent5 5 4 5 2 2 3" xfId="8759" xr:uid="{00000000-0005-0000-0000-000033220000}"/>
    <cellStyle name="20% - Accent5 5 4 5 2 3" xfId="8760" xr:uid="{00000000-0005-0000-0000-000034220000}"/>
    <cellStyle name="20% - Accent5 5 4 5 2 3 2" xfId="8761" xr:uid="{00000000-0005-0000-0000-000035220000}"/>
    <cellStyle name="20% - Accent5 5 4 5 2 4" xfId="8762" xr:uid="{00000000-0005-0000-0000-000036220000}"/>
    <cellStyle name="20% - Accent5 5 4 5 3" xfId="8763" xr:uid="{00000000-0005-0000-0000-000037220000}"/>
    <cellStyle name="20% - Accent5 5 4 5 3 2" xfId="8764" xr:uid="{00000000-0005-0000-0000-000038220000}"/>
    <cellStyle name="20% - Accent5 5 4 5 3 2 2" xfId="8765" xr:uid="{00000000-0005-0000-0000-000039220000}"/>
    <cellStyle name="20% - Accent5 5 4 5 3 3" xfId="8766" xr:uid="{00000000-0005-0000-0000-00003A220000}"/>
    <cellStyle name="20% - Accent5 5 4 5 4" xfId="8767" xr:uid="{00000000-0005-0000-0000-00003B220000}"/>
    <cellStyle name="20% - Accent5 5 4 5 4 2" xfId="8768" xr:uid="{00000000-0005-0000-0000-00003C220000}"/>
    <cellStyle name="20% - Accent5 5 4 5 5" xfId="8769" xr:uid="{00000000-0005-0000-0000-00003D220000}"/>
    <cellStyle name="20% - Accent5 5 4 6" xfId="8770" xr:uid="{00000000-0005-0000-0000-00003E220000}"/>
    <cellStyle name="20% - Accent5 5 4 6 2" xfId="8771" xr:uid="{00000000-0005-0000-0000-00003F220000}"/>
    <cellStyle name="20% - Accent5 5 4 6 2 2" xfId="8772" xr:uid="{00000000-0005-0000-0000-000040220000}"/>
    <cellStyle name="20% - Accent5 5 4 6 2 2 2" xfId="8773" xr:uid="{00000000-0005-0000-0000-000041220000}"/>
    <cellStyle name="20% - Accent5 5 4 6 2 2 2 2" xfId="8774" xr:uid="{00000000-0005-0000-0000-000042220000}"/>
    <cellStyle name="20% - Accent5 5 4 6 2 2 3" xfId="8775" xr:uid="{00000000-0005-0000-0000-000043220000}"/>
    <cellStyle name="20% - Accent5 5 4 6 2 3" xfId="8776" xr:uid="{00000000-0005-0000-0000-000044220000}"/>
    <cellStyle name="20% - Accent5 5 4 6 2 3 2" xfId="8777" xr:uid="{00000000-0005-0000-0000-000045220000}"/>
    <cellStyle name="20% - Accent5 5 4 6 2 4" xfId="8778" xr:uid="{00000000-0005-0000-0000-000046220000}"/>
    <cellStyle name="20% - Accent5 5 4 6 3" xfId="8779" xr:uid="{00000000-0005-0000-0000-000047220000}"/>
    <cellStyle name="20% - Accent5 5 4 6 3 2" xfId="8780" xr:uid="{00000000-0005-0000-0000-000048220000}"/>
    <cellStyle name="20% - Accent5 5 4 6 3 2 2" xfId="8781" xr:uid="{00000000-0005-0000-0000-000049220000}"/>
    <cellStyle name="20% - Accent5 5 4 6 3 3" xfId="8782" xr:uid="{00000000-0005-0000-0000-00004A220000}"/>
    <cellStyle name="20% - Accent5 5 4 6 4" xfId="8783" xr:uid="{00000000-0005-0000-0000-00004B220000}"/>
    <cellStyle name="20% - Accent5 5 4 6 4 2" xfId="8784" xr:uid="{00000000-0005-0000-0000-00004C220000}"/>
    <cellStyle name="20% - Accent5 5 4 6 5" xfId="8785" xr:uid="{00000000-0005-0000-0000-00004D220000}"/>
    <cellStyle name="20% - Accent5 5 4 7" xfId="8786" xr:uid="{00000000-0005-0000-0000-00004E220000}"/>
    <cellStyle name="20% - Accent5 5 4 7 2" xfId="8787" xr:uid="{00000000-0005-0000-0000-00004F220000}"/>
    <cellStyle name="20% - Accent5 5 4 7 2 2" xfId="8788" xr:uid="{00000000-0005-0000-0000-000050220000}"/>
    <cellStyle name="20% - Accent5 5 4 7 2 2 2" xfId="8789" xr:uid="{00000000-0005-0000-0000-000051220000}"/>
    <cellStyle name="20% - Accent5 5 4 7 2 3" xfId="8790" xr:uid="{00000000-0005-0000-0000-000052220000}"/>
    <cellStyle name="20% - Accent5 5 4 7 3" xfId="8791" xr:uid="{00000000-0005-0000-0000-000053220000}"/>
    <cellStyle name="20% - Accent5 5 4 7 3 2" xfId="8792" xr:uid="{00000000-0005-0000-0000-000054220000}"/>
    <cellStyle name="20% - Accent5 5 4 7 4" xfId="8793" xr:uid="{00000000-0005-0000-0000-000055220000}"/>
    <cellStyle name="20% - Accent5 5 4 8" xfId="8794" xr:uid="{00000000-0005-0000-0000-000056220000}"/>
    <cellStyle name="20% - Accent5 5 4 8 2" xfId="8795" xr:uid="{00000000-0005-0000-0000-000057220000}"/>
    <cellStyle name="20% - Accent5 5 4 8 2 2" xfId="8796" xr:uid="{00000000-0005-0000-0000-000058220000}"/>
    <cellStyle name="20% - Accent5 5 4 8 2 2 2" xfId="8797" xr:uid="{00000000-0005-0000-0000-000059220000}"/>
    <cellStyle name="20% - Accent5 5 4 8 2 3" xfId="8798" xr:uid="{00000000-0005-0000-0000-00005A220000}"/>
    <cellStyle name="20% - Accent5 5 4 8 3" xfId="8799" xr:uid="{00000000-0005-0000-0000-00005B220000}"/>
    <cellStyle name="20% - Accent5 5 4 8 3 2" xfId="8800" xr:uid="{00000000-0005-0000-0000-00005C220000}"/>
    <cellStyle name="20% - Accent5 5 4 8 4" xfId="8801" xr:uid="{00000000-0005-0000-0000-00005D220000}"/>
    <cellStyle name="20% - Accent5 5 4 9" xfId="8802" xr:uid="{00000000-0005-0000-0000-00005E220000}"/>
    <cellStyle name="20% - Accent5 5 4 9 2" xfId="8803" xr:uid="{00000000-0005-0000-0000-00005F220000}"/>
    <cellStyle name="20% - Accent5 5 4 9 2 2" xfId="8804" xr:uid="{00000000-0005-0000-0000-000060220000}"/>
    <cellStyle name="20% - Accent5 5 4 9 3" xfId="8805" xr:uid="{00000000-0005-0000-0000-000061220000}"/>
    <cellStyle name="20% - Accent5 5 5" xfId="8806" xr:uid="{00000000-0005-0000-0000-000062220000}"/>
    <cellStyle name="20% - Accent5 5 5 10" xfId="8807" xr:uid="{00000000-0005-0000-0000-000063220000}"/>
    <cellStyle name="20% - Accent5 5 5 10 2" xfId="8808" xr:uid="{00000000-0005-0000-0000-000064220000}"/>
    <cellStyle name="20% - Accent5 5 5 10 2 2" xfId="8809" xr:uid="{00000000-0005-0000-0000-000065220000}"/>
    <cellStyle name="20% - Accent5 5 5 10 3" xfId="8810" xr:uid="{00000000-0005-0000-0000-000066220000}"/>
    <cellStyle name="20% - Accent5 5 5 11" xfId="8811" xr:uid="{00000000-0005-0000-0000-000067220000}"/>
    <cellStyle name="20% - Accent5 5 5 11 2" xfId="8812" xr:uid="{00000000-0005-0000-0000-000068220000}"/>
    <cellStyle name="20% - Accent5 5 5 11 2 2" xfId="8813" xr:uid="{00000000-0005-0000-0000-000069220000}"/>
    <cellStyle name="20% - Accent5 5 5 11 3" xfId="8814" xr:uid="{00000000-0005-0000-0000-00006A220000}"/>
    <cellStyle name="20% - Accent5 5 5 12" xfId="8815" xr:uid="{00000000-0005-0000-0000-00006B220000}"/>
    <cellStyle name="20% - Accent5 5 5 12 2" xfId="8816" xr:uid="{00000000-0005-0000-0000-00006C220000}"/>
    <cellStyle name="20% - Accent5 5 5 12 2 2" xfId="8817" xr:uid="{00000000-0005-0000-0000-00006D220000}"/>
    <cellStyle name="20% - Accent5 5 5 12 3" xfId="8818" xr:uid="{00000000-0005-0000-0000-00006E220000}"/>
    <cellStyle name="20% - Accent5 5 5 13" xfId="8819" xr:uid="{00000000-0005-0000-0000-00006F220000}"/>
    <cellStyle name="20% - Accent5 5 5 13 2" xfId="8820" xr:uid="{00000000-0005-0000-0000-000070220000}"/>
    <cellStyle name="20% - Accent5 5 5 14" xfId="8821" xr:uid="{00000000-0005-0000-0000-000071220000}"/>
    <cellStyle name="20% - Accent5 5 5 2" xfId="8822" xr:uid="{00000000-0005-0000-0000-000072220000}"/>
    <cellStyle name="20% - Accent5 5 5 2 2" xfId="8823" xr:uid="{00000000-0005-0000-0000-000073220000}"/>
    <cellStyle name="20% - Accent5 5 5 2 2 2" xfId="8824" xr:uid="{00000000-0005-0000-0000-000074220000}"/>
    <cellStyle name="20% - Accent5 5 5 2 2 2 2" xfId="8825" xr:uid="{00000000-0005-0000-0000-000075220000}"/>
    <cellStyle name="20% - Accent5 5 5 2 2 2 2 2" xfId="8826" xr:uid="{00000000-0005-0000-0000-000076220000}"/>
    <cellStyle name="20% - Accent5 5 5 2 2 2 3" xfId="8827" xr:uid="{00000000-0005-0000-0000-000077220000}"/>
    <cellStyle name="20% - Accent5 5 5 2 2 3" xfId="8828" xr:uid="{00000000-0005-0000-0000-000078220000}"/>
    <cellStyle name="20% - Accent5 5 5 2 2 3 2" xfId="8829" xr:uid="{00000000-0005-0000-0000-000079220000}"/>
    <cellStyle name="20% - Accent5 5 5 2 2 4" xfId="8830" xr:uid="{00000000-0005-0000-0000-00007A220000}"/>
    <cellStyle name="20% - Accent5 5 5 2 3" xfId="8831" xr:uid="{00000000-0005-0000-0000-00007B220000}"/>
    <cellStyle name="20% - Accent5 5 5 2 3 2" xfId="8832" xr:uid="{00000000-0005-0000-0000-00007C220000}"/>
    <cellStyle name="20% - Accent5 5 5 2 3 2 2" xfId="8833" xr:uid="{00000000-0005-0000-0000-00007D220000}"/>
    <cellStyle name="20% - Accent5 5 5 2 3 3" xfId="8834" xr:uid="{00000000-0005-0000-0000-00007E220000}"/>
    <cellStyle name="20% - Accent5 5 5 2 4" xfId="8835" xr:uid="{00000000-0005-0000-0000-00007F220000}"/>
    <cellStyle name="20% - Accent5 5 5 2 4 2" xfId="8836" xr:uid="{00000000-0005-0000-0000-000080220000}"/>
    <cellStyle name="20% - Accent5 5 5 2 4 2 2" xfId="8837" xr:uid="{00000000-0005-0000-0000-000081220000}"/>
    <cellStyle name="20% - Accent5 5 5 2 4 3" xfId="8838" xr:uid="{00000000-0005-0000-0000-000082220000}"/>
    <cellStyle name="20% - Accent5 5 5 2 5" xfId="8839" xr:uid="{00000000-0005-0000-0000-000083220000}"/>
    <cellStyle name="20% - Accent5 5 5 2 5 2" xfId="8840" xr:uid="{00000000-0005-0000-0000-000084220000}"/>
    <cellStyle name="20% - Accent5 5 5 2 5 2 2" xfId="8841" xr:uid="{00000000-0005-0000-0000-000085220000}"/>
    <cellStyle name="20% - Accent5 5 5 2 5 3" xfId="8842" xr:uid="{00000000-0005-0000-0000-000086220000}"/>
    <cellStyle name="20% - Accent5 5 5 2 6" xfId="8843" xr:uid="{00000000-0005-0000-0000-000087220000}"/>
    <cellStyle name="20% - Accent5 5 5 2 6 2" xfId="8844" xr:uid="{00000000-0005-0000-0000-000088220000}"/>
    <cellStyle name="20% - Accent5 5 5 2 6 2 2" xfId="8845" xr:uid="{00000000-0005-0000-0000-000089220000}"/>
    <cellStyle name="20% - Accent5 5 5 2 6 3" xfId="8846" xr:uid="{00000000-0005-0000-0000-00008A220000}"/>
    <cellStyle name="20% - Accent5 5 5 2 7" xfId="8847" xr:uid="{00000000-0005-0000-0000-00008B220000}"/>
    <cellStyle name="20% - Accent5 5 5 2 7 2" xfId="8848" xr:uid="{00000000-0005-0000-0000-00008C220000}"/>
    <cellStyle name="20% - Accent5 5 5 2 8" xfId="8849" xr:uid="{00000000-0005-0000-0000-00008D220000}"/>
    <cellStyle name="20% - Accent5 5 5 3" xfId="8850" xr:uid="{00000000-0005-0000-0000-00008E220000}"/>
    <cellStyle name="20% - Accent5 5 5 3 2" xfId="8851" xr:uid="{00000000-0005-0000-0000-00008F220000}"/>
    <cellStyle name="20% - Accent5 5 5 3 2 2" xfId="8852" xr:uid="{00000000-0005-0000-0000-000090220000}"/>
    <cellStyle name="20% - Accent5 5 5 3 2 2 2" xfId="8853" xr:uid="{00000000-0005-0000-0000-000091220000}"/>
    <cellStyle name="20% - Accent5 5 5 3 2 2 2 2" xfId="8854" xr:uid="{00000000-0005-0000-0000-000092220000}"/>
    <cellStyle name="20% - Accent5 5 5 3 2 2 3" xfId="8855" xr:uid="{00000000-0005-0000-0000-000093220000}"/>
    <cellStyle name="20% - Accent5 5 5 3 2 3" xfId="8856" xr:uid="{00000000-0005-0000-0000-000094220000}"/>
    <cellStyle name="20% - Accent5 5 5 3 2 3 2" xfId="8857" xr:uid="{00000000-0005-0000-0000-000095220000}"/>
    <cellStyle name="20% - Accent5 5 5 3 2 4" xfId="8858" xr:uid="{00000000-0005-0000-0000-000096220000}"/>
    <cellStyle name="20% - Accent5 5 5 3 3" xfId="8859" xr:uid="{00000000-0005-0000-0000-000097220000}"/>
    <cellStyle name="20% - Accent5 5 5 3 3 2" xfId="8860" xr:uid="{00000000-0005-0000-0000-000098220000}"/>
    <cellStyle name="20% - Accent5 5 5 3 3 2 2" xfId="8861" xr:uid="{00000000-0005-0000-0000-000099220000}"/>
    <cellStyle name="20% - Accent5 5 5 3 3 3" xfId="8862" xr:uid="{00000000-0005-0000-0000-00009A220000}"/>
    <cellStyle name="20% - Accent5 5 5 3 4" xfId="8863" xr:uid="{00000000-0005-0000-0000-00009B220000}"/>
    <cellStyle name="20% - Accent5 5 5 3 4 2" xfId="8864" xr:uid="{00000000-0005-0000-0000-00009C220000}"/>
    <cellStyle name="20% - Accent5 5 5 3 4 2 2" xfId="8865" xr:uid="{00000000-0005-0000-0000-00009D220000}"/>
    <cellStyle name="20% - Accent5 5 5 3 4 3" xfId="8866" xr:uid="{00000000-0005-0000-0000-00009E220000}"/>
    <cellStyle name="20% - Accent5 5 5 3 5" xfId="8867" xr:uid="{00000000-0005-0000-0000-00009F220000}"/>
    <cellStyle name="20% - Accent5 5 5 3 5 2" xfId="8868" xr:uid="{00000000-0005-0000-0000-0000A0220000}"/>
    <cellStyle name="20% - Accent5 5 5 3 5 2 2" xfId="8869" xr:uid="{00000000-0005-0000-0000-0000A1220000}"/>
    <cellStyle name="20% - Accent5 5 5 3 5 3" xfId="8870" xr:uid="{00000000-0005-0000-0000-0000A2220000}"/>
    <cellStyle name="20% - Accent5 5 5 3 6" xfId="8871" xr:uid="{00000000-0005-0000-0000-0000A3220000}"/>
    <cellStyle name="20% - Accent5 5 5 3 6 2" xfId="8872" xr:uid="{00000000-0005-0000-0000-0000A4220000}"/>
    <cellStyle name="20% - Accent5 5 5 3 6 2 2" xfId="8873" xr:uid="{00000000-0005-0000-0000-0000A5220000}"/>
    <cellStyle name="20% - Accent5 5 5 3 6 3" xfId="8874" xr:uid="{00000000-0005-0000-0000-0000A6220000}"/>
    <cellStyle name="20% - Accent5 5 5 3 7" xfId="8875" xr:uid="{00000000-0005-0000-0000-0000A7220000}"/>
    <cellStyle name="20% - Accent5 5 5 3 7 2" xfId="8876" xr:uid="{00000000-0005-0000-0000-0000A8220000}"/>
    <cellStyle name="20% - Accent5 5 5 3 8" xfId="8877" xr:uid="{00000000-0005-0000-0000-0000A9220000}"/>
    <cellStyle name="20% - Accent5 5 5 4" xfId="8878" xr:uid="{00000000-0005-0000-0000-0000AA220000}"/>
    <cellStyle name="20% - Accent5 5 5 4 2" xfId="8879" xr:uid="{00000000-0005-0000-0000-0000AB220000}"/>
    <cellStyle name="20% - Accent5 5 5 4 2 2" xfId="8880" xr:uid="{00000000-0005-0000-0000-0000AC220000}"/>
    <cellStyle name="20% - Accent5 5 5 4 2 2 2" xfId="8881" xr:uid="{00000000-0005-0000-0000-0000AD220000}"/>
    <cellStyle name="20% - Accent5 5 5 4 2 2 2 2" xfId="8882" xr:uid="{00000000-0005-0000-0000-0000AE220000}"/>
    <cellStyle name="20% - Accent5 5 5 4 2 2 3" xfId="8883" xr:uid="{00000000-0005-0000-0000-0000AF220000}"/>
    <cellStyle name="20% - Accent5 5 5 4 2 3" xfId="8884" xr:uid="{00000000-0005-0000-0000-0000B0220000}"/>
    <cellStyle name="20% - Accent5 5 5 4 2 3 2" xfId="8885" xr:uid="{00000000-0005-0000-0000-0000B1220000}"/>
    <cellStyle name="20% - Accent5 5 5 4 2 4" xfId="8886" xr:uid="{00000000-0005-0000-0000-0000B2220000}"/>
    <cellStyle name="20% - Accent5 5 5 4 3" xfId="8887" xr:uid="{00000000-0005-0000-0000-0000B3220000}"/>
    <cellStyle name="20% - Accent5 5 5 4 3 2" xfId="8888" xr:uid="{00000000-0005-0000-0000-0000B4220000}"/>
    <cellStyle name="20% - Accent5 5 5 4 3 2 2" xfId="8889" xr:uid="{00000000-0005-0000-0000-0000B5220000}"/>
    <cellStyle name="20% - Accent5 5 5 4 3 3" xfId="8890" xr:uid="{00000000-0005-0000-0000-0000B6220000}"/>
    <cellStyle name="20% - Accent5 5 5 4 4" xfId="8891" xr:uid="{00000000-0005-0000-0000-0000B7220000}"/>
    <cellStyle name="20% - Accent5 5 5 4 4 2" xfId="8892" xr:uid="{00000000-0005-0000-0000-0000B8220000}"/>
    <cellStyle name="20% - Accent5 5 5 4 4 2 2" xfId="8893" xr:uid="{00000000-0005-0000-0000-0000B9220000}"/>
    <cellStyle name="20% - Accent5 5 5 4 4 3" xfId="8894" xr:uid="{00000000-0005-0000-0000-0000BA220000}"/>
    <cellStyle name="20% - Accent5 5 5 4 5" xfId="8895" xr:uid="{00000000-0005-0000-0000-0000BB220000}"/>
    <cellStyle name="20% - Accent5 5 5 4 5 2" xfId="8896" xr:uid="{00000000-0005-0000-0000-0000BC220000}"/>
    <cellStyle name="20% - Accent5 5 5 4 5 2 2" xfId="8897" xr:uid="{00000000-0005-0000-0000-0000BD220000}"/>
    <cellStyle name="20% - Accent5 5 5 4 5 3" xfId="8898" xr:uid="{00000000-0005-0000-0000-0000BE220000}"/>
    <cellStyle name="20% - Accent5 5 5 4 6" xfId="8899" xr:uid="{00000000-0005-0000-0000-0000BF220000}"/>
    <cellStyle name="20% - Accent5 5 5 4 6 2" xfId="8900" xr:uid="{00000000-0005-0000-0000-0000C0220000}"/>
    <cellStyle name="20% - Accent5 5 5 4 6 2 2" xfId="8901" xr:uid="{00000000-0005-0000-0000-0000C1220000}"/>
    <cellStyle name="20% - Accent5 5 5 4 6 3" xfId="8902" xr:uid="{00000000-0005-0000-0000-0000C2220000}"/>
    <cellStyle name="20% - Accent5 5 5 4 7" xfId="8903" xr:uid="{00000000-0005-0000-0000-0000C3220000}"/>
    <cellStyle name="20% - Accent5 5 5 4 7 2" xfId="8904" xr:uid="{00000000-0005-0000-0000-0000C4220000}"/>
    <cellStyle name="20% - Accent5 5 5 4 8" xfId="8905" xr:uid="{00000000-0005-0000-0000-0000C5220000}"/>
    <cellStyle name="20% - Accent5 5 5 5" xfId="8906" xr:uid="{00000000-0005-0000-0000-0000C6220000}"/>
    <cellStyle name="20% - Accent5 5 5 5 2" xfId="8907" xr:uid="{00000000-0005-0000-0000-0000C7220000}"/>
    <cellStyle name="20% - Accent5 5 5 5 2 2" xfId="8908" xr:uid="{00000000-0005-0000-0000-0000C8220000}"/>
    <cellStyle name="20% - Accent5 5 5 5 2 2 2" xfId="8909" xr:uid="{00000000-0005-0000-0000-0000C9220000}"/>
    <cellStyle name="20% - Accent5 5 5 5 2 2 2 2" xfId="8910" xr:uid="{00000000-0005-0000-0000-0000CA220000}"/>
    <cellStyle name="20% - Accent5 5 5 5 2 2 3" xfId="8911" xr:uid="{00000000-0005-0000-0000-0000CB220000}"/>
    <cellStyle name="20% - Accent5 5 5 5 2 3" xfId="8912" xr:uid="{00000000-0005-0000-0000-0000CC220000}"/>
    <cellStyle name="20% - Accent5 5 5 5 2 3 2" xfId="8913" xr:uid="{00000000-0005-0000-0000-0000CD220000}"/>
    <cellStyle name="20% - Accent5 5 5 5 2 4" xfId="8914" xr:uid="{00000000-0005-0000-0000-0000CE220000}"/>
    <cellStyle name="20% - Accent5 5 5 5 3" xfId="8915" xr:uid="{00000000-0005-0000-0000-0000CF220000}"/>
    <cellStyle name="20% - Accent5 5 5 5 3 2" xfId="8916" xr:uid="{00000000-0005-0000-0000-0000D0220000}"/>
    <cellStyle name="20% - Accent5 5 5 5 3 2 2" xfId="8917" xr:uid="{00000000-0005-0000-0000-0000D1220000}"/>
    <cellStyle name="20% - Accent5 5 5 5 3 3" xfId="8918" xr:uid="{00000000-0005-0000-0000-0000D2220000}"/>
    <cellStyle name="20% - Accent5 5 5 5 4" xfId="8919" xr:uid="{00000000-0005-0000-0000-0000D3220000}"/>
    <cellStyle name="20% - Accent5 5 5 5 4 2" xfId="8920" xr:uid="{00000000-0005-0000-0000-0000D4220000}"/>
    <cellStyle name="20% - Accent5 5 5 5 5" xfId="8921" xr:uid="{00000000-0005-0000-0000-0000D5220000}"/>
    <cellStyle name="20% - Accent5 5 5 6" xfId="8922" xr:uid="{00000000-0005-0000-0000-0000D6220000}"/>
    <cellStyle name="20% - Accent5 5 5 6 2" xfId="8923" xr:uid="{00000000-0005-0000-0000-0000D7220000}"/>
    <cellStyle name="20% - Accent5 5 5 6 2 2" xfId="8924" xr:uid="{00000000-0005-0000-0000-0000D8220000}"/>
    <cellStyle name="20% - Accent5 5 5 6 2 2 2" xfId="8925" xr:uid="{00000000-0005-0000-0000-0000D9220000}"/>
    <cellStyle name="20% - Accent5 5 5 6 2 2 2 2" xfId="8926" xr:uid="{00000000-0005-0000-0000-0000DA220000}"/>
    <cellStyle name="20% - Accent5 5 5 6 2 2 3" xfId="8927" xr:uid="{00000000-0005-0000-0000-0000DB220000}"/>
    <cellStyle name="20% - Accent5 5 5 6 2 3" xfId="8928" xr:uid="{00000000-0005-0000-0000-0000DC220000}"/>
    <cellStyle name="20% - Accent5 5 5 6 2 3 2" xfId="8929" xr:uid="{00000000-0005-0000-0000-0000DD220000}"/>
    <cellStyle name="20% - Accent5 5 5 6 2 4" xfId="8930" xr:uid="{00000000-0005-0000-0000-0000DE220000}"/>
    <cellStyle name="20% - Accent5 5 5 6 3" xfId="8931" xr:uid="{00000000-0005-0000-0000-0000DF220000}"/>
    <cellStyle name="20% - Accent5 5 5 6 3 2" xfId="8932" xr:uid="{00000000-0005-0000-0000-0000E0220000}"/>
    <cellStyle name="20% - Accent5 5 5 6 3 2 2" xfId="8933" xr:uid="{00000000-0005-0000-0000-0000E1220000}"/>
    <cellStyle name="20% - Accent5 5 5 6 3 3" xfId="8934" xr:uid="{00000000-0005-0000-0000-0000E2220000}"/>
    <cellStyle name="20% - Accent5 5 5 6 4" xfId="8935" xr:uid="{00000000-0005-0000-0000-0000E3220000}"/>
    <cellStyle name="20% - Accent5 5 5 6 4 2" xfId="8936" xr:uid="{00000000-0005-0000-0000-0000E4220000}"/>
    <cellStyle name="20% - Accent5 5 5 6 5" xfId="8937" xr:uid="{00000000-0005-0000-0000-0000E5220000}"/>
    <cellStyle name="20% - Accent5 5 5 7" xfId="8938" xr:uid="{00000000-0005-0000-0000-0000E6220000}"/>
    <cellStyle name="20% - Accent5 5 5 7 2" xfId="8939" xr:uid="{00000000-0005-0000-0000-0000E7220000}"/>
    <cellStyle name="20% - Accent5 5 5 7 2 2" xfId="8940" xr:uid="{00000000-0005-0000-0000-0000E8220000}"/>
    <cellStyle name="20% - Accent5 5 5 7 2 2 2" xfId="8941" xr:uid="{00000000-0005-0000-0000-0000E9220000}"/>
    <cellStyle name="20% - Accent5 5 5 7 2 3" xfId="8942" xr:uid="{00000000-0005-0000-0000-0000EA220000}"/>
    <cellStyle name="20% - Accent5 5 5 7 3" xfId="8943" xr:uid="{00000000-0005-0000-0000-0000EB220000}"/>
    <cellStyle name="20% - Accent5 5 5 7 3 2" xfId="8944" xr:uid="{00000000-0005-0000-0000-0000EC220000}"/>
    <cellStyle name="20% - Accent5 5 5 7 4" xfId="8945" xr:uid="{00000000-0005-0000-0000-0000ED220000}"/>
    <cellStyle name="20% - Accent5 5 5 8" xfId="8946" xr:uid="{00000000-0005-0000-0000-0000EE220000}"/>
    <cellStyle name="20% - Accent5 5 5 8 2" xfId="8947" xr:uid="{00000000-0005-0000-0000-0000EF220000}"/>
    <cellStyle name="20% - Accent5 5 5 8 2 2" xfId="8948" xr:uid="{00000000-0005-0000-0000-0000F0220000}"/>
    <cellStyle name="20% - Accent5 5 5 8 2 2 2" xfId="8949" xr:uid="{00000000-0005-0000-0000-0000F1220000}"/>
    <cellStyle name="20% - Accent5 5 5 8 2 3" xfId="8950" xr:uid="{00000000-0005-0000-0000-0000F2220000}"/>
    <cellStyle name="20% - Accent5 5 5 8 3" xfId="8951" xr:uid="{00000000-0005-0000-0000-0000F3220000}"/>
    <cellStyle name="20% - Accent5 5 5 8 3 2" xfId="8952" xr:uid="{00000000-0005-0000-0000-0000F4220000}"/>
    <cellStyle name="20% - Accent5 5 5 8 4" xfId="8953" xr:uid="{00000000-0005-0000-0000-0000F5220000}"/>
    <cellStyle name="20% - Accent5 5 5 9" xfId="8954" xr:uid="{00000000-0005-0000-0000-0000F6220000}"/>
    <cellStyle name="20% - Accent5 5 5 9 2" xfId="8955" xr:uid="{00000000-0005-0000-0000-0000F7220000}"/>
    <cellStyle name="20% - Accent5 5 5 9 2 2" xfId="8956" xr:uid="{00000000-0005-0000-0000-0000F8220000}"/>
    <cellStyle name="20% - Accent5 5 5 9 3" xfId="8957" xr:uid="{00000000-0005-0000-0000-0000F9220000}"/>
    <cellStyle name="20% - Accent5 5 6" xfId="8958" xr:uid="{00000000-0005-0000-0000-0000FA220000}"/>
    <cellStyle name="20% - Accent5 5 6 10" xfId="8959" xr:uid="{00000000-0005-0000-0000-0000FB220000}"/>
    <cellStyle name="20% - Accent5 5 6 10 2" xfId="8960" xr:uid="{00000000-0005-0000-0000-0000FC220000}"/>
    <cellStyle name="20% - Accent5 5 6 10 2 2" xfId="8961" xr:uid="{00000000-0005-0000-0000-0000FD220000}"/>
    <cellStyle name="20% - Accent5 5 6 10 3" xfId="8962" xr:uid="{00000000-0005-0000-0000-0000FE220000}"/>
    <cellStyle name="20% - Accent5 5 6 11" xfId="8963" xr:uid="{00000000-0005-0000-0000-0000FF220000}"/>
    <cellStyle name="20% - Accent5 5 6 11 2" xfId="8964" xr:uid="{00000000-0005-0000-0000-000000230000}"/>
    <cellStyle name="20% - Accent5 5 6 11 2 2" xfId="8965" xr:uid="{00000000-0005-0000-0000-000001230000}"/>
    <cellStyle name="20% - Accent5 5 6 11 3" xfId="8966" xr:uid="{00000000-0005-0000-0000-000002230000}"/>
    <cellStyle name="20% - Accent5 5 6 12" xfId="8967" xr:uid="{00000000-0005-0000-0000-000003230000}"/>
    <cellStyle name="20% - Accent5 5 6 12 2" xfId="8968" xr:uid="{00000000-0005-0000-0000-000004230000}"/>
    <cellStyle name="20% - Accent5 5 6 12 2 2" xfId="8969" xr:uid="{00000000-0005-0000-0000-000005230000}"/>
    <cellStyle name="20% - Accent5 5 6 12 3" xfId="8970" xr:uid="{00000000-0005-0000-0000-000006230000}"/>
    <cellStyle name="20% - Accent5 5 6 13" xfId="8971" xr:uid="{00000000-0005-0000-0000-000007230000}"/>
    <cellStyle name="20% - Accent5 5 6 13 2" xfId="8972" xr:uid="{00000000-0005-0000-0000-000008230000}"/>
    <cellStyle name="20% - Accent5 5 6 14" xfId="8973" xr:uid="{00000000-0005-0000-0000-000009230000}"/>
    <cellStyle name="20% - Accent5 5 6 2" xfId="8974" xr:uid="{00000000-0005-0000-0000-00000A230000}"/>
    <cellStyle name="20% - Accent5 5 6 2 2" xfId="8975" xr:uid="{00000000-0005-0000-0000-00000B230000}"/>
    <cellStyle name="20% - Accent5 5 6 2 2 2" xfId="8976" xr:uid="{00000000-0005-0000-0000-00000C230000}"/>
    <cellStyle name="20% - Accent5 5 6 2 2 2 2" xfId="8977" xr:uid="{00000000-0005-0000-0000-00000D230000}"/>
    <cellStyle name="20% - Accent5 5 6 2 2 2 2 2" xfId="8978" xr:uid="{00000000-0005-0000-0000-00000E230000}"/>
    <cellStyle name="20% - Accent5 5 6 2 2 2 3" xfId="8979" xr:uid="{00000000-0005-0000-0000-00000F230000}"/>
    <cellStyle name="20% - Accent5 5 6 2 2 3" xfId="8980" xr:uid="{00000000-0005-0000-0000-000010230000}"/>
    <cellStyle name="20% - Accent5 5 6 2 2 3 2" xfId="8981" xr:uid="{00000000-0005-0000-0000-000011230000}"/>
    <cellStyle name="20% - Accent5 5 6 2 2 4" xfId="8982" xr:uid="{00000000-0005-0000-0000-000012230000}"/>
    <cellStyle name="20% - Accent5 5 6 2 3" xfId="8983" xr:uid="{00000000-0005-0000-0000-000013230000}"/>
    <cellStyle name="20% - Accent5 5 6 2 3 2" xfId="8984" xr:uid="{00000000-0005-0000-0000-000014230000}"/>
    <cellStyle name="20% - Accent5 5 6 2 3 2 2" xfId="8985" xr:uid="{00000000-0005-0000-0000-000015230000}"/>
    <cellStyle name="20% - Accent5 5 6 2 3 3" xfId="8986" xr:uid="{00000000-0005-0000-0000-000016230000}"/>
    <cellStyle name="20% - Accent5 5 6 2 4" xfId="8987" xr:uid="{00000000-0005-0000-0000-000017230000}"/>
    <cellStyle name="20% - Accent5 5 6 2 4 2" xfId="8988" xr:uid="{00000000-0005-0000-0000-000018230000}"/>
    <cellStyle name="20% - Accent5 5 6 2 4 2 2" xfId="8989" xr:uid="{00000000-0005-0000-0000-000019230000}"/>
    <cellStyle name="20% - Accent5 5 6 2 4 3" xfId="8990" xr:uid="{00000000-0005-0000-0000-00001A230000}"/>
    <cellStyle name="20% - Accent5 5 6 2 5" xfId="8991" xr:uid="{00000000-0005-0000-0000-00001B230000}"/>
    <cellStyle name="20% - Accent5 5 6 2 5 2" xfId="8992" xr:uid="{00000000-0005-0000-0000-00001C230000}"/>
    <cellStyle name="20% - Accent5 5 6 2 5 2 2" xfId="8993" xr:uid="{00000000-0005-0000-0000-00001D230000}"/>
    <cellStyle name="20% - Accent5 5 6 2 5 3" xfId="8994" xr:uid="{00000000-0005-0000-0000-00001E230000}"/>
    <cellStyle name="20% - Accent5 5 6 2 6" xfId="8995" xr:uid="{00000000-0005-0000-0000-00001F230000}"/>
    <cellStyle name="20% - Accent5 5 6 2 6 2" xfId="8996" xr:uid="{00000000-0005-0000-0000-000020230000}"/>
    <cellStyle name="20% - Accent5 5 6 2 6 2 2" xfId="8997" xr:uid="{00000000-0005-0000-0000-000021230000}"/>
    <cellStyle name="20% - Accent5 5 6 2 6 3" xfId="8998" xr:uid="{00000000-0005-0000-0000-000022230000}"/>
    <cellStyle name="20% - Accent5 5 6 2 7" xfId="8999" xr:uid="{00000000-0005-0000-0000-000023230000}"/>
    <cellStyle name="20% - Accent5 5 6 2 7 2" xfId="9000" xr:uid="{00000000-0005-0000-0000-000024230000}"/>
    <cellStyle name="20% - Accent5 5 6 2 8" xfId="9001" xr:uid="{00000000-0005-0000-0000-000025230000}"/>
    <cellStyle name="20% - Accent5 5 6 3" xfId="9002" xr:uid="{00000000-0005-0000-0000-000026230000}"/>
    <cellStyle name="20% - Accent5 5 6 3 2" xfId="9003" xr:uid="{00000000-0005-0000-0000-000027230000}"/>
    <cellStyle name="20% - Accent5 5 6 3 2 2" xfId="9004" xr:uid="{00000000-0005-0000-0000-000028230000}"/>
    <cellStyle name="20% - Accent5 5 6 3 2 2 2" xfId="9005" xr:uid="{00000000-0005-0000-0000-000029230000}"/>
    <cellStyle name="20% - Accent5 5 6 3 2 2 2 2" xfId="9006" xr:uid="{00000000-0005-0000-0000-00002A230000}"/>
    <cellStyle name="20% - Accent5 5 6 3 2 2 3" xfId="9007" xr:uid="{00000000-0005-0000-0000-00002B230000}"/>
    <cellStyle name="20% - Accent5 5 6 3 2 3" xfId="9008" xr:uid="{00000000-0005-0000-0000-00002C230000}"/>
    <cellStyle name="20% - Accent5 5 6 3 2 3 2" xfId="9009" xr:uid="{00000000-0005-0000-0000-00002D230000}"/>
    <cellStyle name="20% - Accent5 5 6 3 2 4" xfId="9010" xr:uid="{00000000-0005-0000-0000-00002E230000}"/>
    <cellStyle name="20% - Accent5 5 6 3 3" xfId="9011" xr:uid="{00000000-0005-0000-0000-00002F230000}"/>
    <cellStyle name="20% - Accent5 5 6 3 3 2" xfId="9012" xr:uid="{00000000-0005-0000-0000-000030230000}"/>
    <cellStyle name="20% - Accent5 5 6 3 3 2 2" xfId="9013" xr:uid="{00000000-0005-0000-0000-000031230000}"/>
    <cellStyle name="20% - Accent5 5 6 3 3 3" xfId="9014" xr:uid="{00000000-0005-0000-0000-000032230000}"/>
    <cellStyle name="20% - Accent5 5 6 3 4" xfId="9015" xr:uid="{00000000-0005-0000-0000-000033230000}"/>
    <cellStyle name="20% - Accent5 5 6 3 4 2" xfId="9016" xr:uid="{00000000-0005-0000-0000-000034230000}"/>
    <cellStyle name="20% - Accent5 5 6 3 4 2 2" xfId="9017" xr:uid="{00000000-0005-0000-0000-000035230000}"/>
    <cellStyle name="20% - Accent5 5 6 3 4 3" xfId="9018" xr:uid="{00000000-0005-0000-0000-000036230000}"/>
    <cellStyle name="20% - Accent5 5 6 3 5" xfId="9019" xr:uid="{00000000-0005-0000-0000-000037230000}"/>
    <cellStyle name="20% - Accent5 5 6 3 5 2" xfId="9020" xr:uid="{00000000-0005-0000-0000-000038230000}"/>
    <cellStyle name="20% - Accent5 5 6 3 5 2 2" xfId="9021" xr:uid="{00000000-0005-0000-0000-000039230000}"/>
    <cellStyle name="20% - Accent5 5 6 3 5 3" xfId="9022" xr:uid="{00000000-0005-0000-0000-00003A230000}"/>
    <cellStyle name="20% - Accent5 5 6 3 6" xfId="9023" xr:uid="{00000000-0005-0000-0000-00003B230000}"/>
    <cellStyle name="20% - Accent5 5 6 3 6 2" xfId="9024" xr:uid="{00000000-0005-0000-0000-00003C230000}"/>
    <cellStyle name="20% - Accent5 5 6 3 6 2 2" xfId="9025" xr:uid="{00000000-0005-0000-0000-00003D230000}"/>
    <cellStyle name="20% - Accent5 5 6 3 6 3" xfId="9026" xr:uid="{00000000-0005-0000-0000-00003E230000}"/>
    <cellStyle name="20% - Accent5 5 6 3 7" xfId="9027" xr:uid="{00000000-0005-0000-0000-00003F230000}"/>
    <cellStyle name="20% - Accent5 5 6 3 7 2" xfId="9028" xr:uid="{00000000-0005-0000-0000-000040230000}"/>
    <cellStyle name="20% - Accent5 5 6 3 8" xfId="9029" xr:uid="{00000000-0005-0000-0000-000041230000}"/>
    <cellStyle name="20% - Accent5 5 6 4" xfId="9030" xr:uid="{00000000-0005-0000-0000-000042230000}"/>
    <cellStyle name="20% - Accent5 5 6 4 2" xfId="9031" xr:uid="{00000000-0005-0000-0000-000043230000}"/>
    <cellStyle name="20% - Accent5 5 6 4 2 2" xfId="9032" xr:uid="{00000000-0005-0000-0000-000044230000}"/>
    <cellStyle name="20% - Accent5 5 6 4 2 2 2" xfId="9033" xr:uid="{00000000-0005-0000-0000-000045230000}"/>
    <cellStyle name="20% - Accent5 5 6 4 2 2 2 2" xfId="9034" xr:uid="{00000000-0005-0000-0000-000046230000}"/>
    <cellStyle name="20% - Accent5 5 6 4 2 2 3" xfId="9035" xr:uid="{00000000-0005-0000-0000-000047230000}"/>
    <cellStyle name="20% - Accent5 5 6 4 2 3" xfId="9036" xr:uid="{00000000-0005-0000-0000-000048230000}"/>
    <cellStyle name="20% - Accent5 5 6 4 2 3 2" xfId="9037" xr:uid="{00000000-0005-0000-0000-000049230000}"/>
    <cellStyle name="20% - Accent5 5 6 4 2 4" xfId="9038" xr:uid="{00000000-0005-0000-0000-00004A230000}"/>
    <cellStyle name="20% - Accent5 5 6 4 3" xfId="9039" xr:uid="{00000000-0005-0000-0000-00004B230000}"/>
    <cellStyle name="20% - Accent5 5 6 4 3 2" xfId="9040" xr:uid="{00000000-0005-0000-0000-00004C230000}"/>
    <cellStyle name="20% - Accent5 5 6 4 3 2 2" xfId="9041" xr:uid="{00000000-0005-0000-0000-00004D230000}"/>
    <cellStyle name="20% - Accent5 5 6 4 3 3" xfId="9042" xr:uid="{00000000-0005-0000-0000-00004E230000}"/>
    <cellStyle name="20% - Accent5 5 6 4 4" xfId="9043" xr:uid="{00000000-0005-0000-0000-00004F230000}"/>
    <cellStyle name="20% - Accent5 5 6 4 4 2" xfId="9044" xr:uid="{00000000-0005-0000-0000-000050230000}"/>
    <cellStyle name="20% - Accent5 5 6 4 4 2 2" xfId="9045" xr:uid="{00000000-0005-0000-0000-000051230000}"/>
    <cellStyle name="20% - Accent5 5 6 4 4 3" xfId="9046" xr:uid="{00000000-0005-0000-0000-000052230000}"/>
    <cellStyle name="20% - Accent5 5 6 4 5" xfId="9047" xr:uid="{00000000-0005-0000-0000-000053230000}"/>
    <cellStyle name="20% - Accent5 5 6 4 5 2" xfId="9048" xr:uid="{00000000-0005-0000-0000-000054230000}"/>
    <cellStyle name="20% - Accent5 5 6 4 5 2 2" xfId="9049" xr:uid="{00000000-0005-0000-0000-000055230000}"/>
    <cellStyle name="20% - Accent5 5 6 4 5 3" xfId="9050" xr:uid="{00000000-0005-0000-0000-000056230000}"/>
    <cellStyle name="20% - Accent5 5 6 4 6" xfId="9051" xr:uid="{00000000-0005-0000-0000-000057230000}"/>
    <cellStyle name="20% - Accent5 5 6 4 6 2" xfId="9052" xr:uid="{00000000-0005-0000-0000-000058230000}"/>
    <cellStyle name="20% - Accent5 5 6 4 6 2 2" xfId="9053" xr:uid="{00000000-0005-0000-0000-000059230000}"/>
    <cellStyle name="20% - Accent5 5 6 4 6 3" xfId="9054" xr:uid="{00000000-0005-0000-0000-00005A230000}"/>
    <cellStyle name="20% - Accent5 5 6 4 7" xfId="9055" xr:uid="{00000000-0005-0000-0000-00005B230000}"/>
    <cellStyle name="20% - Accent5 5 6 4 7 2" xfId="9056" xr:uid="{00000000-0005-0000-0000-00005C230000}"/>
    <cellStyle name="20% - Accent5 5 6 4 8" xfId="9057" xr:uid="{00000000-0005-0000-0000-00005D230000}"/>
    <cellStyle name="20% - Accent5 5 6 5" xfId="9058" xr:uid="{00000000-0005-0000-0000-00005E230000}"/>
    <cellStyle name="20% - Accent5 5 6 5 2" xfId="9059" xr:uid="{00000000-0005-0000-0000-00005F230000}"/>
    <cellStyle name="20% - Accent5 5 6 5 2 2" xfId="9060" xr:uid="{00000000-0005-0000-0000-000060230000}"/>
    <cellStyle name="20% - Accent5 5 6 5 2 2 2" xfId="9061" xr:uid="{00000000-0005-0000-0000-000061230000}"/>
    <cellStyle name="20% - Accent5 5 6 5 2 2 2 2" xfId="9062" xr:uid="{00000000-0005-0000-0000-000062230000}"/>
    <cellStyle name="20% - Accent5 5 6 5 2 2 3" xfId="9063" xr:uid="{00000000-0005-0000-0000-000063230000}"/>
    <cellStyle name="20% - Accent5 5 6 5 2 3" xfId="9064" xr:uid="{00000000-0005-0000-0000-000064230000}"/>
    <cellStyle name="20% - Accent5 5 6 5 2 3 2" xfId="9065" xr:uid="{00000000-0005-0000-0000-000065230000}"/>
    <cellStyle name="20% - Accent5 5 6 5 2 4" xfId="9066" xr:uid="{00000000-0005-0000-0000-000066230000}"/>
    <cellStyle name="20% - Accent5 5 6 5 3" xfId="9067" xr:uid="{00000000-0005-0000-0000-000067230000}"/>
    <cellStyle name="20% - Accent5 5 6 5 3 2" xfId="9068" xr:uid="{00000000-0005-0000-0000-000068230000}"/>
    <cellStyle name="20% - Accent5 5 6 5 3 2 2" xfId="9069" xr:uid="{00000000-0005-0000-0000-000069230000}"/>
    <cellStyle name="20% - Accent5 5 6 5 3 3" xfId="9070" xr:uid="{00000000-0005-0000-0000-00006A230000}"/>
    <cellStyle name="20% - Accent5 5 6 5 4" xfId="9071" xr:uid="{00000000-0005-0000-0000-00006B230000}"/>
    <cellStyle name="20% - Accent5 5 6 5 4 2" xfId="9072" xr:uid="{00000000-0005-0000-0000-00006C230000}"/>
    <cellStyle name="20% - Accent5 5 6 5 5" xfId="9073" xr:uid="{00000000-0005-0000-0000-00006D230000}"/>
    <cellStyle name="20% - Accent5 5 6 6" xfId="9074" xr:uid="{00000000-0005-0000-0000-00006E230000}"/>
    <cellStyle name="20% - Accent5 5 6 6 2" xfId="9075" xr:uid="{00000000-0005-0000-0000-00006F230000}"/>
    <cellStyle name="20% - Accent5 5 6 6 2 2" xfId="9076" xr:uid="{00000000-0005-0000-0000-000070230000}"/>
    <cellStyle name="20% - Accent5 5 6 6 2 2 2" xfId="9077" xr:uid="{00000000-0005-0000-0000-000071230000}"/>
    <cellStyle name="20% - Accent5 5 6 6 2 2 2 2" xfId="9078" xr:uid="{00000000-0005-0000-0000-000072230000}"/>
    <cellStyle name="20% - Accent5 5 6 6 2 2 3" xfId="9079" xr:uid="{00000000-0005-0000-0000-000073230000}"/>
    <cellStyle name="20% - Accent5 5 6 6 2 3" xfId="9080" xr:uid="{00000000-0005-0000-0000-000074230000}"/>
    <cellStyle name="20% - Accent5 5 6 6 2 3 2" xfId="9081" xr:uid="{00000000-0005-0000-0000-000075230000}"/>
    <cellStyle name="20% - Accent5 5 6 6 2 4" xfId="9082" xr:uid="{00000000-0005-0000-0000-000076230000}"/>
    <cellStyle name="20% - Accent5 5 6 6 3" xfId="9083" xr:uid="{00000000-0005-0000-0000-000077230000}"/>
    <cellStyle name="20% - Accent5 5 6 6 3 2" xfId="9084" xr:uid="{00000000-0005-0000-0000-000078230000}"/>
    <cellStyle name="20% - Accent5 5 6 6 3 2 2" xfId="9085" xr:uid="{00000000-0005-0000-0000-000079230000}"/>
    <cellStyle name="20% - Accent5 5 6 6 3 3" xfId="9086" xr:uid="{00000000-0005-0000-0000-00007A230000}"/>
    <cellStyle name="20% - Accent5 5 6 6 4" xfId="9087" xr:uid="{00000000-0005-0000-0000-00007B230000}"/>
    <cellStyle name="20% - Accent5 5 6 6 4 2" xfId="9088" xr:uid="{00000000-0005-0000-0000-00007C230000}"/>
    <cellStyle name="20% - Accent5 5 6 6 5" xfId="9089" xr:uid="{00000000-0005-0000-0000-00007D230000}"/>
    <cellStyle name="20% - Accent5 5 6 7" xfId="9090" xr:uid="{00000000-0005-0000-0000-00007E230000}"/>
    <cellStyle name="20% - Accent5 5 6 7 2" xfId="9091" xr:uid="{00000000-0005-0000-0000-00007F230000}"/>
    <cellStyle name="20% - Accent5 5 6 7 2 2" xfId="9092" xr:uid="{00000000-0005-0000-0000-000080230000}"/>
    <cellStyle name="20% - Accent5 5 6 7 2 2 2" xfId="9093" xr:uid="{00000000-0005-0000-0000-000081230000}"/>
    <cellStyle name="20% - Accent5 5 6 7 2 3" xfId="9094" xr:uid="{00000000-0005-0000-0000-000082230000}"/>
    <cellStyle name="20% - Accent5 5 6 7 3" xfId="9095" xr:uid="{00000000-0005-0000-0000-000083230000}"/>
    <cellStyle name="20% - Accent5 5 6 7 3 2" xfId="9096" xr:uid="{00000000-0005-0000-0000-000084230000}"/>
    <cellStyle name="20% - Accent5 5 6 7 4" xfId="9097" xr:uid="{00000000-0005-0000-0000-000085230000}"/>
    <cellStyle name="20% - Accent5 5 6 8" xfId="9098" xr:uid="{00000000-0005-0000-0000-000086230000}"/>
    <cellStyle name="20% - Accent5 5 6 8 2" xfId="9099" xr:uid="{00000000-0005-0000-0000-000087230000}"/>
    <cellStyle name="20% - Accent5 5 6 8 2 2" xfId="9100" xr:uid="{00000000-0005-0000-0000-000088230000}"/>
    <cellStyle name="20% - Accent5 5 6 8 2 2 2" xfId="9101" xr:uid="{00000000-0005-0000-0000-000089230000}"/>
    <cellStyle name="20% - Accent5 5 6 8 2 3" xfId="9102" xr:uid="{00000000-0005-0000-0000-00008A230000}"/>
    <cellStyle name="20% - Accent5 5 6 8 3" xfId="9103" xr:uid="{00000000-0005-0000-0000-00008B230000}"/>
    <cellStyle name="20% - Accent5 5 6 8 3 2" xfId="9104" xr:uid="{00000000-0005-0000-0000-00008C230000}"/>
    <cellStyle name="20% - Accent5 5 6 8 4" xfId="9105" xr:uid="{00000000-0005-0000-0000-00008D230000}"/>
    <cellStyle name="20% - Accent5 5 6 9" xfId="9106" xr:uid="{00000000-0005-0000-0000-00008E230000}"/>
    <cellStyle name="20% - Accent5 5 6 9 2" xfId="9107" xr:uid="{00000000-0005-0000-0000-00008F230000}"/>
    <cellStyle name="20% - Accent5 5 6 9 2 2" xfId="9108" xr:uid="{00000000-0005-0000-0000-000090230000}"/>
    <cellStyle name="20% - Accent5 5 6 9 3" xfId="9109" xr:uid="{00000000-0005-0000-0000-000091230000}"/>
    <cellStyle name="20% - Accent5 5 7" xfId="9110" xr:uid="{00000000-0005-0000-0000-000092230000}"/>
    <cellStyle name="20% - Accent5 5 7 10" xfId="9111" xr:uid="{00000000-0005-0000-0000-000093230000}"/>
    <cellStyle name="20% - Accent5 5 7 10 2" xfId="9112" xr:uid="{00000000-0005-0000-0000-000094230000}"/>
    <cellStyle name="20% - Accent5 5 7 10 2 2" xfId="9113" xr:uid="{00000000-0005-0000-0000-000095230000}"/>
    <cellStyle name="20% - Accent5 5 7 10 3" xfId="9114" xr:uid="{00000000-0005-0000-0000-000096230000}"/>
    <cellStyle name="20% - Accent5 5 7 11" xfId="9115" xr:uid="{00000000-0005-0000-0000-000097230000}"/>
    <cellStyle name="20% - Accent5 5 7 11 2" xfId="9116" xr:uid="{00000000-0005-0000-0000-000098230000}"/>
    <cellStyle name="20% - Accent5 5 7 11 2 2" xfId="9117" xr:uid="{00000000-0005-0000-0000-000099230000}"/>
    <cellStyle name="20% - Accent5 5 7 11 3" xfId="9118" xr:uid="{00000000-0005-0000-0000-00009A230000}"/>
    <cellStyle name="20% - Accent5 5 7 12" xfId="9119" xr:uid="{00000000-0005-0000-0000-00009B230000}"/>
    <cellStyle name="20% - Accent5 5 7 12 2" xfId="9120" xr:uid="{00000000-0005-0000-0000-00009C230000}"/>
    <cellStyle name="20% - Accent5 5 7 12 2 2" xfId="9121" xr:uid="{00000000-0005-0000-0000-00009D230000}"/>
    <cellStyle name="20% - Accent5 5 7 12 3" xfId="9122" xr:uid="{00000000-0005-0000-0000-00009E230000}"/>
    <cellStyle name="20% - Accent5 5 7 13" xfId="9123" xr:uid="{00000000-0005-0000-0000-00009F230000}"/>
    <cellStyle name="20% - Accent5 5 7 13 2" xfId="9124" xr:uid="{00000000-0005-0000-0000-0000A0230000}"/>
    <cellStyle name="20% - Accent5 5 7 14" xfId="9125" xr:uid="{00000000-0005-0000-0000-0000A1230000}"/>
    <cellStyle name="20% - Accent5 5 7 2" xfId="9126" xr:uid="{00000000-0005-0000-0000-0000A2230000}"/>
    <cellStyle name="20% - Accent5 5 7 2 2" xfId="9127" xr:uid="{00000000-0005-0000-0000-0000A3230000}"/>
    <cellStyle name="20% - Accent5 5 7 2 2 2" xfId="9128" xr:uid="{00000000-0005-0000-0000-0000A4230000}"/>
    <cellStyle name="20% - Accent5 5 7 2 2 2 2" xfId="9129" xr:uid="{00000000-0005-0000-0000-0000A5230000}"/>
    <cellStyle name="20% - Accent5 5 7 2 2 2 2 2" xfId="9130" xr:uid="{00000000-0005-0000-0000-0000A6230000}"/>
    <cellStyle name="20% - Accent5 5 7 2 2 2 3" xfId="9131" xr:uid="{00000000-0005-0000-0000-0000A7230000}"/>
    <cellStyle name="20% - Accent5 5 7 2 2 3" xfId="9132" xr:uid="{00000000-0005-0000-0000-0000A8230000}"/>
    <cellStyle name="20% - Accent5 5 7 2 2 3 2" xfId="9133" xr:uid="{00000000-0005-0000-0000-0000A9230000}"/>
    <cellStyle name="20% - Accent5 5 7 2 2 4" xfId="9134" xr:uid="{00000000-0005-0000-0000-0000AA230000}"/>
    <cellStyle name="20% - Accent5 5 7 2 3" xfId="9135" xr:uid="{00000000-0005-0000-0000-0000AB230000}"/>
    <cellStyle name="20% - Accent5 5 7 2 3 2" xfId="9136" xr:uid="{00000000-0005-0000-0000-0000AC230000}"/>
    <cellStyle name="20% - Accent5 5 7 2 3 2 2" xfId="9137" xr:uid="{00000000-0005-0000-0000-0000AD230000}"/>
    <cellStyle name="20% - Accent5 5 7 2 3 3" xfId="9138" xr:uid="{00000000-0005-0000-0000-0000AE230000}"/>
    <cellStyle name="20% - Accent5 5 7 2 4" xfId="9139" xr:uid="{00000000-0005-0000-0000-0000AF230000}"/>
    <cellStyle name="20% - Accent5 5 7 2 4 2" xfId="9140" xr:uid="{00000000-0005-0000-0000-0000B0230000}"/>
    <cellStyle name="20% - Accent5 5 7 2 4 2 2" xfId="9141" xr:uid="{00000000-0005-0000-0000-0000B1230000}"/>
    <cellStyle name="20% - Accent5 5 7 2 4 3" xfId="9142" xr:uid="{00000000-0005-0000-0000-0000B2230000}"/>
    <cellStyle name="20% - Accent5 5 7 2 5" xfId="9143" xr:uid="{00000000-0005-0000-0000-0000B3230000}"/>
    <cellStyle name="20% - Accent5 5 7 2 5 2" xfId="9144" xr:uid="{00000000-0005-0000-0000-0000B4230000}"/>
    <cellStyle name="20% - Accent5 5 7 2 5 2 2" xfId="9145" xr:uid="{00000000-0005-0000-0000-0000B5230000}"/>
    <cellStyle name="20% - Accent5 5 7 2 5 3" xfId="9146" xr:uid="{00000000-0005-0000-0000-0000B6230000}"/>
    <cellStyle name="20% - Accent5 5 7 2 6" xfId="9147" xr:uid="{00000000-0005-0000-0000-0000B7230000}"/>
    <cellStyle name="20% - Accent5 5 7 2 6 2" xfId="9148" xr:uid="{00000000-0005-0000-0000-0000B8230000}"/>
    <cellStyle name="20% - Accent5 5 7 2 6 2 2" xfId="9149" xr:uid="{00000000-0005-0000-0000-0000B9230000}"/>
    <cellStyle name="20% - Accent5 5 7 2 6 3" xfId="9150" xr:uid="{00000000-0005-0000-0000-0000BA230000}"/>
    <cellStyle name="20% - Accent5 5 7 2 7" xfId="9151" xr:uid="{00000000-0005-0000-0000-0000BB230000}"/>
    <cellStyle name="20% - Accent5 5 7 2 7 2" xfId="9152" xr:uid="{00000000-0005-0000-0000-0000BC230000}"/>
    <cellStyle name="20% - Accent5 5 7 2 8" xfId="9153" xr:uid="{00000000-0005-0000-0000-0000BD230000}"/>
    <cellStyle name="20% - Accent5 5 7 3" xfId="9154" xr:uid="{00000000-0005-0000-0000-0000BE230000}"/>
    <cellStyle name="20% - Accent5 5 7 3 2" xfId="9155" xr:uid="{00000000-0005-0000-0000-0000BF230000}"/>
    <cellStyle name="20% - Accent5 5 7 3 2 2" xfId="9156" xr:uid="{00000000-0005-0000-0000-0000C0230000}"/>
    <cellStyle name="20% - Accent5 5 7 3 2 2 2" xfId="9157" xr:uid="{00000000-0005-0000-0000-0000C1230000}"/>
    <cellStyle name="20% - Accent5 5 7 3 2 2 2 2" xfId="9158" xr:uid="{00000000-0005-0000-0000-0000C2230000}"/>
    <cellStyle name="20% - Accent5 5 7 3 2 2 3" xfId="9159" xr:uid="{00000000-0005-0000-0000-0000C3230000}"/>
    <cellStyle name="20% - Accent5 5 7 3 2 3" xfId="9160" xr:uid="{00000000-0005-0000-0000-0000C4230000}"/>
    <cellStyle name="20% - Accent5 5 7 3 2 3 2" xfId="9161" xr:uid="{00000000-0005-0000-0000-0000C5230000}"/>
    <cellStyle name="20% - Accent5 5 7 3 2 4" xfId="9162" xr:uid="{00000000-0005-0000-0000-0000C6230000}"/>
    <cellStyle name="20% - Accent5 5 7 3 3" xfId="9163" xr:uid="{00000000-0005-0000-0000-0000C7230000}"/>
    <cellStyle name="20% - Accent5 5 7 3 3 2" xfId="9164" xr:uid="{00000000-0005-0000-0000-0000C8230000}"/>
    <cellStyle name="20% - Accent5 5 7 3 3 2 2" xfId="9165" xr:uid="{00000000-0005-0000-0000-0000C9230000}"/>
    <cellStyle name="20% - Accent5 5 7 3 3 3" xfId="9166" xr:uid="{00000000-0005-0000-0000-0000CA230000}"/>
    <cellStyle name="20% - Accent5 5 7 3 4" xfId="9167" xr:uid="{00000000-0005-0000-0000-0000CB230000}"/>
    <cellStyle name="20% - Accent5 5 7 3 4 2" xfId="9168" xr:uid="{00000000-0005-0000-0000-0000CC230000}"/>
    <cellStyle name="20% - Accent5 5 7 3 4 2 2" xfId="9169" xr:uid="{00000000-0005-0000-0000-0000CD230000}"/>
    <cellStyle name="20% - Accent5 5 7 3 4 3" xfId="9170" xr:uid="{00000000-0005-0000-0000-0000CE230000}"/>
    <cellStyle name="20% - Accent5 5 7 3 5" xfId="9171" xr:uid="{00000000-0005-0000-0000-0000CF230000}"/>
    <cellStyle name="20% - Accent5 5 7 3 5 2" xfId="9172" xr:uid="{00000000-0005-0000-0000-0000D0230000}"/>
    <cellStyle name="20% - Accent5 5 7 3 5 2 2" xfId="9173" xr:uid="{00000000-0005-0000-0000-0000D1230000}"/>
    <cellStyle name="20% - Accent5 5 7 3 5 3" xfId="9174" xr:uid="{00000000-0005-0000-0000-0000D2230000}"/>
    <cellStyle name="20% - Accent5 5 7 3 6" xfId="9175" xr:uid="{00000000-0005-0000-0000-0000D3230000}"/>
    <cellStyle name="20% - Accent5 5 7 3 6 2" xfId="9176" xr:uid="{00000000-0005-0000-0000-0000D4230000}"/>
    <cellStyle name="20% - Accent5 5 7 3 6 2 2" xfId="9177" xr:uid="{00000000-0005-0000-0000-0000D5230000}"/>
    <cellStyle name="20% - Accent5 5 7 3 6 3" xfId="9178" xr:uid="{00000000-0005-0000-0000-0000D6230000}"/>
    <cellStyle name="20% - Accent5 5 7 3 7" xfId="9179" xr:uid="{00000000-0005-0000-0000-0000D7230000}"/>
    <cellStyle name="20% - Accent5 5 7 3 7 2" xfId="9180" xr:uid="{00000000-0005-0000-0000-0000D8230000}"/>
    <cellStyle name="20% - Accent5 5 7 3 8" xfId="9181" xr:uid="{00000000-0005-0000-0000-0000D9230000}"/>
    <cellStyle name="20% - Accent5 5 7 4" xfId="9182" xr:uid="{00000000-0005-0000-0000-0000DA230000}"/>
    <cellStyle name="20% - Accent5 5 7 4 2" xfId="9183" xr:uid="{00000000-0005-0000-0000-0000DB230000}"/>
    <cellStyle name="20% - Accent5 5 7 4 2 2" xfId="9184" xr:uid="{00000000-0005-0000-0000-0000DC230000}"/>
    <cellStyle name="20% - Accent5 5 7 4 2 2 2" xfId="9185" xr:uid="{00000000-0005-0000-0000-0000DD230000}"/>
    <cellStyle name="20% - Accent5 5 7 4 2 2 2 2" xfId="9186" xr:uid="{00000000-0005-0000-0000-0000DE230000}"/>
    <cellStyle name="20% - Accent5 5 7 4 2 2 3" xfId="9187" xr:uid="{00000000-0005-0000-0000-0000DF230000}"/>
    <cellStyle name="20% - Accent5 5 7 4 2 3" xfId="9188" xr:uid="{00000000-0005-0000-0000-0000E0230000}"/>
    <cellStyle name="20% - Accent5 5 7 4 2 3 2" xfId="9189" xr:uid="{00000000-0005-0000-0000-0000E1230000}"/>
    <cellStyle name="20% - Accent5 5 7 4 2 4" xfId="9190" xr:uid="{00000000-0005-0000-0000-0000E2230000}"/>
    <cellStyle name="20% - Accent5 5 7 4 3" xfId="9191" xr:uid="{00000000-0005-0000-0000-0000E3230000}"/>
    <cellStyle name="20% - Accent5 5 7 4 3 2" xfId="9192" xr:uid="{00000000-0005-0000-0000-0000E4230000}"/>
    <cellStyle name="20% - Accent5 5 7 4 3 2 2" xfId="9193" xr:uid="{00000000-0005-0000-0000-0000E5230000}"/>
    <cellStyle name="20% - Accent5 5 7 4 3 3" xfId="9194" xr:uid="{00000000-0005-0000-0000-0000E6230000}"/>
    <cellStyle name="20% - Accent5 5 7 4 4" xfId="9195" xr:uid="{00000000-0005-0000-0000-0000E7230000}"/>
    <cellStyle name="20% - Accent5 5 7 4 4 2" xfId="9196" xr:uid="{00000000-0005-0000-0000-0000E8230000}"/>
    <cellStyle name="20% - Accent5 5 7 4 4 2 2" xfId="9197" xr:uid="{00000000-0005-0000-0000-0000E9230000}"/>
    <cellStyle name="20% - Accent5 5 7 4 4 3" xfId="9198" xr:uid="{00000000-0005-0000-0000-0000EA230000}"/>
    <cellStyle name="20% - Accent5 5 7 4 5" xfId="9199" xr:uid="{00000000-0005-0000-0000-0000EB230000}"/>
    <cellStyle name="20% - Accent5 5 7 4 5 2" xfId="9200" xr:uid="{00000000-0005-0000-0000-0000EC230000}"/>
    <cellStyle name="20% - Accent5 5 7 4 5 2 2" xfId="9201" xr:uid="{00000000-0005-0000-0000-0000ED230000}"/>
    <cellStyle name="20% - Accent5 5 7 4 5 3" xfId="9202" xr:uid="{00000000-0005-0000-0000-0000EE230000}"/>
    <cellStyle name="20% - Accent5 5 7 4 6" xfId="9203" xr:uid="{00000000-0005-0000-0000-0000EF230000}"/>
    <cellStyle name="20% - Accent5 5 7 4 6 2" xfId="9204" xr:uid="{00000000-0005-0000-0000-0000F0230000}"/>
    <cellStyle name="20% - Accent5 5 7 4 6 2 2" xfId="9205" xr:uid="{00000000-0005-0000-0000-0000F1230000}"/>
    <cellStyle name="20% - Accent5 5 7 4 6 3" xfId="9206" xr:uid="{00000000-0005-0000-0000-0000F2230000}"/>
    <cellStyle name="20% - Accent5 5 7 4 7" xfId="9207" xr:uid="{00000000-0005-0000-0000-0000F3230000}"/>
    <cellStyle name="20% - Accent5 5 7 4 7 2" xfId="9208" xr:uid="{00000000-0005-0000-0000-0000F4230000}"/>
    <cellStyle name="20% - Accent5 5 7 4 8" xfId="9209" xr:uid="{00000000-0005-0000-0000-0000F5230000}"/>
    <cellStyle name="20% - Accent5 5 7 5" xfId="9210" xr:uid="{00000000-0005-0000-0000-0000F6230000}"/>
    <cellStyle name="20% - Accent5 5 7 5 2" xfId="9211" xr:uid="{00000000-0005-0000-0000-0000F7230000}"/>
    <cellStyle name="20% - Accent5 5 7 5 2 2" xfId="9212" xr:uid="{00000000-0005-0000-0000-0000F8230000}"/>
    <cellStyle name="20% - Accent5 5 7 5 2 2 2" xfId="9213" xr:uid="{00000000-0005-0000-0000-0000F9230000}"/>
    <cellStyle name="20% - Accent5 5 7 5 2 2 2 2" xfId="9214" xr:uid="{00000000-0005-0000-0000-0000FA230000}"/>
    <cellStyle name="20% - Accent5 5 7 5 2 2 3" xfId="9215" xr:uid="{00000000-0005-0000-0000-0000FB230000}"/>
    <cellStyle name="20% - Accent5 5 7 5 2 3" xfId="9216" xr:uid="{00000000-0005-0000-0000-0000FC230000}"/>
    <cellStyle name="20% - Accent5 5 7 5 2 3 2" xfId="9217" xr:uid="{00000000-0005-0000-0000-0000FD230000}"/>
    <cellStyle name="20% - Accent5 5 7 5 2 4" xfId="9218" xr:uid="{00000000-0005-0000-0000-0000FE230000}"/>
    <cellStyle name="20% - Accent5 5 7 5 3" xfId="9219" xr:uid="{00000000-0005-0000-0000-0000FF230000}"/>
    <cellStyle name="20% - Accent5 5 7 5 3 2" xfId="9220" xr:uid="{00000000-0005-0000-0000-000000240000}"/>
    <cellStyle name="20% - Accent5 5 7 5 3 2 2" xfId="9221" xr:uid="{00000000-0005-0000-0000-000001240000}"/>
    <cellStyle name="20% - Accent5 5 7 5 3 3" xfId="9222" xr:uid="{00000000-0005-0000-0000-000002240000}"/>
    <cellStyle name="20% - Accent5 5 7 5 4" xfId="9223" xr:uid="{00000000-0005-0000-0000-000003240000}"/>
    <cellStyle name="20% - Accent5 5 7 5 4 2" xfId="9224" xr:uid="{00000000-0005-0000-0000-000004240000}"/>
    <cellStyle name="20% - Accent5 5 7 5 5" xfId="9225" xr:uid="{00000000-0005-0000-0000-000005240000}"/>
    <cellStyle name="20% - Accent5 5 7 6" xfId="9226" xr:uid="{00000000-0005-0000-0000-000006240000}"/>
    <cellStyle name="20% - Accent5 5 7 6 2" xfId="9227" xr:uid="{00000000-0005-0000-0000-000007240000}"/>
    <cellStyle name="20% - Accent5 5 7 6 2 2" xfId="9228" xr:uid="{00000000-0005-0000-0000-000008240000}"/>
    <cellStyle name="20% - Accent5 5 7 6 2 2 2" xfId="9229" xr:uid="{00000000-0005-0000-0000-000009240000}"/>
    <cellStyle name="20% - Accent5 5 7 6 2 2 2 2" xfId="9230" xr:uid="{00000000-0005-0000-0000-00000A240000}"/>
    <cellStyle name="20% - Accent5 5 7 6 2 2 3" xfId="9231" xr:uid="{00000000-0005-0000-0000-00000B240000}"/>
    <cellStyle name="20% - Accent5 5 7 6 2 3" xfId="9232" xr:uid="{00000000-0005-0000-0000-00000C240000}"/>
    <cellStyle name="20% - Accent5 5 7 6 2 3 2" xfId="9233" xr:uid="{00000000-0005-0000-0000-00000D240000}"/>
    <cellStyle name="20% - Accent5 5 7 6 2 4" xfId="9234" xr:uid="{00000000-0005-0000-0000-00000E240000}"/>
    <cellStyle name="20% - Accent5 5 7 6 3" xfId="9235" xr:uid="{00000000-0005-0000-0000-00000F240000}"/>
    <cellStyle name="20% - Accent5 5 7 6 3 2" xfId="9236" xr:uid="{00000000-0005-0000-0000-000010240000}"/>
    <cellStyle name="20% - Accent5 5 7 6 3 2 2" xfId="9237" xr:uid="{00000000-0005-0000-0000-000011240000}"/>
    <cellStyle name="20% - Accent5 5 7 6 3 3" xfId="9238" xr:uid="{00000000-0005-0000-0000-000012240000}"/>
    <cellStyle name="20% - Accent5 5 7 6 4" xfId="9239" xr:uid="{00000000-0005-0000-0000-000013240000}"/>
    <cellStyle name="20% - Accent5 5 7 6 4 2" xfId="9240" xr:uid="{00000000-0005-0000-0000-000014240000}"/>
    <cellStyle name="20% - Accent5 5 7 6 5" xfId="9241" xr:uid="{00000000-0005-0000-0000-000015240000}"/>
    <cellStyle name="20% - Accent5 5 7 7" xfId="9242" xr:uid="{00000000-0005-0000-0000-000016240000}"/>
    <cellStyle name="20% - Accent5 5 7 7 2" xfId="9243" xr:uid="{00000000-0005-0000-0000-000017240000}"/>
    <cellStyle name="20% - Accent5 5 7 7 2 2" xfId="9244" xr:uid="{00000000-0005-0000-0000-000018240000}"/>
    <cellStyle name="20% - Accent5 5 7 7 2 2 2" xfId="9245" xr:uid="{00000000-0005-0000-0000-000019240000}"/>
    <cellStyle name="20% - Accent5 5 7 7 2 3" xfId="9246" xr:uid="{00000000-0005-0000-0000-00001A240000}"/>
    <cellStyle name="20% - Accent5 5 7 7 3" xfId="9247" xr:uid="{00000000-0005-0000-0000-00001B240000}"/>
    <cellStyle name="20% - Accent5 5 7 7 3 2" xfId="9248" xr:uid="{00000000-0005-0000-0000-00001C240000}"/>
    <cellStyle name="20% - Accent5 5 7 7 4" xfId="9249" xr:uid="{00000000-0005-0000-0000-00001D240000}"/>
    <cellStyle name="20% - Accent5 5 7 8" xfId="9250" xr:uid="{00000000-0005-0000-0000-00001E240000}"/>
    <cellStyle name="20% - Accent5 5 7 8 2" xfId="9251" xr:uid="{00000000-0005-0000-0000-00001F240000}"/>
    <cellStyle name="20% - Accent5 5 7 8 2 2" xfId="9252" xr:uid="{00000000-0005-0000-0000-000020240000}"/>
    <cellStyle name="20% - Accent5 5 7 8 2 2 2" xfId="9253" xr:uid="{00000000-0005-0000-0000-000021240000}"/>
    <cellStyle name="20% - Accent5 5 7 8 2 3" xfId="9254" xr:uid="{00000000-0005-0000-0000-000022240000}"/>
    <cellStyle name="20% - Accent5 5 7 8 3" xfId="9255" xr:uid="{00000000-0005-0000-0000-000023240000}"/>
    <cellStyle name="20% - Accent5 5 7 8 3 2" xfId="9256" xr:uid="{00000000-0005-0000-0000-000024240000}"/>
    <cellStyle name="20% - Accent5 5 7 8 4" xfId="9257" xr:uid="{00000000-0005-0000-0000-000025240000}"/>
    <cellStyle name="20% - Accent5 5 7 9" xfId="9258" xr:uid="{00000000-0005-0000-0000-000026240000}"/>
    <cellStyle name="20% - Accent5 5 7 9 2" xfId="9259" xr:uid="{00000000-0005-0000-0000-000027240000}"/>
    <cellStyle name="20% - Accent5 5 7 9 2 2" xfId="9260" xr:uid="{00000000-0005-0000-0000-000028240000}"/>
    <cellStyle name="20% - Accent5 5 7 9 3" xfId="9261" xr:uid="{00000000-0005-0000-0000-000029240000}"/>
    <cellStyle name="20% - Accent5 5 8" xfId="9262" xr:uid="{00000000-0005-0000-0000-00002A240000}"/>
    <cellStyle name="20% - Accent5 5 8 2" xfId="9263" xr:uid="{00000000-0005-0000-0000-00002B240000}"/>
    <cellStyle name="20% - Accent5 5 8 2 2" xfId="9264" xr:uid="{00000000-0005-0000-0000-00002C240000}"/>
    <cellStyle name="20% - Accent5 5 8 2 2 2" xfId="9265" xr:uid="{00000000-0005-0000-0000-00002D240000}"/>
    <cellStyle name="20% - Accent5 5 8 2 2 2 2" xfId="9266" xr:uid="{00000000-0005-0000-0000-00002E240000}"/>
    <cellStyle name="20% - Accent5 5 8 2 2 3" xfId="9267" xr:uid="{00000000-0005-0000-0000-00002F240000}"/>
    <cellStyle name="20% - Accent5 5 8 2 3" xfId="9268" xr:uid="{00000000-0005-0000-0000-000030240000}"/>
    <cellStyle name="20% - Accent5 5 8 2 3 2" xfId="9269" xr:uid="{00000000-0005-0000-0000-000031240000}"/>
    <cellStyle name="20% - Accent5 5 8 2 4" xfId="9270" xr:uid="{00000000-0005-0000-0000-000032240000}"/>
    <cellStyle name="20% - Accent5 5 8 3" xfId="9271" xr:uid="{00000000-0005-0000-0000-000033240000}"/>
    <cellStyle name="20% - Accent5 5 8 3 2" xfId="9272" xr:uid="{00000000-0005-0000-0000-000034240000}"/>
    <cellStyle name="20% - Accent5 5 8 3 2 2" xfId="9273" xr:uid="{00000000-0005-0000-0000-000035240000}"/>
    <cellStyle name="20% - Accent5 5 8 3 3" xfId="9274" xr:uid="{00000000-0005-0000-0000-000036240000}"/>
    <cellStyle name="20% - Accent5 5 8 4" xfId="9275" xr:uid="{00000000-0005-0000-0000-000037240000}"/>
    <cellStyle name="20% - Accent5 5 8 4 2" xfId="9276" xr:uid="{00000000-0005-0000-0000-000038240000}"/>
    <cellStyle name="20% - Accent5 5 8 4 2 2" xfId="9277" xr:uid="{00000000-0005-0000-0000-000039240000}"/>
    <cellStyle name="20% - Accent5 5 8 4 3" xfId="9278" xr:uid="{00000000-0005-0000-0000-00003A240000}"/>
    <cellStyle name="20% - Accent5 5 8 5" xfId="9279" xr:uid="{00000000-0005-0000-0000-00003B240000}"/>
    <cellStyle name="20% - Accent5 5 8 5 2" xfId="9280" xr:uid="{00000000-0005-0000-0000-00003C240000}"/>
    <cellStyle name="20% - Accent5 5 8 5 2 2" xfId="9281" xr:uid="{00000000-0005-0000-0000-00003D240000}"/>
    <cellStyle name="20% - Accent5 5 8 5 3" xfId="9282" xr:uid="{00000000-0005-0000-0000-00003E240000}"/>
    <cellStyle name="20% - Accent5 5 8 6" xfId="9283" xr:uid="{00000000-0005-0000-0000-00003F240000}"/>
    <cellStyle name="20% - Accent5 5 8 6 2" xfId="9284" xr:uid="{00000000-0005-0000-0000-000040240000}"/>
    <cellStyle name="20% - Accent5 5 8 6 2 2" xfId="9285" xr:uid="{00000000-0005-0000-0000-000041240000}"/>
    <cellStyle name="20% - Accent5 5 8 6 3" xfId="9286" xr:uid="{00000000-0005-0000-0000-000042240000}"/>
    <cellStyle name="20% - Accent5 5 8 7" xfId="9287" xr:uid="{00000000-0005-0000-0000-000043240000}"/>
    <cellStyle name="20% - Accent5 5 8 7 2" xfId="9288" xr:uid="{00000000-0005-0000-0000-000044240000}"/>
    <cellStyle name="20% - Accent5 5 8 8" xfId="9289" xr:uid="{00000000-0005-0000-0000-000045240000}"/>
    <cellStyle name="20% - Accent5 5 9" xfId="9290" xr:uid="{00000000-0005-0000-0000-000046240000}"/>
    <cellStyle name="20% - Accent5 5 9 2" xfId="9291" xr:uid="{00000000-0005-0000-0000-000047240000}"/>
    <cellStyle name="20% - Accent5 5 9 2 2" xfId="9292" xr:uid="{00000000-0005-0000-0000-000048240000}"/>
    <cellStyle name="20% - Accent5 5 9 2 2 2" xfId="9293" xr:uid="{00000000-0005-0000-0000-000049240000}"/>
    <cellStyle name="20% - Accent5 5 9 2 2 2 2" xfId="9294" xr:uid="{00000000-0005-0000-0000-00004A240000}"/>
    <cellStyle name="20% - Accent5 5 9 2 2 3" xfId="9295" xr:uid="{00000000-0005-0000-0000-00004B240000}"/>
    <cellStyle name="20% - Accent5 5 9 2 3" xfId="9296" xr:uid="{00000000-0005-0000-0000-00004C240000}"/>
    <cellStyle name="20% - Accent5 5 9 2 3 2" xfId="9297" xr:uid="{00000000-0005-0000-0000-00004D240000}"/>
    <cellStyle name="20% - Accent5 5 9 2 4" xfId="9298" xr:uid="{00000000-0005-0000-0000-00004E240000}"/>
    <cellStyle name="20% - Accent5 5 9 3" xfId="9299" xr:uid="{00000000-0005-0000-0000-00004F240000}"/>
    <cellStyle name="20% - Accent5 5 9 3 2" xfId="9300" xr:uid="{00000000-0005-0000-0000-000050240000}"/>
    <cellStyle name="20% - Accent5 5 9 3 2 2" xfId="9301" xr:uid="{00000000-0005-0000-0000-000051240000}"/>
    <cellStyle name="20% - Accent5 5 9 3 3" xfId="9302" xr:uid="{00000000-0005-0000-0000-000052240000}"/>
    <cellStyle name="20% - Accent5 5 9 4" xfId="9303" xr:uid="{00000000-0005-0000-0000-000053240000}"/>
    <cellStyle name="20% - Accent5 5 9 4 2" xfId="9304" xr:uid="{00000000-0005-0000-0000-000054240000}"/>
    <cellStyle name="20% - Accent5 5 9 4 2 2" xfId="9305" xr:uid="{00000000-0005-0000-0000-000055240000}"/>
    <cellStyle name="20% - Accent5 5 9 4 3" xfId="9306" xr:uid="{00000000-0005-0000-0000-000056240000}"/>
    <cellStyle name="20% - Accent5 5 9 5" xfId="9307" xr:uid="{00000000-0005-0000-0000-000057240000}"/>
    <cellStyle name="20% - Accent5 5 9 5 2" xfId="9308" xr:uid="{00000000-0005-0000-0000-000058240000}"/>
    <cellStyle name="20% - Accent5 5 9 5 2 2" xfId="9309" xr:uid="{00000000-0005-0000-0000-000059240000}"/>
    <cellStyle name="20% - Accent5 5 9 5 3" xfId="9310" xr:uid="{00000000-0005-0000-0000-00005A240000}"/>
    <cellStyle name="20% - Accent5 5 9 6" xfId="9311" xr:uid="{00000000-0005-0000-0000-00005B240000}"/>
    <cellStyle name="20% - Accent5 5 9 6 2" xfId="9312" xr:uid="{00000000-0005-0000-0000-00005C240000}"/>
    <cellStyle name="20% - Accent5 5 9 6 2 2" xfId="9313" xr:uid="{00000000-0005-0000-0000-00005D240000}"/>
    <cellStyle name="20% - Accent5 5 9 6 3" xfId="9314" xr:uid="{00000000-0005-0000-0000-00005E240000}"/>
    <cellStyle name="20% - Accent5 5 9 7" xfId="9315" xr:uid="{00000000-0005-0000-0000-00005F240000}"/>
    <cellStyle name="20% - Accent5 5 9 7 2" xfId="9316" xr:uid="{00000000-0005-0000-0000-000060240000}"/>
    <cellStyle name="20% - Accent5 5 9 8" xfId="9317" xr:uid="{00000000-0005-0000-0000-000061240000}"/>
    <cellStyle name="20% - Accent5 6" xfId="9318" xr:uid="{00000000-0005-0000-0000-000062240000}"/>
    <cellStyle name="20% - Accent6 2" xfId="9319" xr:uid="{00000000-0005-0000-0000-000063240000}"/>
    <cellStyle name="20% - Accent6 3" xfId="9320" xr:uid="{00000000-0005-0000-0000-000064240000}"/>
    <cellStyle name="20% - Accent6 4" xfId="9321" xr:uid="{00000000-0005-0000-0000-000065240000}"/>
    <cellStyle name="20% - Accent6 5" xfId="9322" xr:uid="{00000000-0005-0000-0000-000066240000}"/>
    <cellStyle name="20% - Accent6 5 10" xfId="9323" xr:uid="{00000000-0005-0000-0000-000067240000}"/>
    <cellStyle name="20% - Accent6 5 10 2" xfId="9324" xr:uid="{00000000-0005-0000-0000-000068240000}"/>
    <cellStyle name="20% - Accent6 5 10 2 2" xfId="9325" xr:uid="{00000000-0005-0000-0000-000069240000}"/>
    <cellStyle name="20% - Accent6 5 10 2 2 2" xfId="9326" xr:uid="{00000000-0005-0000-0000-00006A240000}"/>
    <cellStyle name="20% - Accent6 5 10 2 2 2 2" xfId="9327" xr:uid="{00000000-0005-0000-0000-00006B240000}"/>
    <cellStyle name="20% - Accent6 5 10 2 2 3" xfId="9328" xr:uid="{00000000-0005-0000-0000-00006C240000}"/>
    <cellStyle name="20% - Accent6 5 10 2 3" xfId="9329" xr:uid="{00000000-0005-0000-0000-00006D240000}"/>
    <cellStyle name="20% - Accent6 5 10 2 3 2" xfId="9330" xr:uid="{00000000-0005-0000-0000-00006E240000}"/>
    <cellStyle name="20% - Accent6 5 10 2 4" xfId="9331" xr:uid="{00000000-0005-0000-0000-00006F240000}"/>
    <cellStyle name="20% - Accent6 5 10 3" xfId="9332" xr:uid="{00000000-0005-0000-0000-000070240000}"/>
    <cellStyle name="20% - Accent6 5 10 3 2" xfId="9333" xr:uid="{00000000-0005-0000-0000-000071240000}"/>
    <cellStyle name="20% - Accent6 5 10 3 2 2" xfId="9334" xr:uid="{00000000-0005-0000-0000-000072240000}"/>
    <cellStyle name="20% - Accent6 5 10 3 3" xfId="9335" xr:uid="{00000000-0005-0000-0000-000073240000}"/>
    <cellStyle name="20% - Accent6 5 10 4" xfId="9336" xr:uid="{00000000-0005-0000-0000-000074240000}"/>
    <cellStyle name="20% - Accent6 5 10 4 2" xfId="9337" xr:uid="{00000000-0005-0000-0000-000075240000}"/>
    <cellStyle name="20% - Accent6 5 10 4 2 2" xfId="9338" xr:uid="{00000000-0005-0000-0000-000076240000}"/>
    <cellStyle name="20% - Accent6 5 10 4 3" xfId="9339" xr:uid="{00000000-0005-0000-0000-000077240000}"/>
    <cellStyle name="20% - Accent6 5 10 5" xfId="9340" xr:uid="{00000000-0005-0000-0000-000078240000}"/>
    <cellStyle name="20% - Accent6 5 10 5 2" xfId="9341" xr:uid="{00000000-0005-0000-0000-000079240000}"/>
    <cellStyle name="20% - Accent6 5 10 5 2 2" xfId="9342" xr:uid="{00000000-0005-0000-0000-00007A240000}"/>
    <cellStyle name="20% - Accent6 5 10 5 3" xfId="9343" xr:uid="{00000000-0005-0000-0000-00007B240000}"/>
    <cellStyle name="20% - Accent6 5 10 6" xfId="9344" xr:uid="{00000000-0005-0000-0000-00007C240000}"/>
    <cellStyle name="20% - Accent6 5 10 6 2" xfId="9345" xr:uid="{00000000-0005-0000-0000-00007D240000}"/>
    <cellStyle name="20% - Accent6 5 10 6 2 2" xfId="9346" xr:uid="{00000000-0005-0000-0000-00007E240000}"/>
    <cellStyle name="20% - Accent6 5 10 6 3" xfId="9347" xr:uid="{00000000-0005-0000-0000-00007F240000}"/>
    <cellStyle name="20% - Accent6 5 10 7" xfId="9348" xr:uid="{00000000-0005-0000-0000-000080240000}"/>
    <cellStyle name="20% - Accent6 5 10 7 2" xfId="9349" xr:uid="{00000000-0005-0000-0000-000081240000}"/>
    <cellStyle name="20% - Accent6 5 10 8" xfId="9350" xr:uid="{00000000-0005-0000-0000-000082240000}"/>
    <cellStyle name="20% - Accent6 5 11" xfId="9351" xr:uid="{00000000-0005-0000-0000-000083240000}"/>
    <cellStyle name="20% - Accent6 5 11 2" xfId="9352" xr:uid="{00000000-0005-0000-0000-000084240000}"/>
    <cellStyle name="20% - Accent6 5 11 2 2" xfId="9353" xr:uid="{00000000-0005-0000-0000-000085240000}"/>
    <cellStyle name="20% - Accent6 5 11 2 2 2" xfId="9354" xr:uid="{00000000-0005-0000-0000-000086240000}"/>
    <cellStyle name="20% - Accent6 5 11 2 2 2 2" xfId="9355" xr:uid="{00000000-0005-0000-0000-000087240000}"/>
    <cellStyle name="20% - Accent6 5 11 2 2 3" xfId="9356" xr:uid="{00000000-0005-0000-0000-000088240000}"/>
    <cellStyle name="20% - Accent6 5 11 2 3" xfId="9357" xr:uid="{00000000-0005-0000-0000-000089240000}"/>
    <cellStyle name="20% - Accent6 5 11 2 3 2" xfId="9358" xr:uid="{00000000-0005-0000-0000-00008A240000}"/>
    <cellStyle name="20% - Accent6 5 11 2 4" xfId="9359" xr:uid="{00000000-0005-0000-0000-00008B240000}"/>
    <cellStyle name="20% - Accent6 5 11 3" xfId="9360" xr:uid="{00000000-0005-0000-0000-00008C240000}"/>
    <cellStyle name="20% - Accent6 5 11 3 2" xfId="9361" xr:uid="{00000000-0005-0000-0000-00008D240000}"/>
    <cellStyle name="20% - Accent6 5 11 3 2 2" xfId="9362" xr:uid="{00000000-0005-0000-0000-00008E240000}"/>
    <cellStyle name="20% - Accent6 5 11 3 3" xfId="9363" xr:uid="{00000000-0005-0000-0000-00008F240000}"/>
    <cellStyle name="20% - Accent6 5 11 4" xfId="9364" xr:uid="{00000000-0005-0000-0000-000090240000}"/>
    <cellStyle name="20% - Accent6 5 11 4 2" xfId="9365" xr:uid="{00000000-0005-0000-0000-000091240000}"/>
    <cellStyle name="20% - Accent6 5 11 5" xfId="9366" xr:uid="{00000000-0005-0000-0000-000092240000}"/>
    <cellStyle name="20% - Accent6 5 12" xfId="9367" xr:uid="{00000000-0005-0000-0000-000093240000}"/>
    <cellStyle name="20% - Accent6 5 12 2" xfId="9368" xr:uid="{00000000-0005-0000-0000-000094240000}"/>
    <cellStyle name="20% - Accent6 5 12 2 2" xfId="9369" xr:uid="{00000000-0005-0000-0000-000095240000}"/>
    <cellStyle name="20% - Accent6 5 12 2 2 2" xfId="9370" xr:uid="{00000000-0005-0000-0000-000096240000}"/>
    <cellStyle name="20% - Accent6 5 12 2 2 2 2" xfId="9371" xr:uid="{00000000-0005-0000-0000-000097240000}"/>
    <cellStyle name="20% - Accent6 5 12 2 2 3" xfId="9372" xr:uid="{00000000-0005-0000-0000-000098240000}"/>
    <cellStyle name="20% - Accent6 5 12 2 3" xfId="9373" xr:uid="{00000000-0005-0000-0000-000099240000}"/>
    <cellStyle name="20% - Accent6 5 12 2 3 2" xfId="9374" xr:uid="{00000000-0005-0000-0000-00009A240000}"/>
    <cellStyle name="20% - Accent6 5 12 2 4" xfId="9375" xr:uid="{00000000-0005-0000-0000-00009B240000}"/>
    <cellStyle name="20% - Accent6 5 12 3" xfId="9376" xr:uid="{00000000-0005-0000-0000-00009C240000}"/>
    <cellStyle name="20% - Accent6 5 12 3 2" xfId="9377" xr:uid="{00000000-0005-0000-0000-00009D240000}"/>
    <cellStyle name="20% - Accent6 5 12 3 2 2" xfId="9378" xr:uid="{00000000-0005-0000-0000-00009E240000}"/>
    <cellStyle name="20% - Accent6 5 12 3 3" xfId="9379" xr:uid="{00000000-0005-0000-0000-00009F240000}"/>
    <cellStyle name="20% - Accent6 5 12 4" xfId="9380" xr:uid="{00000000-0005-0000-0000-0000A0240000}"/>
    <cellStyle name="20% - Accent6 5 12 4 2" xfId="9381" xr:uid="{00000000-0005-0000-0000-0000A1240000}"/>
    <cellStyle name="20% - Accent6 5 12 5" xfId="9382" xr:uid="{00000000-0005-0000-0000-0000A2240000}"/>
    <cellStyle name="20% - Accent6 5 13" xfId="9383" xr:uid="{00000000-0005-0000-0000-0000A3240000}"/>
    <cellStyle name="20% - Accent6 5 13 2" xfId="9384" xr:uid="{00000000-0005-0000-0000-0000A4240000}"/>
    <cellStyle name="20% - Accent6 5 13 2 2" xfId="9385" xr:uid="{00000000-0005-0000-0000-0000A5240000}"/>
    <cellStyle name="20% - Accent6 5 13 2 2 2" xfId="9386" xr:uid="{00000000-0005-0000-0000-0000A6240000}"/>
    <cellStyle name="20% - Accent6 5 13 2 2 2 2" xfId="9387" xr:uid="{00000000-0005-0000-0000-0000A7240000}"/>
    <cellStyle name="20% - Accent6 5 13 2 2 3" xfId="9388" xr:uid="{00000000-0005-0000-0000-0000A8240000}"/>
    <cellStyle name="20% - Accent6 5 13 2 3" xfId="9389" xr:uid="{00000000-0005-0000-0000-0000A9240000}"/>
    <cellStyle name="20% - Accent6 5 13 2 3 2" xfId="9390" xr:uid="{00000000-0005-0000-0000-0000AA240000}"/>
    <cellStyle name="20% - Accent6 5 13 2 4" xfId="9391" xr:uid="{00000000-0005-0000-0000-0000AB240000}"/>
    <cellStyle name="20% - Accent6 5 13 3" xfId="9392" xr:uid="{00000000-0005-0000-0000-0000AC240000}"/>
    <cellStyle name="20% - Accent6 5 13 3 2" xfId="9393" xr:uid="{00000000-0005-0000-0000-0000AD240000}"/>
    <cellStyle name="20% - Accent6 5 13 3 2 2" xfId="9394" xr:uid="{00000000-0005-0000-0000-0000AE240000}"/>
    <cellStyle name="20% - Accent6 5 13 3 3" xfId="9395" xr:uid="{00000000-0005-0000-0000-0000AF240000}"/>
    <cellStyle name="20% - Accent6 5 13 4" xfId="9396" xr:uid="{00000000-0005-0000-0000-0000B0240000}"/>
    <cellStyle name="20% - Accent6 5 13 4 2" xfId="9397" xr:uid="{00000000-0005-0000-0000-0000B1240000}"/>
    <cellStyle name="20% - Accent6 5 13 5" xfId="9398" xr:uid="{00000000-0005-0000-0000-0000B2240000}"/>
    <cellStyle name="20% - Accent6 5 14" xfId="9399" xr:uid="{00000000-0005-0000-0000-0000B3240000}"/>
    <cellStyle name="20% - Accent6 5 14 2" xfId="9400" xr:uid="{00000000-0005-0000-0000-0000B4240000}"/>
    <cellStyle name="20% - Accent6 5 14 2 2" xfId="9401" xr:uid="{00000000-0005-0000-0000-0000B5240000}"/>
    <cellStyle name="20% - Accent6 5 14 2 2 2" xfId="9402" xr:uid="{00000000-0005-0000-0000-0000B6240000}"/>
    <cellStyle name="20% - Accent6 5 14 2 3" xfId="9403" xr:uid="{00000000-0005-0000-0000-0000B7240000}"/>
    <cellStyle name="20% - Accent6 5 14 3" xfId="9404" xr:uid="{00000000-0005-0000-0000-0000B8240000}"/>
    <cellStyle name="20% - Accent6 5 14 3 2" xfId="9405" xr:uid="{00000000-0005-0000-0000-0000B9240000}"/>
    <cellStyle name="20% - Accent6 5 14 4" xfId="9406" xr:uid="{00000000-0005-0000-0000-0000BA240000}"/>
    <cellStyle name="20% - Accent6 5 15" xfId="9407" xr:uid="{00000000-0005-0000-0000-0000BB240000}"/>
    <cellStyle name="20% - Accent6 5 15 2" xfId="9408" xr:uid="{00000000-0005-0000-0000-0000BC240000}"/>
    <cellStyle name="20% - Accent6 5 15 2 2" xfId="9409" xr:uid="{00000000-0005-0000-0000-0000BD240000}"/>
    <cellStyle name="20% - Accent6 5 15 2 2 2" xfId="9410" xr:uid="{00000000-0005-0000-0000-0000BE240000}"/>
    <cellStyle name="20% - Accent6 5 15 2 3" xfId="9411" xr:uid="{00000000-0005-0000-0000-0000BF240000}"/>
    <cellStyle name="20% - Accent6 5 15 3" xfId="9412" xr:uid="{00000000-0005-0000-0000-0000C0240000}"/>
    <cellStyle name="20% - Accent6 5 15 3 2" xfId="9413" xr:uid="{00000000-0005-0000-0000-0000C1240000}"/>
    <cellStyle name="20% - Accent6 5 15 4" xfId="9414" xr:uid="{00000000-0005-0000-0000-0000C2240000}"/>
    <cellStyle name="20% - Accent6 5 16" xfId="9415" xr:uid="{00000000-0005-0000-0000-0000C3240000}"/>
    <cellStyle name="20% - Accent6 5 16 2" xfId="9416" xr:uid="{00000000-0005-0000-0000-0000C4240000}"/>
    <cellStyle name="20% - Accent6 5 16 2 2" xfId="9417" xr:uid="{00000000-0005-0000-0000-0000C5240000}"/>
    <cellStyle name="20% - Accent6 5 16 3" xfId="9418" xr:uid="{00000000-0005-0000-0000-0000C6240000}"/>
    <cellStyle name="20% - Accent6 5 17" xfId="9419" xr:uid="{00000000-0005-0000-0000-0000C7240000}"/>
    <cellStyle name="20% - Accent6 5 17 2" xfId="9420" xr:uid="{00000000-0005-0000-0000-0000C8240000}"/>
    <cellStyle name="20% - Accent6 5 17 2 2" xfId="9421" xr:uid="{00000000-0005-0000-0000-0000C9240000}"/>
    <cellStyle name="20% - Accent6 5 17 3" xfId="9422" xr:uid="{00000000-0005-0000-0000-0000CA240000}"/>
    <cellStyle name="20% - Accent6 5 18" xfId="9423" xr:uid="{00000000-0005-0000-0000-0000CB240000}"/>
    <cellStyle name="20% - Accent6 5 18 2" xfId="9424" xr:uid="{00000000-0005-0000-0000-0000CC240000}"/>
    <cellStyle name="20% - Accent6 5 18 2 2" xfId="9425" xr:uid="{00000000-0005-0000-0000-0000CD240000}"/>
    <cellStyle name="20% - Accent6 5 18 3" xfId="9426" xr:uid="{00000000-0005-0000-0000-0000CE240000}"/>
    <cellStyle name="20% - Accent6 5 19" xfId="9427" xr:uid="{00000000-0005-0000-0000-0000CF240000}"/>
    <cellStyle name="20% - Accent6 5 19 2" xfId="9428" xr:uid="{00000000-0005-0000-0000-0000D0240000}"/>
    <cellStyle name="20% - Accent6 5 19 2 2" xfId="9429" xr:uid="{00000000-0005-0000-0000-0000D1240000}"/>
    <cellStyle name="20% - Accent6 5 19 3" xfId="9430" xr:uid="{00000000-0005-0000-0000-0000D2240000}"/>
    <cellStyle name="20% - Accent6 5 2" xfId="9431" xr:uid="{00000000-0005-0000-0000-0000D3240000}"/>
    <cellStyle name="20% - Accent6 5 2 10" xfId="9432" xr:uid="{00000000-0005-0000-0000-0000D4240000}"/>
    <cellStyle name="20% - Accent6 5 2 10 2" xfId="9433" xr:uid="{00000000-0005-0000-0000-0000D5240000}"/>
    <cellStyle name="20% - Accent6 5 2 10 2 2" xfId="9434" xr:uid="{00000000-0005-0000-0000-0000D6240000}"/>
    <cellStyle name="20% - Accent6 5 2 10 2 2 2" xfId="9435" xr:uid="{00000000-0005-0000-0000-0000D7240000}"/>
    <cellStyle name="20% - Accent6 5 2 10 2 2 2 2" xfId="9436" xr:uid="{00000000-0005-0000-0000-0000D8240000}"/>
    <cellStyle name="20% - Accent6 5 2 10 2 2 3" xfId="9437" xr:uid="{00000000-0005-0000-0000-0000D9240000}"/>
    <cellStyle name="20% - Accent6 5 2 10 2 3" xfId="9438" xr:uid="{00000000-0005-0000-0000-0000DA240000}"/>
    <cellStyle name="20% - Accent6 5 2 10 2 3 2" xfId="9439" xr:uid="{00000000-0005-0000-0000-0000DB240000}"/>
    <cellStyle name="20% - Accent6 5 2 10 2 4" xfId="9440" xr:uid="{00000000-0005-0000-0000-0000DC240000}"/>
    <cellStyle name="20% - Accent6 5 2 10 3" xfId="9441" xr:uid="{00000000-0005-0000-0000-0000DD240000}"/>
    <cellStyle name="20% - Accent6 5 2 10 3 2" xfId="9442" xr:uid="{00000000-0005-0000-0000-0000DE240000}"/>
    <cellStyle name="20% - Accent6 5 2 10 3 2 2" xfId="9443" xr:uid="{00000000-0005-0000-0000-0000DF240000}"/>
    <cellStyle name="20% - Accent6 5 2 10 3 3" xfId="9444" xr:uid="{00000000-0005-0000-0000-0000E0240000}"/>
    <cellStyle name="20% - Accent6 5 2 10 4" xfId="9445" xr:uid="{00000000-0005-0000-0000-0000E1240000}"/>
    <cellStyle name="20% - Accent6 5 2 10 4 2" xfId="9446" xr:uid="{00000000-0005-0000-0000-0000E2240000}"/>
    <cellStyle name="20% - Accent6 5 2 10 5" xfId="9447" xr:uid="{00000000-0005-0000-0000-0000E3240000}"/>
    <cellStyle name="20% - Accent6 5 2 11" xfId="9448" xr:uid="{00000000-0005-0000-0000-0000E4240000}"/>
    <cellStyle name="20% - Accent6 5 2 11 2" xfId="9449" xr:uid="{00000000-0005-0000-0000-0000E5240000}"/>
    <cellStyle name="20% - Accent6 5 2 11 2 2" xfId="9450" xr:uid="{00000000-0005-0000-0000-0000E6240000}"/>
    <cellStyle name="20% - Accent6 5 2 11 2 2 2" xfId="9451" xr:uid="{00000000-0005-0000-0000-0000E7240000}"/>
    <cellStyle name="20% - Accent6 5 2 11 2 2 2 2" xfId="9452" xr:uid="{00000000-0005-0000-0000-0000E8240000}"/>
    <cellStyle name="20% - Accent6 5 2 11 2 2 3" xfId="9453" xr:uid="{00000000-0005-0000-0000-0000E9240000}"/>
    <cellStyle name="20% - Accent6 5 2 11 2 3" xfId="9454" xr:uid="{00000000-0005-0000-0000-0000EA240000}"/>
    <cellStyle name="20% - Accent6 5 2 11 2 3 2" xfId="9455" xr:uid="{00000000-0005-0000-0000-0000EB240000}"/>
    <cellStyle name="20% - Accent6 5 2 11 2 4" xfId="9456" xr:uid="{00000000-0005-0000-0000-0000EC240000}"/>
    <cellStyle name="20% - Accent6 5 2 11 3" xfId="9457" xr:uid="{00000000-0005-0000-0000-0000ED240000}"/>
    <cellStyle name="20% - Accent6 5 2 11 3 2" xfId="9458" xr:uid="{00000000-0005-0000-0000-0000EE240000}"/>
    <cellStyle name="20% - Accent6 5 2 11 3 2 2" xfId="9459" xr:uid="{00000000-0005-0000-0000-0000EF240000}"/>
    <cellStyle name="20% - Accent6 5 2 11 3 3" xfId="9460" xr:uid="{00000000-0005-0000-0000-0000F0240000}"/>
    <cellStyle name="20% - Accent6 5 2 11 4" xfId="9461" xr:uid="{00000000-0005-0000-0000-0000F1240000}"/>
    <cellStyle name="20% - Accent6 5 2 11 4 2" xfId="9462" xr:uid="{00000000-0005-0000-0000-0000F2240000}"/>
    <cellStyle name="20% - Accent6 5 2 11 5" xfId="9463" xr:uid="{00000000-0005-0000-0000-0000F3240000}"/>
    <cellStyle name="20% - Accent6 5 2 12" xfId="9464" xr:uid="{00000000-0005-0000-0000-0000F4240000}"/>
    <cellStyle name="20% - Accent6 5 2 12 2" xfId="9465" xr:uid="{00000000-0005-0000-0000-0000F5240000}"/>
    <cellStyle name="20% - Accent6 5 2 12 2 2" xfId="9466" xr:uid="{00000000-0005-0000-0000-0000F6240000}"/>
    <cellStyle name="20% - Accent6 5 2 12 2 2 2" xfId="9467" xr:uid="{00000000-0005-0000-0000-0000F7240000}"/>
    <cellStyle name="20% - Accent6 5 2 12 2 2 2 2" xfId="9468" xr:uid="{00000000-0005-0000-0000-0000F8240000}"/>
    <cellStyle name="20% - Accent6 5 2 12 2 2 3" xfId="9469" xr:uid="{00000000-0005-0000-0000-0000F9240000}"/>
    <cellStyle name="20% - Accent6 5 2 12 2 3" xfId="9470" xr:uid="{00000000-0005-0000-0000-0000FA240000}"/>
    <cellStyle name="20% - Accent6 5 2 12 2 3 2" xfId="9471" xr:uid="{00000000-0005-0000-0000-0000FB240000}"/>
    <cellStyle name="20% - Accent6 5 2 12 2 4" xfId="9472" xr:uid="{00000000-0005-0000-0000-0000FC240000}"/>
    <cellStyle name="20% - Accent6 5 2 12 3" xfId="9473" xr:uid="{00000000-0005-0000-0000-0000FD240000}"/>
    <cellStyle name="20% - Accent6 5 2 12 3 2" xfId="9474" xr:uid="{00000000-0005-0000-0000-0000FE240000}"/>
    <cellStyle name="20% - Accent6 5 2 12 3 2 2" xfId="9475" xr:uid="{00000000-0005-0000-0000-0000FF240000}"/>
    <cellStyle name="20% - Accent6 5 2 12 3 3" xfId="9476" xr:uid="{00000000-0005-0000-0000-000000250000}"/>
    <cellStyle name="20% - Accent6 5 2 12 4" xfId="9477" xr:uid="{00000000-0005-0000-0000-000001250000}"/>
    <cellStyle name="20% - Accent6 5 2 12 4 2" xfId="9478" xr:uid="{00000000-0005-0000-0000-000002250000}"/>
    <cellStyle name="20% - Accent6 5 2 12 5" xfId="9479" xr:uid="{00000000-0005-0000-0000-000003250000}"/>
    <cellStyle name="20% - Accent6 5 2 13" xfId="9480" xr:uid="{00000000-0005-0000-0000-000004250000}"/>
    <cellStyle name="20% - Accent6 5 2 13 2" xfId="9481" xr:uid="{00000000-0005-0000-0000-000005250000}"/>
    <cellStyle name="20% - Accent6 5 2 13 2 2" xfId="9482" xr:uid="{00000000-0005-0000-0000-000006250000}"/>
    <cellStyle name="20% - Accent6 5 2 13 2 2 2" xfId="9483" xr:uid="{00000000-0005-0000-0000-000007250000}"/>
    <cellStyle name="20% - Accent6 5 2 13 2 3" xfId="9484" xr:uid="{00000000-0005-0000-0000-000008250000}"/>
    <cellStyle name="20% - Accent6 5 2 13 3" xfId="9485" xr:uid="{00000000-0005-0000-0000-000009250000}"/>
    <cellStyle name="20% - Accent6 5 2 13 3 2" xfId="9486" xr:uid="{00000000-0005-0000-0000-00000A250000}"/>
    <cellStyle name="20% - Accent6 5 2 13 4" xfId="9487" xr:uid="{00000000-0005-0000-0000-00000B250000}"/>
    <cellStyle name="20% - Accent6 5 2 14" xfId="9488" xr:uid="{00000000-0005-0000-0000-00000C250000}"/>
    <cellStyle name="20% - Accent6 5 2 14 2" xfId="9489" xr:uid="{00000000-0005-0000-0000-00000D250000}"/>
    <cellStyle name="20% - Accent6 5 2 14 2 2" xfId="9490" xr:uid="{00000000-0005-0000-0000-00000E250000}"/>
    <cellStyle name="20% - Accent6 5 2 14 2 2 2" xfId="9491" xr:uid="{00000000-0005-0000-0000-00000F250000}"/>
    <cellStyle name="20% - Accent6 5 2 14 2 3" xfId="9492" xr:uid="{00000000-0005-0000-0000-000010250000}"/>
    <cellStyle name="20% - Accent6 5 2 14 3" xfId="9493" xr:uid="{00000000-0005-0000-0000-000011250000}"/>
    <cellStyle name="20% - Accent6 5 2 14 3 2" xfId="9494" xr:uid="{00000000-0005-0000-0000-000012250000}"/>
    <cellStyle name="20% - Accent6 5 2 14 4" xfId="9495" xr:uid="{00000000-0005-0000-0000-000013250000}"/>
    <cellStyle name="20% - Accent6 5 2 15" xfId="9496" xr:uid="{00000000-0005-0000-0000-000014250000}"/>
    <cellStyle name="20% - Accent6 5 2 15 2" xfId="9497" xr:uid="{00000000-0005-0000-0000-000015250000}"/>
    <cellStyle name="20% - Accent6 5 2 15 2 2" xfId="9498" xr:uid="{00000000-0005-0000-0000-000016250000}"/>
    <cellStyle name="20% - Accent6 5 2 15 3" xfId="9499" xr:uid="{00000000-0005-0000-0000-000017250000}"/>
    <cellStyle name="20% - Accent6 5 2 16" xfId="9500" xr:uid="{00000000-0005-0000-0000-000018250000}"/>
    <cellStyle name="20% - Accent6 5 2 16 2" xfId="9501" xr:uid="{00000000-0005-0000-0000-000019250000}"/>
    <cellStyle name="20% - Accent6 5 2 16 2 2" xfId="9502" xr:uid="{00000000-0005-0000-0000-00001A250000}"/>
    <cellStyle name="20% - Accent6 5 2 16 3" xfId="9503" xr:uid="{00000000-0005-0000-0000-00001B250000}"/>
    <cellStyle name="20% - Accent6 5 2 17" xfId="9504" xr:uid="{00000000-0005-0000-0000-00001C250000}"/>
    <cellStyle name="20% - Accent6 5 2 17 2" xfId="9505" xr:uid="{00000000-0005-0000-0000-00001D250000}"/>
    <cellStyle name="20% - Accent6 5 2 17 2 2" xfId="9506" xr:uid="{00000000-0005-0000-0000-00001E250000}"/>
    <cellStyle name="20% - Accent6 5 2 17 3" xfId="9507" xr:uid="{00000000-0005-0000-0000-00001F250000}"/>
    <cellStyle name="20% - Accent6 5 2 18" xfId="9508" xr:uid="{00000000-0005-0000-0000-000020250000}"/>
    <cellStyle name="20% - Accent6 5 2 18 2" xfId="9509" xr:uid="{00000000-0005-0000-0000-000021250000}"/>
    <cellStyle name="20% - Accent6 5 2 18 2 2" xfId="9510" xr:uid="{00000000-0005-0000-0000-000022250000}"/>
    <cellStyle name="20% - Accent6 5 2 18 3" xfId="9511" xr:uid="{00000000-0005-0000-0000-000023250000}"/>
    <cellStyle name="20% - Accent6 5 2 19" xfId="9512" xr:uid="{00000000-0005-0000-0000-000024250000}"/>
    <cellStyle name="20% - Accent6 5 2 19 2" xfId="9513" xr:uid="{00000000-0005-0000-0000-000025250000}"/>
    <cellStyle name="20% - Accent6 5 2 2" xfId="9514" xr:uid="{00000000-0005-0000-0000-000026250000}"/>
    <cellStyle name="20% - Accent6 5 2 2 10" xfId="9515" xr:uid="{00000000-0005-0000-0000-000027250000}"/>
    <cellStyle name="20% - Accent6 5 2 2 10 2" xfId="9516" xr:uid="{00000000-0005-0000-0000-000028250000}"/>
    <cellStyle name="20% - Accent6 5 2 2 10 2 2" xfId="9517" xr:uid="{00000000-0005-0000-0000-000029250000}"/>
    <cellStyle name="20% - Accent6 5 2 2 10 3" xfId="9518" xr:uid="{00000000-0005-0000-0000-00002A250000}"/>
    <cellStyle name="20% - Accent6 5 2 2 11" xfId="9519" xr:uid="{00000000-0005-0000-0000-00002B250000}"/>
    <cellStyle name="20% - Accent6 5 2 2 11 2" xfId="9520" xr:uid="{00000000-0005-0000-0000-00002C250000}"/>
    <cellStyle name="20% - Accent6 5 2 2 11 2 2" xfId="9521" xr:uid="{00000000-0005-0000-0000-00002D250000}"/>
    <cellStyle name="20% - Accent6 5 2 2 11 3" xfId="9522" xr:uid="{00000000-0005-0000-0000-00002E250000}"/>
    <cellStyle name="20% - Accent6 5 2 2 12" xfId="9523" xr:uid="{00000000-0005-0000-0000-00002F250000}"/>
    <cellStyle name="20% - Accent6 5 2 2 12 2" xfId="9524" xr:uid="{00000000-0005-0000-0000-000030250000}"/>
    <cellStyle name="20% - Accent6 5 2 2 12 2 2" xfId="9525" xr:uid="{00000000-0005-0000-0000-000031250000}"/>
    <cellStyle name="20% - Accent6 5 2 2 12 3" xfId="9526" xr:uid="{00000000-0005-0000-0000-000032250000}"/>
    <cellStyle name="20% - Accent6 5 2 2 13" xfId="9527" xr:uid="{00000000-0005-0000-0000-000033250000}"/>
    <cellStyle name="20% - Accent6 5 2 2 13 2" xfId="9528" xr:uid="{00000000-0005-0000-0000-000034250000}"/>
    <cellStyle name="20% - Accent6 5 2 2 14" xfId="9529" xr:uid="{00000000-0005-0000-0000-000035250000}"/>
    <cellStyle name="20% - Accent6 5 2 2 2" xfId="9530" xr:uid="{00000000-0005-0000-0000-000036250000}"/>
    <cellStyle name="20% - Accent6 5 2 2 2 2" xfId="9531" xr:uid="{00000000-0005-0000-0000-000037250000}"/>
    <cellStyle name="20% - Accent6 5 2 2 2 2 2" xfId="9532" xr:uid="{00000000-0005-0000-0000-000038250000}"/>
    <cellStyle name="20% - Accent6 5 2 2 2 2 2 2" xfId="9533" xr:uid="{00000000-0005-0000-0000-000039250000}"/>
    <cellStyle name="20% - Accent6 5 2 2 2 2 2 2 2" xfId="9534" xr:uid="{00000000-0005-0000-0000-00003A250000}"/>
    <cellStyle name="20% - Accent6 5 2 2 2 2 2 3" xfId="9535" xr:uid="{00000000-0005-0000-0000-00003B250000}"/>
    <cellStyle name="20% - Accent6 5 2 2 2 2 3" xfId="9536" xr:uid="{00000000-0005-0000-0000-00003C250000}"/>
    <cellStyle name="20% - Accent6 5 2 2 2 2 3 2" xfId="9537" xr:uid="{00000000-0005-0000-0000-00003D250000}"/>
    <cellStyle name="20% - Accent6 5 2 2 2 2 4" xfId="9538" xr:uid="{00000000-0005-0000-0000-00003E250000}"/>
    <cellStyle name="20% - Accent6 5 2 2 2 3" xfId="9539" xr:uid="{00000000-0005-0000-0000-00003F250000}"/>
    <cellStyle name="20% - Accent6 5 2 2 2 3 2" xfId="9540" xr:uid="{00000000-0005-0000-0000-000040250000}"/>
    <cellStyle name="20% - Accent6 5 2 2 2 3 2 2" xfId="9541" xr:uid="{00000000-0005-0000-0000-000041250000}"/>
    <cellStyle name="20% - Accent6 5 2 2 2 3 3" xfId="9542" xr:uid="{00000000-0005-0000-0000-000042250000}"/>
    <cellStyle name="20% - Accent6 5 2 2 2 4" xfId="9543" xr:uid="{00000000-0005-0000-0000-000043250000}"/>
    <cellStyle name="20% - Accent6 5 2 2 2 4 2" xfId="9544" xr:uid="{00000000-0005-0000-0000-000044250000}"/>
    <cellStyle name="20% - Accent6 5 2 2 2 4 2 2" xfId="9545" xr:uid="{00000000-0005-0000-0000-000045250000}"/>
    <cellStyle name="20% - Accent6 5 2 2 2 4 3" xfId="9546" xr:uid="{00000000-0005-0000-0000-000046250000}"/>
    <cellStyle name="20% - Accent6 5 2 2 2 5" xfId="9547" xr:uid="{00000000-0005-0000-0000-000047250000}"/>
    <cellStyle name="20% - Accent6 5 2 2 2 5 2" xfId="9548" xr:uid="{00000000-0005-0000-0000-000048250000}"/>
    <cellStyle name="20% - Accent6 5 2 2 2 5 2 2" xfId="9549" xr:uid="{00000000-0005-0000-0000-000049250000}"/>
    <cellStyle name="20% - Accent6 5 2 2 2 5 3" xfId="9550" xr:uid="{00000000-0005-0000-0000-00004A250000}"/>
    <cellStyle name="20% - Accent6 5 2 2 2 6" xfId="9551" xr:uid="{00000000-0005-0000-0000-00004B250000}"/>
    <cellStyle name="20% - Accent6 5 2 2 2 6 2" xfId="9552" xr:uid="{00000000-0005-0000-0000-00004C250000}"/>
    <cellStyle name="20% - Accent6 5 2 2 2 6 2 2" xfId="9553" xr:uid="{00000000-0005-0000-0000-00004D250000}"/>
    <cellStyle name="20% - Accent6 5 2 2 2 6 3" xfId="9554" xr:uid="{00000000-0005-0000-0000-00004E250000}"/>
    <cellStyle name="20% - Accent6 5 2 2 2 7" xfId="9555" xr:uid="{00000000-0005-0000-0000-00004F250000}"/>
    <cellStyle name="20% - Accent6 5 2 2 2 7 2" xfId="9556" xr:uid="{00000000-0005-0000-0000-000050250000}"/>
    <cellStyle name="20% - Accent6 5 2 2 2 8" xfId="9557" xr:uid="{00000000-0005-0000-0000-000051250000}"/>
    <cellStyle name="20% - Accent6 5 2 2 3" xfId="9558" xr:uid="{00000000-0005-0000-0000-000052250000}"/>
    <cellStyle name="20% - Accent6 5 2 2 3 2" xfId="9559" xr:uid="{00000000-0005-0000-0000-000053250000}"/>
    <cellStyle name="20% - Accent6 5 2 2 3 2 2" xfId="9560" xr:uid="{00000000-0005-0000-0000-000054250000}"/>
    <cellStyle name="20% - Accent6 5 2 2 3 2 2 2" xfId="9561" xr:uid="{00000000-0005-0000-0000-000055250000}"/>
    <cellStyle name="20% - Accent6 5 2 2 3 2 2 2 2" xfId="9562" xr:uid="{00000000-0005-0000-0000-000056250000}"/>
    <cellStyle name="20% - Accent6 5 2 2 3 2 2 3" xfId="9563" xr:uid="{00000000-0005-0000-0000-000057250000}"/>
    <cellStyle name="20% - Accent6 5 2 2 3 2 3" xfId="9564" xr:uid="{00000000-0005-0000-0000-000058250000}"/>
    <cellStyle name="20% - Accent6 5 2 2 3 2 3 2" xfId="9565" xr:uid="{00000000-0005-0000-0000-000059250000}"/>
    <cellStyle name="20% - Accent6 5 2 2 3 2 4" xfId="9566" xr:uid="{00000000-0005-0000-0000-00005A250000}"/>
    <cellStyle name="20% - Accent6 5 2 2 3 3" xfId="9567" xr:uid="{00000000-0005-0000-0000-00005B250000}"/>
    <cellStyle name="20% - Accent6 5 2 2 3 3 2" xfId="9568" xr:uid="{00000000-0005-0000-0000-00005C250000}"/>
    <cellStyle name="20% - Accent6 5 2 2 3 3 2 2" xfId="9569" xr:uid="{00000000-0005-0000-0000-00005D250000}"/>
    <cellStyle name="20% - Accent6 5 2 2 3 3 3" xfId="9570" xr:uid="{00000000-0005-0000-0000-00005E250000}"/>
    <cellStyle name="20% - Accent6 5 2 2 3 4" xfId="9571" xr:uid="{00000000-0005-0000-0000-00005F250000}"/>
    <cellStyle name="20% - Accent6 5 2 2 3 4 2" xfId="9572" xr:uid="{00000000-0005-0000-0000-000060250000}"/>
    <cellStyle name="20% - Accent6 5 2 2 3 4 2 2" xfId="9573" xr:uid="{00000000-0005-0000-0000-000061250000}"/>
    <cellStyle name="20% - Accent6 5 2 2 3 4 3" xfId="9574" xr:uid="{00000000-0005-0000-0000-000062250000}"/>
    <cellStyle name="20% - Accent6 5 2 2 3 5" xfId="9575" xr:uid="{00000000-0005-0000-0000-000063250000}"/>
    <cellStyle name="20% - Accent6 5 2 2 3 5 2" xfId="9576" xr:uid="{00000000-0005-0000-0000-000064250000}"/>
    <cellStyle name="20% - Accent6 5 2 2 3 5 2 2" xfId="9577" xr:uid="{00000000-0005-0000-0000-000065250000}"/>
    <cellStyle name="20% - Accent6 5 2 2 3 5 3" xfId="9578" xr:uid="{00000000-0005-0000-0000-000066250000}"/>
    <cellStyle name="20% - Accent6 5 2 2 3 6" xfId="9579" xr:uid="{00000000-0005-0000-0000-000067250000}"/>
    <cellStyle name="20% - Accent6 5 2 2 3 6 2" xfId="9580" xr:uid="{00000000-0005-0000-0000-000068250000}"/>
    <cellStyle name="20% - Accent6 5 2 2 3 6 2 2" xfId="9581" xr:uid="{00000000-0005-0000-0000-000069250000}"/>
    <cellStyle name="20% - Accent6 5 2 2 3 6 3" xfId="9582" xr:uid="{00000000-0005-0000-0000-00006A250000}"/>
    <cellStyle name="20% - Accent6 5 2 2 3 7" xfId="9583" xr:uid="{00000000-0005-0000-0000-00006B250000}"/>
    <cellStyle name="20% - Accent6 5 2 2 3 7 2" xfId="9584" xr:uid="{00000000-0005-0000-0000-00006C250000}"/>
    <cellStyle name="20% - Accent6 5 2 2 3 8" xfId="9585" xr:uid="{00000000-0005-0000-0000-00006D250000}"/>
    <cellStyle name="20% - Accent6 5 2 2 4" xfId="9586" xr:uid="{00000000-0005-0000-0000-00006E250000}"/>
    <cellStyle name="20% - Accent6 5 2 2 4 2" xfId="9587" xr:uid="{00000000-0005-0000-0000-00006F250000}"/>
    <cellStyle name="20% - Accent6 5 2 2 4 2 2" xfId="9588" xr:uid="{00000000-0005-0000-0000-000070250000}"/>
    <cellStyle name="20% - Accent6 5 2 2 4 2 2 2" xfId="9589" xr:uid="{00000000-0005-0000-0000-000071250000}"/>
    <cellStyle name="20% - Accent6 5 2 2 4 2 2 2 2" xfId="9590" xr:uid="{00000000-0005-0000-0000-000072250000}"/>
    <cellStyle name="20% - Accent6 5 2 2 4 2 2 3" xfId="9591" xr:uid="{00000000-0005-0000-0000-000073250000}"/>
    <cellStyle name="20% - Accent6 5 2 2 4 2 3" xfId="9592" xr:uid="{00000000-0005-0000-0000-000074250000}"/>
    <cellStyle name="20% - Accent6 5 2 2 4 2 3 2" xfId="9593" xr:uid="{00000000-0005-0000-0000-000075250000}"/>
    <cellStyle name="20% - Accent6 5 2 2 4 2 4" xfId="9594" xr:uid="{00000000-0005-0000-0000-000076250000}"/>
    <cellStyle name="20% - Accent6 5 2 2 4 3" xfId="9595" xr:uid="{00000000-0005-0000-0000-000077250000}"/>
    <cellStyle name="20% - Accent6 5 2 2 4 3 2" xfId="9596" xr:uid="{00000000-0005-0000-0000-000078250000}"/>
    <cellStyle name="20% - Accent6 5 2 2 4 3 2 2" xfId="9597" xr:uid="{00000000-0005-0000-0000-000079250000}"/>
    <cellStyle name="20% - Accent6 5 2 2 4 3 3" xfId="9598" xr:uid="{00000000-0005-0000-0000-00007A250000}"/>
    <cellStyle name="20% - Accent6 5 2 2 4 4" xfId="9599" xr:uid="{00000000-0005-0000-0000-00007B250000}"/>
    <cellStyle name="20% - Accent6 5 2 2 4 4 2" xfId="9600" xr:uid="{00000000-0005-0000-0000-00007C250000}"/>
    <cellStyle name="20% - Accent6 5 2 2 4 4 2 2" xfId="9601" xr:uid="{00000000-0005-0000-0000-00007D250000}"/>
    <cellStyle name="20% - Accent6 5 2 2 4 4 3" xfId="9602" xr:uid="{00000000-0005-0000-0000-00007E250000}"/>
    <cellStyle name="20% - Accent6 5 2 2 4 5" xfId="9603" xr:uid="{00000000-0005-0000-0000-00007F250000}"/>
    <cellStyle name="20% - Accent6 5 2 2 4 5 2" xfId="9604" xr:uid="{00000000-0005-0000-0000-000080250000}"/>
    <cellStyle name="20% - Accent6 5 2 2 4 5 2 2" xfId="9605" xr:uid="{00000000-0005-0000-0000-000081250000}"/>
    <cellStyle name="20% - Accent6 5 2 2 4 5 3" xfId="9606" xr:uid="{00000000-0005-0000-0000-000082250000}"/>
    <cellStyle name="20% - Accent6 5 2 2 4 6" xfId="9607" xr:uid="{00000000-0005-0000-0000-000083250000}"/>
    <cellStyle name="20% - Accent6 5 2 2 4 6 2" xfId="9608" xr:uid="{00000000-0005-0000-0000-000084250000}"/>
    <cellStyle name="20% - Accent6 5 2 2 4 6 2 2" xfId="9609" xr:uid="{00000000-0005-0000-0000-000085250000}"/>
    <cellStyle name="20% - Accent6 5 2 2 4 6 3" xfId="9610" xr:uid="{00000000-0005-0000-0000-000086250000}"/>
    <cellStyle name="20% - Accent6 5 2 2 4 7" xfId="9611" xr:uid="{00000000-0005-0000-0000-000087250000}"/>
    <cellStyle name="20% - Accent6 5 2 2 4 7 2" xfId="9612" xr:uid="{00000000-0005-0000-0000-000088250000}"/>
    <cellStyle name="20% - Accent6 5 2 2 4 8" xfId="9613" xr:uid="{00000000-0005-0000-0000-000089250000}"/>
    <cellStyle name="20% - Accent6 5 2 2 5" xfId="9614" xr:uid="{00000000-0005-0000-0000-00008A250000}"/>
    <cellStyle name="20% - Accent6 5 2 2 5 2" xfId="9615" xr:uid="{00000000-0005-0000-0000-00008B250000}"/>
    <cellStyle name="20% - Accent6 5 2 2 5 2 2" xfId="9616" xr:uid="{00000000-0005-0000-0000-00008C250000}"/>
    <cellStyle name="20% - Accent6 5 2 2 5 2 2 2" xfId="9617" xr:uid="{00000000-0005-0000-0000-00008D250000}"/>
    <cellStyle name="20% - Accent6 5 2 2 5 2 2 2 2" xfId="9618" xr:uid="{00000000-0005-0000-0000-00008E250000}"/>
    <cellStyle name="20% - Accent6 5 2 2 5 2 2 3" xfId="9619" xr:uid="{00000000-0005-0000-0000-00008F250000}"/>
    <cellStyle name="20% - Accent6 5 2 2 5 2 3" xfId="9620" xr:uid="{00000000-0005-0000-0000-000090250000}"/>
    <cellStyle name="20% - Accent6 5 2 2 5 2 3 2" xfId="9621" xr:uid="{00000000-0005-0000-0000-000091250000}"/>
    <cellStyle name="20% - Accent6 5 2 2 5 2 4" xfId="9622" xr:uid="{00000000-0005-0000-0000-000092250000}"/>
    <cellStyle name="20% - Accent6 5 2 2 5 3" xfId="9623" xr:uid="{00000000-0005-0000-0000-000093250000}"/>
    <cellStyle name="20% - Accent6 5 2 2 5 3 2" xfId="9624" xr:uid="{00000000-0005-0000-0000-000094250000}"/>
    <cellStyle name="20% - Accent6 5 2 2 5 3 2 2" xfId="9625" xr:uid="{00000000-0005-0000-0000-000095250000}"/>
    <cellStyle name="20% - Accent6 5 2 2 5 3 3" xfId="9626" xr:uid="{00000000-0005-0000-0000-000096250000}"/>
    <cellStyle name="20% - Accent6 5 2 2 5 4" xfId="9627" xr:uid="{00000000-0005-0000-0000-000097250000}"/>
    <cellStyle name="20% - Accent6 5 2 2 5 4 2" xfId="9628" xr:uid="{00000000-0005-0000-0000-000098250000}"/>
    <cellStyle name="20% - Accent6 5 2 2 5 5" xfId="9629" xr:uid="{00000000-0005-0000-0000-000099250000}"/>
    <cellStyle name="20% - Accent6 5 2 2 6" xfId="9630" xr:uid="{00000000-0005-0000-0000-00009A250000}"/>
    <cellStyle name="20% - Accent6 5 2 2 6 2" xfId="9631" xr:uid="{00000000-0005-0000-0000-00009B250000}"/>
    <cellStyle name="20% - Accent6 5 2 2 6 2 2" xfId="9632" xr:uid="{00000000-0005-0000-0000-00009C250000}"/>
    <cellStyle name="20% - Accent6 5 2 2 6 2 2 2" xfId="9633" xr:uid="{00000000-0005-0000-0000-00009D250000}"/>
    <cellStyle name="20% - Accent6 5 2 2 6 2 2 2 2" xfId="9634" xr:uid="{00000000-0005-0000-0000-00009E250000}"/>
    <cellStyle name="20% - Accent6 5 2 2 6 2 2 3" xfId="9635" xr:uid="{00000000-0005-0000-0000-00009F250000}"/>
    <cellStyle name="20% - Accent6 5 2 2 6 2 3" xfId="9636" xr:uid="{00000000-0005-0000-0000-0000A0250000}"/>
    <cellStyle name="20% - Accent6 5 2 2 6 2 3 2" xfId="9637" xr:uid="{00000000-0005-0000-0000-0000A1250000}"/>
    <cellStyle name="20% - Accent6 5 2 2 6 2 4" xfId="9638" xr:uid="{00000000-0005-0000-0000-0000A2250000}"/>
    <cellStyle name="20% - Accent6 5 2 2 6 3" xfId="9639" xr:uid="{00000000-0005-0000-0000-0000A3250000}"/>
    <cellStyle name="20% - Accent6 5 2 2 6 3 2" xfId="9640" xr:uid="{00000000-0005-0000-0000-0000A4250000}"/>
    <cellStyle name="20% - Accent6 5 2 2 6 3 2 2" xfId="9641" xr:uid="{00000000-0005-0000-0000-0000A5250000}"/>
    <cellStyle name="20% - Accent6 5 2 2 6 3 3" xfId="9642" xr:uid="{00000000-0005-0000-0000-0000A6250000}"/>
    <cellStyle name="20% - Accent6 5 2 2 6 4" xfId="9643" xr:uid="{00000000-0005-0000-0000-0000A7250000}"/>
    <cellStyle name="20% - Accent6 5 2 2 6 4 2" xfId="9644" xr:uid="{00000000-0005-0000-0000-0000A8250000}"/>
    <cellStyle name="20% - Accent6 5 2 2 6 5" xfId="9645" xr:uid="{00000000-0005-0000-0000-0000A9250000}"/>
    <cellStyle name="20% - Accent6 5 2 2 7" xfId="9646" xr:uid="{00000000-0005-0000-0000-0000AA250000}"/>
    <cellStyle name="20% - Accent6 5 2 2 7 2" xfId="9647" xr:uid="{00000000-0005-0000-0000-0000AB250000}"/>
    <cellStyle name="20% - Accent6 5 2 2 7 2 2" xfId="9648" xr:uid="{00000000-0005-0000-0000-0000AC250000}"/>
    <cellStyle name="20% - Accent6 5 2 2 7 2 2 2" xfId="9649" xr:uid="{00000000-0005-0000-0000-0000AD250000}"/>
    <cellStyle name="20% - Accent6 5 2 2 7 2 3" xfId="9650" xr:uid="{00000000-0005-0000-0000-0000AE250000}"/>
    <cellStyle name="20% - Accent6 5 2 2 7 3" xfId="9651" xr:uid="{00000000-0005-0000-0000-0000AF250000}"/>
    <cellStyle name="20% - Accent6 5 2 2 7 3 2" xfId="9652" xr:uid="{00000000-0005-0000-0000-0000B0250000}"/>
    <cellStyle name="20% - Accent6 5 2 2 7 4" xfId="9653" xr:uid="{00000000-0005-0000-0000-0000B1250000}"/>
    <cellStyle name="20% - Accent6 5 2 2 8" xfId="9654" xr:uid="{00000000-0005-0000-0000-0000B2250000}"/>
    <cellStyle name="20% - Accent6 5 2 2 8 2" xfId="9655" xr:uid="{00000000-0005-0000-0000-0000B3250000}"/>
    <cellStyle name="20% - Accent6 5 2 2 8 2 2" xfId="9656" xr:uid="{00000000-0005-0000-0000-0000B4250000}"/>
    <cellStyle name="20% - Accent6 5 2 2 8 2 2 2" xfId="9657" xr:uid="{00000000-0005-0000-0000-0000B5250000}"/>
    <cellStyle name="20% - Accent6 5 2 2 8 2 3" xfId="9658" xr:uid="{00000000-0005-0000-0000-0000B6250000}"/>
    <cellStyle name="20% - Accent6 5 2 2 8 3" xfId="9659" xr:uid="{00000000-0005-0000-0000-0000B7250000}"/>
    <cellStyle name="20% - Accent6 5 2 2 8 3 2" xfId="9660" xr:uid="{00000000-0005-0000-0000-0000B8250000}"/>
    <cellStyle name="20% - Accent6 5 2 2 8 4" xfId="9661" xr:uid="{00000000-0005-0000-0000-0000B9250000}"/>
    <cellStyle name="20% - Accent6 5 2 2 9" xfId="9662" xr:uid="{00000000-0005-0000-0000-0000BA250000}"/>
    <cellStyle name="20% - Accent6 5 2 2 9 2" xfId="9663" xr:uid="{00000000-0005-0000-0000-0000BB250000}"/>
    <cellStyle name="20% - Accent6 5 2 2 9 2 2" xfId="9664" xr:uid="{00000000-0005-0000-0000-0000BC250000}"/>
    <cellStyle name="20% - Accent6 5 2 2 9 3" xfId="9665" xr:uid="{00000000-0005-0000-0000-0000BD250000}"/>
    <cellStyle name="20% - Accent6 5 2 20" xfId="9666" xr:uid="{00000000-0005-0000-0000-0000BE250000}"/>
    <cellStyle name="20% - Accent6 5 2 3" xfId="9667" xr:uid="{00000000-0005-0000-0000-0000BF250000}"/>
    <cellStyle name="20% - Accent6 5 2 3 10" xfId="9668" xr:uid="{00000000-0005-0000-0000-0000C0250000}"/>
    <cellStyle name="20% - Accent6 5 2 3 10 2" xfId="9669" xr:uid="{00000000-0005-0000-0000-0000C1250000}"/>
    <cellStyle name="20% - Accent6 5 2 3 10 2 2" xfId="9670" xr:uid="{00000000-0005-0000-0000-0000C2250000}"/>
    <cellStyle name="20% - Accent6 5 2 3 10 3" xfId="9671" xr:uid="{00000000-0005-0000-0000-0000C3250000}"/>
    <cellStyle name="20% - Accent6 5 2 3 11" xfId="9672" xr:uid="{00000000-0005-0000-0000-0000C4250000}"/>
    <cellStyle name="20% - Accent6 5 2 3 11 2" xfId="9673" xr:uid="{00000000-0005-0000-0000-0000C5250000}"/>
    <cellStyle name="20% - Accent6 5 2 3 11 2 2" xfId="9674" xr:uid="{00000000-0005-0000-0000-0000C6250000}"/>
    <cellStyle name="20% - Accent6 5 2 3 11 3" xfId="9675" xr:uid="{00000000-0005-0000-0000-0000C7250000}"/>
    <cellStyle name="20% - Accent6 5 2 3 12" xfId="9676" xr:uid="{00000000-0005-0000-0000-0000C8250000}"/>
    <cellStyle name="20% - Accent6 5 2 3 12 2" xfId="9677" xr:uid="{00000000-0005-0000-0000-0000C9250000}"/>
    <cellStyle name="20% - Accent6 5 2 3 12 2 2" xfId="9678" xr:uid="{00000000-0005-0000-0000-0000CA250000}"/>
    <cellStyle name="20% - Accent6 5 2 3 12 3" xfId="9679" xr:uid="{00000000-0005-0000-0000-0000CB250000}"/>
    <cellStyle name="20% - Accent6 5 2 3 13" xfId="9680" xr:uid="{00000000-0005-0000-0000-0000CC250000}"/>
    <cellStyle name="20% - Accent6 5 2 3 13 2" xfId="9681" xr:uid="{00000000-0005-0000-0000-0000CD250000}"/>
    <cellStyle name="20% - Accent6 5 2 3 14" xfId="9682" xr:uid="{00000000-0005-0000-0000-0000CE250000}"/>
    <cellStyle name="20% - Accent6 5 2 3 2" xfId="9683" xr:uid="{00000000-0005-0000-0000-0000CF250000}"/>
    <cellStyle name="20% - Accent6 5 2 3 2 2" xfId="9684" xr:uid="{00000000-0005-0000-0000-0000D0250000}"/>
    <cellStyle name="20% - Accent6 5 2 3 2 2 2" xfId="9685" xr:uid="{00000000-0005-0000-0000-0000D1250000}"/>
    <cellStyle name="20% - Accent6 5 2 3 2 2 2 2" xfId="9686" xr:uid="{00000000-0005-0000-0000-0000D2250000}"/>
    <cellStyle name="20% - Accent6 5 2 3 2 2 2 2 2" xfId="9687" xr:uid="{00000000-0005-0000-0000-0000D3250000}"/>
    <cellStyle name="20% - Accent6 5 2 3 2 2 2 3" xfId="9688" xr:uid="{00000000-0005-0000-0000-0000D4250000}"/>
    <cellStyle name="20% - Accent6 5 2 3 2 2 3" xfId="9689" xr:uid="{00000000-0005-0000-0000-0000D5250000}"/>
    <cellStyle name="20% - Accent6 5 2 3 2 2 3 2" xfId="9690" xr:uid="{00000000-0005-0000-0000-0000D6250000}"/>
    <cellStyle name="20% - Accent6 5 2 3 2 2 4" xfId="9691" xr:uid="{00000000-0005-0000-0000-0000D7250000}"/>
    <cellStyle name="20% - Accent6 5 2 3 2 3" xfId="9692" xr:uid="{00000000-0005-0000-0000-0000D8250000}"/>
    <cellStyle name="20% - Accent6 5 2 3 2 3 2" xfId="9693" xr:uid="{00000000-0005-0000-0000-0000D9250000}"/>
    <cellStyle name="20% - Accent6 5 2 3 2 3 2 2" xfId="9694" xr:uid="{00000000-0005-0000-0000-0000DA250000}"/>
    <cellStyle name="20% - Accent6 5 2 3 2 3 3" xfId="9695" xr:uid="{00000000-0005-0000-0000-0000DB250000}"/>
    <cellStyle name="20% - Accent6 5 2 3 2 4" xfId="9696" xr:uid="{00000000-0005-0000-0000-0000DC250000}"/>
    <cellStyle name="20% - Accent6 5 2 3 2 4 2" xfId="9697" xr:uid="{00000000-0005-0000-0000-0000DD250000}"/>
    <cellStyle name="20% - Accent6 5 2 3 2 4 2 2" xfId="9698" xr:uid="{00000000-0005-0000-0000-0000DE250000}"/>
    <cellStyle name="20% - Accent6 5 2 3 2 4 3" xfId="9699" xr:uid="{00000000-0005-0000-0000-0000DF250000}"/>
    <cellStyle name="20% - Accent6 5 2 3 2 5" xfId="9700" xr:uid="{00000000-0005-0000-0000-0000E0250000}"/>
    <cellStyle name="20% - Accent6 5 2 3 2 5 2" xfId="9701" xr:uid="{00000000-0005-0000-0000-0000E1250000}"/>
    <cellStyle name="20% - Accent6 5 2 3 2 5 2 2" xfId="9702" xr:uid="{00000000-0005-0000-0000-0000E2250000}"/>
    <cellStyle name="20% - Accent6 5 2 3 2 5 3" xfId="9703" xr:uid="{00000000-0005-0000-0000-0000E3250000}"/>
    <cellStyle name="20% - Accent6 5 2 3 2 6" xfId="9704" xr:uid="{00000000-0005-0000-0000-0000E4250000}"/>
    <cellStyle name="20% - Accent6 5 2 3 2 6 2" xfId="9705" xr:uid="{00000000-0005-0000-0000-0000E5250000}"/>
    <cellStyle name="20% - Accent6 5 2 3 2 6 2 2" xfId="9706" xr:uid="{00000000-0005-0000-0000-0000E6250000}"/>
    <cellStyle name="20% - Accent6 5 2 3 2 6 3" xfId="9707" xr:uid="{00000000-0005-0000-0000-0000E7250000}"/>
    <cellStyle name="20% - Accent6 5 2 3 2 7" xfId="9708" xr:uid="{00000000-0005-0000-0000-0000E8250000}"/>
    <cellStyle name="20% - Accent6 5 2 3 2 7 2" xfId="9709" xr:uid="{00000000-0005-0000-0000-0000E9250000}"/>
    <cellStyle name="20% - Accent6 5 2 3 2 8" xfId="9710" xr:uid="{00000000-0005-0000-0000-0000EA250000}"/>
    <cellStyle name="20% - Accent6 5 2 3 3" xfId="9711" xr:uid="{00000000-0005-0000-0000-0000EB250000}"/>
    <cellStyle name="20% - Accent6 5 2 3 3 2" xfId="9712" xr:uid="{00000000-0005-0000-0000-0000EC250000}"/>
    <cellStyle name="20% - Accent6 5 2 3 3 2 2" xfId="9713" xr:uid="{00000000-0005-0000-0000-0000ED250000}"/>
    <cellStyle name="20% - Accent6 5 2 3 3 2 2 2" xfId="9714" xr:uid="{00000000-0005-0000-0000-0000EE250000}"/>
    <cellStyle name="20% - Accent6 5 2 3 3 2 2 2 2" xfId="9715" xr:uid="{00000000-0005-0000-0000-0000EF250000}"/>
    <cellStyle name="20% - Accent6 5 2 3 3 2 2 3" xfId="9716" xr:uid="{00000000-0005-0000-0000-0000F0250000}"/>
    <cellStyle name="20% - Accent6 5 2 3 3 2 3" xfId="9717" xr:uid="{00000000-0005-0000-0000-0000F1250000}"/>
    <cellStyle name="20% - Accent6 5 2 3 3 2 3 2" xfId="9718" xr:uid="{00000000-0005-0000-0000-0000F2250000}"/>
    <cellStyle name="20% - Accent6 5 2 3 3 2 4" xfId="9719" xr:uid="{00000000-0005-0000-0000-0000F3250000}"/>
    <cellStyle name="20% - Accent6 5 2 3 3 3" xfId="9720" xr:uid="{00000000-0005-0000-0000-0000F4250000}"/>
    <cellStyle name="20% - Accent6 5 2 3 3 3 2" xfId="9721" xr:uid="{00000000-0005-0000-0000-0000F5250000}"/>
    <cellStyle name="20% - Accent6 5 2 3 3 3 2 2" xfId="9722" xr:uid="{00000000-0005-0000-0000-0000F6250000}"/>
    <cellStyle name="20% - Accent6 5 2 3 3 3 3" xfId="9723" xr:uid="{00000000-0005-0000-0000-0000F7250000}"/>
    <cellStyle name="20% - Accent6 5 2 3 3 4" xfId="9724" xr:uid="{00000000-0005-0000-0000-0000F8250000}"/>
    <cellStyle name="20% - Accent6 5 2 3 3 4 2" xfId="9725" xr:uid="{00000000-0005-0000-0000-0000F9250000}"/>
    <cellStyle name="20% - Accent6 5 2 3 3 4 2 2" xfId="9726" xr:uid="{00000000-0005-0000-0000-0000FA250000}"/>
    <cellStyle name="20% - Accent6 5 2 3 3 4 3" xfId="9727" xr:uid="{00000000-0005-0000-0000-0000FB250000}"/>
    <cellStyle name="20% - Accent6 5 2 3 3 5" xfId="9728" xr:uid="{00000000-0005-0000-0000-0000FC250000}"/>
    <cellStyle name="20% - Accent6 5 2 3 3 5 2" xfId="9729" xr:uid="{00000000-0005-0000-0000-0000FD250000}"/>
    <cellStyle name="20% - Accent6 5 2 3 3 5 2 2" xfId="9730" xr:uid="{00000000-0005-0000-0000-0000FE250000}"/>
    <cellStyle name="20% - Accent6 5 2 3 3 5 3" xfId="9731" xr:uid="{00000000-0005-0000-0000-0000FF250000}"/>
    <cellStyle name="20% - Accent6 5 2 3 3 6" xfId="9732" xr:uid="{00000000-0005-0000-0000-000000260000}"/>
    <cellStyle name="20% - Accent6 5 2 3 3 6 2" xfId="9733" xr:uid="{00000000-0005-0000-0000-000001260000}"/>
    <cellStyle name="20% - Accent6 5 2 3 3 6 2 2" xfId="9734" xr:uid="{00000000-0005-0000-0000-000002260000}"/>
    <cellStyle name="20% - Accent6 5 2 3 3 6 3" xfId="9735" xr:uid="{00000000-0005-0000-0000-000003260000}"/>
    <cellStyle name="20% - Accent6 5 2 3 3 7" xfId="9736" xr:uid="{00000000-0005-0000-0000-000004260000}"/>
    <cellStyle name="20% - Accent6 5 2 3 3 7 2" xfId="9737" xr:uid="{00000000-0005-0000-0000-000005260000}"/>
    <cellStyle name="20% - Accent6 5 2 3 3 8" xfId="9738" xr:uid="{00000000-0005-0000-0000-000006260000}"/>
    <cellStyle name="20% - Accent6 5 2 3 4" xfId="9739" xr:uid="{00000000-0005-0000-0000-000007260000}"/>
    <cellStyle name="20% - Accent6 5 2 3 4 2" xfId="9740" xr:uid="{00000000-0005-0000-0000-000008260000}"/>
    <cellStyle name="20% - Accent6 5 2 3 4 2 2" xfId="9741" xr:uid="{00000000-0005-0000-0000-000009260000}"/>
    <cellStyle name="20% - Accent6 5 2 3 4 2 2 2" xfId="9742" xr:uid="{00000000-0005-0000-0000-00000A260000}"/>
    <cellStyle name="20% - Accent6 5 2 3 4 2 2 2 2" xfId="9743" xr:uid="{00000000-0005-0000-0000-00000B260000}"/>
    <cellStyle name="20% - Accent6 5 2 3 4 2 2 3" xfId="9744" xr:uid="{00000000-0005-0000-0000-00000C260000}"/>
    <cellStyle name="20% - Accent6 5 2 3 4 2 3" xfId="9745" xr:uid="{00000000-0005-0000-0000-00000D260000}"/>
    <cellStyle name="20% - Accent6 5 2 3 4 2 3 2" xfId="9746" xr:uid="{00000000-0005-0000-0000-00000E260000}"/>
    <cellStyle name="20% - Accent6 5 2 3 4 2 4" xfId="9747" xr:uid="{00000000-0005-0000-0000-00000F260000}"/>
    <cellStyle name="20% - Accent6 5 2 3 4 3" xfId="9748" xr:uid="{00000000-0005-0000-0000-000010260000}"/>
    <cellStyle name="20% - Accent6 5 2 3 4 3 2" xfId="9749" xr:uid="{00000000-0005-0000-0000-000011260000}"/>
    <cellStyle name="20% - Accent6 5 2 3 4 3 2 2" xfId="9750" xr:uid="{00000000-0005-0000-0000-000012260000}"/>
    <cellStyle name="20% - Accent6 5 2 3 4 3 3" xfId="9751" xr:uid="{00000000-0005-0000-0000-000013260000}"/>
    <cellStyle name="20% - Accent6 5 2 3 4 4" xfId="9752" xr:uid="{00000000-0005-0000-0000-000014260000}"/>
    <cellStyle name="20% - Accent6 5 2 3 4 4 2" xfId="9753" xr:uid="{00000000-0005-0000-0000-000015260000}"/>
    <cellStyle name="20% - Accent6 5 2 3 4 4 2 2" xfId="9754" xr:uid="{00000000-0005-0000-0000-000016260000}"/>
    <cellStyle name="20% - Accent6 5 2 3 4 4 3" xfId="9755" xr:uid="{00000000-0005-0000-0000-000017260000}"/>
    <cellStyle name="20% - Accent6 5 2 3 4 5" xfId="9756" xr:uid="{00000000-0005-0000-0000-000018260000}"/>
    <cellStyle name="20% - Accent6 5 2 3 4 5 2" xfId="9757" xr:uid="{00000000-0005-0000-0000-000019260000}"/>
    <cellStyle name="20% - Accent6 5 2 3 4 5 2 2" xfId="9758" xr:uid="{00000000-0005-0000-0000-00001A260000}"/>
    <cellStyle name="20% - Accent6 5 2 3 4 5 3" xfId="9759" xr:uid="{00000000-0005-0000-0000-00001B260000}"/>
    <cellStyle name="20% - Accent6 5 2 3 4 6" xfId="9760" xr:uid="{00000000-0005-0000-0000-00001C260000}"/>
    <cellStyle name="20% - Accent6 5 2 3 4 6 2" xfId="9761" xr:uid="{00000000-0005-0000-0000-00001D260000}"/>
    <cellStyle name="20% - Accent6 5 2 3 4 6 2 2" xfId="9762" xr:uid="{00000000-0005-0000-0000-00001E260000}"/>
    <cellStyle name="20% - Accent6 5 2 3 4 6 3" xfId="9763" xr:uid="{00000000-0005-0000-0000-00001F260000}"/>
    <cellStyle name="20% - Accent6 5 2 3 4 7" xfId="9764" xr:uid="{00000000-0005-0000-0000-000020260000}"/>
    <cellStyle name="20% - Accent6 5 2 3 4 7 2" xfId="9765" xr:uid="{00000000-0005-0000-0000-000021260000}"/>
    <cellStyle name="20% - Accent6 5 2 3 4 8" xfId="9766" xr:uid="{00000000-0005-0000-0000-000022260000}"/>
    <cellStyle name="20% - Accent6 5 2 3 5" xfId="9767" xr:uid="{00000000-0005-0000-0000-000023260000}"/>
    <cellStyle name="20% - Accent6 5 2 3 5 2" xfId="9768" xr:uid="{00000000-0005-0000-0000-000024260000}"/>
    <cellStyle name="20% - Accent6 5 2 3 5 2 2" xfId="9769" xr:uid="{00000000-0005-0000-0000-000025260000}"/>
    <cellStyle name="20% - Accent6 5 2 3 5 2 2 2" xfId="9770" xr:uid="{00000000-0005-0000-0000-000026260000}"/>
    <cellStyle name="20% - Accent6 5 2 3 5 2 2 2 2" xfId="9771" xr:uid="{00000000-0005-0000-0000-000027260000}"/>
    <cellStyle name="20% - Accent6 5 2 3 5 2 2 3" xfId="9772" xr:uid="{00000000-0005-0000-0000-000028260000}"/>
    <cellStyle name="20% - Accent6 5 2 3 5 2 3" xfId="9773" xr:uid="{00000000-0005-0000-0000-000029260000}"/>
    <cellStyle name="20% - Accent6 5 2 3 5 2 3 2" xfId="9774" xr:uid="{00000000-0005-0000-0000-00002A260000}"/>
    <cellStyle name="20% - Accent6 5 2 3 5 2 4" xfId="9775" xr:uid="{00000000-0005-0000-0000-00002B260000}"/>
    <cellStyle name="20% - Accent6 5 2 3 5 3" xfId="9776" xr:uid="{00000000-0005-0000-0000-00002C260000}"/>
    <cellStyle name="20% - Accent6 5 2 3 5 3 2" xfId="9777" xr:uid="{00000000-0005-0000-0000-00002D260000}"/>
    <cellStyle name="20% - Accent6 5 2 3 5 3 2 2" xfId="9778" xr:uid="{00000000-0005-0000-0000-00002E260000}"/>
    <cellStyle name="20% - Accent6 5 2 3 5 3 3" xfId="9779" xr:uid="{00000000-0005-0000-0000-00002F260000}"/>
    <cellStyle name="20% - Accent6 5 2 3 5 4" xfId="9780" xr:uid="{00000000-0005-0000-0000-000030260000}"/>
    <cellStyle name="20% - Accent6 5 2 3 5 4 2" xfId="9781" xr:uid="{00000000-0005-0000-0000-000031260000}"/>
    <cellStyle name="20% - Accent6 5 2 3 5 5" xfId="9782" xr:uid="{00000000-0005-0000-0000-000032260000}"/>
    <cellStyle name="20% - Accent6 5 2 3 6" xfId="9783" xr:uid="{00000000-0005-0000-0000-000033260000}"/>
    <cellStyle name="20% - Accent6 5 2 3 6 2" xfId="9784" xr:uid="{00000000-0005-0000-0000-000034260000}"/>
    <cellStyle name="20% - Accent6 5 2 3 6 2 2" xfId="9785" xr:uid="{00000000-0005-0000-0000-000035260000}"/>
    <cellStyle name="20% - Accent6 5 2 3 6 2 2 2" xfId="9786" xr:uid="{00000000-0005-0000-0000-000036260000}"/>
    <cellStyle name="20% - Accent6 5 2 3 6 2 2 2 2" xfId="9787" xr:uid="{00000000-0005-0000-0000-000037260000}"/>
    <cellStyle name="20% - Accent6 5 2 3 6 2 2 3" xfId="9788" xr:uid="{00000000-0005-0000-0000-000038260000}"/>
    <cellStyle name="20% - Accent6 5 2 3 6 2 3" xfId="9789" xr:uid="{00000000-0005-0000-0000-000039260000}"/>
    <cellStyle name="20% - Accent6 5 2 3 6 2 3 2" xfId="9790" xr:uid="{00000000-0005-0000-0000-00003A260000}"/>
    <cellStyle name="20% - Accent6 5 2 3 6 2 4" xfId="9791" xr:uid="{00000000-0005-0000-0000-00003B260000}"/>
    <cellStyle name="20% - Accent6 5 2 3 6 3" xfId="9792" xr:uid="{00000000-0005-0000-0000-00003C260000}"/>
    <cellStyle name="20% - Accent6 5 2 3 6 3 2" xfId="9793" xr:uid="{00000000-0005-0000-0000-00003D260000}"/>
    <cellStyle name="20% - Accent6 5 2 3 6 3 2 2" xfId="9794" xr:uid="{00000000-0005-0000-0000-00003E260000}"/>
    <cellStyle name="20% - Accent6 5 2 3 6 3 3" xfId="9795" xr:uid="{00000000-0005-0000-0000-00003F260000}"/>
    <cellStyle name="20% - Accent6 5 2 3 6 4" xfId="9796" xr:uid="{00000000-0005-0000-0000-000040260000}"/>
    <cellStyle name="20% - Accent6 5 2 3 6 4 2" xfId="9797" xr:uid="{00000000-0005-0000-0000-000041260000}"/>
    <cellStyle name="20% - Accent6 5 2 3 6 5" xfId="9798" xr:uid="{00000000-0005-0000-0000-000042260000}"/>
    <cellStyle name="20% - Accent6 5 2 3 7" xfId="9799" xr:uid="{00000000-0005-0000-0000-000043260000}"/>
    <cellStyle name="20% - Accent6 5 2 3 7 2" xfId="9800" xr:uid="{00000000-0005-0000-0000-000044260000}"/>
    <cellStyle name="20% - Accent6 5 2 3 7 2 2" xfId="9801" xr:uid="{00000000-0005-0000-0000-000045260000}"/>
    <cellStyle name="20% - Accent6 5 2 3 7 2 2 2" xfId="9802" xr:uid="{00000000-0005-0000-0000-000046260000}"/>
    <cellStyle name="20% - Accent6 5 2 3 7 2 3" xfId="9803" xr:uid="{00000000-0005-0000-0000-000047260000}"/>
    <cellStyle name="20% - Accent6 5 2 3 7 3" xfId="9804" xr:uid="{00000000-0005-0000-0000-000048260000}"/>
    <cellStyle name="20% - Accent6 5 2 3 7 3 2" xfId="9805" xr:uid="{00000000-0005-0000-0000-000049260000}"/>
    <cellStyle name="20% - Accent6 5 2 3 7 4" xfId="9806" xr:uid="{00000000-0005-0000-0000-00004A260000}"/>
    <cellStyle name="20% - Accent6 5 2 3 8" xfId="9807" xr:uid="{00000000-0005-0000-0000-00004B260000}"/>
    <cellStyle name="20% - Accent6 5 2 3 8 2" xfId="9808" xr:uid="{00000000-0005-0000-0000-00004C260000}"/>
    <cellStyle name="20% - Accent6 5 2 3 8 2 2" xfId="9809" xr:uid="{00000000-0005-0000-0000-00004D260000}"/>
    <cellStyle name="20% - Accent6 5 2 3 8 2 2 2" xfId="9810" xr:uid="{00000000-0005-0000-0000-00004E260000}"/>
    <cellStyle name="20% - Accent6 5 2 3 8 2 3" xfId="9811" xr:uid="{00000000-0005-0000-0000-00004F260000}"/>
    <cellStyle name="20% - Accent6 5 2 3 8 3" xfId="9812" xr:uid="{00000000-0005-0000-0000-000050260000}"/>
    <cellStyle name="20% - Accent6 5 2 3 8 3 2" xfId="9813" xr:uid="{00000000-0005-0000-0000-000051260000}"/>
    <cellStyle name="20% - Accent6 5 2 3 8 4" xfId="9814" xr:uid="{00000000-0005-0000-0000-000052260000}"/>
    <cellStyle name="20% - Accent6 5 2 3 9" xfId="9815" xr:uid="{00000000-0005-0000-0000-000053260000}"/>
    <cellStyle name="20% - Accent6 5 2 3 9 2" xfId="9816" xr:uid="{00000000-0005-0000-0000-000054260000}"/>
    <cellStyle name="20% - Accent6 5 2 3 9 2 2" xfId="9817" xr:uid="{00000000-0005-0000-0000-000055260000}"/>
    <cellStyle name="20% - Accent6 5 2 3 9 3" xfId="9818" xr:uid="{00000000-0005-0000-0000-000056260000}"/>
    <cellStyle name="20% - Accent6 5 2 4" xfId="9819" xr:uid="{00000000-0005-0000-0000-000057260000}"/>
    <cellStyle name="20% - Accent6 5 2 4 10" xfId="9820" xr:uid="{00000000-0005-0000-0000-000058260000}"/>
    <cellStyle name="20% - Accent6 5 2 4 10 2" xfId="9821" xr:uid="{00000000-0005-0000-0000-000059260000}"/>
    <cellStyle name="20% - Accent6 5 2 4 10 2 2" xfId="9822" xr:uid="{00000000-0005-0000-0000-00005A260000}"/>
    <cellStyle name="20% - Accent6 5 2 4 10 3" xfId="9823" xr:uid="{00000000-0005-0000-0000-00005B260000}"/>
    <cellStyle name="20% - Accent6 5 2 4 11" xfId="9824" xr:uid="{00000000-0005-0000-0000-00005C260000}"/>
    <cellStyle name="20% - Accent6 5 2 4 11 2" xfId="9825" xr:uid="{00000000-0005-0000-0000-00005D260000}"/>
    <cellStyle name="20% - Accent6 5 2 4 11 2 2" xfId="9826" xr:uid="{00000000-0005-0000-0000-00005E260000}"/>
    <cellStyle name="20% - Accent6 5 2 4 11 3" xfId="9827" xr:uid="{00000000-0005-0000-0000-00005F260000}"/>
    <cellStyle name="20% - Accent6 5 2 4 12" xfId="9828" xr:uid="{00000000-0005-0000-0000-000060260000}"/>
    <cellStyle name="20% - Accent6 5 2 4 12 2" xfId="9829" xr:uid="{00000000-0005-0000-0000-000061260000}"/>
    <cellStyle name="20% - Accent6 5 2 4 12 2 2" xfId="9830" xr:uid="{00000000-0005-0000-0000-000062260000}"/>
    <cellStyle name="20% - Accent6 5 2 4 12 3" xfId="9831" xr:uid="{00000000-0005-0000-0000-000063260000}"/>
    <cellStyle name="20% - Accent6 5 2 4 13" xfId="9832" xr:uid="{00000000-0005-0000-0000-000064260000}"/>
    <cellStyle name="20% - Accent6 5 2 4 13 2" xfId="9833" xr:uid="{00000000-0005-0000-0000-000065260000}"/>
    <cellStyle name="20% - Accent6 5 2 4 14" xfId="9834" xr:uid="{00000000-0005-0000-0000-000066260000}"/>
    <cellStyle name="20% - Accent6 5 2 4 2" xfId="9835" xr:uid="{00000000-0005-0000-0000-000067260000}"/>
    <cellStyle name="20% - Accent6 5 2 4 2 2" xfId="9836" xr:uid="{00000000-0005-0000-0000-000068260000}"/>
    <cellStyle name="20% - Accent6 5 2 4 2 2 2" xfId="9837" xr:uid="{00000000-0005-0000-0000-000069260000}"/>
    <cellStyle name="20% - Accent6 5 2 4 2 2 2 2" xfId="9838" xr:uid="{00000000-0005-0000-0000-00006A260000}"/>
    <cellStyle name="20% - Accent6 5 2 4 2 2 2 2 2" xfId="9839" xr:uid="{00000000-0005-0000-0000-00006B260000}"/>
    <cellStyle name="20% - Accent6 5 2 4 2 2 2 3" xfId="9840" xr:uid="{00000000-0005-0000-0000-00006C260000}"/>
    <cellStyle name="20% - Accent6 5 2 4 2 2 3" xfId="9841" xr:uid="{00000000-0005-0000-0000-00006D260000}"/>
    <cellStyle name="20% - Accent6 5 2 4 2 2 3 2" xfId="9842" xr:uid="{00000000-0005-0000-0000-00006E260000}"/>
    <cellStyle name="20% - Accent6 5 2 4 2 2 4" xfId="9843" xr:uid="{00000000-0005-0000-0000-00006F260000}"/>
    <cellStyle name="20% - Accent6 5 2 4 2 3" xfId="9844" xr:uid="{00000000-0005-0000-0000-000070260000}"/>
    <cellStyle name="20% - Accent6 5 2 4 2 3 2" xfId="9845" xr:uid="{00000000-0005-0000-0000-000071260000}"/>
    <cellStyle name="20% - Accent6 5 2 4 2 3 2 2" xfId="9846" xr:uid="{00000000-0005-0000-0000-000072260000}"/>
    <cellStyle name="20% - Accent6 5 2 4 2 3 3" xfId="9847" xr:uid="{00000000-0005-0000-0000-000073260000}"/>
    <cellStyle name="20% - Accent6 5 2 4 2 4" xfId="9848" xr:uid="{00000000-0005-0000-0000-000074260000}"/>
    <cellStyle name="20% - Accent6 5 2 4 2 4 2" xfId="9849" xr:uid="{00000000-0005-0000-0000-000075260000}"/>
    <cellStyle name="20% - Accent6 5 2 4 2 4 2 2" xfId="9850" xr:uid="{00000000-0005-0000-0000-000076260000}"/>
    <cellStyle name="20% - Accent6 5 2 4 2 4 3" xfId="9851" xr:uid="{00000000-0005-0000-0000-000077260000}"/>
    <cellStyle name="20% - Accent6 5 2 4 2 5" xfId="9852" xr:uid="{00000000-0005-0000-0000-000078260000}"/>
    <cellStyle name="20% - Accent6 5 2 4 2 5 2" xfId="9853" xr:uid="{00000000-0005-0000-0000-000079260000}"/>
    <cellStyle name="20% - Accent6 5 2 4 2 5 2 2" xfId="9854" xr:uid="{00000000-0005-0000-0000-00007A260000}"/>
    <cellStyle name="20% - Accent6 5 2 4 2 5 3" xfId="9855" xr:uid="{00000000-0005-0000-0000-00007B260000}"/>
    <cellStyle name="20% - Accent6 5 2 4 2 6" xfId="9856" xr:uid="{00000000-0005-0000-0000-00007C260000}"/>
    <cellStyle name="20% - Accent6 5 2 4 2 6 2" xfId="9857" xr:uid="{00000000-0005-0000-0000-00007D260000}"/>
    <cellStyle name="20% - Accent6 5 2 4 2 6 2 2" xfId="9858" xr:uid="{00000000-0005-0000-0000-00007E260000}"/>
    <cellStyle name="20% - Accent6 5 2 4 2 6 3" xfId="9859" xr:uid="{00000000-0005-0000-0000-00007F260000}"/>
    <cellStyle name="20% - Accent6 5 2 4 2 7" xfId="9860" xr:uid="{00000000-0005-0000-0000-000080260000}"/>
    <cellStyle name="20% - Accent6 5 2 4 2 7 2" xfId="9861" xr:uid="{00000000-0005-0000-0000-000081260000}"/>
    <cellStyle name="20% - Accent6 5 2 4 2 8" xfId="9862" xr:uid="{00000000-0005-0000-0000-000082260000}"/>
    <cellStyle name="20% - Accent6 5 2 4 3" xfId="9863" xr:uid="{00000000-0005-0000-0000-000083260000}"/>
    <cellStyle name="20% - Accent6 5 2 4 3 2" xfId="9864" xr:uid="{00000000-0005-0000-0000-000084260000}"/>
    <cellStyle name="20% - Accent6 5 2 4 3 2 2" xfId="9865" xr:uid="{00000000-0005-0000-0000-000085260000}"/>
    <cellStyle name="20% - Accent6 5 2 4 3 2 2 2" xfId="9866" xr:uid="{00000000-0005-0000-0000-000086260000}"/>
    <cellStyle name="20% - Accent6 5 2 4 3 2 2 2 2" xfId="9867" xr:uid="{00000000-0005-0000-0000-000087260000}"/>
    <cellStyle name="20% - Accent6 5 2 4 3 2 2 3" xfId="9868" xr:uid="{00000000-0005-0000-0000-000088260000}"/>
    <cellStyle name="20% - Accent6 5 2 4 3 2 3" xfId="9869" xr:uid="{00000000-0005-0000-0000-000089260000}"/>
    <cellStyle name="20% - Accent6 5 2 4 3 2 3 2" xfId="9870" xr:uid="{00000000-0005-0000-0000-00008A260000}"/>
    <cellStyle name="20% - Accent6 5 2 4 3 2 4" xfId="9871" xr:uid="{00000000-0005-0000-0000-00008B260000}"/>
    <cellStyle name="20% - Accent6 5 2 4 3 3" xfId="9872" xr:uid="{00000000-0005-0000-0000-00008C260000}"/>
    <cellStyle name="20% - Accent6 5 2 4 3 3 2" xfId="9873" xr:uid="{00000000-0005-0000-0000-00008D260000}"/>
    <cellStyle name="20% - Accent6 5 2 4 3 3 2 2" xfId="9874" xr:uid="{00000000-0005-0000-0000-00008E260000}"/>
    <cellStyle name="20% - Accent6 5 2 4 3 3 3" xfId="9875" xr:uid="{00000000-0005-0000-0000-00008F260000}"/>
    <cellStyle name="20% - Accent6 5 2 4 3 4" xfId="9876" xr:uid="{00000000-0005-0000-0000-000090260000}"/>
    <cellStyle name="20% - Accent6 5 2 4 3 4 2" xfId="9877" xr:uid="{00000000-0005-0000-0000-000091260000}"/>
    <cellStyle name="20% - Accent6 5 2 4 3 4 2 2" xfId="9878" xr:uid="{00000000-0005-0000-0000-000092260000}"/>
    <cellStyle name="20% - Accent6 5 2 4 3 4 3" xfId="9879" xr:uid="{00000000-0005-0000-0000-000093260000}"/>
    <cellStyle name="20% - Accent6 5 2 4 3 5" xfId="9880" xr:uid="{00000000-0005-0000-0000-000094260000}"/>
    <cellStyle name="20% - Accent6 5 2 4 3 5 2" xfId="9881" xr:uid="{00000000-0005-0000-0000-000095260000}"/>
    <cellStyle name="20% - Accent6 5 2 4 3 5 2 2" xfId="9882" xr:uid="{00000000-0005-0000-0000-000096260000}"/>
    <cellStyle name="20% - Accent6 5 2 4 3 5 3" xfId="9883" xr:uid="{00000000-0005-0000-0000-000097260000}"/>
    <cellStyle name="20% - Accent6 5 2 4 3 6" xfId="9884" xr:uid="{00000000-0005-0000-0000-000098260000}"/>
    <cellStyle name="20% - Accent6 5 2 4 3 6 2" xfId="9885" xr:uid="{00000000-0005-0000-0000-000099260000}"/>
    <cellStyle name="20% - Accent6 5 2 4 3 6 2 2" xfId="9886" xr:uid="{00000000-0005-0000-0000-00009A260000}"/>
    <cellStyle name="20% - Accent6 5 2 4 3 6 3" xfId="9887" xr:uid="{00000000-0005-0000-0000-00009B260000}"/>
    <cellStyle name="20% - Accent6 5 2 4 3 7" xfId="9888" xr:uid="{00000000-0005-0000-0000-00009C260000}"/>
    <cellStyle name="20% - Accent6 5 2 4 3 7 2" xfId="9889" xr:uid="{00000000-0005-0000-0000-00009D260000}"/>
    <cellStyle name="20% - Accent6 5 2 4 3 8" xfId="9890" xr:uid="{00000000-0005-0000-0000-00009E260000}"/>
    <cellStyle name="20% - Accent6 5 2 4 4" xfId="9891" xr:uid="{00000000-0005-0000-0000-00009F260000}"/>
    <cellStyle name="20% - Accent6 5 2 4 4 2" xfId="9892" xr:uid="{00000000-0005-0000-0000-0000A0260000}"/>
    <cellStyle name="20% - Accent6 5 2 4 4 2 2" xfId="9893" xr:uid="{00000000-0005-0000-0000-0000A1260000}"/>
    <cellStyle name="20% - Accent6 5 2 4 4 2 2 2" xfId="9894" xr:uid="{00000000-0005-0000-0000-0000A2260000}"/>
    <cellStyle name="20% - Accent6 5 2 4 4 2 2 2 2" xfId="9895" xr:uid="{00000000-0005-0000-0000-0000A3260000}"/>
    <cellStyle name="20% - Accent6 5 2 4 4 2 2 3" xfId="9896" xr:uid="{00000000-0005-0000-0000-0000A4260000}"/>
    <cellStyle name="20% - Accent6 5 2 4 4 2 3" xfId="9897" xr:uid="{00000000-0005-0000-0000-0000A5260000}"/>
    <cellStyle name="20% - Accent6 5 2 4 4 2 3 2" xfId="9898" xr:uid="{00000000-0005-0000-0000-0000A6260000}"/>
    <cellStyle name="20% - Accent6 5 2 4 4 2 4" xfId="9899" xr:uid="{00000000-0005-0000-0000-0000A7260000}"/>
    <cellStyle name="20% - Accent6 5 2 4 4 3" xfId="9900" xr:uid="{00000000-0005-0000-0000-0000A8260000}"/>
    <cellStyle name="20% - Accent6 5 2 4 4 3 2" xfId="9901" xr:uid="{00000000-0005-0000-0000-0000A9260000}"/>
    <cellStyle name="20% - Accent6 5 2 4 4 3 2 2" xfId="9902" xr:uid="{00000000-0005-0000-0000-0000AA260000}"/>
    <cellStyle name="20% - Accent6 5 2 4 4 3 3" xfId="9903" xr:uid="{00000000-0005-0000-0000-0000AB260000}"/>
    <cellStyle name="20% - Accent6 5 2 4 4 4" xfId="9904" xr:uid="{00000000-0005-0000-0000-0000AC260000}"/>
    <cellStyle name="20% - Accent6 5 2 4 4 4 2" xfId="9905" xr:uid="{00000000-0005-0000-0000-0000AD260000}"/>
    <cellStyle name="20% - Accent6 5 2 4 4 4 2 2" xfId="9906" xr:uid="{00000000-0005-0000-0000-0000AE260000}"/>
    <cellStyle name="20% - Accent6 5 2 4 4 4 3" xfId="9907" xr:uid="{00000000-0005-0000-0000-0000AF260000}"/>
    <cellStyle name="20% - Accent6 5 2 4 4 5" xfId="9908" xr:uid="{00000000-0005-0000-0000-0000B0260000}"/>
    <cellStyle name="20% - Accent6 5 2 4 4 5 2" xfId="9909" xr:uid="{00000000-0005-0000-0000-0000B1260000}"/>
    <cellStyle name="20% - Accent6 5 2 4 4 5 2 2" xfId="9910" xr:uid="{00000000-0005-0000-0000-0000B2260000}"/>
    <cellStyle name="20% - Accent6 5 2 4 4 5 3" xfId="9911" xr:uid="{00000000-0005-0000-0000-0000B3260000}"/>
    <cellStyle name="20% - Accent6 5 2 4 4 6" xfId="9912" xr:uid="{00000000-0005-0000-0000-0000B4260000}"/>
    <cellStyle name="20% - Accent6 5 2 4 4 6 2" xfId="9913" xr:uid="{00000000-0005-0000-0000-0000B5260000}"/>
    <cellStyle name="20% - Accent6 5 2 4 4 6 2 2" xfId="9914" xr:uid="{00000000-0005-0000-0000-0000B6260000}"/>
    <cellStyle name="20% - Accent6 5 2 4 4 6 3" xfId="9915" xr:uid="{00000000-0005-0000-0000-0000B7260000}"/>
    <cellStyle name="20% - Accent6 5 2 4 4 7" xfId="9916" xr:uid="{00000000-0005-0000-0000-0000B8260000}"/>
    <cellStyle name="20% - Accent6 5 2 4 4 7 2" xfId="9917" xr:uid="{00000000-0005-0000-0000-0000B9260000}"/>
    <cellStyle name="20% - Accent6 5 2 4 4 8" xfId="9918" xr:uid="{00000000-0005-0000-0000-0000BA260000}"/>
    <cellStyle name="20% - Accent6 5 2 4 5" xfId="9919" xr:uid="{00000000-0005-0000-0000-0000BB260000}"/>
    <cellStyle name="20% - Accent6 5 2 4 5 2" xfId="9920" xr:uid="{00000000-0005-0000-0000-0000BC260000}"/>
    <cellStyle name="20% - Accent6 5 2 4 5 2 2" xfId="9921" xr:uid="{00000000-0005-0000-0000-0000BD260000}"/>
    <cellStyle name="20% - Accent6 5 2 4 5 2 2 2" xfId="9922" xr:uid="{00000000-0005-0000-0000-0000BE260000}"/>
    <cellStyle name="20% - Accent6 5 2 4 5 2 2 2 2" xfId="9923" xr:uid="{00000000-0005-0000-0000-0000BF260000}"/>
    <cellStyle name="20% - Accent6 5 2 4 5 2 2 3" xfId="9924" xr:uid="{00000000-0005-0000-0000-0000C0260000}"/>
    <cellStyle name="20% - Accent6 5 2 4 5 2 3" xfId="9925" xr:uid="{00000000-0005-0000-0000-0000C1260000}"/>
    <cellStyle name="20% - Accent6 5 2 4 5 2 3 2" xfId="9926" xr:uid="{00000000-0005-0000-0000-0000C2260000}"/>
    <cellStyle name="20% - Accent6 5 2 4 5 2 4" xfId="9927" xr:uid="{00000000-0005-0000-0000-0000C3260000}"/>
    <cellStyle name="20% - Accent6 5 2 4 5 3" xfId="9928" xr:uid="{00000000-0005-0000-0000-0000C4260000}"/>
    <cellStyle name="20% - Accent6 5 2 4 5 3 2" xfId="9929" xr:uid="{00000000-0005-0000-0000-0000C5260000}"/>
    <cellStyle name="20% - Accent6 5 2 4 5 3 2 2" xfId="9930" xr:uid="{00000000-0005-0000-0000-0000C6260000}"/>
    <cellStyle name="20% - Accent6 5 2 4 5 3 3" xfId="9931" xr:uid="{00000000-0005-0000-0000-0000C7260000}"/>
    <cellStyle name="20% - Accent6 5 2 4 5 4" xfId="9932" xr:uid="{00000000-0005-0000-0000-0000C8260000}"/>
    <cellStyle name="20% - Accent6 5 2 4 5 4 2" xfId="9933" xr:uid="{00000000-0005-0000-0000-0000C9260000}"/>
    <cellStyle name="20% - Accent6 5 2 4 5 5" xfId="9934" xr:uid="{00000000-0005-0000-0000-0000CA260000}"/>
    <cellStyle name="20% - Accent6 5 2 4 6" xfId="9935" xr:uid="{00000000-0005-0000-0000-0000CB260000}"/>
    <cellStyle name="20% - Accent6 5 2 4 6 2" xfId="9936" xr:uid="{00000000-0005-0000-0000-0000CC260000}"/>
    <cellStyle name="20% - Accent6 5 2 4 6 2 2" xfId="9937" xr:uid="{00000000-0005-0000-0000-0000CD260000}"/>
    <cellStyle name="20% - Accent6 5 2 4 6 2 2 2" xfId="9938" xr:uid="{00000000-0005-0000-0000-0000CE260000}"/>
    <cellStyle name="20% - Accent6 5 2 4 6 2 2 2 2" xfId="9939" xr:uid="{00000000-0005-0000-0000-0000CF260000}"/>
    <cellStyle name="20% - Accent6 5 2 4 6 2 2 3" xfId="9940" xr:uid="{00000000-0005-0000-0000-0000D0260000}"/>
    <cellStyle name="20% - Accent6 5 2 4 6 2 3" xfId="9941" xr:uid="{00000000-0005-0000-0000-0000D1260000}"/>
    <cellStyle name="20% - Accent6 5 2 4 6 2 3 2" xfId="9942" xr:uid="{00000000-0005-0000-0000-0000D2260000}"/>
    <cellStyle name="20% - Accent6 5 2 4 6 2 4" xfId="9943" xr:uid="{00000000-0005-0000-0000-0000D3260000}"/>
    <cellStyle name="20% - Accent6 5 2 4 6 3" xfId="9944" xr:uid="{00000000-0005-0000-0000-0000D4260000}"/>
    <cellStyle name="20% - Accent6 5 2 4 6 3 2" xfId="9945" xr:uid="{00000000-0005-0000-0000-0000D5260000}"/>
    <cellStyle name="20% - Accent6 5 2 4 6 3 2 2" xfId="9946" xr:uid="{00000000-0005-0000-0000-0000D6260000}"/>
    <cellStyle name="20% - Accent6 5 2 4 6 3 3" xfId="9947" xr:uid="{00000000-0005-0000-0000-0000D7260000}"/>
    <cellStyle name="20% - Accent6 5 2 4 6 4" xfId="9948" xr:uid="{00000000-0005-0000-0000-0000D8260000}"/>
    <cellStyle name="20% - Accent6 5 2 4 6 4 2" xfId="9949" xr:uid="{00000000-0005-0000-0000-0000D9260000}"/>
    <cellStyle name="20% - Accent6 5 2 4 6 5" xfId="9950" xr:uid="{00000000-0005-0000-0000-0000DA260000}"/>
    <cellStyle name="20% - Accent6 5 2 4 7" xfId="9951" xr:uid="{00000000-0005-0000-0000-0000DB260000}"/>
    <cellStyle name="20% - Accent6 5 2 4 7 2" xfId="9952" xr:uid="{00000000-0005-0000-0000-0000DC260000}"/>
    <cellStyle name="20% - Accent6 5 2 4 7 2 2" xfId="9953" xr:uid="{00000000-0005-0000-0000-0000DD260000}"/>
    <cellStyle name="20% - Accent6 5 2 4 7 2 2 2" xfId="9954" xr:uid="{00000000-0005-0000-0000-0000DE260000}"/>
    <cellStyle name="20% - Accent6 5 2 4 7 2 3" xfId="9955" xr:uid="{00000000-0005-0000-0000-0000DF260000}"/>
    <cellStyle name="20% - Accent6 5 2 4 7 3" xfId="9956" xr:uid="{00000000-0005-0000-0000-0000E0260000}"/>
    <cellStyle name="20% - Accent6 5 2 4 7 3 2" xfId="9957" xr:uid="{00000000-0005-0000-0000-0000E1260000}"/>
    <cellStyle name="20% - Accent6 5 2 4 7 4" xfId="9958" xr:uid="{00000000-0005-0000-0000-0000E2260000}"/>
    <cellStyle name="20% - Accent6 5 2 4 8" xfId="9959" xr:uid="{00000000-0005-0000-0000-0000E3260000}"/>
    <cellStyle name="20% - Accent6 5 2 4 8 2" xfId="9960" xr:uid="{00000000-0005-0000-0000-0000E4260000}"/>
    <cellStyle name="20% - Accent6 5 2 4 8 2 2" xfId="9961" xr:uid="{00000000-0005-0000-0000-0000E5260000}"/>
    <cellStyle name="20% - Accent6 5 2 4 8 2 2 2" xfId="9962" xr:uid="{00000000-0005-0000-0000-0000E6260000}"/>
    <cellStyle name="20% - Accent6 5 2 4 8 2 3" xfId="9963" xr:uid="{00000000-0005-0000-0000-0000E7260000}"/>
    <cellStyle name="20% - Accent6 5 2 4 8 3" xfId="9964" xr:uid="{00000000-0005-0000-0000-0000E8260000}"/>
    <cellStyle name="20% - Accent6 5 2 4 8 3 2" xfId="9965" xr:uid="{00000000-0005-0000-0000-0000E9260000}"/>
    <cellStyle name="20% - Accent6 5 2 4 8 4" xfId="9966" xr:uid="{00000000-0005-0000-0000-0000EA260000}"/>
    <cellStyle name="20% - Accent6 5 2 4 9" xfId="9967" xr:uid="{00000000-0005-0000-0000-0000EB260000}"/>
    <cellStyle name="20% - Accent6 5 2 4 9 2" xfId="9968" xr:uid="{00000000-0005-0000-0000-0000EC260000}"/>
    <cellStyle name="20% - Accent6 5 2 4 9 2 2" xfId="9969" xr:uid="{00000000-0005-0000-0000-0000ED260000}"/>
    <cellStyle name="20% - Accent6 5 2 4 9 3" xfId="9970" xr:uid="{00000000-0005-0000-0000-0000EE260000}"/>
    <cellStyle name="20% - Accent6 5 2 5" xfId="9971" xr:uid="{00000000-0005-0000-0000-0000EF260000}"/>
    <cellStyle name="20% - Accent6 5 2 5 10" xfId="9972" xr:uid="{00000000-0005-0000-0000-0000F0260000}"/>
    <cellStyle name="20% - Accent6 5 2 5 10 2" xfId="9973" xr:uid="{00000000-0005-0000-0000-0000F1260000}"/>
    <cellStyle name="20% - Accent6 5 2 5 10 2 2" xfId="9974" xr:uid="{00000000-0005-0000-0000-0000F2260000}"/>
    <cellStyle name="20% - Accent6 5 2 5 10 3" xfId="9975" xr:uid="{00000000-0005-0000-0000-0000F3260000}"/>
    <cellStyle name="20% - Accent6 5 2 5 11" xfId="9976" xr:uid="{00000000-0005-0000-0000-0000F4260000}"/>
    <cellStyle name="20% - Accent6 5 2 5 11 2" xfId="9977" xr:uid="{00000000-0005-0000-0000-0000F5260000}"/>
    <cellStyle name="20% - Accent6 5 2 5 11 2 2" xfId="9978" xr:uid="{00000000-0005-0000-0000-0000F6260000}"/>
    <cellStyle name="20% - Accent6 5 2 5 11 3" xfId="9979" xr:uid="{00000000-0005-0000-0000-0000F7260000}"/>
    <cellStyle name="20% - Accent6 5 2 5 12" xfId="9980" xr:uid="{00000000-0005-0000-0000-0000F8260000}"/>
    <cellStyle name="20% - Accent6 5 2 5 12 2" xfId="9981" xr:uid="{00000000-0005-0000-0000-0000F9260000}"/>
    <cellStyle name="20% - Accent6 5 2 5 12 2 2" xfId="9982" xr:uid="{00000000-0005-0000-0000-0000FA260000}"/>
    <cellStyle name="20% - Accent6 5 2 5 12 3" xfId="9983" xr:uid="{00000000-0005-0000-0000-0000FB260000}"/>
    <cellStyle name="20% - Accent6 5 2 5 13" xfId="9984" xr:uid="{00000000-0005-0000-0000-0000FC260000}"/>
    <cellStyle name="20% - Accent6 5 2 5 13 2" xfId="9985" xr:uid="{00000000-0005-0000-0000-0000FD260000}"/>
    <cellStyle name="20% - Accent6 5 2 5 14" xfId="9986" xr:uid="{00000000-0005-0000-0000-0000FE260000}"/>
    <cellStyle name="20% - Accent6 5 2 5 2" xfId="9987" xr:uid="{00000000-0005-0000-0000-0000FF260000}"/>
    <cellStyle name="20% - Accent6 5 2 5 2 2" xfId="9988" xr:uid="{00000000-0005-0000-0000-000000270000}"/>
    <cellStyle name="20% - Accent6 5 2 5 2 2 2" xfId="9989" xr:uid="{00000000-0005-0000-0000-000001270000}"/>
    <cellStyle name="20% - Accent6 5 2 5 2 2 2 2" xfId="9990" xr:uid="{00000000-0005-0000-0000-000002270000}"/>
    <cellStyle name="20% - Accent6 5 2 5 2 2 2 2 2" xfId="9991" xr:uid="{00000000-0005-0000-0000-000003270000}"/>
    <cellStyle name="20% - Accent6 5 2 5 2 2 2 3" xfId="9992" xr:uid="{00000000-0005-0000-0000-000004270000}"/>
    <cellStyle name="20% - Accent6 5 2 5 2 2 3" xfId="9993" xr:uid="{00000000-0005-0000-0000-000005270000}"/>
    <cellStyle name="20% - Accent6 5 2 5 2 2 3 2" xfId="9994" xr:uid="{00000000-0005-0000-0000-000006270000}"/>
    <cellStyle name="20% - Accent6 5 2 5 2 2 4" xfId="9995" xr:uid="{00000000-0005-0000-0000-000007270000}"/>
    <cellStyle name="20% - Accent6 5 2 5 2 3" xfId="9996" xr:uid="{00000000-0005-0000-0000-000008270000}"/>
    <cellStyle name="20% - Accent6 5 2 5 2 3 2" xfId="9997" xr:uid="{00000000-0005-0000-0000-000009270000}"/>
    <cellStyle name="20% - Accent6 5 2 5 2 3 2 2" xfId="9998" xr:uid="{00000000-0005-0000-0000-00000A270000}"/>
    <cellStyle name="20% - Accent6 5 2 5 2 3 3" xfId="9999" xr:uid="{00000000-0005-0000-0000-00000B270000}"/>
    <cellStyle name="20% - Accent6 5 2 5 2 4" xfId="10000" xr:uid="{00000000-0005-0000-0000-00000C270000}"/>
    <cellStyle name="20% - Accent6 5 2 5 2 4 2" xfId="10001" xr:uid="{00000000-0005-0000-0000-00000D270000}"/>
    <cellStyle name="20% - Accent6 5 2 5 2 4 2 2" xfId="10002" xr:uid="{00000000-0005-0000-0000-00000E270000}"/>
    <cellStyle name="20% - Accent6 5 2 5 2 4 3" xfId="10003" xr:uid="{00000000-0005-0000-0000-00000F270000}"/>
    <cellStyle name="20% - Accent6 5 2 5 2 5" xfId="10004" xr:uid="{00000000-0005-0000-0000-000010270000}"/>
    <cellStyle name="20% - Accent6 5 2 5 2 5 2" xfId="10005" xr:uid="{00000000-0005-0000-0000-000011270000}"/>
    <cellStyle name="20% - Accent6 5 2 5 2 5 2 2" xfId="10006" xr:uid="{00000000-0005-0000-0000-000012270000}"/>
    <cellStyle name="20% - Accent6 5 2 5 2 5 3" xfId="10007" xr:uid="{00000000-0005-0000-0000-000013270000}"/>
    <cellStyle name="20% - Accent6 5 2 5 2 6" xfId="10008" xr:uid="{00000000-0005-0000-0000-000014270000}"/>
    <cellStyle name="20% - Accent6 5 2 5 2 6 2" xfId="10009" xr:uid="{00000000-0005-0000-0000-000015270000}"/>
    <cellStyle name="20% - Accent6 5 2 5 2 6 2 2" xfId="10010" xr:uid="{00000000-0005-0000-0000-000016270000}"/>
    <cellStyle name="20% - Accent6 5 2 5 2 6 3" xfId="10011" xr:uid="{00000000-0005-0000-0000-000017270000}"/>
    <cellStyle name="20% - Accent6 5 2 5 2 7" xfId="10012" xr:uid="{00000000-0005-0000-0000-000018270000}"/>
    <cellStyle name="20% - Accent6 5 2 5 2 7 2" xfId="10013" xr:uid="{00000000-0005-0000-0000-000019270000}"/>
    <cellStyle name="20% - Accent6 5 2 5 2 8" xfId="10014" xr:uid="{00000000-0005-0000-0000-00001A270000}"/>
    <cellStyle name="20% - Accent6 5 2 5 3" xfId="10015" xr:uid="{00000000-0005-0000-0000-00001B270000}"/>
    <cellStyle name="20% - Accent6 5 2 5 3 2" xfId="10016" xr:uid="{00000000-0005-0000-0000-00001C270000}"/>
    <cellStyle name="20% - Accent6 5 2 5 3 2 2" xfId="10017" xr:uid="{00000000-0005-0000-0000-00001D270000}"/>
    <cellStyle name="20% - Accent6 5 2 5 3 2 2 2" xfId="10018" xr:uid="{00000000-0005-0000-0000-00001E270000}"/>
    <cellStyle name="20% - Accent6 5 2 5 3 2 2 2 2" xfId="10019" xr:uid="{00000000-0005-0000-0000-00001F270000}"/>
    <cellStyle name="20% - Accent6 5 2 5 3 2 2 3" xfId="10020" xr:uid="{00000000-0005-0000-0000-000020270000}"/>
    <cellStyle name="20% - Accent6 5 2 5 3 2 3" xfId="10021" xr:uid="{00000000-0005-0000-0000-000021270000}"/>
    <cellStyle name="20% - Accent6 5 2 5 3 2 3 2" xfId="10022" xr:uid="{00000000-0005-0000-0000-000022270000}"/>
    <cellStyle name="20% - Accent6 5 2 5 3 2 4" xfId="10023" xr:uid="{00000000-0005-0000-0000-000023270000}"/>
    <cellStyle name="20% - Accent6 5 2 5 3 3" xfId="10024" xr:uid="{00000000-0005-0000-0000-000024270000}"/>
    <cellStyle name="20% - Accent6 5 2 5 3 3 2" xfId="10025" xr:uid="{00000000-0005-0000-0000-000025270000}"/>
    <cellStyle name="20% - Accent6 5 2 5 3 3 2 2" xfId="10026" xr:uid="{00000000-0005-0000-0000-000026270000}"/>
    <cellStyle name="20% - Accent6 5 2 5 3 3 3" xfId="10027" xr:uid="{00000000-0005-0000-0000-000027270000}"/>
    <cellStyle name="20% - Accent6 5 2 5 3 4" xfId="10028" xr:uid="{00000000-0005-0000-0000-000028270000}"/>
    <cellStyle name="20% - Accent6 5 2 5 3 4 2" xfId="10029" xr:uid="{00000000-0005-0000-0000-000029270000}"/>
    <cellStyle name="20% - Accent6 5 2 5 3 4 2 2" xfId="10030" xr:uid="{00000000-0005-0000-0000-00002A270000}"/>
    <cellStyle name="20% - Accent6 5 2 5 3 4 3" xfId="10031" xr:uid="{00000000-0005-0000-0000-00002B270000}"/>
    <cellStyle name="20% - Accent6 5 2 5 3 5" xfId="10032" xr:uid="{00000000-0005-0000-0000-00002C270000}"/>
    <cellStyle name="20% - Accent6 5 2 5 3 5 2" xfId="10033" xr:uid="{00000000-0005-0000-0000-00002D270000}"/>
    <cellStyle name="20% - Accent6 5 2 5 3 5 2 2" xfId="10034" xr:uid="{00000000-0005-0000-0000-00002E270000}"/>
    <cellStyle name="20% - Accent6 5 2 5 3 5 3" xfId="10035" xr:uid="{00000000-0005-0000-0000-00002F270000}"/>
    <cellStyle name="20% - Accent6 5 2 5 3 6" xfId="10036" xr:uid="{00000000-0005-0000-0000-000030270000}"/>
    <cellStyle name="20% - Accent6 5 2 5 3 6 2" xfId="10037" xr:uid="{00000000-0005-0000-0000-000031270000}"/>
    <cellStyle name="20% - Accent6 5 2 5 3 6 2 2" xfId="10038" xr:uid="{00000000-0005-0000-0000-000032270000}"/>
    <cellStyle name="20% - Accent6 5 2 5 3 6 3" xfId="10039" xr:uid="{00000000-0005-0000-0000-000033270000}"/>
    <cellStyle name="20% - Accent6 5 2 5 3 7" xfId="10040" xr:uid="{00000000-0005-0000-0000-000034270000}"/>
    <cellStyle name="20% - Accent6 5 2 5 3 7 2" xfId="10041" xr:uid="{00000000-0005-0000-0000-000035270000}"/>
    <cellStyle name="20% - Accent6 5 2 5 3 8" xfId="10042" xr:uid="{00000000-0005-0000-0000-000036270000}"/>
    <cellStyle name="20% - Accent6 5 2 5 4" xfId="10043" xr:uid="{00000000-0005-0000-0000-000037270000}"/>
    <cellStyle name="20% - Accent6 5 2 5 4 2" xfId="10044" xr:uid="{00000000-0005-0000-0000-000038270000}"/>
    <cellStyle name="20% - Accent6 5 2 5 4 2 2" xfId="10045" xr:uid="{00000000-0005-0000-0000-000039270000}"/>
    <cellStyle name="20% - Accent6 5 2 5 4 2 2 2" xfId="10046" xr:uid="{00000000-0005-0000-0000-00003A270000}"/>
    <cellStyle name="20% - Accent6 5 2 5 4 2 2 2 2" xfId="10047" xr:uid="{00000000-0005-0000-0000-00003B270000}"/>
    <cellStyle name="20% - Accent6 5 2 5 4 2 2 3" xfId="10048" xr:uid="{00000000-0005-0000-0000-00003C270000}"/>
    <cellStyle name="20% - Accent6 5 2 5 4 2 3" xfId="10049" xr:uid="{00000000-0005-0000-0000-00003D270000}"/>
    <cellStyle name="20% - Accent6 5 2 5 4 2 3 2" xfId="10050" xr:uid="{00000000-0005-0000-0000-00003E270000}"/>
    <cellStyle name="20% - Accent6 5 2 5 4 2 4" xfId="10051" xr:uid="{00000000-0005-0000-0000-00003F270000}"/>
    <cellStyle name="20% - Accent6 5 2 5 4 3" xfId="10052" xr:uid="{00000000-0005-0000-0000-000040270000}"/>
    <cellStyle name="20% - Accent6 5 2 5 4 3 2" xfId="10053" xr:uid="{00000000-0005-0000-0000-000041270000}"/>
    <cellStyle name="20% - Accent6 5 2 5 4 3 2 2" xfId="10054" xr:uid="{00000000-0005-0000-0000-000042270000}"/>
    <cellStyle name="20% - Accent6 5 2 5 4 3 3" xfId="10055" xr:uid="{00000000-0005-0000-0000-000043270000}"/>
    <cellStyle name="20% - Accent6 5 2 5 4 4" xfId="10056" xr:uid="{00000000-0005-0000-0000-000044270000}"/>
    <cellStyle name="20% - Accent6 5 2 5 4 4 2" xfId="10057" xr:uid="{00000000-0005-0000-0000-000045270000}"/>
    <cellStyle name="20% - Accent6 5 2 5 4 4 2 2" xfId="10058" xr:uid="{00000000-0005-0000-0000-000046270000}"/>
    <cellStyle name="20% - Accent6 5 2 5 4 4 3" xfId="10059" xr:uid="{00000000-0005-0000-0000-000047270000}"/>
    <cellStyle name="20% - Accent6 5 2 5 4 5" xfId="10060" xr:uid="{00000000-0005-0000-0000-000048270000}"/>
    <cellStyle name="20% - Accent6 5 2 5 4 5 2" xfId="10061" xr:uid="{00000000-0005-0000-0000-000049270000}"/>
    <cellStyle name="20% - Accent6 5 2 5 4 5 2 2" xfId="10062" xr:uid="{00000000-0005-0000-0000-00004A270000}"/>
    <cellStyle name="20% - Accent6 5 2 5 4 5 3" xfId="10063" xr:uid="{00000000-0005-0000-0000-00004B270000}"/>
    <cellStyle name="20% - Accent6 5 2 5 4 6" xfId="10064" xr:uid="{00000000-0005-0000-0000-00004C270000}"/>
    <cellStyle name="20% - Accent6 5 2 5 4 6 2" xfId="10065" xr:uid="{00000000-0005-0000-0000-00004D270000}"/>
    <cellStyle name="20% - Accent6 5 2 5 4 6 2 2" xfId="10066" xr:uid="{00000000-0005-0000-0000-00004E270000}"/>
    <cellStyle name="20% - Accent6 5 2 5 4 6 3" xfId="10067" xr:uid="{00000000-0005-0000-0000-00004F270000}"/>
    <cellStyle name="20% - Accent6 5 2 5 4 7" xfId="10068" xr:uid="{00000000-0005-0000-0000-000050270000}"/>
    <cellStyle name="20% - Accent6 5 2 5 4 7 2" xfId="10069" xr:uid="{00000000-0005-0000-0000-000051270000}"/>
    <cellStyle name="20% - Accent6 5 2 5 4 8" xfId="10070" xr:uid="{00000000-0005-0000-0000-000052270000}"/>
    <cellStyle name="20% - Accent6 5 2 5 5" xfId="10071" xr:uid="{00000000-0005-0000-0000-000053270000}"/>
    <cellStyle name="20% - Accent6 5 2 5 5 2" xfId="10072" xr:uid="{00000000-0005-0000-0000-000054270000}"/>
    <cellStyle name="20% - Accent6 5 2 5 5 2 2" xfId="10073" xr:uid="{00000000-0005-0000-0000-000055270000}"/>
    <cellStyle name="20% - Accent6 5 2 5 5 2 2 2" xfId="10074" xr:uid="{00000000-0005-0000-0000-000056270000}"/>
    <cellStyle name="20% - Accent6 5 2 5 5 2 2 2 2" xfId="10075" xr:uid="{00000000-0005-0000-0000-000057270000}"/>
    <cellStyle name="20% - Accent6 5 2 5 5 2 2 3" xfId="10076" xr:uid="{00000000-0005-0000-0000-000058270000}"/>
    <cellStyle name="20% - Accent6 5 2 5 5 2 3" xfId="10077" xr:uid="{00000000-0005-0000-0000-000059270000}"/>
    <cellStyle name="20% - Accent6 5 2 5 5 2 3 2" xfId="10078" xr:uid="{00000000-0005-0000-0000-00005A270000}"/>
    <cellStyle name="20% - Accent6 5 2 5 5 2 4" xfId="10079" xr:uid="{00000000-0005-0000-0000-00005B270000}"/>
    <cellStyle name="20% - Accent6 5 2 5 5 3" xfId="10080" xr:uid="{00000000-0005-0000-0000-00005C270000}"/>
    <cellStyle name="20% - Accent6 5 2 5 5 3 2" xfId="10081" xr:uid="{00000000-0005-0000-0000-00005D270000}"/>
    <cellStyle name="20% - Accent6 5 2 5 5 3 2 2" xfId="10082" xr:uid="{00000000-0005-0000-0000-00005E270000}"/>
    <cellStyle name="20% - Accent6 5 2 5 5 3 3" xfId="10083" xr:uid="{00000000-0005-0000-0000-00005F270000}"/>
    <cellStyle name="20% - Accent6 5 2 5 5 4" xfId="10084" xr:uid="{00000000-0005-0000-0000-000060270000}"/>
    <cellStyle name="20% - Accent6 5 2 5 5 4 2" xfId="10085" xr:uid="{00000000-0005-0000-0000-000061270000}"/>
    <cellStyle name="20% - Accent6 5 2 5 5 5" xfId="10086" xr:uid="{00000000-0005-0000-0000-000062270000}"/>
    <cellStyle name="20% - Accent6 5 2 5 6" xfId="10087" xr:uid="{00000000-0005-0000-0000-000063270000}"/>
    <cellStyle name="20% - Accent6 5 2 5 6 2" xfId="10088" xr:uid="{00000000-0005-0000-0000-000064270000}"/>
    <cellStyle name="20% - Accent6 5 2 5 6 2 2" xfId="10089" xr:uid="{00000000-0005-0000-0000-000065270000}"/>
    <cellStyle name="20% - Accent6 5 2 5 6 2 2 2" xfId="10090" xr:uid="{00000000-0005-0000-0000-000066270000}"/>
    <cellStyle name="20% - Accent6 5 2 5 6 2 2 2 2" xfId="10091" xr:uid="{00000000-0005-0000-0000-000067270000}"/>
    <cellStyle name="20% - Accent6 5 2 5 6 2 2 3" xfId="10092" xr:uid="{00000000-0005-0000-0000-000068270000}"/>
    <cellStyle name="20% - Accent6 5 2 5 6 2 3" xfId="10093" xr:uid="{00000000-0005-0000-0000-000069270000}"/>
    <cellStyle name="20% - Accent6 5 2 5 6 2 3 2" xfId="10094" xr:uid="{00000000-0005-0000-0000-00006A270000}"/>
    <cellStyle name="20% - Accent6 5 2 5 6 2 4" xfId="10095" xr:uid="{00000000-0005-0000-0000-00006B270000}"/>
    <cellStyle name="20% - Accent6 5 2 5 6 3" xfId="10096" xr:uid="{00000000-0005-0000-0000-00006C270000}"/>
    <cellStyle name="20% - Accent6 5 2 5 6 3 2" xfId="10097" xr:uid="{00000000-0005-0000-0000-00006D270000}"/>
    <cellStyle name="20% - Accent6 5 2 5 6 3 2 2" xfId="10098" xr:uid="{00000000-0005-0000-0000-00006E270000}"/>
    <cellStyle name="20% - Accent6 5 2 5 6 3 3" xfId="10099" xr:uid="{00000000-0005-0000-0000-00006F270000}"/>
    <cellStyle name="20% - Accent6 5 2 5 6 4" xfId="10100" xr:uid="{00000000-0005-0000-0000-000070270000}"/>
    <cellStyle name="20% - Accent6 5 2 5 6 4 2" xfId="10101" xr:uid="{00000000-0005-0000-0000-000071270000}"/>
    <cellStyle name="20% - Accent6 5 2 5 6 5" xfId="10102" xr:uid="{00000000-0005-0000-0000-000072270000}"/>
    <cellStyle name="20% - Accent6 5 2 5 7" xfId="10103" xr:uid="{00000000-0005-0000-0000-000073270000}"/>
    <cellStyle name="20% - Accent6 5 2 5 7 2" xfId="10104" xr:uid="{00000000-0005-0000-0000-000074270000}"/>
    <cellStyle name="20% - Accent6 5 2 5 7 2 2" xfId="10105" xr:uid="{00000000-0005-0000-0000-000075270000}"/>
    <cellStyle name="20% - Accent6 5 2 5 7 2 2 2" xfId="10106" xr:uid="{00000000-0005-0000-0000-000076270000}"/>
    <cellStyle name="20% - Accent6 5 2 5 7 2 3" xfId="10107" xr:uid="{00000000-0005-0000-0000-000077270000}"/>
    <cellStyle name="20% - Accent6 5 2 5 7 3" xfId="10108" xr:uid="{00000000-0005-0000-0000-000078270000}"/>
    <cellStyle name="20% - Accent6 5 2 5 7 3 2" xfId="10109" xr:uid="{00000000-0005-0000-0000-000079270000}"/>
    <cellStyle name="20% - Accent6 5 2 5 7 4" xfId="10110" xr:uid="{00000000-0005-0000-0000-00007A270000}"/>
    <cellStyle name="20% - Accent6 5 2 5 8" xfId="10111" xr:uid="{00000000-0005-0000-0000-00007B270000}"/>
    <cellStyle name="20% - Accent6 5 2 5 8 2" xfId="10112" xr:uid="{00000000-0005-0000-0000-00007C270000}"/>
    <cellStyle name="20% - Accent6 5 2 5 8 2 2" xfId="10113" xr:uid="{00000000-0005-0000-0000-00007D270000}"/>
    <cellStyle name="20% - Accent6 5 2 5 8 2 2 2" xfId="10114" xr:uid="{00000000-0005-0000-0000-00007E270000}"/>
    <cellStyle name="20% - Accent6 5 2 5 8 2 3" xfId="10115" xr:uid="{00000000-0005-0000-0000-00007F270000}"/>
    <cellStyle name="20% - Accent6 5 2 5 8 3" xfId="10116" xr:uid="{00000000-0005-0000-0000-000080270000}"/>
    <cellStyle name="20% - Accent6 5 2 5 8 3 2" xfId="10117" xr:uid="{00000000-0005-0000-0000-000081270000}"/>
    <cellStyle name="20% - Accent6 5 2 5 8 4" xfId="10118" xr:uid="{00000000-0005-0000-0000-000082270000}"/>
    <cellStyle name="20% - Accent6 5 2 5 9" xfId="10119" xr:uid="{00000000-0005-0000-0000-000083270000}"/>
    <cellStyle name="20% - Accent6 5 2 5 9 2" xfId="10120" xr:uid="{00000000-0005-0000-0000-000084270000}"/>
    <cellStyle name="20% - Accent6 5 2 5 9 2 2" xfId="10121" xr:uid="{00000000-0005-0000-0000-000085270000}"/>
    <cellStyle name="20% - Accent6 5 2 5 9 3" xfId="10122" xr:uid="{00000000-0005-0000-0000-000086270000}"/>
    <cellStyle name="20% - Accent6 5 2 6" xfId="10123" xr:uid="{00000000-0005-0000-0000-000087270000}"/>
    <cellStyle name="20% - Accent6 5 2 6 10" xfId="10124" xr:uid="{00000000-0005-0000-0000-000088270000}"/>
    <cellStyle name="20% - Accent6 5 2 6 10 2" xfId="10125" xr:uid="{00000000-0005-0000-0000-000089270000}"/>
    <cellStyle name="20% - Accent6 5 2 6 10 2 2" xfId="10126" xr:uid="{00000000-0005-0000-0000-00008A270000}"/>
    <cellStyle name="20% - Accent6 5 2 6 10 3" xfId="10127" xr:uid="{00000000-0005-0000-0000-00008B270000}"/>
    <cellStyle name="20% - Accent6 5 2 6 11" xfId="10128" xr:uid="{00000000-0005-0000-0000-00008C270000}"/>
    <cellStyle name="20% - Accent6 5 2 6 11 2" xfId="10129" xr:uid="{00000000-0005-0000-0000-00008D270000}"/>
    <cellStyle name="20% - Accent6 5 2 6 11 2 2" xfId="10130" xr:uid="{00000000-0005-0000-0000-00008E270000}"/>
    <cellStyle name="20% - Accent6 5 2 6 11 3" xfId="10131" xr:uid="{00000000-0005-0000-0000-00008F270000}"/>
    <cellStyle name="20% - Accent6 5 2 6 12" xfId="10132" xr:uid="{00000000-0005-0000-0000-000090270000}"/>
    <cellStyle name="20% - Accent6 5 2 6 12 2" xfId="10133" xr:uid="{00000000-0005-0000-0000-000091270000}"/>
    <cellStyle name="20% - Accent6 5 2 6 12 2 2" xfId="10134" xr:uid="{00000000-0005-0000-0000-000092270000}"/>
    <cellStyle name="20% - Accent6 5 2 6 12 3" xfId="10135" xr:uid="{00000000-0005-0000-0000-000093270000}"/>
    <cellStyle name="20% - Accent6 5 2 6 13" xfId="10136" xr:uid="{00000000-0005-0000-0000-000094270000}"/>
    <cellStyle name="20% - Accent6 5 2 6 13 2" xfId="10137" xr:uid="{00000000-0005-0000-0000-000095270000}"/>
    <cellStyle name="20% - Accent6 5 2 6 14" xfId="10138" xr:uid="{00000000-0005-0000-0000-000096270000}"/>
    <cellStyle name="20% - Accent6 5 2 6 2" xfId="10139" xr:uid="{00000000-0005-0000-0000-000097270000}"/>
    <cellStyle name="20% - Accent6 5 2 6 2 2" xfId="10140" xr:uid="{00000000-0005-0000-0000-000098270000}"/>
    <cellStyle name="20% - Accent6 5 2 6 2 2 2" xfId="10141" xr:uid="{00000000-0005-0000-0000-000099270000}"/>
    <cellStyle name="20% - Accent6 5 2 6 2 2 2 2" xfId="10142" xr:uid="{00000000-0005-0000-0000-00009A270000}"/>
    <cellStyle name="20% - Accent6 5 2 6 2 2 2 2 2" xfId="10143" xr:uid="{00000000-0005-0000-0000-00009B270000}"/>
    <cellStyle name="20% - Accent6 5 2 6 2 2 2 3" xfId="10144" xr:uid="{00000000-0005-0000-0000-00009C270000}"/>
    <cellStyle name="20% - Accent6 5 2 6 2 2 3" xfId="10145" xr:uid="{00000000-0005-0000-0000-00009D270000}"/>
    <cellStyle name="20% - Accent6 5 2 6 2 2 3 2" xfId="10146" xr:uid="{00000000-0005-0000-0000-00009E270000}"/>
    <cellStyle name="20% - Accent6 5 2 6 2 2 4" xfId="10147" xr:uid="{00000000-0005-0000-0000-00009F270000}"/>
    <cellStyle name="20% - Accent6 5 2 6 2 3" xfId="10148" xr:uid="{00000000-0005-0000-0000-0000A0270000}"/>
    <cellStyle name="20% - Accent6 5 2 6 2 3 2" xfId="10149" xr:uid="{00000000-0005-0000-0000-0000A1270000}"/>
    <cellStyle name="20% - Accent6 5 2 6 2 3 2 2" xfId="10150" xr:uid="{00000000-0005-0000-0000-0000A2270000}"/>
    <cellStyle name="20% - Accent6 5 2 6 2 3 3" xfId="10151" xr:uid="{00000000-0005-0000-0000-0000A3270000}"/>
    <cellStyle name="20% - Accent6 5 2 6 2 4" xfId="10152" xr:uid="{00000000-0005-0000-0000-0000A4270000}"/>
    <cellStyle name="20% - Accent6 5 2 6 2 4 2" xfId="10153" xr:uid="{00000000-0005-0000-0000-0000A5270000}"/>
    <cellStyle name="20% - Accent6 5 2 6 2 4 2 2" xfId="10154" xr:uid="{00000000-0005-0000-0000-0000A6270000}"/>
    <cellStyle name="20% - Accent6 5 2 6 2 4 3" xfId="10155" xr:uid="{00000000-0005-0000-0000-0000A7270000}"/>
    <cellStyle name="20% - Accent6 5 2 6 2 5" xfId="10156" xr:uid="{00000000-0005-0000-0000-0000A8270000}"/>
    <cellStyle name="20% - Accent6 5 2 6 2 5 2" xfId="10157" xr:uid="{00000000-0005-0000-0000-0000A9270000}"/>
    <cellStyle name="20% - Accent6 5 2 6 2 5 2 2" xfId="10158" xr:uid="{00000000-0005-0000-0000-0000AA270000}"/>
    <cellStyle name="20% - Accent6 5 2 6 2 5 3" xfId="10159" xr:uid="{00000000-0005-0000-0000-0000AB270000}"/>
    <cellStyle name="20% - Accent6 5 2 6 2 6" xfId="10160" xr:uid="{00000000-0005-0000-0000-0000AC270000}"/>
    <cellStyle name="20% - Accent6 5 2 6 2 6 2" xfId="10161" xr:uid="{00000000-0005-0000-0000-0000AD270000}"/>
    <cellStyle name="20% - Accent6 5 2 6 2 6 2 2" xfId="10162" xr:uid="{00000000-0005-0000-0000-0000AE270000}"/>
    <cellStyle name="20% - Accent6 5 2 6 2 6 3" xfId="10163" xr:uid="{00000000-0005-0000-0000-0000AF270000}"/>
    <cellStyle name="20% - Accent6 5 2 6 2 7" xfId="10164" xr:uid="{00000000-0005-0000-0000-0000B0270000}"/>
    <cellStyle name="20% - Accent6 5 2 6 2 7 2" xfId="10165" xr:uid="{00000000-0005-0000-0000-0000B1270000}"/>
    <cellStyle name="20% - Accent6 5 2 6 2 8" xfId="10166" xr:uid="{00000000-0005-0000-0000-0000B2270000}"/>
    <cellStyle name="20% - Accent6 5 2 6 3" xfId="10167" xr:uid="{00000000-0005-0000-0000-0000B3270000}"/>
    <cellStyle name="20% - Accent6 5 2 6 3 2" xfId="10168" xr:uid="{00000000-0005-0000-0000-0000B4270000}"/>
    <cellStyle name="20% - Accent6 5 2 6 3 2 2" xfId="10169" xr:uid="{00000000-0005-0000-0000-0000B5270000}"/>
    <cellStyle name="20% - Accent6 5 2 6 3 2 2 2" xfId="10170" xr:uid="{00000000-0005-0000-0000-0000B6270000}"/>
    <cellStyle name="20% - Accent6 5 2 6 3 2 2 2 2" xfId="10171" xr:uid="{00000000-0005-0000-0000-0000B7270000}"/>
    <cellStyle name="20% - Accent6 5 2 6 3 2 2 3" xfId="10172" xr:uid="{00000000-0005-0000-0000-0000B8270000}"/>
    <cellStyle name="20% - Accent6 5 2 6 3 2 3" xfId="10173" xr:uid="{00000000-0005-0000-0000-0000B9270000}"/>
    <cellStyle name="20% - Accent6 5 2 6 3 2 3 2" xfId="10174" xr:uid="{00000000-0005-0000-0000-0000BA270000}"/>
    <cellStyle name="20% - Accent6 5 2 6 3 2 4" xfId="10175" xr:uid="{00000000-0005-0000-0000-0000BB270000}"/>
    <cellStyle name="20% - Accent6 5 2 6 3 3" xfId="10176" xr:uid="{00000000-0005-0000-0000-0000BC270000}"/>
    <cellStyle name="20% - Accent6 5 2 6 3 3 2" xfId="10177" xr:uid="{00000000-0005-0000-0000-0000BD270000}"/>
    <cellStyle name="20% - Accent6 5 2 6 3 3 2 2" xfId="10178" xr:uid="{00000000-0005-0000-0000-0000BE270000}"/>
    <cellStyle name="20% - Accent6 5 2 6 3 3 3" xfId="10179" xr:uid="{00000000-0005-0000-0000-0000BF270000}"/>
    <cellStyle name="20% - Accent6 5 2 6 3 4" xfId="10180" xr:uid="{00000000-0005-0000-0000-0000C0270000}"/>
    <cellStyle name="20% - Accent6 5 2 6 3 4 2" xfId="10181" xr:uid="{00000000-0005-0000-0000-0000C1270000}"/>
    <cellStyle name="20% - Accent6 5 2 6 3 4 2 2" xfId="10182" xr:uid="{00000000-0005-0000-0000-0000C2270000}"/>
    <cellStyle name="20% - Accent6 5 2 6 3 4 3" xfId="10183" xr:uid="{00000000-0005-0000-0000-0000C3270000}"/>
    <cellStyle name="20% - Accent6 5 2 6 3 5" xfId="10184" xr:uid="{00000000-0005-0000-0000-0000C4270000}"/>
    <cellStyle name="20% - Accent6 5 2 6 3 5 2" xfId="10185" xr:uid="{00000000-0005-0000-0000-0000C5270000}"/>
    <cellStyle name="20% - Accent6 5 2 6 3 5 2 2" xfId="10186" xr:uid="{00000000-0005-0000-0000-0000C6270000}"/>
    <cellStyle name="20% - Accent6 5 2 6 3 5 3" xfId="10187" xr:uid="{00000000-0005-0000-0000-0000C7270000}"/>
    <cellStyle name="20% - Accent6 5 2 6 3 6" xfId="10188" xr:uid="{00000000-0005-0000-0000-0000C8270000}"/>
    <cellStyle name="20% - Accent6 5 2 6 3 6 2" xfId="10189" xr:uid="{00000000-0005-0000-0000-0000C9270000}"/>
    <cellStyle name="20% - Accent6 5 2 6 3 6 2 2" xfId="10190" xr:uid="{00000000-0005-0000-0000-0000CA270000}"/>
    <cellStyle name="20% - Accent6 5 2 6 3 6 3" xfId="10191" xr:uid="{00000000-0005-0000-0000-0000CB270000}"/>
    <cellStyle name="20% - Accent6 5 2 6 3 7" xfId="10192" xr:uid="{00000000-0005-0000-0000-0000CC270000}"/>
    <cellStyle name="20% - Accent6 5 2 6 3 7 2" xfId="10193" xr:uid="{00000000-0005-0000-0000-0000CD270000}"/>
    <cellStyle name="20% - Accent6 5 2 6 3 8" xfId="10194" xr:uid="{00000000-0005-0000-0000-0000CE270000}"/>
    <cellStyle name="20% - Accent6 5 2 6 4" xfId="10195" xr:uid="{00000000-0005-0000-0000-0000CF270000}"/>
    <cellStyle name="20% - Accent6 5 2 6 4 2" xfId="10196" xr:uid="{00000000-0005-0000-0000-0000D0270000}"/>
    <cellStyle name="20% - Accent6 5 2 6 4 2 2" xfId="10197" xr:uid="{00000000-0005-0000-0000-0000D1270000}"/>
    <cellStyle name="20% - Accent6 5 2 6 4 2 2 2" xfId="10198" xr:uid="{00000000-0005-0000-0000-0000D2270000}"/>
    <cellStyle name="20% - Accent6 5 2 6 4 2 2 2 2" xfId="10199" xr:uid="{00000000-0005-0000-0000-0000D3270000}"/>
    <cellStyle name="20% - Accent6 5 2 6 4 2 2 3" xfId="10200" xr:uid="{00000000-0005-0000-0000-0000D4270000}"/>
    <cellStyle name="20% - Accent6 5 2 6 4 2 3" xfId="10201" xr:uid="{00000000-0005-0000-0000-0000D5270000}"/>
    <cellStyle name="20% - Accent6 5 2 6 4 2 3 2" xfId="10202" xr:uid="{00000000-0005-0000-0000-0000D6270000}"/>
    <cellStyle name="20% - Accent6 5 2 6 4 2 4" xfId="10203" xr:uid="{00000000-0005-0000-0000-0000D7270000}"/>
    <cellStyle name="20% - Accent6 5 2 6 4 3" xfId="10204" xr:uid="{00000000-0005-0000-0000-0000D8270000}"/>
    <cellStyle name="20% - Accent6 5 2 6 4 3 2" xfId="10205" xr:uid="{00000000-0005-0000-0000-0000D9270000}"/>
    <cellStyle name="20% - Accent6 5 2 6 4 3 2 2" xfId="10206" xr:uid="{00000000-0005-0000-0000-0000DA270000}"/>
    <cellStyle name="20% - Accent6 5 2 6 4 3 3" xfId="10207" xr:uid="{00000000-0005-0000-0000-0000DB270000}"/>
    <cellStyle name="20% - Accent6 5 2 6 4 4" xfId="10208" xr:uid="{00000000-0005-0000-0000-0000DC270000}"/>
    <cellStyle name="20% - Accent6 5 2 6 4 4 2" xfId="10209" xr:uid="{00000000-0005-0000-0000-0000DD270000}"/>
    <cellStyle name="20% - Accent6 5 2 6 4 4 2 2" xfId="10210" xr:uid="{00000000-0005-0000-0000-0000DE270000}"/>
    <cellStyle name="20% - Accent6 5 2 6 4 4 3" xfId="10211" xr:uid="{00000000-0005-0000-0000-0000DF270000}"/>
    <cellStyle name="20% - Accent6 5 2 6 4 5" xfId="10212" xr:uid="{00000000-0005-0000-0000-0000E0270000}"/>
    <cellStyle name="20% - Accent6 5 2 6 4 5 2" xfId="10213" xr:uid="{00000000-0005-0000-0000-0000E1270000}"/>
    <cellStyle name="20% - Accent6 5 2 6 4 5 2 2" xfId="10214" xr:uid="{00000000-0005-0000-0000-0000E2270000}"/>
    <cellStyle name="20% - Accent6 5 2 6 4 5 3" xfId="10215" xr:uid="{00000000-0005-0000-0000-0000E3270000}"/>
    <cellStyle name="20% - Accent6 5 2 6 4 6" xfId="10216" xr:uid="{00000000-0005-0000-0000-0000E4270000}"/>
    <cellStyle name="20% - Accent6 5 2 6 4 6 2" xfId="10217" xr:uid="{00000000-0005-0000-0000-0000E5270000}"/>
    <cellStyle name="20% - Accent6 5 2 6 4 6 2 2" xfId="10218" xr:uid="{00000000-0005-0000-0000-0000E6270000}"/>
    <cellStyle name="20% - Accent6 5 2 6 4 6 3" xfId="10219" xr:uid="{00000000-0005-0000-0000-0000E7270000}"/>
    <cellStyle name="20% - Accent6 5 2 6 4 7" xfId="10220" xr:uid="{00000000-0005-0000-0000-0000E8270000}"/>
    <cellStyle name="20% - Accent6 5 2 6 4 7 2" xfId="10221" xr:uid="{00000000-0005-0000-0000-0000E9270000}"/>
    <cellStyle name="20% - Accent6 5 2 6 4 8" xfId="10222" xr:uid="{00000000-0005-0000-0000-0000EA270000}"/>
    <cellStyle name="20% - Accent6 5 2 6 5" xfId="10223" xr:uid="{00000000-0005-0000-0000-0000EB270000}"/>
    <cellStyle name="20% - Accent6 5 2 6 5 2" xfId="10224" xr:uid="{00000000-0005-0000-0000-0000EC270000}"/>
    <cellStyle name="20% - Accent6 5 2 6 5 2 2" xfId="10225" xr:uid="{00000000-0005-0000-0000-0000ED270000}"/>
    <cellStyle name="20% - Accent6 5 2 6 5 2 2 2" xfId="10226" xr:uid="{00000000-0005-0000-0000-0000EE270000}"/>
    <cellStyle name="20% - Accent6 5 2 6 5 2 2 2 2" xfId="10227" xr:uid="{00000000-0005-0000-0000-0000EF270000}"/>
    <cellStyle name="20% - Accent6 5 2 6 5 2 2 3" xfId="10228" xr:uid="{00000000-0005-0000-0000-0000F0270000}"/>
    <cellStyle name="20% - Accent6 5 2 6 5 2 3" xfId="10229" xr:uid="{00000000-0005-0000-0000-0000F1270000}"/>
    <cellStyle name="20% - Accent6 5 2 6 5 2 3 2" xfId="10230" xr:uid="{00000000-0005-0000-0000-0000F2270000}"/>
    <cellStyle name="20% - Accent6 5 2 6 5 2 4" xfId="10231" xr:uid="{00000000-0005-0000-0000-0000F3270000}"/>
    <cellStyle name="20% - Accent6 5 2 6 5 3" xfId="10232" xr:uid="{00000000-0005-0000-0000-0000F4270000}"/>
    <cellStyle name="20% - Accent6 5 2 6 5 3 2" xfId="10233" xr:uid="{00000000-0005-0000-0000-0000F5270000}"/>
    <cellStyle name="20% - Accent6 5 2 6 5 3 2 2" xfId="10234" xr:uid="{00000000-0005-0000-0000-0000F6270000}"/>
    <cellStyle name="20% - Accent6 5 2 6 5 3 3" xfId="10235" xr:uid="{00000000-0005-0000-0000-0000F7270000}"/>
    <cellStyle name="20% - Accent6 5 2 6 5 4" xfId="10236" xr:uid="{00000000-0005-0000-0000-0000F8270000}"/>
    <cellStyle name="20% - Accent6 5 2 6 5 4 2" xfId="10237" xr:uid="{00000000-0005-0000-0000-0000F9270000}"/>
    <cellStyle name="20% - Accent6 5 2 6 5 5" xfId="10238" xr:uid="{00000000-0005-0000-0000-0000FA270000}"/>
    <cellStyle name="20% - Accent6 5 2 6 6" xfId="10239" xr:uid="{00000000-0005-0000-0000-0000FB270000}"/>
    <cellStyle name="20% - Accent6 5 2 6 6 2" xfId="10240" xr:uid="{00000000-0005-0000-0000-0000FC270000}"/>
    <cellStyle name="20% - Accent6 5 2 6 6 2 2" xfId="10241" xr:uid="{00000000-0005-0000-0000-0000FD270000}"/>
    <cellStyle name="20% - Accent6 5 2 6 6 2 2 2" xfId="10242" xr:uid="{00000000-0005-0000-0000-0000FE270000}"/>
    <cellStyle name="20% - Accent6 5 2 6 6 2 2 2 2" xfId="10243" xr:uid="{00000000-0005-0000-0000-0000FF270000}"/>
    <cellStyle name="20% - Accent6 5 2 6 6 2 2 3" xfId="10244" xr:uid="{00000000-0005-0000-0000-000000280000}"/>
    <cellStyle name="20% - Accent6 5 2 6 6 2 3" xfId="10245" xr:uid="{00000000-0005-0000-0000-000001280000}"/>
    <cellStyle name="20% - Accent6 5 2 6 6 2 3 2" xfId="10246" xr:uid="{00000000-0005-0000-0000-000002280000}"/>
    <cellStyle name="20% - Accent6 5 2 6 6 2 4" xfId="10247" xr:uid="{00000000-0005-0000-0000-000003280000}"/>
    <cellStyle name="20% - Accent6 5 2 6 6 3" xfId="10248" xr:uid="{00000000-0005-0000-0000-000004280000}"/>
    <cellStyle name="20% - Accent6 5 2 6 6 3 2" xfId="10249" xr:uid="{00000000-0005-0000-0000-000005280000}"/>
    <cellStyle name="20% - Accent6 5 2 6 6 3 2 2" xfId="10250" xr:uid="{00000000-0005-0000-0000-000006280000}"/>
    <cellStyle name="20% - Accent6 5 2 6 6 3 3" xfId="10251" xr:uid="{00000000-0005-0000-0000-000007280000}"/>
    <cellStyle name="20% - Accent6 5 2 6 6 4" xfId="10252" xr:uid="{00000000-0005-0000-0000-000008280000}"/>
    <cellStyle name="20% - Accent6 5 2 6 6 4 2" xfId="10253" xr:uid="{00000000-0005-0000-0000-000009280000}"/>
    <cellStyle name="20% - Accent6 5 2 6 6 5" xfId="10254" xr:uid="{00000000-0005-0000-0000-00000A280000}"/>
    <cellStyle name="20% - Accent6 5 2 6 7" xfId="10255" xr:uid="{00000000-0005-0000-0000-00000B280000}"/>
    <cellStyle name="20% - Accent6 5 2 6 7 2" xfId="10256" xr:uid="{00000000-0005-0000-0000-00000C280000}"/>
    <cellStyle name="20% - Accent6 5 2 6 7 2 2" xfId="10257" xr:uid="{00000000-0005-0000-0000-00000D280000}"/>
    <cellStyle name="20% - Accent6 5 2 6 7 2 2 2" xfId="10258" xr:uid="{00000000-0005-0000-0000-00000E280000}"/>
    <cellStyle name="20% - Accent6 5 2 6 7 2 3" xfId="10259" xr:uid="{00000000-0005-0000-0000-00000F280000}"/>
    <cellStyle name="20% - Accent6 5 2 6 7 3" xfId="10260" xr:uid="{00000000-0005-0000-0000-000010280000}"/>
    <cellStyle name="20% - Accent6 5 2 6 7 3 2" xfId="10261" xr:uid="{00000000-0005-0000-0000-000011280000}"/>
    <cellStyle name="20% - Accent6 5 2 6 7 4" xfId="10262" xr:uid="{00000000-0005-0000-0000-000012280000}"/>
    <cellStyle name="20% - Accent6 5 2 6 8" xfId="10263" xr:uid="{00000000-0005-0000-0000-000013280000}"/>
    <cellStyle name="20% - Accent6 5 2 6 8 2" xfId="10264" xr:uid="{00000000-0005-0000-0000-000014280000}"/>
    <cellStyle name="20% - Accent6 5 2 6 8 2 2" xfId="10265" xr:uid="{00000000-0005-0000-0000-000015280000}"/>
    <cellStyle name="20% - Accent6 5 2 6 8 2 2 2" xfId="10266" xr:uid="{00000000-0005-0000-0000-000016280000}"/>
    <cellStyle name="20% - Accent6 5 2 6 8 2 3" xfId="10267" xr:uid="{00000000-0005-0000-0000-000017280000}"/>
    <cellStyle name="20% - Accent6 5 2 6 8 3" xfId="10268" xr:uid="{00000000-0005-0000-0000-000018280000}"/>
    <cellStyle name="20% - Accent6 5 2 6 8 3 2" xfId="10269" xr:uid="{00000000-0005-0000-0000-000019280000}"/>
    <cellStyle name="20% - Accent6 5 2 6 8 4" xfId="10270" xr:uid="{00000000-0005-0000-0000-00001A280000}"/>
    <cellStyle name="20% - Accent6 5 2 6 9" xfId="10271" xr:uid="{00000000-0005-0000-0000-00001B280000}"/>
    <cellStyle name="20% - Accent6 5 2 6 9 2" xfId="10272" xr:uid="{00000000-0005-0000-0000-00001C280000}"/>
    <cellStyle name="20% - Accent6 5 2 6 9 2 2" xfId="10273" xr:uid="{00000000-0005-0000-0000-00001D280000}"/>
    <cellStyle name="20% - Accent6 5 2 6 9 3" xfId="10274" xr:uid="{00000000-0005-0000-0000-00001E280000}"/>
    <cellStyle name="20% - Accent6 5 2 7" xfId="10275" xr:uid="{00000000-0005-0000-0000-00001F280000}"/>
    <cellStyle name="20% - Accent6 5 2 7 2" xfId="10276" xr:uid="{00000000-0005-0000-0000-000020280000}"/>
    <cellStyle name="20% - Accent6 5 2 7 2 2" xfId="10277" xr:uid="{00000000-0005-0000-0000-000021280000}"/>
    <cellStyle name="20% - Accent6 5 2 7 2 2 2" xfId="10278" xr:uid="{00000000-0005-0000-0000-000022280000}"/>
    <cellStyle name="20% - Accent6 5 2 7 2 2 2 2" xfId="10279" xr:uid="{00000000-0005-0000-0000-000023280000}"/>
    <cellStyle name="20% - Accent6 5 2 7 2 2 3" xfId="10280" xr:uid="{00000000-0005-0000-0000-000024280000}"/>
    <cellStyle name="20% - Accent6 5 2 7 2 3" xfId="10281" xr:uid="{00000000-0005-0000-0000-000025280000}"/>
    <cellStyle name="20% - Accent6 5 2 7 2 3 2" xfId="10282" xr:uid="{00000000-0005-0000-0000-000026280000}"/>
    <cellStyle name="20% - Accent6 5 2 7 2 4" xfId="10283" xr:uid="{00000000-0005-0000-0000-000027280000}"/>
    <cellStyle name="20% - Accent6 5 2 7 3" xfId="10284" xr:uid="{00000000-0005-0000-0000-000028280000}"/>
    <cellStyle name="20% - Accent6 5 2 7 3 2" xfId="10285" xr:uid="{00000000-0005-0000-0000-000029280000}"/>
    <cellStyle name="20% - Accent6 5 2 7 3 2 2" xfId="10286" xr:uid="{00000000-0005-0000-0000-00002A280000}"/>
    <cellStyle name="20% - Accent6 5 2 7 3 3" xfId="10287" xr:uid="{00000000-0005-0000-0000-00002B280000}"/>
    <cellStyle name="20% - Accent6 5 2 7 4" xfId="10288" xr:uid="{00000000-0005-0000-0000-00002C280000}"/>
    <cellStyle name="20% - Accent6 5 2 7 4 2" xfId="10289" xr:uid="{00000000-0005-0000-0000-00002D280000}"/>
    <cellStyle name="20% - Accent6 5 2 7 4 2 2" xfId="10290" xr:uid="{00000000-0005-0000-0000-00002E280000}"/>
    <cellStyle name="20% - Accent6 5 2 7 4 3" xfId="10291" xr:uid="{00000000-0005-0000-0000-00002F280000}"/>
    <cellStyle name="20% - Accent6 5 2 7 5" xfId="10292" xr:uid="{00000000-0005-0000-0000-000030280000}"/>
    <cellStyle name="20% - Accent6 5 2 7 5 2" xfId="10293" xr:uid="{00000000-0005-0000-0000-000031280000}"/>
    <cellStyle name="20% - Accent6 5 2 7 5 2 2" xfId="10294" xr:uid="{00000000-0005-0000-0000-000032280000}"/>
    <cellStyle name="20% - Accent6 5 2 7 5 3" xfId="10295" xr:uid="{00000000-0005-0000-0000-000033280000}"/>
    <cellStyle name="20% - Accent6 5 2 7 6" xfId="10296" xr:uid="{00000000-0005-0000-0000-000034280000}"/>
    <cellStyle name="20% - Accent6 5 2 7 6 2" xfId="10297" xr:uid="{00000000-0005-0000-0000-000035280000}"/>
    <cellStyle name="20% - Accent6 5 2 7 6 2 2" xfId="10298" xr:uid="{00000000-0005-0000-0000-000036280000}"/>
    <cellStyle name="20% - Accent6 5 2 7 6 3" xfId="10299" xr:uid="{00000000-0005-0000-0000-000037280000}"/>
    <cellStyle name="20% - Accent6 5 2 7 7" xfId="10300" xr:uid="{00000000-0005-0000-0000-000038280000}"/>
    <cellStyle name="20% - Accent6 5 2 7 7 2" xfId="10301" xr:uid="{00000000-0005-0000-0000-000039280000}"/>
    <cellStyle name="20% - Accent6 5 2 7 8" xfId="10302" xr:uid="{00000000-0005-0000-0000-00003A280000}"/>
    <cellStyle name="20% - Accent6 5 2 8" xfId="10303" xr:uid="{00000000-0005-0000-0000-00003B280000}"/>
    <cellStyle name="20% - Accent6 5 2 8 2" xfId="10304" xr:uid="{00000000-0005-0000-0000-00003C280000}"/>
    <cellStyle name="20% - Accent6 5 2 8 2 2" xfId="10305" xr:uid="{00000000-0005-0000-0000-00003D280000}"/>
    <cellStyle name="20% - Accent6 5 2 8 2 2 2" xfId="10306" xr:uid="{00000000-0005-0000-0000-00003E280000}"/>
    <cellStyle name="20% - Accent6 5 2 8 2 2 2 2" xfId="10307" xr:uid="{00000000-0005-0000-0000-00003F280000}"/>
    <cellStyle name="20% - Accent6 5 2 8 2 2 3" xfId="10308" xr:uid="{00000000-0005-0000-0000-000040280000}"/>
    <cellStyle name="20% - Accent6 5 2 8 2 3" xfId="10309" xr:uid="{00000000-0005-0000-0000-000041280000}"/>
    <cellStyle name="20% - Accent6 5 2 8 2 3 2" xfId="10310" xr:uid="{00000000-0005-0000-0000-000042280000}"/>
    <cellStyle name="20% - Accent6 5 2 8 2 4" xfId="10311" xr:uid="{00000000-0005-0000-0000-000043280000}"/>
    <cellStyle name="20% - Accent6 5 2 8 3" xfId="10312" xr:uid="{00000000-0005-0000-0000-000044280000}"/>
    <cellStyle name="20% - Accent6 5 2 8 3 2" xfId="10313" xr:uid="{00000000-0005-0000-0000-000045280000}"/>
    <cellStyle name="20% - Accent6 5 2 8 3 2 2" xfId="10314" xr:uid="{00000000-0005-0000-0000-000046280000}"/>
    <cellStyle name="20% - Accent6 5 2 8 3 3" xfId="10315" xr:uid="{00000000-0005-0000-0000-000047280000}"/>
    <cellStyle name="20% - Accent6 5 2 8 4" xfId="10316" xr:uid="{00000000-0005-0000-0000-000048280000}"/>
    <cellStyle name="20% - Accent6 5 2 8 4 2" xfId="10317" xr:uid="{00000000-0005-0000-0000-000049280000}"/>
    <cellStyle name="20% - Accent6 5 2 8 4 2 2" xfId="10318" xr:uid="{00000000-0005-0000-0000-00004A280000}"/>
    <cellStyle name="20% - Accent6 5 2 8 4 3" xfId="10319" xr:uid="{00000000-0005-0000-0000-00004B280000}"/>
    <cellStyle name="20% - Accent6 5 2 8 5" xfId="10320" xr:uid="{00000000-0005-0000-0000-00004C280000}"/>
    <cellStyle name="20% - Accent6 5 2 8 5 2" xfId="10321" xr:uid="{00000000-0005-0000-0000-00004D280000}"/>
    <cellStyle name="20% - Accent6 5 2 8 5 2 2" xfId="10322" xr:uid="{00000000-0005-0000-0000-00004E280000}"/>
    <cellStyle name="20% - Accent6 5 2 8 5 3" xfId="10323" xr:uid="{00000000-0005-0000-0000-00004F280000}"/>
    <cellStyle name="20% - Accent6 5 2 8 6" xfId="10324" xr:uid="{00000000-0005-0000-0000-000050280000}"/>
    <cellStyle name="20% - Accent6 5 2 8 6 2" xfId="10325" xr:uid="{00000000-0005-0000-0000-000051280000}"/>
    <cellStyle name="20% - Accent6 5 2 8 6 2 2" xfId="10326" xr:uid="{00000000-0005-0000-0000-000052280000}"/>
    <cellStyle name="20% - Accent6 5 2 8 6 3" xfId="10327" xr:uid="{00000000-0005-0000-0000-000053280000}"/>
    <cellStyle name="20% - Accent6 5 2 8 7" xfId="10328" xr:uid="{00000000-0005-0000-0000-000054280000}"/>
    <cellStyle name="20% - Accent6 5 2 8 7 2" xfId="10329" xr:uid="{00000000-0005-0000-0000-000055280000}"/>
    <cellStyle name="20% - Accent6 5 2 8 8" xfId="10330" xr:uid="{00000000-0005-0000-0000-000056280000}"/>
    <cellStyle name="20% - Accent6 5 2 9" xfId="10331" xr:uid="{00000000-0005-0000-0000-000057280000}"/>
    <cellStyle name="20% - Accent6 5 2 9 2" xfId="10332" xr:uid="{00000000-0005-0000-0000-000058280000}"/>
    <cellStyle name="20% - Accent6 5 2 9 2 2" xfId="10333" xr:uid="{00000000-0005-0000-0000-000059280000}"/>
    <cellStyle name="20% - Accent6 5 2 9 2 2 2" xfId="10334" xr:uid="{00000000-0005-0000-0000-00005A280000}"/>
    <cellStyle name="20% - Accent6 5 2 9 2 2 2 2" xfId="10335" xr:uid="{00000000-0005-0000-0000-00005B280000}"/>
    <cellStyle name="20% - Accent6 5 2 9 2 2 3" xfId="10336" xr:uid="{00000000-0005-0000-0000-00005C280000}"/>
    <cellStyle name="20% - Accent6 5 2 9 2 3" xfId="10337" xr:uid="{00000000-0005-0000-0000-00005D280000}"/>
    <cellStyle name="20% - Accent6 5 2 9 2 3 2" xfId="10338" xr:uid="{00000000-0005-0000-0000-00005E280000}"/>
    <cellStyle name="20% - Accent6 5 2 9 2 4" xfId="10339" xr:uid="{00000000-0005-0000-0000-00005F280000}"/>
    <cellStyle name="20% - Accent6 5 2 9 3" xfId="10340" xr:uid="{00000000-0005-0000-0000-000060280000}"/>
    <cellStyle name="20% - Accent6 5 2 9 3 2" xfId="10341" xr:uid="{00000000-0005-0000-0000-000061280000}"/>
    <cellStyle name="20% - Accent6 5 2 9 3 2 2" xfId="10342" xr:uid="{00000000-0005-0000-0000-000062280000}"/>
    <cellStyle name="20% - Accent6 5 2 9 3 3" xfId="10343" xr:uid="{00000000-0005-0000-0000-000063280000}"/>
    <cellStyle name="20% - Accent6 5 2 9 4" xfId="10344" xr:uid="{00000000-0005-0000-0000-000064280000}"/>
    <cellStyle name="20% - Accent6 5 2 9 4 2" xfId="10345" xr:uid="{00000000-0005-0000-0000-000065280000}"/>
    <cellStyle name="20% - Accent6 5 2 9 4 2 2" xfId="10346" xr:uid="{00000000-0005-0000-0000-000066280000}"/>
    <cellStyle name="20% - Accent6 5 2 9 4 3" xfId="10347" xr:uid="{00000000-0005-0000-0000-000067280000}"/>
    <cellStyle name="20% - Accent6 5 2 9 5" xfId="10348" xr:uid="{00000000-0005-0000-0000-000068280000}"/>
    <cellStyle name="20% - Accent6 5 2 9 5 2" xfId="10349" xr:uid="{00000000-0005-0000-0000-000069280000}"/>
    <cellStyle name="20% - Accent6 5 2 9 5 2 2" xfId="10350" xr:uid="{00000000-0005-0000-0000-00006A280000}"/>
    <cellStyle name="20% - Accent6 5 2 9 5 3" xfId="10351" xr:uid="{00000000-0005-0000-0000-00006B280000}"/>
    <cellStyle name="20% - Accent6 5 2 9 6" xfId="10352" xr:uid="{00000000-0005-0000-0000-00006C280000}"/>
    <cellStyle name="20% - Accent6 5 2 9 6 2" xfId="10353" xr:uid="{00000000-0005-0000-0000-00006D280000}"/>
    <cellStyle name="20% - Accent6 5 2 9 6 2 2" xfId="10354" xr:uid="{00000000-0005-0000-0000-00006E280000}"/>
    <cellStyle name="20% - Accent6 5 2 9 6 3" xfId="10355" xr:uid="{00000000-0005-0000-0000-00006F280000}"/>
    <cellStyle name="20% - Accent6 5 2 9 7" xfId="10356" xr:uid="{00000000-0005-0000-0000-000070280000}"/>
    <cellStyle name="20% - Accent6 5 2 9 7 2" xfId="10357" xr:uid="{00000000-0005-0000-0000-000071280000}"/>
    <cellStyle name="20% - Accent6 5 2 9 8" xfId="10358" xr:uid="{00000000-0005-0000-0000-000072280000}"/>
    <cellStyle name="20% - Accent6 5 20" xfId="10359" xr:uid="{00000000-0005-0000-0000-000073280000}"/>
    <cellStyle name="20% - Accent6 5 20 2" xfId="10360" xr:uid="{00000000-0005-0000-0000-000074280000}"/>
    <cellStyle name="20% - Accent6 5 21" xfId="10361" xr:uid="{00000000-0005-0000-0000-000075280000}"/>
    <cellStyle name="20% - Accent6 5 3" xfId="10362" xr:uid="{00000000-0005-0000-0000-000076280000}"/>
    <cellStyle name="20% - Accent6 5 3 10" xfId="10363" xr:uid="{00000000-0005-0000-0000-000077280000}"/>
    <cellStyle name="20% - Accent6 5 3 10 2" xfId="10364" xr:uid="{00000000-0005-0000-0000-000078280000}"/>
    <cellStyle name="20% - Accent6 5 3 10 2 2" xfId="10365" xr:uid="{00000000-0005-0000-0000-000079280000}"/>
    <cellStyle name="20% - Accent6 5 3 10 3" xfId="10366" xr:uid="{00000000-0005-0000-0000-00007A280000}"/>
    <cellStyle name="20% - Accent6 5 3 11" xfId="10367" xr:uid="{00000000-0005-0000-0000-00007B280000}"/>
    <cellStyle name="20% - Accent6 5 3 11 2" xfId="10368" xr:uid="{00000000-0005-0000-0000-00007C280000}"/>
    <cellStyle name="20% - Accent6 5 3 11 2 2" xfId="10369" xr:uid="{00000000-0005-0000-0000-00007D280000}"/>
    <cellStyle name="20% - Accent6 5 3 11 3" xfId="10370" xr:uid="{00000000-0005-0000-0000-00007E280000}"/>
    <cellStyle name="20% - Accent6 5 3 12" xfId="10371" xr:uid="{00000000-0005-0000-0000-00007F280000}"/>
    <cellStyle name="20% - Accent6 5 3 12 2" xfId="10372" xr:uid="{00000000-0005-0000-0000-000080280000}"/>
    <cellStyle name="20% - Accent6 5 3 12 2 2" xfId="10373" xr:uid="{00000000-0005-0000-0000-000081280000}"/>
    <cellStyle name="20% - Accent6 5 3 12 3" xfId="10374" xr:uid="{00000000-0005-0000-0000-000082280000}"/>
    <cellStyle name="20% - Accent6 5 3 13" xfId="10375" xr:uid="{00000000-0005-0000-0000-000083280000}"/>
    <cellStyle name="20% - Accent6 5 3 13 2" xfId="10376" xr:uid="{00000000-0005-0000-0000-000084280000}"/>
    <cellStyle name="20% - Accent6 5 3 14" xfId="10377" xr:uid="{00000000-0005-0000-0000-000085280000}"/>
    <cellStyle name="20% - Accent6 5 3 2" xfId="10378" xr:uid="{00000000-0005-0000-0000-000086280000}"/>
    <cellStyle name="20% - Accent6 5 3 2 2" xfId="10379" xr:uid="{00000000-0005-0000-0000-000087280000}"/>
    <cellStyle name="20% - Accent6 5 3 2 2 2" xfId="10380" xr:uid="{00000000-0005-0000-0000-000088280000}"/>
    <cellStyle name="20% - Accent6 5 3 2 2 2 2" xfId="10381" xr:uid="{00000000-0005-0000-0000-000089280000}"/>
    <cellStyle name="20% - Accent6 5 3 2 2 2 2 2" xfId="10382" xr:uid="{00000000-0005-0000-0000-00008A280000}"/>
    <cellStyle name="20% - Accent6 5 3 2 2 2 3" xfId="10383" xr:uid="{00000000-0005-0000-0000-00008B280000}"/>
    <cellStyle name="20% - Accent6 5 3 2 2 3" xfId="10384" xr:uid="{00000000-0005-0000-0000-00008C280000}"/>
    <cellStyle name="20% - Accent6 5 3 2 2 3 2" xfId="10385" xr:uid="{00000000-0005-0000-0000-00008D280000}"/>
    <cellStyle name="20% - Accent6 5 3 2 2 4" xfId="10386" xr:uid="{00000000-0005-0000-0000-00008E280000}"/>
    <cellStyle name="20% - Accent6 5 3 2 3" xfId="10387" xr:uid="{00000000-0005-0000-0000-00008F280000}"/>
    <cellStyle name="20% - Accent6 5 3 2 3 2" xfId="10388" xr:uid="{00000000-0005-0000-0000-000090280000}"/>
    <cellStyle name="20% - Accent6 5 3 2 3 2 2" xfId="10389" xr:uid="{00000000-0005-0000-0000-000091280000}"/>
    <cellStyle name="20% - Accent6 5 3 2 3 3" xfId="10390" xr:uid="{00000000-0005-0000-0000-000092280000}"/>
    <cellStyle name="20% - Accent6 5 3 2 4" xfId="10391" xr:uid="{00000000-0005-0000-0000-000093280000}"/>
    <cellStyle name="20% - Accent6 5 3 2 4 2" xfId="10392" xr:uid="{00000000-0005-0000-0000-000094280000}"/>
    <cellStyle name="20% - Accent6 5 3 2 4 2 2" xfId="10393" xr:uid="{00000000-0005-0000-0000-000095280000}"/>
    <cellStyle name="20% - Accent6 5 3 2 4 3" xfId="10394" xr:uid="{00000000-0005-0000-0000-000096280000}"/>
    <cellStyle name="20% - Accent6 5 3 2 5" xfId="10395" xr:uid="{00000000-0005-0000-0000-000097280000}"/>
    <cellStyle name="20% - Accent6 5 3 2 5 2" xfId="10396" xr:uid="{00000000-0005-0000-0000-000098280000}"/>
    <cellStyle name="20% - Accent6 5 3 2 5 2 2" xfId="10397" xr:uid="{00000000-0005-0000-0000-000099280000}"/>
    <cellStyle name="20% - Accent6 5 3 2 5 3" xfId="10398" xr:uid="{00000000-0005-0000-0000-00009A280000}"/>
    <cellStyle name="20% - Accent6 5 3 2 6" xfId="10399" xr:uid="{00000000-0005-0000-0000-00009B280000}"/>
    <cellStyle name="20% - Accent6 5 3 2 6 2" xfId="10400" xr:uid="{00000000-0005-0000-0000-00009C280000}"/>
    <cellStyle name="20% - Accent6 5 3 2 6 2 2" xfId="10401" xr:uid="{00000000-0005-0000-0000-00009D280000}"/>
    <cellStyle name="20% - Accent6 5 3 2 6 3" xfId="10402" xr:uid="{00000000-0005-0000-0000-00009E280000}"/>
    <cellStyle name="20% - Accent6 5 3 2 7" xfId="10403" xr:uid="{00000000-0005-0000-0000-00009F280000}"/>
    <cellStyle name="20% - Accent6 5 3 2 7 2" xfId="10404" xr:uid="{00000000-0005-0000-0000-0000A0280000}"/>
    <cellStyle name="20% - Accent6 5 3 2 8" xfId="10405" xr:uid="{00000000-0005-0000-0000-0000A1280000}"/>
    <cellStyle name="20% - Accent6 5 3 3" xfId="10406" xr:uid="{00000000-0005-0000-0000-0000A2280000}"/>
    <cellStyle name="20% - Accent6 5 3 3 2" xfId="10407" xr:uid="{00000000-0005-0000-0000-0000A3280000}"/>
    <cellStyle name="20% - Accent6 5 3 3 2 2" xfId="10408" xr:uid="{00000000-0005-0000-0000-0000A4280000}"/>
    <cellStyle name="20% - Accent6 5 3 3 2 2 2" xfId="10409" xr:uid="{00000000-0005-0000-0000-0000A5280000}"/>
    <cellStyle name="20% - Accent6 5 3 3 2 2 2 2" xfId="10410" xr:uid="{00000000-0005-0000-0000-0000A6280000}"/>
    <cellStyle name="20% - Accent6 5 3 3 2 2 3" xfId="10411" xr:uid="{00000000-0005-0000-0000-0000A7280000}"/>
    <cellStyle name="20% - Accent6 5 3 3 2 3" xfId="10412" xr:uid="{00000000-0005-0000-0000-0000A8280000}"/>
    <cellStyle name="20% - Accent6 5 3 3 2 3 2" xfId="10413" xr:uid="{00000000-0005-0000-0000-0000A9280000}"/>
    <cellStyle name="20% - Accent6 5 3 3 2 4" xfId="10414" xr:uid="{00000000-0005-0000-0000-0000AA280000}"/>
    <cellStyle name="20% - Accent6 5 3 3 3" xfId="10415" xr:uid="{00000000-0005-0000-0000-0000AB280000}"/>
    <cellStyle name="20% - Accent6 5 3 3 3 2" xfId="10416" xr:uid="{00000000-0005-0000-0000-0000AC280000}"/>
    <cellStyle name="20% - Accent6 5 3 3 3 2 2" xfId="10417" xr:uid="{00000000-0005-0000-0000-0000AD280000}"/>
    <cellStyle name="20% - Accent6 5 3 3 3 3" xfId="10418" xr:uid="{00000000-0005-0000-0000-0000AE280000}"/>
    <cellStyle name="20% - Accent6 5 3 3 4" xfId="10419" xr:uid="{00000000-0005-0000-0000-0000AF280000}"/>
    <cellStyle name="20% - Accent6 5 3 3 4 2" xfId="10420" xr:uid="{00000000-0005-0000-0000-0000B0280000}"/>
    <cellStyle name="20% - Accent6 5 3 3 4 2 2" xfId="10421" xr:uid="{00000000-0005-0000-0000-0000B1280000}"/>
    <cellStyle name="20% - Accent6 5 3 3 4 3" xfId="10422" xr:uid="{00000000-0005-0000-0000-0000B2280000}"/>
    <cellStyle name="20% - Accent6 5 3 3 5" xfId="10423" xr:uid="{00000000-0005-0000-0000-0000B3280000}"/>
    <cellStyle name="20% - Accent6 5 3 3 5 2" xfId="10424" xr:uid="{00000000-0005-0000-0000-0000B4280000}"/>
    <cellStyle name="20% - Accent6 5 3 3 5 2 2" xfId="10425" xr:uid="{00000000-0005-0000-0000-0000B5280000}"/>
    <cellStyle name="20% - Accent6 5 3 3 5 3" xfId="10426" xr:uid="{00000000-0005-0000-0000-0000B6280000}"/>
    <cellStyle name="20% - Accent6 5 3 3 6" xfId="10427" xr:uid="{00000000-0005-0000-0000-0000B7280000}"/>
    <cellStyle name="20% - Accent6 5 3 3 6 2" xfId="10428" xr:uid="{00000000-0005-0000-0000-0000B8280000}"/>
    <cellStyle name="20% - Accent6 5 3 3 6 2 2" xfId="10429" xr:uid="{00000000-0005-0000-0000-0000B9280000}"/>
    <cellStyle name="20% - Accent6 5 3 3 6 3" xfId="10430" xr:uid="{00000000-0005-0000-0000-0000BA280000}"/>
    <cellStyle name="20% - Accent6 5 3 3 7" xfId="10431" xr:uid="{00000000-0005-0000-0000-0000BB280000}"/>
    <cellStyle name="20% - Accent6 5 3 3 7 2" xfId="10432" xr:uid="{00000000-0005-0000-0000-0000BC280000}"/>
    <cellStyle name="20% - Accent6 5 3 3 8" xfId="10433" xr:uid="{00000000-0005-0000-0000-0000BD280000}"/>
    <cellStyle name="20% - Accent6 5 3 4" xfId="10434" xr:uid="{00000000-0005-0000-0000-0000BE280000}"/>
    <cellStyle name="20% - Accent6 5 3 4 2" xfId="10435" xr:uid="{00000000-0005-0000-0000-0000BF280000}"/>
    <cellStyle name="20% - Accent6 5 3 4 2 2" xfId="10436" xr:uid="{00000000-0005-0000-0000-0000C0280000}"/>
    <cellStyle name="20% - Accent6 5 3 4 2 2 2" xfId="10437" xr:uid="{00000000-0005-0000-0000-0000C1280000}"/>
    <cellStyle name="20% - Accent6 5 3 4 2 2 2 2" xfId="10438" xr:uid="{00000000-0005-0000-0000-0000C2280000}"/>
    <cellStyle name="20% - Accent6 5 3 4 2 2 3" xfId="10439" xr:uid="{00000000-0005-0000-0000-0000C3280000}"/>
    <cellStyle name="20% - Accent6 5 3 4 2 3" xfId="10440" xr:uid="{00000000-0005-0000-0000-0000C4280000}"/>
    <cellStyle name="20% - Accent6 5 3 4 2 3 2" xfId="10441" xr:uid="{00000000-0005-0000-0000-0000C5280000}"/>
    <cellStyle name="20% - Accent6 5 3 4 2 4" xfId="10442" xr:uid="{00000000-0005-0000-0000-0000C6280000}"/>
    <cellStyle name="20% - Accent6 5 3 4 3" xfId="10443" xr:uid="{00000000-0005-0000-0000-0000C7280000}"/>
    <cellStyle name="20% - Accent6 5 3 4 3 2" xfId="10444" xr:uid="{00000000-0005-0000-0000-0000C8280000}"/>
    <cellStyle name="20% - Accent6 5 3 4 3 2 2" xfId="10445" xr:uid="{00000000-0005-0000-0000-0000C9280000}"/>
    <cellStyle name="20% - Accent6 5 3 4 3 3" xfId="10446" xr:uid="{00000000-0005-0000-0000-0000CA280000}"/>
    <cellStyle name="20% - Accent6 5 3 4 4" xfId="10447" xr:uid="{00000000-0005-0000-0000-0000CB280000}"/>
    <cellStyle name="20% - Accent6 5 3 4 4 2" xfId="10448" xr:uid="{00000000-0005-0000-0000-0000CC280000}"/>
    <cellStyle name="20% - Accent6 5 3 4 4 2 2" xfId="10449" xr:uid="{00000000-0005-0000-0000-0000CD280000}"/>
    <cellStyle name="20% - Accent6 5 3 4 4 3" xfId="10450" xr:uid="{00000000-0005-0000-0000-0000CE280000}"/>
    <cellStyle name="20% - Accent6 5 3 4 5" xfId="10451" xr:uid="{00000000-0005-0000-0000-0000CF280000}"/>
    <cellStyle name="20% - Accent6 5 3 4 5 2" xfId="10452" xr:uid="{00000000-0005-0000-0000-0000D0280000}"/>
    <cellStyle name="20% - Accent6 5 3 4 5 2 2" xfId="10453" xr:uid="{00000000-0005-0000-0000-0000D1280000}"/>
    <cellStyle name="20% - Accent6 5 3 4 5 3" xfId="10454" xr:uid="{00000000-0005-0000-0000-0000D2280000}"/>
    <cellStyle name="20% - Accent6 5 3 4 6" xfId="10455" xr:uid="{00000000-0005-0000-0000-0000D3280000}"/>
    <cellStyle name="20% - Accent6 5 3 4 6 2" xfId="10456" xr:uid="{00000000-0005-0000-0000-0000D4280000}"/>
    <cellStyle name="20% - Accent6 5 3 4 6 2 2" xfId="10457" xr:uid="{00000000-0005-0000-0000-0000D5280000}"/>
    <cellStyle name="20% - Accent6 5 3 4 6 3" xfId="10458" xr:uid="{00000000-0005-0000-0000-0000D6280000}"/>
    <cellStyle name="20% - Accent6 5 3 4 7" xfId="10459" xr:uid="{00000000-0005-0000-0000-0000D7280000}"/>
    <cellStyle name="20% - Accent6 5 3 4 7 2" xfId="10460" xr:uid="{00000000-0005-0000-0000-0000D8280000}"/>
    <cellStyle name="20% - Accent6 5 3 4 8" xfId="10461" xr:uid="{00000000-0005-0000-0000-0000D9280000}"/>
    <cellStyle name="20% - Accent6 5 3 5" xfId="10462" xr:uid="{00000000-0005-0000-0000-0000DA280000}"/>
    <cellStyle name="20% - Accent6 5 3 5 2" xfId="10463" xr:uid="{00000000-0005-0000-0000-0000DB280000}"/>
    <cellStyle name="20% - Accent6 5 3 5 2 2" xfId="10464" xr:uid="{00000000-0005-0000-0000-0000DC280000}"/>
    <cellStyle name="20% - Accent6 5 3 5 2 2 2" xfId="10465" xr:uid="{00000000-0005-0000-0000-0000DD280000}"/>
    <cellStyle name="20% - Accent6 5 3 5 2 2 2 2" xfId="10466" xr:uid="{00000000-0005-0000-0000-0000DE280000}"/>
    <cellStyle name="20% - Accent6 5 3 5 2 2 3" xfId="10467" xr:uid="{00000000-0005-0000-0000-0000DF280000}"/>
    <cellStyle name="20% - Accent6 5 3 5 2 3" xfId="10468" xr:uid="{00000000-0005-0000-0000-0000E0280000}"/>
    <cellStyle name="20% - Accent6 5 3 5 2 3 2" xfId="10469" xr:uid="{00000000-0005-0000-0000-0000E1280000}"/>
    <cellStyle name="20% - Accent6 5 3 5 2 4" xfId="10470" xr:uid="{00000000-0005-0000-0000-0000E2280000}"/>
    <cellStyle name="20% - Accent6 5 3 5 3" xfId="10471" xr:uid="{00000000-0005-0000-0000-0000E3280000}"/>
    <cellStyle name="20% - Accent6 5 3 5 3 2" xfId="10472" xr:uid="{00000000-0005-0000-0000-0000E4280000}"/>
    <cellStyle name="20% - Accent6 5 3 5 3 2 2" xfId="10473" xr:uid="{00000000-0005-0000-0000-0000E5280000}"/>
    <cellStyle name="20% - Accent6 5 3 5 3 3" xfId="10474" xr:uid="{00000000-0005-0000-0000-0000E6280000}"/>
    <cellStyle name="20% - Accent6 5 3 5 4" xfId="10475" xr:uid="{00000000-0005-0000-0000-0000E7280000}"/>
    <cellStyle name="20% - Accent6 5 3 5 4 2" xfId="10476" xr:uid="{00000000-0005-0000-0000-0000E8280000}"/>
    <cellStyle name="20% - Accent6 5 3 5 5" xfId="10477" xr:uid="{00000000-0005-0000-0000-0000E9280000}"/>
    <cellStyle name="20% - Accent6 5 3 6" xfId="10478" xr:uid="{00000000-0005-0000-0000-0000EA280000}"/>
    <cellStyle name="20% - Accent6 5 3 6 2" xfId="10479" xr:uid="{00000000-0005-0000-0000-0000EB280000}"/>
    <cellStyle name="20% - Accent6 5 3 6 2 2" xfId="10480" xr:uid="{00000000-0005-0000-0000-0000EC280000}"/>
    <cellStyle name="20% - Accent6 5 3 6 2 2 2" xfId="10481" xr:uid="{00000000-0005-0000-0000-0000ED280000}"/>
    <cellStyle name="20% - Accent6 5 3 6 2 2 2 2" xfId="10482" xr:uid="{00000000-0005-0000-0000-0000EE280000}"/>
    <cellStyle name="20% - Accent6 5 3 6 2 2 3" xfId="10483" xr:uid="{00000000-0005-0000-0000-0000EF280000}"/>
    <cellStyle name="20% - Accent6 5 3 6 2 3" xfId="10484" xr:uid="{00000000-0005-0000-0000-0000F0280000}"/>
    <cellStyle name="20% - Accent6 5 3 6 2 3 2" xfId="10485" xr:uid="{00000000-0005-0000-0000-0000F1280000}"/>
    <cellStyle name="20% - Accent6 5 3 6 2 4" xfId="10486" xr:uid="{00000000-0005-0000-0000-0000F2280000}"/>
    <cellStyle name="20% - Accent6 5 3 6 3" xfId="10487" xr:uid="{00000000-0005-0000-0000-0000F3280000}"/>
    <cellStyle name="20% - Accent6 5 3 6 3 2" xfId="10488" xr:uid="{00000000-0005-0000-0000-0000F4280000}"/>
    <cellStyle name="20% - Accent6 5 3 6 3 2 2" xfId="10489" xr:uid="{00000000-0005-0000-0000-0000F5280000}"/>
    <cellStyle name="20% - Accent6 5 3 6 3 3" xfId="10490" xr:uid="{00000000-0005-0000-0000-0000F6280000}"/>
    <cellStyle name="20% - Accent6 5 3 6 4" xfId="10491" xr:uid="{00000000-0005-0000-0000-0000F7280000}"/>
    <cellStyle name="20% - Accent6 5 3 6 4 2" xfId="10492" xr:uid="{00000000-0005-0000-0000-0000F8280000}"/>
    <cellStyle name="20% - Accent6 5 3 6 5" xfId="10493" xr:uid="{00000000-0005-0000-0000-0000F9280000}"/>
    <cellStyle name="20% - Accent6 5 3 7" xfId="10494" xr:uid="{00000000-0005-0000-0000-0000FA280000}"/>
    <cellStyle name="20% - Accent6 5 3 7 2" xfId="10495" xr:uid="{00000000-0005-0000-0000-0000FB280000}"/>
    <cellStyle name="20% - Accent6 5 3 7 2 2" xfId="10496" xr:uid="{00000000-0005-0000-0000-0000FC280000}"/>
    <cellStyle name="20% - Accent6 5 3 7 2 2 2" xfId="10497" xr:uid="{00000000-0005-0000-0000-0000FD280000}"/>
    <cellStyle name="20% - Accent6 5 3 7 2 3" xfId="10498" xr:uid="{00000000-0005-0000-0000-0000FE280000}"/>
    <cellStyle name="20% - Accent6 5 3 7 3" xfId="10499" xr:uid="{00000000-0005-0000-0000-0000FF280000}"/>
    <cellStyle name="20% - Accent6 5 3 7 3 2" xfId="10500" xr:uid="{00000000-0005-0000-0000-000000290000}"/>
    <cellStyle name="20% - Accent6 5 3 7 4" xfId="10501" xr:uid="{00000000-0005-0000-0000-000001290000}"/>
    <cellStyle name="20% - Accent6 5 3 8" xfId="10502" xr:uid="{00000000-0005-0000-0000-000002290000}"/>
    <cellStyle name="20% - Accent6 5 3 8 2" xfId="10503" xr:uid="{00000000-0005-0000-0000-000003290000}"/>
    <cellStyle name="20% - Accent6 5 3 8 2 2" xfId="10504" xr:uid="{00000000-0005-0000-0000-000004290000}"/>
    <cellStyle name="20% - Accent6 5 3 8 2 2 2" xfId="10505" xr:uid="{00000000-0005-0000-0000-000005290000}"/>
    <cellStyle name="20% - Accent6 5 3 8 2 3" xfId="10506" xr:uid="{00000000-0005-0000-0000-000006290000}"/>
    <cellStyle name="20% - Accent6 5 3 8 3" xfId="10507" xr:uid="{00000000-0005-0000-0000-000007290000}"/>
    <cellStyle name="20% - Accent6 5 3 8 3 2" xfId="10508" xr:uid="{00000000-0005-0000-0000-000008290000}"/>
    <cellStyle name="20% - Accent6 5 3 8 4" xfId="10509" xr:uid="{00000000-0005-0000-0000-000009290000}"/>
    <cellStyle name="20% - Accent6 5 3 9" xfId="10510" xr:uid="{00000000-0005-0000-0000-00000A290000}"/>
    <cellStyle name="20% - Accent6 5 3 9 2" xfId="10511" xr:uid="{00000000-0005-0000-0000-00000B290000}"/>
    <cellStyle name="20% - Accent6 5 3 9 2 2" xfId="10512" xr:uid="{00000000-0005-0000-0000-00000C290000}"/>
    <cellStyle name="20% - Accent6 5 3 9 3" xfId="10513" xr:uid="{00000000-0005-0000-0000-00000D290000}"/>
    <cellStyle name="20% - Accent6 5 4" xfId="10514" xr:uid="{00000000-0005-0000-0000-00000E290000}"/>
    <cellStyle name="20% - Accent6 5 4 10" xfId="10515" xr:uid="{00000000-0005-0000-0000-00000F290000}"/>
    <cellStyle name="20% - Accent6 5 4 10 2" xfId="10516" xr:uid="{00000000-0005-0000-0000-000010290000}"/>
    <cellStyle name="20% - Accent6 5 4 10 2 2" xfId="10517" xr:uid="{00000000-0005-0000-0000-000011290000}"/>
    <cellStyle name="20% - Accent6 5 4 10 3" xfId="10518" xr:uid="{00000000-0005-0000-0000-000012290000}"/>
    <cellStyle name="20% - Accent6 5 4 11" xfId="10519" xr:uid="{00000000-0005-0000-0000-000013290000}"/>
    <cellStyle name="20% - Accent6 5 4 11 2" xfId="10520" xr:uid="{00000000-0005-0000-0000-000014290000}"/>
    <cellStyle name="20% - Accent6 5 4 11 2 2" xfId="10521" xr:uid="{00000000-0005-0000-0000-000015290000}"/>
    <cellStyle name="20% - Accent6 5 4 11 3" xfId="10522" xr:uid="{00000000-0005-0000-0000-000016290000}"/>
    <cellStyle name="20% - Accent6 5 4 12" xfId="10523" xr:uid="{00000000-0005-0000-0000-000017290000}"/>
    <cellStyle name="20% - Accent6 5 4 12 2" xfId="10524" xr:uid="{00000000-0005-0000-0000-000018290000}"/>
    <cellStyle name="20% - Accent6 5 4 12 2 2" xfId="10525" xr:uid="{00000000-0005-0000-0000-000019290000}"/>
    <cellStyle name="20% - Accent6 5 4 12 3" xfId="10526" xr:uid="{00000000-0005-0000-0000-00001A290000}"/>
    <cellStyle name="20% - Accent6 5 4 13" xfId="10527" xr:uid="{00000000-0005-0000-0000-00001B290000}"/>
    <cellStyle name="20% - Accent6 5 4 13 2" xfId="10528" xr:uid="{00000000-0005-0000-0000-00001C290000}"/>
    <cellStyle name="20% - Accent6 5 4 14" xfId="10529" xr:uid="{00000000-0005-0000-0000-00001D290000}"/>
    <cellStyle name="20% - Accent6 5 4 2" xfId="10530" xr:uid="{00000000-0005-0000-0000-00001E290000}"/>
    <cellStyle name="20% - Accent6 5 4 2 2" xfId="10531" xr:uid="{00000000-0005-0000-0000-00001F290000}"/>
    <cellStyle name="20% - Accent6 5 4 2 2 2" xfId="10532" xr:uid="{00000000-0005-0000-0000-000020290000}"/>
    <cellStyle name="20% - Accent6 5 4 2 2 2 2" xfId="10533" xr:uid="{00000000-0005-0000-0000-000021290000}"/>
    <cellStyle name="20% - Accent6 5 4 2 2 2 2 2" xfId="10534" xr:uid="{00000000-0005-0000-0000-000022290000}"/>
    <cellStyle name="20% - Accent6 5 4 2 2 2 3" xfId="10535" xr:uid="{00000000-0005-0000-0000-000023290000}"/>
    <cellStyle name="20% - Accent6 5 4 2 2 3" xfId="10536" xr:uid="{00000000-0005-0000-0000-000024290000}"/>
    <cellStyle name="20% - Accent6 5 4 2 2 3 2" xfId="10537" xr:uid="{00000000-0005-0000-0000-000025290000}"/>
    <cellStyle name="20% - Accent6 5 4 2 2 4" xfId="10538" xr:uid="{00000000-0005-0000-0000-000026290000}"/>
    <cellStyle name="20% - Accent6 5 4 2 3" xfId="10539" xr:uid="{00000000-0005-0000-0000-000027290000}"/>
    <cellStyle name="20% - Accent6 5 4 2 3 2" xfId="10540" xr:uid="{00000000-0005-0000-0000-000028290000}"/>
    <cellStyle name="20% - Accent6 5 4 2 3 2 2" xfId="10541" xr:uid="{00000000-0005-0000-0000-000029290000}"/>
    <cellStyle name="20% - Accent6 5 4 2 3 3" xfId="10542" xr:uid="{00000000-0005-0000-0000-00002A290000}"/>
    <cellStyle name="20% - Accent6 5 4 2 4" xfId="10543" xr:uid="{00000000-0005-0000-0000-00002B290000}"/>
    <cellStyle name="20% - Accent6 5 4 2 4 2" xfId="10544" xr:uid="{00000000-0005-0000-0000-00002C290000}"/>
    <cellStyle name="20% - Accent6 5 4 2 4 2 2" xfId="10545" xr:uid="{00000000-0005-0000-0000-00002D290000}"/>
    <cellStyle name="20% - Accent6 5 4 2 4 3" xfId="10546" xr:uid="{00000000-0005-0000-0000-00002E290000}"/>
    <cellStyle name="20% - Accent6 5 4 2 5" xfId="10547" xr:uid="{00000000-0005-0000-0000-00002F290000}"/>
    <cellStyle name="20% - Accent6 5 4 2 5 2" xfId="10548" xr:uid="{00000000-0005-0000-0000-000030290000}"/>
    <cellStyle name="20% - Accent6 5 4 2 5 2 2" xfId="10549" xr:uid="{00000000-0005-0000-0000-000031290000}"/>
    <cellStyle name="20% - Accent6 5 4 2 5 3" xfId="10550" xr:uid="{00000000-0005-0000-0000-000032290000}"/>
    <cellStyle name="20% - Accent6 5 4 2 6" xfId="10551" xr:uid="{00000000-0005-0000-0000-000033290000}"/>
    <cellStyle name="20% - Accent6 5 4 2 6 2" xfId="10552" xr:uid="{00000000-0005-0000-0000-000034290000}"/>
    <cellStyle name="20% - Accent6 5 4 2 6 2 2" xfId="10553" xr:uid="{00000000-0005-0000-0000-000035290000}"/>
    <cellStyle name="20% - Accent6 5 4 2 6 3" xfId="10554" xr:uid="{00000000-0005-0000-0000-000036290000}"/>
    <cellStyle name="20% - Accent6 5 4 2 7" xfId="10555" xr:uid="{00000000-0005-0000-0000-000037290000}"/>
    <cellStyle name="20% - Accent6 5 4 2 7 2" xfId="10556" xr:uid="{00000000-0005-0000-0000-000038290000}"/>
    <cellStyle name="20% - Accent6 5 4 2 8" xfId="10557" xr:uid="{00000000-0005-0000-0000-000039290000}"/>
    <cellStyle name="20% - Accent6 5 4 3" xfId="10558" xr:uid="{00000000-0005-0000-0000-00003A290000}"/>
    <cellStyle name="20% - Accent6 5 4 3 2" xfId="10559" xr:uid="{00000000-0005-0000-0000-00003B290000}"/>
    <cellStyle name="20% - Accent6 5 4 3 2 2" xfId="10560" xr:uid="{00000000-0005-0000-0000-00003C290000}"/>
    <cellStyle name="20% - Accent6 5 4 3 2 2 2" xfId="10561" xr:uid="{00000000-0005-0000-0000-00003D290000}"/>
    <cellStyle name="20% - Accent6 5 4 3 2 2 2 2" xfId="10562" xr:uid="{00000000-0005-0000-0000-00003E290000}"/>
    <cellStyle name="20% - Accent6 5 4 3 2 2 3" xfId="10563" xr:uid="{00000000-0005-0000-0000-00003F290000}"/>
    <cellStyle name="20% - Accent6 5 4 3 2 3" xfId="10564" xr:uid="{00000000-0005-0000-0000-000040290000}"/>
    <cellStyle name="20% - Accent6 5 4 3 2 3 2" xfId="10565" xr:uid="{00000000-0005-0000-0000-000041290000}"/>
    <cellStyle name="20% - Accent6 5 4 3 2 4" xfId="10566" xr:uid="{00000000-0005-0000-0000-000042290000}"/>
    <cellStyle name="20% - Accent6 5 4 3 3" xfId="10567" xr:uid="{00000000-0005-0000-0000-000043290000}"/>
    <cellStyle name="20% - Accent6 5 4 3 3 2" xfId="10568" xr:uid="{00000000-0005-0000-0000-000044290000}"/>
    <cellStyle name="20% - Accent6 5 4 3 3 2 2" xfId="10569" xr:uid="{00000000-0005-0000-0000-000045290000}"/>
    <cellStyle name="20% - Accent6 5 4 3 3 3" xfId="10570" xr:uid="{00000000-0005-0000-0000-000046290000}"/>
    <cellStyle name="20% - Accent6 5 4 3 4" xfId="10571" xr:uid="{00000000-0005-0000-0000-000047290000}"/>
    <cellStyle name="20% - Accent6 5 4 3 4 2" xfId="10572" xr:uid="{00000000-0005-0000-0000-000048290000}"/>
    <cellStyle name="20% - Accent6 5 4 3 4 2 2" xfId="10573" xr:uid="{00000000-0005-0000-0000-000049290000}"/>
    <cellStyle name="20% - Accent6 5 4 3 4 3" xfId="10574" xr:uid="{00000000-0005-0000-0000-00004A290000}"/>
    <cellStyle name="20% - Accent6 5 4 3 5" xfId="10575" xr:uid="{00000000-0005-0000-0000-00004B290000}"/>
    <cellStyle name="20% - Accent6 5 4 3 5 2" xfId="10576" xr:uid="{00000000-0005-0000-0000-00004C290000}"/>
    <cellStyle name="20% - Accent6 5 4 3 5 2 2" xfId="10577" xr:uid="{00000000-0005-0000-0000-00004D290000}"/>
    <cellStyle name="20% - Accent6 5 4 3 5 3" xfId="10578" xr:uid="{00000000-0005-0000-0000-00004E290000}"/>
    <cellStyle name="20% - Accent6 5 4 3 6" xfId="10579" xr:uid="{00000000-0005-0000-0000-00004F290000}"/>
    <cellStyle name="20% - Accent6 5 4 3 6 2" xfId="10580" xr:uid="{00000000-0005-0000-0000-000050290000}"/>
    <cellStyle name="20% - Accent6 5 4 3 6 2 2" xfId="10581" xr:uid="{00000000-0005-0000-0000-000051290000}"/>
    <cellStyle name="20% - Accent6 5 4 3 6 3" xfId="10582" xr:uid="{00000000-0005-0000-0000-000052290000}"/>
    <cellStyle name="20% - Accent6 5 4 3 7" xfId="10583" xr:uid="{00000000-0005-0000-0000-000053290000}"/>
    <cellStyle name="20% - Accent6 5 4 3 7 2" xfId="10584" xr:uid="{00000000-0005-0000-0000-000054290000}"/>
    <cellStyle name="20% - Accent6 5 4 3 8" xfId="10585" xr:uid="{00000000-0005-0000-0000-000055290000}"/>
    <cellStyle name="20% - Accent6 5 4 4" xfId="10586" xr:uid="{00000000-0005-0000-0000-000056290000}"/>
    <cellStyle name="20% - Accent6 5 4 4 2" xfId="10587" xr:uid="{00000000-0005-0000-0000-000057290000}"/>
    <cellStyle name="20% - Accent6 5 4 4 2 2" xfId="10588" xr:uid="{00000000-0005-0000-0000-000058290000}"/>
    <cellStyle name="20% - Accent6 5 4 4 2 2 2" xfId="10589" xr:uid="{00000000-0005-0000-0000-000059290000}"/>
    <cellStyle name="20% - Accent6 5 4 4 2 2 2 2" xfId="10590" xr:uid="{00000000-0005-0000-0000-00005A290000}"/>
    <cellStyle name="20% - Accent6 5 4 4 2 2 3" xfId="10591" xr:uid="{00000000-0005-0000-0000-00005B290000}"/>
    <cellStyle name="20% - Accent6 5 4 4 2 3" xfId="10592" xr:uid="{00000000-0005-0000-0000-00005C290000}"/>
    <cellStyle name="20% - Accent6 5 4 4 2 3 2" xfId="10593" xr:uid="{00000000-0005-0000-0000-00005D290000}"/>
    <cellStyle name="20% - Accent6 5 4 4 2 4" xfId="10594" xr:uid="{00000000-0005-0000-0000-00005E290000}"/>
    <cellStyle name="20% - Accent6 5 4 4 3" xfId="10595" xr:uid="{00000000-0005-0000-0000-00005F290000}"/>
    <cellStyle name="20% - Accent6 5 4 4 3 2" xfId="10596" xr:uid="{00000000-0005-0000-0000-000060290000}"/>
    <cellStyle name="20% - Accent6 5 4 4 3 2 2" xfId="10597" xr:uid="{00000000-0005-0000-0000-000061290000}"/>
    <cellStyle name="20% - Accent6 5 4 4 3 3" xfId="10598" xr:uid="{00000000-0005-0000-0000-000062290000}"/>
    <cellStyle name="20% - Accent6 5 4 4 4" xfId="10599" xr:uid="{00000000-0005-0000-0000-000063290000}"/>
    <cellStyle name="20% - Accent6 5 4 4 4 2" xfId="10600" xr:uid="{00000000-0005-0000-0000-000064290000}"/>
    <cellStyle name="20% - Accent6 5 4 4 4 2 2" xfId="10601" xr:uid="{00000000-0005-0000-0000-000065290000}"/>
    <cellStyle name="20% - Accent6 5 4 4 4 3" xfId="10602" xr:uid="{00000000-0005-0000-0000-000066290000}"/>
    <cellStyle name="20% - Accent6 5 4 4 5" xfId="10603" xr:uid="{00000000-0005-0000-0000-000067290000}"/>
    <cellStyle name="20% - Accent6 5 4 4 5 2" xfId="10604" xr:uid="{00000000-0005-0000-0000-000068290000}"/>
    <cellStyle name="20% - Accent6 5 4 4 5 2 2" xfId="10605" xr:uid="{00000000-0005-0000-0000-000069290000}"/>
    <cellStyle name="20% - Accent6 5 4 4 5 3" xfId="10606" xr:uid="{00000000-0005-0000-0000-00006A290000}"/>
    <cellStyle name="20% - Accent6 5 4 4 6" xfId="10607" xr:uid="{00000000-0005-0000-0000-00006B290000}"/>
    <cellStyle name="20% - Accent6 5 4 4 6 2" xfId="10608" xr:uid="{00000000-0005-0000-0000-00006C290000}"/>
    <cellStyle name="20% - Accent6 5 4 4 6 2 2" xfId="10609" xr:uid="{00000000-0005-0000-0000-00006D290000}"/>
    <cellStyle name="20% - Accent6 5 4 4 6 3" xfId="10610" xr:uid="{00000000-0005-0000-0000-00006E290000}"/>
    <cellStyle name="20% - Accent6 5 4 4 7" xfId="10611" xr:uid="{00000000-0005-0000-0000-00006F290000}"/>
    <cellStyle name="20% - Accent6 5 4 4 7 2" xfId="10612" xr:uid="{00000000-0005-0000-0000-000070290000}"/>
    <cellStyle name="20% - Accent6 5 4 4 8" xfId="10613" xr:uid="{00000000-0005-0000-0000-000071290000}"/>
    <cellStyle name="20% - Accent6 5 4 5" xfId="10614" xr:uid="{00000000-0005-0000-0000-000072290000}"/>
    <cellStyle name="20% - Accent6 5 4 5 2" xfId="10615" xr:uid="{00000000-0005-0000-0000-000073290000}"/>
    <cellStyle name="20% - Accent6 5 4 5 2 2" xfId="10616" xr:uid="{00000000-0005-0000-0000-000074290000}"/>
    <cellStyle name="20% - Accent6 5 4 5 2 2 2" xfId="10617" xr:uid="{00000000-0005-0000-0000-000075290000}"/>
    <cellStyle name="20% - Accent6 5 4 5 2 2 2 2" xfId="10618" xr:uid="{00000000-0005-0000-0000-000076290000}"/>
    <cellStyle name="20% - Accent6 5 4 5 2 2 3" xfId="10619" xr:uid="{00000000-0005-0000-0000-000077290000}"/>
    <cellStyle name="20% - Accent6 5 4 5 2 3" xfId="10620" xr:uid="{00000000-0005-0000-0000-000078290000}"/>
    <cellStyle name="20% - Accent6 5 4 5 2 3 2" xfId="10621" xr:uid="{00000000-0005-0000-0000-000079290000}"/>
    <cellStyle name="20% - Accent6 5 4 5 2 4" xfId="10622" xr:uid="{00000000-0005-0000-0000-00007A290000}"/>
    <cellStyle name="20% - Accent6 5 4 5 3" xfId="10623" xr:uid="{00000000-0005-0000-0000-00007B290000}"/>
    <cellStyle name="20% - Accent6 5 4 5 3 2" xfId="10624" xr:uid="{00000000-0005-0000-0000-00007C290000}"/>
    <cellStyle name="20% - Accent6 5 4 5 3 2 2" xfId="10625" xr:uid="{00000000-0005-0000-0000-00007D290000}"/>
    <cellStyle name="20% - Accent6 5 4 5 3 3" xfId="10626" xr:uid="{00000000-0005-0000-0000-00007E290000}"/>
    <cellStyle name="20% - Accent6 5 4 5 4" xfId="10627" xr:uid="{00000000-0005-0000-0000-00007F290000}"/>
    <cellStyle name="20% - Accent6 5 4 5 4 2" xfId="10628" xr:uid="{00000000-0005-0000-0000-000080290000}"/>
    <cellStyle name="20% - Accent6 5 4 5 5" xfId="10629" xr:uid="{00000000-0005-0000-0000-000081290000}"/>
    <cellStyle name="20% - Accent6 5 4 6" xfId="10630" xr:uid="{00000000-0005-0000-0000-000082290000}"/>
    <cellStyle name="20% - Accent6 5 4 6 2" xfId="10631" xr:uid="{00000000-0005-0000-0000-000083290000}"/>
    <cellStyle name="20% - Accent6 5 4 6 2 2" xfId="10632" xr:uid="{00000000-0005-0000-0000-000084290000}"/>
    <cellStyle name="20% - Accent6 5 4 6 2 2 2" xfId="10633" xr:uid="{00000000-0005-0000-0000-000085290000}"/>
    <cellStyle name="20% - Accent6 5 4 6 2 2 2 2" xfId="10634" xr:uid="{00000000-0005-0000-0000-000086290000}"/>
    <cellStyle name="20% - Accent6 5 4 6 2 2 3" xfId="10635" xr:uid="{00000000-0005-0000-0000-000087290000}"/>
    <cellStyle name="20% - Accent6 5 4 6 2 3" xfId="10636" xr:uid="{00000000-0005-0000-0000-000088290000}"/>
    <cellStyle name="20% - Accent6 5 4 6 2 3 2" xfId="10637" xr:uid="{00000000-0005-0000-0000-000089290000}"/>
    <cellStyle name="20% - Accent6 5 4 6 2 4" xfId="10638" xr:uid="{00000000-0005-0000-0000-00008A290000}"/>
    <cellStyle name="20% - Accent6 5 4 6 3" xfId="10639" xr:uid="{00000000-0005-0000-0000-00008B290000}"/>
    <cellStyle name="20% - Accent6 5 4 6 3 2" xfId="10640" xr:uid="{00000000-0005-0000-0000-00008C290000}"/>
    <cellStyle name="20% - Accent6 5 4 6 3 2 2" xfId="10641" xr:uid="{00000000-0005-0000-0000-00008D290000}"/>
    <cellStyle name="20% - Accent6 5 4 6 3 3" xfId="10642" xr:uid="{00000000-0005-0000-0000-00008E290000}"/>
    <cellStyle name="20% - Accent6 5 4 6 4" xfId="10643" xr:uid="{00000000-0005-0000-0000-00008F290000}"/>
    <cellStyle name="20% - Accent6 5 4 6 4 2" xfId="10644" xr:uid="{00000000-0005-0000-0000-000090290000}"/>
    <cellStyle name="20% - Accent6 5 4 6 5" xfId="10645" xr:uid="{00000000-0005-0000-0000-000091290000}"/>
    <cellStyle name="20% - Accent6 5 4 7" xfId="10646" xr:uid="{00000000-0005-0000-0000-000092290000}"/>
    <cellStyle name="20% - Accent6 5 4 7 2" xfId="10647" xr:uid="{00000000-0005-0000-0000-000093290000}"/>
    <cellStyle name="20% - Accent6 5 4 7 2 2" xfId="10648" xr:uid="{00000000-0005-0000-0000-000094290000}"/>
    <cellStyle name="20% - Accent6 5 4 7 2 2 2" xfId="10649" xr:uid="{00000000-0005-0000-0000-000095290000}"/>
    <cellStyle name="20% - Accent6 5 4 7 2 3" xfId="10650" xr:uid="{00000000-0005-0000-0000-000096290000}"/>
    <cellStyle name="20% - Accent6 5 4 7 3" xfId="10651" xr:uid="{00000000-0005-0000-0000-000097290000}"/>
    <cellStyle name="20% - Accent6 5 4 7 3 2" xfId="10652" xr:uid="{00000000-0005-0000-0000-000098290000}"/>
    <cellStyle name="20% - Accent6 5 4 7 4" xfId="10653" xr:uid="{00000000-0005-0000-0000-000099290000}"/>
    <cellStyle name="20% - Accent6 5 4 8" xfId="10654" xr:uid="{00000000-0005-0000-0000-00009A290000}"/>
    <cellStyle name="20% - Accent6 5 4 8 2" xfId="10655" xr:uid="{00000000-0005-0000-0000-00009B290000}"/>
    <cellStyle name="20% - Accent6 5 4 8 2 2" xfId="10656" xr:uid="{00000000-0005-0000-0000-00009C290000}"/>
    <cellStyle name="20% - Accent6 5 4 8 2 2 2" xfId="10657" xr:uid="{00000000-0005-0000-0000-00009D290000}"/>
    <cellStyle name="20% - Accent6 5 4 8 2 3" xfId="10658" xr:uid="{00000000-0005-0000-0000-00009E290000}"/>
    <cellStyle name="20% - Accent6 5 4 8 3" xfId="10659" xr:uid="{00000000-0005-0000-0000-00009F290000}"/>
    <cellStyle name="20% - Accent6 5 4 8 3 2" xfId="10660" xr:uid="{00000000-0005-0000-0000-0000A0290000}"/>
    <cellStyle name="20% - Accent6 5 4 8 4" xfId="10661" xr:uid="{00000000-0005-0000-0000-0000A1290000}"/>
    <cellStyle name="20% - Accent6 5 4 9" xfId="10662" xr:uid="{00000000-0005-0000-0000-0000A2290000}"/>
    <cellStyle name="20% - Accent6 5 4 9 2" xfId="10663" xr:uid="{00000000-0005-0000-0000-0000A3290000}"/>
    <cellStyle name="20% - Accent6 5 4 9 2 2" xfId="10664" xr:uid="{00000000-0005-0000-0000-0000A4290000}"/>
    <cellStyle name="20% - Accent6 5 4 9 3" xfId="10665" xr:uid="{00000000-0005-0000-0000-0000A5290000}"/>
    <cellStyle name="20% - Accent6 5 5" xfId="10666" xr:uid="{00000000-0005-0000-0000-0000A6290000}"/>
    <cellStyle name="20% - Accent6 5 5 10" xfId="10667" xr:uid="{00000000-0005-0000-0000-0000A7290000}"/>
    <cellStyle name="20% - Accent6 5 5 10 2" xfId="10668" xr:uid="{00000000-0005-0000-0000-0000A8290000}"/>
    <cellStyle name="20% - Accent6 5 5 10 2 2" xfId="10669" xr:uid="{00000000-0005-0000-0000-0000A9290000}"/>
    <cellStyle name="20% - Accent6 5 5 10 3" xfId="10670" xr:uid="{00000000-0005-0000-0000-0000AA290000}"/>
    <cellStyle name="20% - Accent6 5 5 11" xfId="10671" xr:uid="{00000000-0005-0000-0000-0000AB290000}"/>
    <cellStyle name="20% - Accent6 5 5 11 2" xfId="10672" xr:uid="{00000000-0005-0000-0000-0000AC290000}"/>
    <cellStyle name="20% - Accent6 5 5 11 2 2" xfId="10673" xr:uid="{00000000-0005-0000-0000-0000AD290000}"/>
    <cellStyle name="20% - Accent6 5 5 11 3" xfId="10674" xr:uid="{00000000-0005-0000-0000-0000AE290000}"/>
    <cellStyle name="20% - Accent6 5 5 12" xfId="10675" xr:uid="{00000000-0005-0000-0000-0000AF290000}"/>
    <cellStyle name="20% - Accent6 5 5 12 2" xfId="10676" xr:uid="{00000000-0005-0000-0000-0000B0290000}"/>
    <cellStyle name="20% - Accent6 5 5 12 2 2" xfId="10677" xr:uid="{00000000-0005-0000-0000-0000B1290000}"/>
    <cellStyle name="20% - Accent6 5 5 12 3" xfId="10678" xr:uid="{00000000-0005-0000-0000-0000B2290000}"/>
    <cellStyle name="20% - Accent6 5 5 13" xfId="10679" xr:uid="{00000000-0005-0000-0000-0000B3290000}"/>
    <cellStyle name="20% - Accent6 5 5 13 2" xfId="10680" xr:uid="{00000000-0005-0000-0000-0000B4290000}"/>
    <cellStyle name="20% - Accent6 5 5 14" xfId="10681" xr:uid="{00000000-0005-0000-0000-0000B5290000}"/>
    <cellStyle name="20% - Accent6 5 5 2" xfId="10682" xr:uid="{00000000-0005-0000-0000-0000B6290000}"/>
    <cellStyle name="20% - Accent6 5 5 2 2" xfId="10683" xr:uid="{00000000-0005-0000-0000-0000B7290000}"/>
    <cellStyle name="20% - Accent6 5 5 2 2 2" xfId="10684" xr:uid="{00000000-0005-0000-0000-0000B8290000}"/>
    <cellStyle name="20% - Accent6 5 5 2 2 2 2" xfId="10685" xr:uid="{00000000-0005-0000-0000-0000B9290000}"/>
    <cellStyle name="20% - Accent6 5 5 2 2 2 2 2" xfId="10686" xr:uid="{00000000-0005-0000-0000-0000BA290000}"/>
    <cellStyle name="20% - Accent6 5 5 2 2 2 3" xfId="10687" xr:uid="{00000000-0005-0000-0000-0000BB290000}"/>
    <cellStyle name="20% - Accent6 5 5 2 2 3" xfId="10688" xr:uid="{00000000-0005-0000-0000-0000BC290000}"/>
    <cellStyle name="20% - Accent6 5 5 2 2 3 2" xfId="10689" xr:uid="{00000000-0005-0000-0000-0000BD290000}"/>
    <cellStyle name="20% - Accent6 5 5 2 2 4" xfId="10690" xr:uid="{00000000-0005-0000-0000-0000BE290000}"/>
    <cellStyle name="20% - Accent6 5 5 2 3" xfId="10691" xr:uid="{00000000-0005-0000-0000-0000BF290000}"/>
    <cellStyle name="20% - Accent6 5 5 2 3 2" xfId="10692" xr:uid="{00000000-0005-0000-0000-0000C0290000}"/>
    <cellStyle name="20% - Accent6 5 5 2 3 2 2" xfId="10693" xr:uid="{00000000-0005-0000-0000-0000C1290000}"/>
    <cellStyle name="20% - Accent6 5 5 2 3 3" xfId="10694" xr:uid="{00000000-0005-0000-0000-0000C2290000}"/>
    <cellStyle name="20% - Accent6 5 5 2 4" xfId="10695" xr:uid="{00000000-0005-0000-0000-0000C3290000}"/>
    <cellStyle name="20% - Accent6 5 5 2 4 2" xfId="10696" xr:uid="{00000000-0005-0000-0000-0000C4290000}"/>
    <cellStyle name="20% - Accent6 5 5 2 4 2 2" xfId="10697" xr:uid="{00000000-0005-0000-0000-0000C5290000}"/>
    <cellStyle name="20% - Accent6 5 5 2 4 3" xfId="10698" xr:uid="{00000000-0005-0000-0000-0000C6290000}"/>
    <cellStyle name="20% - Accent6 5 5 2 5" xfId="10699" xr:uid="{00000000-0005-0000-0000-0000C7290000}"/>
    <cellStyle name="20% - Accent6 5 5 2 5 2" xfId="10700" xr:uid="{00000000-0005-0000-0000-0000C8290000}"/>
    <cellStyle name="20% - Accent6 5 5 2 5 2 2" xfId="10701" xr:uid="{00000000-0005-0000-0000-0000C9290000}"/>
    <cellStyle name="20% - Accent6 5 5 2 5 3" xfId="10702" xr:uid="{00000000-0005-0000-0000-0000CA290000}"/>
    <cellStyle name="20% - Accent6 5 5 2 6" xfId="10703" xr:uid="{00000000-0005-0000-0000-0000CB290000}"/>
    <cellStyle name="20% - Accent6 5 5 2 6 2" xfId="10704" xr:uid="{00000000-0005-0000-0000-0000CC290000}"/>
    <cellStyle name="20% - Accent6 5 5 2 6 2 2" xfId="10705" xr:uid="{00000000-0005-0000-0000-0000CD290000}"/>
    <cellStyle name="20% - Accent6 5 5 2 6 3" xfId="10706" xr:uid="{00000000-0005-0000-0000-0000CE290000}"/>
    <cellStyle name="20% - Accent6 5 5 2 7" xfId="10707" xr:uid="{00000000-0005-0000-0000-0000CF290000}"/>
    <cellStyle name="20% - Accent6 5 5 2 7 2" xfId="10708" xr:uid="{00000000-0005-0000-0000-0000D0290000}"/>
    <cellStyle name="20% - Accent6 5 5 2 8" xfId="10709" xr:uid="{00000000-0005-0000-0000-0000D1290000}"/>
    <cellStyle name="20% - Accent6 5 5 3" xfId="10710" xr:uid="{00000000-0005-0000-0000-0000D2290000}"/>
    <cellStyle name="20% - Accent6 5 5 3 2" xfId="10711" xr:uid="{00000000-0005-0000-0000-0000D3290000}"/>
    <cellStyle name="20% - Accent6 5 5 3 2 2" xfId="10712" xr:uid="{00000000-0005-0000-0000-0000D4290000}"/>
    <cellStyle name="20% - Accent6 5 5 3 2 2 2" xfId="10713" xr:uid="{00000000-0005-0000-0000-0000D5290000}"/>
    <cellStyle name="20% - Accent6 5 5 3 2 2 2 2" xfId="10714" xr:uid="{00000000-0005-0000-0000-0000D6290000}"/>
    <cellStyle name="20% - Accent6 5 5 3 2 2 3" xfId="10715" xr:uid="{00000000-0005-0000-0000-0000D7290000}"/>
    <cellStyle name="20% - Accent6 5 5 3 2 3" xfId="10716" xr:uid="{00000000-0005-0000-0000-0000D8290000}"/>
    <cellStyle name="20% - Accent6 5 5 3 2 3 2" xfId="10717" xr:uid="{00000000-0005-0000-0000-0000D9290000}"/>
    <cellStyle name="20% - Accent6 5 5 3 2 4" xfId="10718" xr:uid="{00000000-0005-0000-0000-0000DA290000}"/>
    <cellStyle name="20% - Accent6 5 5 3 3" xfId="10719" xr:uid="{00000000-0005-0000-0000-0000DB290000}"/>
    <cellStyle name="20% - Accent6 5 5 3 3 2" xfId="10720" xr:uid="{00000000-0005-0000-0000-0000DC290000}"/>
    <cellStyle name="20% - Accent6 5 5 3 3 2 2" xfId="10721" xr:uid="{00000000-0005-0000-0000-0000DD290000}"/>
    <cellStyle name="20% - Accent6 5 5 3 3 3" xfId="10722" xr:uid="{00000000-0005-0000-0000-0000DE290000}"/>
    <cellStyle name="20% - Accent6 5 5 3 4" xfId="10723" xr:uid="{00000000-0005-0000-0000-0000DF290000}"/>
    <cellStyle name="20% - Accent6 5 5 3 4 2" xfId="10724" xr:uid="{00000000-0005-0000-0000-0000E0290000}"/>
    <cellStyle name="20% - Accent6 5 5 3 4 2 2" xfId="10725" xr:uid="{00000000-0005-0000-0000-0000E1290000}"/>
    <cellStyle name="20% - Accent6 5 5 3 4 3" xfId="10726" xr:uid="{00000000-0005-0000-0000-0000E2290000}"/>
    <cellStyle name="20% - Accent6 5 5 3 5" xfId="10727" xr:uid="{00000000-0005-0000-0000-0000E3290000}"/>
    <cellStyle name="20% - Accent6 5 5 3 5 2" xfId="10728" xr:uid="{00000000-0005-0000-0000-0000E4290000}"/>
    <cellStyle name="20% - Accent6 5 5 3 5 2 2" xfId="10729" xr:uid="{00000000-0005-0000-0000-0000E5290000}"/>
    <cellStyle name="20% - Accent6 5 5 3 5 3" xfId="10730" xr:uid="{00000000-0005-0000-0000-0000E6290000}"/>
    <cellStyle name="20% - Accent6 5 5 3 6" xfId="10731" xr:uid="{00000000-0005-0000-0000-0000E7290000}"/>
    <cellStyle name="20% - Accent6 5 5 3 6 2" xfId="10732" xr:uid="{00000000-0005-0000-0000-0000E8290000}"/>
    <cellStyle name="20% - Accent6 5 5 3 6 2 2" xfId="10733" xr:uid="{00000000-0005-0000-0000-0000E9290000}"/>
    <cellStyle name="20% - Accent6 5 5 3 6 3" xfId="10734" xr:uid="{00000000-0005-0000-0000-0000EA290000}"/>
    <cellStyle name="20% - Accent6 5 5 3 7" xfId="10735" xr:uid="{00000000-0005-0000-0000-0000EB290000}"/>
    <cellStyle name="20% - Accent6 5 5 3 7 2" xfId="10736" xr:uid="{00000000-0005-0000-0000-0000EC290000}"/>
    <cellStyle name="20% - Accent6 5 5 3 8" xfId="10737" xr:uid="{00000000-0005-0000-0000-0000ED290000}"/>
    <cellStyle name="20% - Accent6 5 5 4" xfId="10738" xr:uid="{00000000-0005-0000-0000-0000EE290000}"/>
    <cellStyle name="20% - Accent6 5 5 4 2" xfId="10739" xr:uid="{00000000-0005-0000-0000-0000EF290000}"/>
    <cellStyle name="20% - Accent6 5 5 4 2 2" xfId="10740" xr:uid="{00000000-0005-0000-0000-0000F0290000}"/>
    <cellStyle name="20% - Accent6 5 5 4 2 2 2" xfId="10741" xr:uid="{00000000-0005-0000-0000-0000F1290000}"/>
    <cellStyle name="20% - Accent6 5 5 4 2 2 2 2" xfId="10742" xr:uid="{00000000-0005-0000-0000-0000F2290000}"/>
    <cellStyle name="20% - Accent6 5 5 4 2 2 3" xfId="10743" xr:uid="{00000000-0005-0000-0000-0000F3290000}"/>
    <cellStyle name="20% - Accent6 5 5 4 2 3" xfId="10744" xr:uid="{00000000-0005-0000-0000-0000F4290000}"/>
    <cellStyle name="20% - Accent6 5 5 4 2 3 2" xfId="10745" xr:uid="{00000000-0005-0000-0000-0000F5290000}"/>
    <cellStyle name="20% - Accent6 5 5 4 2 4" xfId="10746" xr:uid="{00000000-0005-0000-0000-0000F6290000}"/>
    <cellStyle name="20% - Accent6 5 5 4 3" xfId="10747" xr:uid="{00000000-0005-0000-0000-0000F7290000}"/>
    <cellStyle name="20% - Accent6 5 5 4 3 2" xfId="10748" xr:uid="{00000000-0005-0000-0000-0000F8290000}"/>
    <cellStyle name="20% - Accent6 5 5 4 3 2 2" xfId="10749" xr:uid="{00000000-0005-0000-0000-0000F9290000}"/>
    <cellStyle name="20% - Accent6 5 5 4 3 3" xfId="10750" xr:uid="{00000000-0005-0000-0000-0000FA290000}"/>
    <cellStyle name="20% - Accent6 5 5 4 4" xfId="10751" xr:uid="{00000000-0005-0000-0000-0000FB290000}"/>
    <cellStyle name="20% - Accent6 5 5 4 4 2" xfId="10752" xr:uid="{00000000-0005-0000-0000-0000FC290000}"/>
    <cellStyle name="20% - Accent6 5 5 4 4 2 2" xfId="10753" xr:uid="{00000000-0005-0000-0000-0000FD290000}"/>
    <cellStyle name="20% - Accent6 5 5 4 4 3" xfId="10754" xr:uid="{00000000-0005-0000-0000-0000FE290000}"/>
    <cellStyle name="20% - Accent6 5 5 4 5" xfId="10755" xr:uid="{00000000-0005-0000-0000-0000FF290000}"/>
    <cellStyle name="20% - Accent6 5 5 4 5 2" xfId="10756" xr:uid="{00000000-0005-0000-0000-0000002A0000}"/>
    <cellStyle name="20% - Accent6 5 5 4 5 2 2" xfId="10757" xr:uid="{00000000-0005-0000-0000-0000012A0000}"/>
    <cellStyle name="20% - Accent6 5 5 4 5 3" xfId="10758" xr:uid="{00000000-0005-0000-0000-0000022A0000}"/>
    <cellStyle name="20% - Accent6 5 5 4 6" xfId="10759" xr:uid="{00000000-0005-0000-0000-0000032A0000}"/>
    <cellStyle name="20% - Accent6 5 5 4 6 2" xfId="10760" xr:uid="{00000000-0005-0000-0000-0000042A0000}"/>
    <cellStyle name="20% - Accent6 5 5 4 6 2 2" xfId="10761" xr:uid="{00000000-0005-0000-0000-0000052A0000}"/>
    <cellStyle name="20% - Accent6 5 5 4 6 3" xfId="10762" xr:uid="{00000000-0005-0000-0000-0000062A0000}"/>
    <cellStyle name="20% - Accent6 5 5 4 7" xfId="10763" xr:uid="{00000000-0005-0000-0000-0000072A0000}"/>
    <cellStyle name="20% - Accent6 5 5 4 7 2" xfId="10764" xr:uid="{00000000-0005-0000-0000-0000082A0000}"/>
    <cellStyle name="20% - Accent6 5 5 4 8" xfId="10765" xr:uid="{00000000-0005-0000-0000-0000092A0000}"/>
    <cellStyle name="20% - Accent6 5 5 5" xfId="10766" xr:uid="{00000000-0005-0000-0000-00000A2A0000}"/>
    <cellStyle name="20% - Accent6 5 5 5 2" xfId="10767" xr:uid="{00000000-0005-0000-0000-00000B2A0000}"/>
    <cellStyle name="20% - Accent6 5 5 5 2 2" xfId="10768" xr:uid="{00000000-0005-0000-0000-00000C2A0000}"/>
    <cellStyle name="20% - Accent6 5 5 5 2 2 2" xfId="10769" xr:uid="{00000000-0005-0000-0000-00000D2A0000}"/>
    <cellStyle name="20% - Accent6 5 5 5 2 2 2 2" xfId="10770" xr:uid="{00000000-0005-0000-0000-00000E2A0000}"/>
    <cellStyle name="20% - Accent6 5 5 5 2 2 3" xfId="10771" xr:uid="{00000000-0005-0000-0000-00000F2A0000}"/>
    <cellStyle name="20% - Accent6 5 5 5 2 3" xfId="10772" xr:uid="{00000000-0005-0000-0000-0000102A0000}"/>
    <cellStyle name="20% - Accent6 5 5 5 2 3 2" xfId="10773" xr:uid="{00000000-0005-0000-0000-0000112A0000}"/>
    <cellStyle name="20% - Accent6 5 5 5 2 4" xfId="10774" xr:uid="{00000000-0005-0000-0000-0000122A0000}"/>
    <cellStyle name="20% - Accent6 5 5 5 3" xfId="10775" xr:uid="{00000000-0005-0000-0000-0000132A0000}"/>
    <cellStyle name="20% - Accent6 5 5 5 3 2" xfId="10776" xr:uid="{00000000-0005-0000-0000-0000142A0000}"/>
    <cellStyle name="20% - Accent6 5 5 5 3 2 2" xfId="10777" xr:uid="{00000000-0005-0000-0000-0000152A0000}"/>
    <cellStyle name="20% - Accent6 5 5 5 3 3" xfId="10778" xr:uid="{00000000-0005-0000-0000-0000162A0000}"/>
    <cellStyle name="20% - Accent6 5 5 5 4" xfId="10779" xr:uid="{00000000-0005-0000-0000-0000172A0000}"/>
    <cellStyle name="20% - Accent6 5 5 5 4 2" xfId="10780" xr:uid="{00000000-0005-0000-0000-0000182A0000}"/>
    <cellStyle name="20% - Accent6 5 5 5 5" xfId="10781" xr:uid="{00000000-0005-0000-0000-0000192A0000}"/>
    <cellStyle name="20% - Accent6 5 5 6" xfId="10782" xr:uid="{00000000-0005-0000-0000-00001A2A0000}"/>
    <cellStyle name="20% - Accent6 5 5 6 2" xfId="10783" xr:uid="{00000000-0005-0000-0000-00001B2A0000}"/>
    <cellStyle name="20% - Accent6 5 5 6 2 2" xfId="10784" xr:uid="{00000000-0005-0000-0000-00001C2A0000}"/>
    <cellStyle name="20% - Accent6 5 5 6 2 2 2" xfId="10785" xr:uid="{00000000-0005-0000-0000-00001D2A0000}"/>
    <cellStyle name="20% - Accent6 5 5 6 2 2 2 2" xfId="10786" xr:uid="{00000000-0005-0000-0000-00001E2A0000}"/>
    <cellStyle name="20% - Accent6 5 5 6 2 2 3" xfId="10787" xr:uid="{00000000-0005-0000-0000-00001F2A0000}"/>
    <cellStyle name="20% - Accent6 5 5 6 2 3" xfId="10788" xr:uid="{00000000-0005-0000-0000-0000202A0000}"/>
    <cellStyle name="20% - Accent6 5 5 6 2 3 2" xfId="10789" xr:uid="{00000000-0005-0000-0000-0000212A0000}"/>
    <cellStyle name="20% - Accent6 5 5 6 2 4" xfId="10790" xr:uid="{00000000-0005-0000-0000-0000222A0000}"/>
    <cellStyle name="20% - Accent6 5 5 6 3" xfId="10791" xr:uid="{00000000-0005-0000-0000-0000232A0000}"/>
    <cellStyle name="20% - Accent6 5 5 6 3 2" xfId="10792" xr:uid="{00000000-0005-0000-0000-0000242A0000}"/>
    <cellStyle name="20% - Accent6 5 5 6 3 2 2" xfId="10793" xr:uid="{00000000-0005-0000-0000-0000252A0000}"/>
    <cellStyle name="20% - Accent6 5 5 6 3 3" xfId="10794" xr:uid="{00000000-0005-0000-0000-0000262A0000}"/>
    <cellStyle name="20% - Accent6 5 5 6 4" xfId="10795" xr:uid="{00000000-0005-0000-0000-0000272A0000}"/>
    <cellStyle name="20% - Accent6 5 5 6 4 2" xfId="10796" xr:uid="{00000000-0005-0000-0000-0000282A0000}"/>
    <cellStyle name="20% - Accent6 5 5 6 5" xfId="10797" xr:uid="{00000000-0005-0000-0000-0000292A0000}"/>
    <cellStyle name="20% - Accent6 5 5 7" xfId="10798" xr:uid="{00000000-0005-0000-0000-00002A2A0000}"/>
    <cellStyle name="20% - Accent6 5 5 7 2" xfId="10799" xr:uid="{00000000-0005-0000-0000-00002B2A0000}"/>
    <cellStyle name="20% - Accent6 5 5 7 2 2" xfId="10800" xr:uid="{00000000-0005-0000-0000-00002C2A0000}"/>
    <cellStyle name="20% - Accent6 5 5 7 2 2 2" xfId="10801" xr:uid="{00000000-0005-0000-0000-00002D2A0000}"/>
    <cellStyle name="20% - Accent6 5 5 7 2 3" xfId="10802" xr:uid="{00000000-0005-0000-0000-00002E2A0000}"/>
    <cellStyle name="20% - Accent6 5 5 7 3" xfId="10803" xr:uid="{00000000-0005-0000-0000-00002F2A0000}"/>
    <cellStyle name="20% - Accent6 5 5 7 3 2" xfId="10804" xr:uid="{00000000-0005-0000-0000-0000302A0000}"/>
    <cellStyle name="20% - Accent6 5 5 7 4" xfId="10805" xr:uid="{00000000-0005-0000-0000-0000312A0000}"/>
    <cellStyle name="20% - Accent6 5 5 8" xfId="10806" xr:uid="{00000000-0005-0000-0000-0000322A0000}"/>
    <cellStyle name="20% - Accent6 5 5 8 2" xfId="10807" xr:uid="{00000000-0005-0000-0000-0000332A0000}"/>
    <cellStyle name="20% - Accent6 5 5 8 2 2" xfId="10808" xr:uid="{00000000-0005-0000-0000-0000342A0000}"/>
    <cellStyle name="20% - Accent6 5 5 8 2 2 2" xfId="10809" xr:uid="{00000000-0005-0000-0000-0000352A0000}"/>
    <cellStyle name="20% - Accent6 5 5 8 2 3" xfId="10810" xr:uid="{00000000-0005-0000-0000-0000362A0000}"/>
    <cellStyle name="20% - Accent6 5 5 8 3" xfId="10811" xr:uid="{00000000-0005-0000-0000-0000372A0000}"/>
    <cellStyle name="20% - Accent6 5 5 8 3 2" xfId="10812" xr:uid="{00000000-0005-0000-0000-0000382A0000}"/>
    <cellStyle name="20% - Accent6 5 5 8 4" xfId="10813" xr:uid="{00000000-0005-0000-0000-0000392A0000}"/>
    <cellStyle name="20% - Accent6 5 5 9" xfId="10814" xr:uid="{00000000-0005-0000-0000-00003A2A0000}"/>
    <cellStyle name="20% - Accent6 5 5 9 2" xfId="10815" xr:uid="{00000000-0005-0000-0000-00003B2A0000}"/>
    <cellStyle name="20% - Accent6 5 5 9 2 2" xfId="10816" xr:uid="{00000000-0005-0000-0000-00003C2A0000}"/>
    <cellStyle name="20% - Accent6 5 5 9 3" xfId="10817" xr:uid="{00000000-0005-0000-0000-00003D2A0000}"/>
    <cellStyle name="20% - Accent6 5 6" xfId="10818" xr:uid="{00000000-0005-0000-0000-00003E2A0000}"/>
    <cellStyle name="20% - Accent6 5 6 10" xfId="10819" xr:uid="{00000000-0005-0000-0000-00003F2A0000}"/>
    <cellStyle name="20% - Accent6 5 6 10 2" xfId="10820" xr:uid="{00000000-0005-0000-0000-0000402A0000}"/>
    <cellStyle name="20% - Accent6 5 6 10 2 2" xfId="10821" xr:uid="{00000000-0005-0000-0000-0000412A0000}"/>
    <cellStyle name="20% - Accent6 5 6 10 3" xfId="10822" xr:uid="{00000000-0005-0000-0000-0000422A0000}"/>
    <cellStyle name="20% - Accent6 5 6 11" xfId="10823" xr:uid="{00000000-0005-0000-0000-0000432A0000}"/>
    <cellStyle name="20% - Accent6 5 6 11 2" xfId="10824" xr:uid="{00000000-0005-0000-0000-0000442A0000}"/>
    <cellStyle name="20% - Accent6 5 6 11 2 2" xfId="10825" xr:uid="{00000000-0005-0000-0000-0000452A0000}"/>
    <cellStyle name="20% - Accent6 5 6 11 3" xfId="10826" xr:uid="{00000000-0005-0000-0000-0000462A0000}"/>
    <cellStyle name="20% - Accent6 5 6 12" xfId="10827" xr:uid="{00000000-0005-0000-0000-0000472A0000}"/>
    <cellStyle name="20% - Accent6 5 6 12 2" xfId="10828" xr:uid="{00000000-0005-0000-0000-0000482A0000}"/>
    <cellStyle name="20% - Accent6 5 6 12 2 2" xfId="10829" xr:uid="{00000000-0005-0000-0000-0000492A0000}"/>
    <cellStyle name="20% - Accent6 5 6 12 3" xfId="10830" xr:uid="{00000000-0005-0000-0000-00004A2A0000}"/>
    <cellStyle name="20% - Accent6 5 6 13" xfId="10831" xr:uid="{00000000-0005-0000-0000-00004B2A0000}"/>
    <cellStyle name="20% - Accent6 5 6 13 2" xfId="10832" xr:uid="{00000000-0005-0000-0000-00004C2A0000}"/>
    <cellStyle name="20% - Accent6 5 6 14" xfId="10833" xr:uid="{00000000-0005-0000-0000-00004D2A0000}"/>
    <cellStyle name="20% - Accent6 5 6 2" xfId="10834" xr:uid="{00000000-0005-0000-0000-00004E2A0000}"/>
    <cellStyle name="20% - Accent6 5 6 2 2" xfId="10835" xr:uid="{00000000-0005-0000-0000-00004F2A0000}"/>
    <cellStyle name="20% - Accent6 5 6 2 2 2" xfId="10836" xr:uid="{00000000-0005-0000-0000-0000502A0000}"/>
    <cellStyle name="20% - Accent6 5 6 2 2 2 2" xfId="10837" xr:uid="{00000000-0005-0000-0000-0000512A0000}"/>
    <cellStyle name="20% - Accent6 5 6 2 2 2 2 2" xfId="10838" xr:uid="{00000000-0005-0000-0000-0000522A0000}"/>
    <cellStyle name="20% - Accent6 5 6 2 2 2 3" xfId="10839" xr:uid="{00000000-0005-0000-0000-0000532A0000}"/>
    <cellStyle name="20% - Accent6 5 6 2 2 3" xfId="10840" xr:uid="{00000000-0005-0000-0000-0000542A0000}"/>
    <cellStyle name="20% - Accent6 5 6 2 2 3 2" xfId="10841" xr:uid="{00000000-0005-0000-0000-0000552A0000}"/>
    <cellStyle name="20% - Accent6 5 6 2 2 4" xfId="10842" xr:uid="{00000000-0005-0000-0000-0000562A0000}"/>
    <cellStyle name="20% - Accent6 5 6 2 3" xfId="10843" xr:uid="{00000000-0005-0000-0000-0000572A0000}"/>
    <cellStyle name="20% - Accent6 5 6 2 3 2" xfId="10844" xr:uid="{00000000-0005-0000-0000-0000582A0000}"/>
    <cellStyle name="20% - Accent6 5 6 2 3 2 2" xfId="10845" xr:uid="{00000000-0005-0000-0000-0000592A0000}"/>
    <cellStyle name="20% - Accent6 5 6 2 3 3" xfId="10846" xr:uid="{00000000-0005-0000-0000-00005A2A0000}"/>
    <cellStyle name="20% - Accent6 5 6 2 4" xfId="10847" xr:uid="{00000000-0005-0000-0000-00005B2A0000}"/>
    <cellStyle name="20% - Accent6 5 6 2 4 2" xfId="10848" xr:uid="{00000000-0005-0000-0000-00005C2A0000}"/>
    <cellStyle name="20% - Accent6 5 6 2 4 2 2" xfId="10849" xr:uid="{00000000-0005-0000-0000-00005D2A0000}"/>
    <cellStyle name="20% - Accent6 5 6 2 4 3" xfId="10850" xr:uid="{00000000-0005-0000-0000-00005E2A0000}"/>
    <cellStyle name="20% - Accent6 5 6 2 5" xfId="10851" xr:uid="{00000000-0005-0000-0000-00005F2A0000}"/>
    <cellStyle name="20% - Accent6 5 6 2 5 2" xfId="10852" xr:uid="{00000000-0005-0000-0000-0000602A0000}"/>
    <cellStyle name="20% - Accent6 5 6 2 5 2 2" xfId="10853" xr:uid="{00000000-0005-0000-0000-0000612A0000}"/>
    <cellStyle name="20% - Accent6 5 6 2 5 3" xfId="10854" xr:uid="{00000000-0005-0000-0000-0000622A0000}"/>
    <cellStyle name="20% - Accent6 5 6 2 6" xfId="10855" xr:uid="{00000000-0005-0000-0000-0000632A0000}"/>
    <cellStyle name="20% - Accent6 5 6 2 6 2" xfId="10856" xr:uid="{00000000-0005-0000-0000-0000642A0000}"/>
    <cellStyle name="20% - Accent6 5 6 2 6 2 2" xfId="10857" xr:uid="{00000000-0005-0000-0000-0000652A0000}"/>
    <cellStyle name="20% - Accent6 5 6 2 6 3" xfId="10858" xr:uid="{00000000-0005-0000-0000-0000662A0000}"/>
    <cellStyle name="20% - Accent6 5 6 2 7" xfId="10859" xr:uid="{00000000-0005-0000-0000-0000672A0000}"/>
    <cellStyle name="20% - Accent6 5 6 2 7 2" xfId="10860" xr:uid="{00000000-0005-0000-0000-0000682A0000}"/>
    <cellStyle name="20% - Accent6 5 6 2 8" xfId="10861" xr:uid="{00000000-0005-0000-0000-0000692A0000}"/>
    <cellStyle name="20% - Accent6 5 6 3" xfId="10862" xr:uid="{00000000-0005-0000-0000-00006A2A0000}"/>
    <cellStyle name="20% - Accent6 5 6 3 2" xfId="10863" xr:uid="{00000000-0005-0000-0000-00006B2A0000}"/>
    <cellStyle name="20% - Accent6 5 6 3 2 2" xfId="10864" xr:uid="{00000000-0005-0000-0000-00006C2A0000}"/>
    <cellStyle name="20% - Accent6 5 6 3 2 2 2" xfId="10865" xr:uid="{00000000-0005-0000-0000-00006D2A0000}"/>
    <cellStyle name="20% - Accent6 5 6 3 2 2 2 2" xfId="10866" xr:uid="{00000000-0005-0000-0000-00006E2A0000}"/>
    <cellStyle name="20% - Accent6 5 6 3 2 2 3" xfId="10867" xr:uid="{00000000-0005-0000-0000-00006F2A0000}"/>
    <cellStyle name="20% - Accent6 5 6 3 2 3" xfId="10868" xr:uid="{00000000-0005-0000-0000-0000702A0000}"/>
    <cellStyle name="20% - Accent6 5 6 3 2 3 2" xfId="10869" xr:uid="{00000000-0005-0000-0000-0000712A0000}"/>
    <cellStyle name="20% - Accent6 5 6 3 2 4" xfId="10870" xr:uid="{00000000-0005-0000-0000-0000722A0000}"/>
    <cellStyle name="20% - Accent6 5 6 3 3" xfId="10871" xr:uid="{00000000-0005-0000-0000-0000732A0000}"/>
    <cellStyle name="20% - Accent6 5 6 3 3 2" xfId="10872" xr:uid="{00000000-0005-0000-0000-0000742A0000}"/>
    <cellStyle name="20% - Accent6 5 6 3 3 2 2" xfId="10873" xr:uid="{00000000-0005-0000-0000-0000752A0000}"/>
    <cellStyle name="20% - Accent6 5 6 3 3 3" xfId="10874" xr:uid="{00000000-0005-0000-0000-0000762A0000}"/>
    <cellStyle name="20% - Accent6 5 6 3 4" xfId="10875" xr:uid="{00000000-0005-0000-0000-0000772A0000}"/>
    <cellStyle name="20% - Accent6 5 6 3 4 2" xfId="10876" xr:uid="{00000000-0005-0000-0000-0000782A0000}"/>
    <cellStyle name="20% - Accent6 5 6 3 4 2 2" xfId="10877" xr:uid="{00000000-0005-0000-0000-0000792A0000}"/>
    <cellStyle name="20% - Accent6 5 6 3 4 3" xfId="10878" xr:uid="{00000000-0005-0000-0000-00007A2A0000}"/>
    <cellStyle name="20% - Accent6 5 6 3 5" xfId="10879" xr:uid="{00000000-0005-0000-0000-00007B2A0000}"/>
    <cellStyle name="20% - Accent6 5 6 3 5 2" xfId="10880" xr:uid="{00000000-0005-0000-0000-00007C2A0000}"/>
    <cellStyle name="20% - Accent6 5 6 3 5 2 2" xfId="10881" xr:uid="{00000000-0005-0000-0000-00007D2A0000}"/>
    <cellStyle name="20% - Accent6 5 6 3 5 3" xfId="10882" xr:uid="{00000000-0005-0000-0000-00007E2A0000}"/>
    <cellStyle name="20% - Accent6 5 6 3 6" xfId="10883" xr:uid="{00000000-0005-0000-0000-00007F2A0000}"/>
    <cellStyle name="20% - Accent6 5 6 3 6 2" xfId="10884" xr:uid="{00000000-0005-0000-0000-0000802A0000}"/>
    <cellStyle name="20% - Accent6 5 6 3 6 2 2" xfId="10885" xr:uid="{00000000-0005-0000-0000-0000812A0000}"/>
    <cellStyle name="20% - Accent6 5 6 3 6 3" xfId="10886" xr:uid="{00000000-0005-0000-0000-0000822A0000}"/>
    <cellStyle name="20% - Accent6 5 6 3 7" xfId="10887" xr:uid="{00000000-0005-0000-0000-0000832A0000}"/>
    <cellStyle name="20% - Accent6 5 6 3 7 2" xfId="10888" xr:uid="{00000000-0005-0000-0000-0000842A0000}"/>
    <cellStyle name="20% - Accent6 5 6 3 8" xfId="10889" xr:uid="{00000000-0005-0000-0000-0000852A0000}"/>
    <cellStyle name="20% - Accent6 5 6 4" xfId="10890" xr:uid="{00000000-0005-0000-0000-0000862A0000}"/>
    <cellStyle name="20% - Accent6 5 6 4 2" xfId="10891" xr:uid="{00000000-0005-0000-0000-0000872A0000}"/>
    <cellStyle name="20% - Accent6 5 6 4 2 2" xfId="10892" xr:uid="{00000000-0005-0000-0000-0000882A0000}"/>
    <cellStyle name="20% - Accent6 5 6 4 2 2 2" xfId="10893" xr:uid="{00000000-0005-0000-0000-0000892A0000}"/>
    <cellStyle name="20% - Accent6 5 6 4 2 2 2 2" xfId="10894" xr:uid="{00000000-0005-0000-0000-00008A2A0000}"/>
    <cellStyle name="20% - Accent6 5 6 4 2 2 3" xfId="10895" xr:uid="{00000000-0005-0000-0000-00008B2A0000}"/>
    <cellStyle name="20% - Accent6 5 6 4 2 3" xfId="10896" xr:uid="{00000000-0005-0000-0000-00008C2A0000}"/>
    <cellStyle name="20% - Accent6 5 6 4 2 3 2" xfId="10897" xr:uid="{00000000-0005-0000-0000-00008D2A0000}"/>
    <cellStyle name="20% - Accent6 5 6 4 2 4" xfId="10898" xr:uid="{00000000-0005-0000-0000-00008E2A0000}"/>
    <cellStyle name="20% - Accent6 5 6 4 3" xfId="10899" xr:uid="{00000000-0005-0000-0000-00008F2A0000}"/>
    <cellStyle name="20% - Accent6 5 6 4 3 2" xfId="10900" xr:uid="{00000000-0005-0000-0000-0000902A0000}"/>
    <cellStyle name="20% - Accent6 5 6 4 3 2 2" xfId="10901" xr:uid="{00000000-0005-0000-0000-0000912A0000}"/>
    <cellStyle name="20% - Accent6 5 6 4 3 3" xfId="10902" xr:uid="{00000000-0005-0000-0000-0000922A0000}"/>
    <cellStyle name="20% - Accent6 5 6 4 4" xfId="10903" xr:uid="{00000000-0005-0000-0000-0000932A0000}"/>
    <cellStyle name="20% - Accent6 5 6 4 4 2" xfId="10904" xr:uid="{00000000-0005-0000-0000-0000942A0000}"/>
    <cellStyle name="20% - Accent6 5 6 4 4 2 2" xfId="10905" xr:uid="{00000000-0005-0000-0000-0000952A0000}"/>
    <cellStyle name="20% - Accent6 5 6 4 4 3" xfId="10906" xr:uid="{00000000-0005-0000-0000-0000962A0000}"/>
    <cellStyle name="20% - Accent6 5 6 4 5" xfId="10907" xr:uid="{00000000-0005-0000-0000-0000972A0000}"/>
    <cellStyle name="20% - Accent6 5 6 4 5 2" xfId="10908" xr:uid="{00000000-0005-0000-0000-0000982A0000}"/>
    <cellStyle name="20% - Accent6 5 6 4 5 2 2" xfId="10909" xr:uid="{00000000-0005-0000-0000-0000992A0000}"/>
    <cellStyle name="20% - Accent6 5 6 4 5 3" xfId="10910" xr:uid="{00000000-0005-0000-0000-00009A2A0000}"/>
    <cellStyle name="20% - Accent6 5 6 4 6" xfId="10911" xr:uid="{00000000-0005-0000-0000-00009B2A0000}"/>
    <cellStyle name="20% - Accent6 5 6 4 6 2" xfId="10912" xr:uid="{00000000-0005-0000-0000-00009C2A0000}"/>
    <cellStyle name="20% - Accent6 5 6 4 6 2 2" xfId="10913" xr:uid="{00000000-0005-0000-0000-00009D2A0000}"/>
    <cellStyle name="20% - Accent6 5 6 4 6 3" xfId="10914" xr:uid="{00000000-0005-0000-0000-00009E2A0000}"/>
    <cellStyle name="20% - Accent6 5 6 4 7" xfId="10915" xr:uid="{00000000-0005-0000-0000-00009F2A0000}"/>
    <cellStyle name="20% - Accent6 5 6 4 7 2" xfId="10916" xr:uid="{00000000-0005-0000-0000-0000A02A0000}"/>
    <cellStyle name="20% - Accent6 5 6 4 8" xfId="10917" xr:uid="{00000000-0005-0000-0000-0000A12A0000}"/>
    <cellStyle name="20% - Accent6 5 6 5" xfId="10918" xr:uid="{00000000-0005-0000-0000-0000A22A0000}"/>
    <cellStyle name="20% - Accent6 5 6 5 2" xfId="10919" xr:uid="{00000000-0005-0000-0000-0000A32A0000}"/>
    <cellStyle name="20% - Accent6 5 6 5 2 2" xfId="10920" xr:uid="{00000000-0005-0000-0000-0000A42A0000}"/>
    <cellStyle name="20% - Accent6 5 6 5 2 2 2" xfId="10921" xr:uid="{00000000-0005-0000-0000-0000A52A0000}"/>
    <cellStyle name="20% - Accent6 5 6 5 2 2 2 2" xfId="10922" xr:uid="{00000000-0005-0000-0000-0000A62A0000}"/>
    <cellStyle name="20% - Accent6 5 6 5 2 2 3" xfId="10923" xr:uid="{00000000-0005-0000-0000-0000A72A0000}"/>
    <cellStyle name="20% - Accent6 5 6 5 2 3" xfId="10924" xr:uid="{00000000-0005-0000-0000-0000A82A0000}"/>
    <cellStyle name="20% - Accent6 5 6 5 2 3 2" xfId="10925" xr:uid="{00000000-0005-0000-0000-0000A92A0000}"/>
    <cellStyle name="20% - Accent6 5 6 5 2 4" xfId="10926" xr:uid="{00000000-0005-0000-0000-0000AA2A0000}"/>
    <cellStyle name="20% - Accent6 5 6 5 3" xfId="10927" xr:uid="{00000000-0005-0000-0000-0000AB2A0000}"/>
    <cellStyle name="20% - Accent6 5 6 5 3 2" xfId="10928" xr:uid="{00000000-0005-0000-0000-0000AC2A0000}"/>
    <cellStyle name="20% - Accent6 5 6 5 3 2 2" xfId="10929" xr:uid="{00000000-0005-0000-0000-0000AD2A0000}"/>
    <cellStyle name="20% - Accent6 5 6 5 3 3" xfId="10930" xr:uid="{00000000-0005-0000-0000-0000AE2A0000}"/>
    <cellStyle name="20% - Accent6 5 6 5 4" xfId="10931" xr:uid="{00000000-0005-0000-0000-0000AF2A0000}"/>
    <cellStyle name="20% - Accent6 5 6 5 4 2" xfId="10932" xr:uid="{00000000-0005-0000-0000-0000B02A0000}"/>
    <cellStyle name="20% - Accent6 5 6 5 5" xfId="10933" xr:uid="{00000000-0005-0000-0000-0000B12A0000}"/>
    <cellStyle name="20% - Accent6 5 6 6" xfId="10934" xr:uid="{00000000-0005-0000-0000-0000B22A0000}"/>
    <cellStyle name="20% - Accent6 5 6 6 2" xfId="10935" xr:uid="{00000000-0005-0000-0000-0000B32A0000}"/>
    <cellStyle name="20% - Accent6 5 6 6 2 2" xfId="10936" xr:uid="{00000000-0005-0000-0000-0000B42A0000}"/>
    <cellStyle name="20% - Accent6 5 6 6 2 2 2" xfId="10937" xr:uid="{00000000-0005-0000-0000-0000B52A0000}"/>
    <cellStyle name="20% - Accent6 5 6 6 2 2 2 2" xfId="10938" xr:uid="{00000000-0005-0000-0000-0000B62A0000}"/>
    <cellStyle name="20% - Accent6 5 6 6 2 2 3" xfId="10939" xr:uid="{00000000-0005-0000-0000-0000B72A0000}"/>
    <cellStyle name="20% - Accent6 5 6 6 2 3" xfId="10940" xr:uid="{00000000-0005-0000-0000-0000B82A0000}"/>
    <cellStyle name="20% - Accent6 5 6 6 2 3 2" xfId="10941" xr:uid="{00000000-0005-0000-0000-0000B92A0000}"/>
    <cellStyle name="20% - Accent6 5 6 6 2 4" xfId="10942" xr:uid="{00000000-0005-0000-0000-0000BA2A0000}"/>
    <cellStyle name="20% - Accent6 5 6 6 3" xfId="10943" xr:uid="{00000000-0005-0000-0000-0000BB2A0000}"/>
    <cellStyle name="20% - Accent6 5 6 6 3 2" xfId="10944" xr:uid="{00000000-0005-0000-0000-0000BC2A0000}"/>
    <cellStyle name="20% - Accent6 5 6 6 3 2 2" xfId="10945" xr:uid="{00000000-0005-0000-0000-0000BD2A0000}"/>
    <cellStyle name="20% - Accent6 5 6 6 3 3" xfId="10946" xr:uid="{00000000-0005-0000-0000-0000BE2A0000}"/>
    <cellStyle name="20% - Accent6 5 6 6 4" xfId="10947" xr:uid="{00000000-0005-0000-0000-0000BF2A0000}"/>
    <cellStyle name="20% - Accent6 5 6 6 4 2" xfId="10948" xr:uid="{00000000-0005-0000-0000-0000C02A0000}"/>
    <cellStyle name="20% - Accent6 5 6 6 5" xfId="10949" xr:uid="{00000000-0005-0000-0000-0000C12A0000}"/>
    <cellStyle name="20% - Accent6 5 6 7" xfId="10950" xr:uid="{00000000-0005-0000-0000-0000C22A0000}"/>
    <cellStyle name="20% - Accent6 5 6 7 2" xfId="10951" xr:uid="{00000000-0005-0000-0000-0000C32A0000}"/>
    <cellStyle name="20% - Accent6 5 6 7 2 2" xfId="10952" xr:uid="{00000000-0005-0000-0000-0000C42A0000}"/>
    <cellStyle name="20% - Accent6 5 6 7 2 2 2" xfId="10953" xr:uid="{00000000-0005-0000-0000-0000C52A0000}"/>
    <cellStyle name="20% - Accent6 5 6 7 2 3" xfId="10954" xr:uid="{00000000-0005-0000-0000-0000C62A0000}"/>
    <cellStyle name="20% - Accent6 5 6 7 3" xfId="10955" xr:uid="{00000000-0005-0000-0000-0000C72A0000}"/>
    <cellStyle name="20% - Accent6 5 6 7 3 2" xfId="10956" xr:uid="{00000000-0005-0000-0000-0000C82A0000}"/>
    <cellStyle name="20% - Accent6 5 6 7 4" xfId="10957" xr:uid="{00000000-0005-0000-0000-0000C92A0000}"/>
    <cellStyle name="20% - Accent6 5 6 8" xfId="10958" xr:uid="{00000000-0005-0000-0000-0000CA2A0000}"/>
    <cellStyle name="20% - Accent6 5 6 8 2" xfId="10959" xr:uid="{00000000-0005-0000-0000-0000CB2A0000}"/>
    <cellStyle name="20% - Accent6 5 6 8 2 2" xfId="10960" xr:uid="{00000000-0005-0000-0000-0000CC2A0000}"/>
    <cellStyle name="20% - Accent6 5 6 8 2 2 2" xfId="10961" xr:uid="{00000000-0005-0000-0000-0000CD2A0000}"/>
    <cellStyle name="20% - Accent6 5 6 8 2 3" xfId="10962" xr:uid="{00000000-0005-0000-0000-0000CE2A0000}"/>
    <cellStyle name="20% - Accent6 5 6 8 3" xfId="10963" xr:uid="{00000000-0005-0000-0000-0000CF2A0000}"/>
    <cellStyle name="20% - Accent6 5 6 8 3 2" xfId="10964" xr:uid="{00000000-0005-0000-0000-0000D02A0000}"/>
    <cellStyle name="20% - Accent6 5 6 8 4" xfId="10965" xr:uid="{00000000-0005-0000-0000-0000D12A0000}"/>
    <cellStyle name="20% - Accent6 5 6 9" xfId="10966" xr:uid="{00000000-0005-0000-0000-0000D22A0000}"/>
    <cellStyle name="20% - Accent6 5 6 9 2" xfId="10967" xr:uid="{00000000-0005-0000-0000-0000D32A0000}"/>
    <cellStyle name="20% - Accent6 5 6 9 2 2" xfId="10968" xr:uid="{00000000-0005-0000-0000-0000D42A0000}"/>
    <cellStyle name="20% - Accent6 5 6 9 3" xfId="10969" xr:uid="{00000000-0005-0000-0000-0000D52A0000}"/>
    <cellStyle name="20% - Accent6 5 7" xfId="10970" xr:uid="{00000000-0005-0000-0000-0000D62A0000}"/>
    <cellStyle name="20% - Accent6 5 7 10" xfId="10971" xr:uid="{00000000-0005-0000-0000-0000D72A0000}"/>
    <cellStyle name="20% - Accent6 5 7 10 2" xfId="10972" xr:uid="{00000000-0005-0000-0000-0000D82A0000}"/>
    <cellStyle name="20% - Accent6 5 7 10 2 2" xfId="10973" xr:uid="{00000000-0005-0000-0000-0000D92A0000}"/>
    <cellStyle name="20% - Accent6 5 7 10 3" xfId="10974" xr:uid="{00000000-0005-0000-0000-0000DA2A0000}"/>
    <cellStyle name="20% - Accent6 5 7 11" xfId="10975" xr:uid="{00000000-0005-0000-0000-0000DB2A0000}"/>
    <cellStyle name="20% - Accent6 5 7 11 2" xfId="10976" xr:uid="{00000000-0005-0000-0000-0000DC2A0000}"/>
    <cellStyle name="20% - Accent6 5 7 11 2 2" xfId="10977" xr:uid="{00000000-0005-0000-0000-0000DD2A0000}"/>
    <cellStyle name="20% - Accent6 5 7 11 3" xfId="10978" xr:uid="{00000000-0005-0000-0000-0000DE2A0000}"/>
    <cellStyle name="20% - Accent6 5 7 12" xfId="10979" xr:uid="{00000000-0005-0000-0000-0000DF2A0000}"/>
    <cellStyle name="20% - Accent6 5 7 12 2" xfId="10980" xr:uid="{00000000-0005-0000-0000-0000E02A0000}"/>
    <cellStyle name="20% - Accent6 5 7 12 2 2" xfId="10981" xr:uid="{00000000-0005-0000-0000-0000E12A0000}"/>
    <cellStyle name="20% - Accent6 5 7 12 3" xfId="10982" xr:uid="{00000000-0005-0000-0000-0000E22A0000}"/>
    <cellStyle name="20% - Accent6 5 7 13" xfId="10983" xr:uid="{00000000-0005-0000-0000-0000E32A0000}"/>
    <cellStyle name="20% - Accent6 5 7 13 2" xfId="10984" xr:uid="{00000000-0005-0000-0000-0000E42A0000}"/>
    <cellStyle name="20% - Accent6 5 7 14" xfId="10985" xr:uid="{00000000-0005-0000-0000-0000E52A0000}"/>
    <cellStyle name="20% - Accent6 5 7 2" xfId="10986" xr:uid="{00000000-0005-0000-0000-0000E62A0000}"/>
    <cellStyle name="20% - Accent6 5 7 2 2" xfId="10987" xr:uid="{00000000-0005-0000-0000-0000E72A0000}"/>
    <cellStyle name="20% - Accent6 5 7 2 2 2" xfId="10988" xr:uid="{00000000-0005-0000-0000-0000E82A0000}"/>
    <cellStyle name="20% - Accent6 5 7 2 2 2 2" xfId="10989" xr:uid="{00000000-0005-0000-0000-0000E92A0000}"/>
    <cellStyle name="20% - Accent6 5 7 2 2 2 2 2" xfId="10990" xr:uid="{00000000-0005-0000-0000-0000EA2A0000}"/>
    <cellStyle name="20% - Accent6 5 7 2 2 2 3" xfId="10991" xr:uid="{00000000-0005-0000-0000-0000EB2A0000}"/>
    <cellStyle name="20% - Accent6 5 7 2 2 3" xfId="10992" xr:uid="{00000000-0005-0000-0000-0000EC2A0000}"/>
    <cellStyle name="20% - Accent6 5 7 2 2 3 2" xfId="10993" xr:uid="{00000000-0005-0000-0000-0000ED2A0000}"/>
    <cellStyle name="20% - Accent6 5 7 2 2 4" xfId="10994" xr:uid="{00000000-0005-0000-0000-0000EE2A0000}"/>
    <cellStyle name="20% - Accent6 5 7 2 3" xfId="10995" xr:uid="{00000000-0005-0000-0000-0000EF2A0000}"/>
    <cellStyle name="20% - Accent6 5 7 2 3 2" xfId="10996" xr:uid="{00000000-0005-0000-0000-0000F02A0000}"/>
    <cellStyle name="20% - Accent6 5 7 2 3 2 2" xfId="10997" xr:uid="{00000000-0005-0000-0000-0000F12A0000}"/>
    <cellStyle name="20% - Accent6 5 7 2 3 3" xfId="10998" xr:uid="{00000000-0005-0000-0000-0000F22A0000}"/>
    <cellStyle name="20% - Accent6 5 7 2 4" xfId="10999" xr:uid="{00000000-0005-0000-0000-0000F32A0000}"/>
    <cellStyle name="20% - Accent6 5 7 2 4 2" xfId="11000" xr:uid="{00000000-0005-0000-0000-0000F42A0000}"/>
    <cellStyle name="20% - Accent6 5 7 2 4 2 2" xfId="11001" xr:uid="{00000000-0005-0000-0000-0000F52A0000}"/>
    <cellStyle name="20% - Accent6 5 7 2 4 3" xfId="11002" xr:uid="{00000000-0005-0000-0000-0000F62A0000}"/>
    <cellStyle name="20% - Accent6 5 7 2 5" xfId="11003" xr:uid="{00000000-0005-0000-0000-0000F72A0000}"/>
    <cellStyle name="20% - Accent6 5 7 2 5 2" xfId="11004" xr:uid="{00000000-0005-0000-0000-0000F82A0000}"/>
    <cellStyle name="20% - Accent6 5 7 2 5 2 2" xfId="11005" xr:uid="{00000000-0005-0000-0000-0000F92A0000}"/>
    <cellStyle name="20% - Accent6 5 7 2 5 3" xfId="11006" xr:uid="{00000000-0005-0000-0000-0000FA2A0000}"/>
    <cellStyle name="20% - Accent6 5 7 2 6" xfId="11007" xr:uid="{00000000-0005-0000-0000-0000FB2A0000}"/>
    <cellStyle name="20% - Accent6 5 7 2 6 2" xfId="11008" xr:uid="{00000000-0005-0000-0000-0000FC2A0000}"/>
    <cellStyle name="20% - Accent6 5 7 2 6 2 2" xfId="11009" xr:uid="{00000000-0005-0000-0000-0000FD2A0000}"/>
    <cellStyle name="20% - Accent6 5 7 2 6 3" xfId="11010" xr:uid="{00000000-0005-0000-0000-0000FE2A0000}"/>
    <cellStyle name="20% - Accent6 5 7 2 7" xfId="11011" xr:uid="{00000000-0005-0000-0000-0000FF2A0000}"/>
    <cellStyle name="20% - Accent6 5 7 2 7 2" xfId="11012" xr:uid="{00000000-0005-0000-0000-0000002B0000}"/>
    <cellStyle name="20% - Accent6 5 7 2 8" xfId="11013" xr:uid="{00000000-0005-0000-0000-0000012B0000}"/>
    <cellStyle name="20% - Accent6 5 7 3" xfId="11014" xr:uid="{00000000-0005-0000-0000-0000022B0000}"/>
    <cellStyle name="20% - Accent6 5 7 3 2" xfId="11015" xr:uid="{00000000-0005-0000-0000-0000032B0000}"/>
    <cellStyle name="20% - Accent6 5 7 3 2 2" xfId="11016" xr:uid="{00000000-0005-0000-0000-0000042B0000}"/>
    <cellStyle name="20% - Accent6 5 7 3 2 2 2" xfId="11017" xr:uid="{00000000-0005-0000-0000-0000052B0000}"/>
    <cellStyle name="20% - Accent6 5 7 3 2 2 2 2" xfId="11018" xr:uid="{00000000-0005-0000-0000-0000062B0000}"/>
    <cellStyle name="20% - Accent6 5 7 3 2 2 3" xfId="11019" xr:uid="{00000000-0005-0000-0000-0000072B0000}"/>
    <cellStyle name="20% - Accent6 5 7 3 2 3" xfId="11020" xr:uid="{00000000-0005-0000-0000-0000082B0000}"/>
    <cellStyle name="20% - Accent6 5 7 3 2 3 2" xfId="11021" xr:uid="{00000000-0005-0000-0000-0000092B0000}"/>
    <cellStyle name="20% - Accent6 5 7 3 2 4" xfId="11022" xr:uid="{00000000-0005-0000-0000-00000A2B0000}"/>
    <cellStyle name="20% - Accent6 5 7 3 3" xfId="11023" xr:uid="{00000000-0005-0000-0000-00000B2B0000}"/>
    <cellStyle name="20% - Accent6 5 7 3 3 2" xfId="11024" xr:uid="{00000000-0005-0000-0000-00000C2B0000}"/>
    <cellStyle name="20% - Accent6 5 7 3 3 2 2" xfId="11025" xr:uid="{00000000-0005-0000-0000-00000D2B0000}"/>
    <cellStyle name="20% - Accent6 5 7 3 3 3" xfId="11026" xr:uid="{00000000-0005-0000-0000-00000E2B0000}"/>
    <cellStyle name="20% - Accent6 5 7 3 4" xfId="11027" xr:uid="{00000000-0005-0000-0000-00000F2B0000}"/>
    <cellStyle name="20% - Accent6 5 7 3 4 2" xfId="11028" xr:uid="{00000000-0005-0000-0000-0000102B0000}"/>
    <cellStyle name="20% - Accent6 5 7 3 4 2 2" xfId="11029" xr:uid="{00000000-0005-0000-0000-0000112B0000}"/>
    <cellStyle name="20% - Accent6 5 7 3 4 3" xfId="11030" xr:uid="{00000000-0005-0000-0000-0000122B0000}"/>
    <cellStyle name="20% - Accent6 5 7 3 5" xfId="11031" xr:uid="{00000000-0005-0000-0000-0000132B0000}"/>
    <cellStyle name="20% - Accent6 5 7 3 5 2" xfId="11032" xr:uid="{00000000-0005-0000-0000-0000142B0000}"/>
    <cellStyle name="20% - Accent6 5 7 3 5 2 2" xfId="11033" xr:uid="{00000000-0005-0000-0000-0000152B0000}"/>
    <cellStyle name="20% - Accent6 5 7 3 5 3" xfId="11034" xr:uid="{00000000-0005-0000-0000-0000162B0000}"/>
    <cellStyle name="20% - Accent6 5 7 3 6" xfId="11035" xr:uid="{00000000-0005-0000-0000-0000172B0000}"/>
    <cellStyle name="20% - Accent6 5 7 3 6 2" xfId="11036" xr:uid="{00000000-0005-0000-0000-0000182B0000}"/>
    <cellStyle name="20% - Accent6 5 7 3 6 2 2" xfId="11037" xr:uid="{00000000-0005-0000-0000-0000192B0000}"/>
    <cellStyle name="20% - Accent6 5 7 3 6 3" xfId="11038" xr:uid="{00000000-0005-0000-0000-00001A2B0000}"/>
    <cellStyle name="20% - Accent6 5 7 3 7" xfId="11039" xr:uid="{00000000-0005-0000-0000-00001B2B0000}"/>
    <cellStyle name="20% - Accent6 5 7 3 7 2" xfId="11040" xr:uid="{00000000-0005-0000-0000-00001C2B0000}"/>
    <cellStyle name="20% - Accent6 5 7 3 8" xfId="11041" xr:uid="{00000000-0005-0000-0000-00001D2B0000}"/>
    <cellStyle name="20% - Accent6 5 7 4" xfId="11042" xr:uid="{00000000-0005-0000-0000-00001E2B0000}"/>
    <cellStyle name="20% - Accent6 5 7 4 2" xfId="11043" xr:uid="{00000000-0005-0000-0000-00001F2B0000}"/>
    <cellStyle name="20% - Accent6 5 7 4 2 2" xfId="11044" xr:uid="{00000000-0005-0000-0000-0000202B0000}"/>
    <cellStyle name="20% - Accent6 5 7 4 2 2 2" xfId="11045" xr:uid="{00000000-0005-0000-0000-0000212B0000}"/>
    <cellStyle name="20% - Accent6 5 7 4 2 2 2 2" xfId="11046" xr:uid="{00000000-0005-0000-0000-0000222B0000}"/>
    <cellStyle name="20% - Accent6 5 7 4 2 2 3" xfId="11047" xr:uid="{00000000-0005-0000-0000-0000232B0000}"/>
    <cellStyle name="20% - Accent6 5 7 4 2 3" xfId="11048" xr:uid="{00000000-0005-0000-0000-0000242B0000}"/>
    <cellStyle name="20% - Accent6 5 7 4 2 3 2" xfId="11049" xr:uid="{00000000-0005-0000-0000-0000252B0000}"/>
    <cellStyle name="20% - Accent6 5 7 4 2 4" xfId="11050" xr:uid="{00000000-0005-0000-0000-0000262B0000}"/>
    <cellStyle name="20% - Accent6 5 7 4 3" xfId="11051" xr:uid="{00000000-0005-0000-0000-0000272B0000}"/>
    <cellStyle name="20% - Accent6 5 7 4 3 2" xfId="11052" xr:uid="{00000000-0005-0000-0000-0000282B0000}"/>
    <cellStyle name="20% - Accent6 5 7 4 3 2 2" xfId="11053" xr:uid="{00000000-0005-0000-0000-0000292B0000}"/>
    <cellStyle name="20% - Accent6 5 7 4 3 3" xfId="11054" xr:uid="{00000000-0005-0000-0000-00002A2B0000}"/>
    <cellStyle name="20% - Accent6 5 7 4 4" xfId="11055" xr:uid="{00000000-0005-0000-0000-00002B2B0000}"/>
    <cellStyle name="20% - Accent6 5 7 4 4 2" xfId="11056" xr:uid="{00000000-0005-0000-0000-00002C2B0000}"/>
    <cellStyle name="20% - Accent6 5 7 4 4 2 2" xfId="11057" xr:uid="{00000000-0005-0000-0000-00002D2B0000}"/>
    <cellStyle name="20% - Accent6 5 7 4 4 3" xfId="11058" xr:uid="{00000000-0005-0000-0000-00002E2B0000}"/>
    <cellStyle name="20% - Accent6 5 7 4 5" xfId="11059" xr:uid="{00000000-0005-0000-0000-00002F2B0000}"/>
    <cellStyle name="20% - Accent6 5 7 4 5 2" xfId="11060" xr:uid="{00000000-0005-0000-0000-0000302B0000}"/>
    <cellStyle name="20% - Accent6 5 7 4 5 2 2" xfId="11061" xr:uid="{00000000-0005-0000-0000-0000312B0000}"/>
    <cellStyle name="20% - Accent6 5 7 4 5 3" xfId="11062" xr:uid="{00000000-0005-0000-0000-0000322B0000}"/>
    <cellStyle name="20% - Accent6 5 7 4 6" xfId="11063" xr:uid="{00000000-0005-0000-0000-0000332B0000}"/>
    <cellStyle name="20% - Accent6 5 7 4 6 2" xfId="11064" xr:uid="{00000000-0005-0000-0000-0000342B0000}"/>
    <cellStyle name="20% - Accent6 5 7 4 6 2 2" xfId="11065" xr:uid="{00000000-0005-0000-0000-0000352B0000}"/>
    <cellStyle name="20% - Accent6 5 7 4 6 3" xfId="11066" xr:uid="{00000000-0005-0000-0000-0000362B0000}"/>
    <cellStyle name="20% - Accent6 5 7 4 7" xfId="11067" xr:uid="{00000000-0005-0000-0000-0000372B0000}"/>
    <cellStyle name="20% - Accent6 5 7 4 7 2" xfId="11068" xr:uid="{00000000-0005-0000-0000-0000382B0000}"/>
    <cellStyle name="20% - Accent6 5 7 4 8" xfId="11069" xr:uid="{00000000-0005-0000-0000-0000392B0000}"/>
    <cellStyle name="20% - Accent6 5 7 5" xfId="11070" xr:uid="{00000000-0005-0000-0000-00003A2B0000}"/>
    <cellStyle name="20% - Accent6 5 7 5 2" xfId="11071" xr:uid="{00000000-0005-0000-0000-00003B2B0000}"/>
    <cellStyle name="20% - Accent6 5 7 5 2 2" xfId="11072" xr:uid="{00000000-0005-0000-0000-00003C2B0000}"/>
    <cellStyle name="20% - Accent6 5 7 5 2 2 2" xfId="11073" xr:uid="{00000000-0005-0000-0000-00003D2B0000}"/>
    <cellStyle name="20% - Accent6 5 7 5 2 2 2 2" xfId="11074" xr:uid="{00000000-0005-0000-0000-00003E2B0000}"/>
    <cellStyle name="20% - Accent6 5 7 5 2 2 3" xfId="11075" xr:uid="{00000000-0005-0000-0000-00003F2B0000}"/>
    <cellStyle name="20% - Accent6 5 7 5 2 3" xfId="11076" xr:uid="{00000000-0005-0000-0000-0000402B0000}"/>
    <cellStyle name="20% - Accent6 5 7 5 2 3 2" xfId="11077" xr:uid="{00000000-0005-0000-0000-0000412B0000}"/>
    <cellStyle name="20% - Accent6 5 7 5 2 4" xfId="11078" xr:uid="{00000000-0005-0000-0000-0000422B0000}"/>
    <cellStyle name="20% - Accent6 5 7 5 3" xfId="11079" xr:uid="{00000000-0005-0000-0000-0000432B0000}"/>
    <cellStyle name="20% - Accent6 5 7 5 3 2" xfId="11080" xr:uid="{00000000-0005-0000-0000-0000442B0000}"/>
    <cellStyle name="20% - Accent6 5 7 5 3 2 2" xfId="11081" xr:uid="{00000000-0005-0000-0000-0000452B0000}"/>
    <cellStyle name="20% - Accent6 5 7 5 3 3" xfId="11082" xr:uid="{00000000-0005-0000-0000-0000462B0000}"/>
    <cellStyle name="20% - Accent6 5 7 5 4" xfId="11083" xr:uid="{00000000-0005-0000-0000-0000472B0000}"/>
    <cellStyle name="20% - Accent6 5 7 5 4 2" xfId="11084" xr:uid="{00000000-0005-0000-0000-0000482B0000}"/>
    <cellStyle name="20% - Accent6 5 7 5 5" xfId="11085" xr:uid="{00000000-0005-0000-0000-0000492B0000}"/>
    <cellStyle name="20% - Accent6 5 7 6" xfId="11086" xr:uid="{00000000-0005-0000-0000-00004A2B0000}"/>
    <cellStyle name="20% - Accent6 5 7 6 2" xfId="11087" xr:uid="{00000000-0005-0000-0000-00004B2B0000}"/>
    <cellStyle name="20% - Accent6 5 7 6 2 2" xfId="11088" xr:uid="{00000000-0005-0000-0000-00004C2B0000}"/>
    <cellStyle name="20% - Accent6 5 7 6 2 2 2" xfId="11089" xr:uid="{00000000-0005-0000-0000-00004D2B0000}"/>
    <cellStyle name="20% - Accent6 5 7 6 2 2 2 2" xfId="11090" xr:uid="{00000000-0005-0000-0000-00004E2B0000}"/>
    <cellStyle name="20% - Accent6 5 7 6 2 2 3" xfId="11091" xr:uid="{00000000-0005-0000-0000-00004F2B0000}"/>
    <cellStyle name="20% - Accent6 5 7 6 2 3" xfId="11092" xr:uid="{00000000-0005-0000-0000-0000502B0000}"/>
    <cellStyle name="20% - Accent6 5 7 6 2 3 2" xfId="11093" xr:uid="{00000000-0005-0000-0000-0000512B0000}"/>
    <cellStyle name="20% - Accent6 5 7 6 2 4" xfId="11094" xr:uid="{00000000-0005-0000-0000-0000522B0000}"/>
    <cellStyle name="20% - Accent6 5 7 6 3" xfId="11095" xr:uid="{00000000-0005-0000-0000-0000532B0000}"/>
    <cellStyle name="20% - Accent6 5 7 6 3 2" xfId="11096" xr:uid="{00000000-0005-0000-0000-0000542B0000}"/>
    <cellStyle name="20% - Accent6 5 7 6 3 2 2" xfId="11097" xr:uid="{00000000-0005-0000-0000-0000552B0000}"/>
    <cellStyle name="20% - Accent6 5 7 6 3 3" xfId="11098" xr:uid="{00000000-0005-0000-0000-0000562B0000}"/>
    <cellStyle name="20% - Accent6 5 7 6 4" xfId="11099" xr:uid="{00000000-0005-0000-0000-0000572B0000}"/>
    <cellStyle name="20% - Accent6 5 7 6 4 2" xfId="11100" xr:uid="{00000000-0005-0000-0000-0000582B0000}"/>
    <cellStyle name="20% - Accent6 5 7 6 5" xfId="11101" xr:uid="{00000000-0005-0000-0000-0000592B0000}"/>
    <cellStyle name="20% - Accent6 5 7 7" xfId="11102" xr:uid="{00000000-0005-0000-0000-00005A2B0000}"/>
    <cellStyle name="20% - Accent6 5 7 7 2" xfId="11103" xr:uid="{00000000-0005-0000-0000-00005B2B0000}"/>
    <cellStyle name="20% - Accent6 5 7 7 2 2" xfId="11104" xr:uid="{00000000-0005-0000-0000-00005C2B0000}"/>
    <cellStyle name="20% - Accent6 5 7 7 2 2 2" xfId="11105" xr:uid="{00000000-0005-0000-0000-00005D2B0000}"/>
    <cellStyle name="20% - Accent6 5 7 7 2 3" xfId="11106" xr:uid="{00000000-0005-0000-0000-00005E2B0000}"/>
    <cellStyle name="20% - Accent6 5 7 7 3" xfId="11107" xr:uid="{00000000-0005-0000-0000-00005F2B0000}"/>
    <cellStyle name="20% - Accent6 5 7 7 3 2" xfId="11108" xr:uid="{00000000-0005-0000-0000-0000602B0000}"/>
    <cellStyle name="20% - Accent6 5 7 7 4" xfId="11109" xr:uid="{00000000-0005-0000-0000-0000612B0000}"/>
    <cellStyle name="20% - Accent6 5 7 8" xfId="11110" xr:uid="{00000000-0005-0000-0000-0000622B0000}"/>
    <cellStyle name="20% - Accent6 5 7 8 2" xfId="11111" xr:uid="{00000000-0005-0000-0000-0000632B0000}"/>
    <cellStyle name="20% - Accent6 5 7 8 2 2" xfId="11112" xr:uid="{00000000-0005-0000-0000-0000642B0000}"/>
    <cellStyle name="20% - Accent6 5 7 8 2 2 2" xfId="11113" xr:uid="{00000000-0005-0000-0000-0000652B0000}"/>
    <cellStyle name="20% - Accent6 5 7 8 2 3" xfId="11114" xr:uid="{00000000-0005-0000-0000-0000662B0000}"/>
    <cellStyle name="20% - Accent6 5 7 8 3" xfId="11115" xr:uid="{00000000-0005-0000-0000-0000672B0000}"/>
    <cellStyle name="20% - Accent6 5 7 8 3 2" xfId="11116" xr:uid="{00000000-0005-0000-0000-0000682B0000}"/>
    <cellStyle name="20% - Accent6 5 7 8 4" xfId="11117" xr:uid="{00000000-0005-0000-0000-0000692B0000}"/>
    <cellStyle name="20% - Accent6 5 7 9" xfId="11118" xr:uid="{00000000-0005-0000-0000-00006A2B0000}"/>
    <cellStyle name="20% - Accent6 5 7 9 2" xfId="11119" xr:uid="{00000000-0005-0000-0000-00006B2B0000}"/>
    <cellStyle name="20% - Accent6 5 7 9 2 2" xfId="11120" xr:uid="{00000000-0005-0000-0000-00006C2B0000}"/>
    <cellStyle name="20% - Accent6 5 7 9 3" xfId="11121" xr:uid="{00000000-0005-0000-0000-00006D2B0000}"/>
    <cellStyle name="20% - Accent6 5 8" xfId="11122" xr:uid="{00000000-0005-0000-0000-00006E2B0000}"/>
    <cellStyle name="20% - Accent6 5 8 2" xfId="11123" xr:uid="{00000000-0005-0000-0000-00006F2B0000}"/>
    <cellStyle name="20% - Accent6 5 8 2 2" xfId="11124" xr:uid="{00000000-0005-0000-0000-0000702B0000}"/>
    <cellStyle name="20% - Accent6 5 8 2 2 2" xfId="11125" xr:uid="{00000000-0005-0000-0000-0000712B0000}"/>
    <cellStyle name="20% - Accent6 5 8 2 2 2 2" xfId="11126" xr:uid="{00000000-0005-0000-0000-0000722B0000}"/>
    <cellStyle name="20% - Accent6 5 8 2 2 3" xfId="11127" xr:uid="{00000000-0005-0000-0000-0000732B0000}"/>
    <cellStyle name="20% - Accent6 5 8 2 3" xfId="11128" xr:uid="{00000000-0005-0000-0000-0000742B0000}"/>
    <cellStyle name="20% - Accent6 5 8 2 3 2" xfId="11129" xr:uid="{00000000-0005-0000-0000-0000752B0000}"/>
    <cellStyle name="20% - Accent6 5 8 2 4" xfId="11130" xr:uid="{00000000-0005-0000-0000-0000762B0000}"/>
    <cellStyle name="20% - Accent6 5 8 3" xfId="11131" xr:uid="{00000000-0005-0000-0000-0000772B0000}"/>
    <cellStyle name="20% - Accent6 5 8 3 2" xfId="11132" xr:uid="{00000000-0005-0000-0000-0000782B0000}"/>
    <cellStyle name="20% - Accent6 5 8 3 2 2" xfId="11133" xr:uid="{00000000-0005-0000-0000-0000792B0000}"/>
    <cellStyle name="20% - Accent6 5 8 3 3" xfId="11134" xr:uid="{00000000-0005-0000-0000-00007A2B0000}"/>
    <cellStyle name="20% - Accent6 5 8 4" xfId="11135" xr:uid="{00000000-0005-0000-0000-00007B2B0000}"/>
    <cellStyle name="20% - Accent6 5 8 4 2" xfId="11136" xr:uid="{00000000-0005-0000-0000-00007C2B0000}"/>
    <cellStyle name="20% - Accent6 5 8 4 2 2" xfId="11137" xr:uid="{00000000-0005-0000-0000-00007D2B0000}"/>
    <cellStyle name="20% - Accent6 5 8 4 3" xfId="11138" xr:uid="{00000000-0005-0000-0000-00007E2B0000}"/>
    <cellStyle name="20% - Accent6 5 8 5" xfId="11139" xr:uid="{00000000-0005-0000-0000-00007F2B0000}"/>
    <cellStyle name="20% - Accent6 5 8 5 2" xfId="11140" xr:uid="{00000000-0005-0000-0000-0000802B0000}"/>
    <cellStyle name="20% - Accent6 5 8 5 2 2" xfId="11141" xr:uid="{00000000-0005-0000-0000-0000812B0000}"/>
    <cellStyle name="20% - Accent6 5 8 5 3" xfId="11142" xr:uid="{00000000-0005-0000-0000-0000822B0000}"/>
    <cellStyle name="20% - Accent6 5 8 6" xfId="11143" xr:uid="{00000000-0005-0000-0000-0000832B0000}"/>
    <cellStyle name="20% - Accent6 5 8 6 2" xfId="11144" xr:uid="{00000000-0005-0000-0000-0000842B0000}"/>
    <cellStyle name="20% - Accent6 5 8 6 2 2" xfId="11145" xr:uid="{00000000-0005-0000-0000-0000852B0000}"/>
    <cellStyle name="20% - Accent6 5 8 6 3" xfId="11146" xr:uid="{00000000-0005-0000-0000-0000862B0000}"/>
    <cellStyle name="20% - Accent6 5 8 7" xfId="11147" xr:uid="{00000000-0005-0000-0000-0000872B0000}"/>
    <cellStyle name="20% - Accent6 5 8 7 2" xfId="11148" xr:uid="{00000000-0005-0000-0000-0000882B0000}"/>
    <cellStyle name="20% - Accent6 5 8 8" xfId="11149" xr:uid="{00000000-0005-0000-0000-0000892B0000}"/>
    <cellStyle name="20% - Accent6 5 9" xfId="11150" xr:uid="{00000000-0005-0000-0000-00008A2B0000}"/>
    <cellStyle name="20% - Accent6 5 9 2" xfId="11151" xr:uid="{00000000-0005-0000-0000-00008B2B0000}"/>
    <cellStyle name="20% - Accent6 5 9 2 2" xfId="11152" xr:uid="{00000000-0005-0000-0000-00008C2B0000}"/>
    <cellStyle name="20% - Accent6 5 9 2 2 2" xfId="11153" xr:uid="{00000000-0005-0000-0000-00008D2B0000}"/>
    <cellStyle name="20% - Accent6 5 9 2 2 2 2" xfId="11154" xr:uid="{00000000-0005-0000-0000-00008E2B0000}"/>
    <cellStyle name="20% - Accent6 5 9 2 2 3" xfId="11155" xr:uid="{00000000-0005-0000-0000-00008F2B0000}"/>
    <cellStyle name="20% - Accent6 5 9 2 3" xfId="11156" xr:uid="{00000000-0005-0000-0000-0000902B0000}"/>
    <cellStyle name="20% - Accent6 5 9 2 3 2" xfId="11157" xr:uid="{00000000-0005-0000-0000-0000912B0000}"/>
    <cellStyle name="20% - Accent6 5 9 2 4" xfId="11158" xr:uid="{00000000-0005-0000-0000-0000922B0000}"/>
    <cellStyle name="20% - Accent6 5 9 3" xfId="11159" xr:uid="{00000000-0005-0000-0000-0000932B0000}"/>
    <cellStyle name="20% - Accent6 5 9 3 2" xfId="11160" xr:uid="{00000000-0005-0000-0000-0000942B0000}"/>
    <cellStyle name="20% - Accent6 5 9 3 2 2" xfId="11161" xr:uid="{00000000-0005-0000-0000-0000952B0000}"/>
    <cellStyle name="20% - Accent6 5 9 3 3" xfId="11162" xr:uid="{00000000-0005-0000-0000-0000962B0000}"/>
    <cellStyle name="20% - Accent6 5 9 4" xfId="11163" xr:uid="{00000000-0005-0000-0000-0000972B0000}"/>
    <cellStyle name="20% - Accent6 5 9 4 2" xfId="11164" xr:uid="{00000000-0005-0000-0000-0000982B0000}"/>
    <cellStyle name="20% - Accent6 5 9 4 2 2" xfId="11165" xr:uid="{00000000-0005-0000-0000-0000992B0000}"/>
    <cellStyle name="20% - Accent6 5 9 4 3" xfId="11166" xr:uid="{00000000-0005-0000-0000-00009A2B0000}"/>
    <cellStyle name="20% - Accent6 5 9 5" xfId="11167" xr:uid="{00000000-0005-0000-0000-00009B2B0000}"/>
    <cellStyle name="20% - Accent6 5 9 5 2" xfId="11168" xr:uid="{00000000-0005-0000-0000-00009C2B0000}"/>
    <cellStyle name="20% - Accent6 5 9 5 2 2" xfId="11169" xr:uid="{00000000-0005-0000-0000-00009D2B0000}"/>
    <cellStyle name="20% - Accent6 5 9 5 3" xfId="11170" xr:uid="{00000000-0005-0000-0000-00009E2B0000}"/>
    <cellStyle name="20% - Accent6 5 9 6" xfId="11171" xr:uid="{00000000-0005-0000-0000-00009F2B0000}"/>
    <cellStyle name="20% - Accent6 5 9 6 2" xfId="11172" xr:uid="{00000000-0005-0000-0000-0000A02B0000}"/>
    <cellStyle name="20% - Accent6 5 9 6 2 2" xfId="11173" xr:uid="{00000000-0005-0000-0000-0000A12B0000}"/>
    <cellStyle name="20% - Accent6 5 9 6 3" xfId="11174" xr:uid="{00000000-0005-0000-0000-0000A22B0000}"/>
    <cellStyle name="20% - Accent6 5 9 7" xfId="11175" xr:uid="{00000000-0005-0000-0000-0000A32B0000}"/>
    <cellStyle name="20% - Accent6 5 9 7 2" xfId="11176" xr:uid="{00000000-0005-0000-0000-0000A42B0000}"/>
    <cellStyle name="20% - Accent6 5 9 8" xfId="11177" xr:uid="{00000000-0005-0000-0000-0000A52B0000}"/>
    <cellStyle name="20% - Accent6 6" xfId="11178" xr:uid="{00000000-0005-0000-0000-0000A62B0000}"/>
    <cellStyle name="40% - Accent1 2" xfId="11179" xr:uid="{00000000-0005-0000-0000-0000A72B0000}"/>
    <cellStyle name="40% - Accent1 3" xfId="11180" xr:uid="{00000000-0005-0000-0000-0000A82B0000}"/>
    <cellStyle name="40% - Accent1 4" xfId="11181" xr:uid="{00000000-0005-0000-0000-0000A92B0000}"/>
    <cellStyle name="40% - Accent1 5" xfId="11182" xr:uid="{00000000-0005-0000-0000-0000AA2B0000}"/>
    <cellStyle name="40% - Accent1 5 10" xfId="11183" xr:uid="{00000000-0005-0000-0000-0000AB2B0000}"/>
    <cellStyle name="40% - Accent1 5 10 2" xfId="11184" xr:uid="{00000000-0005-0000-0000-0000AC2B0000}"/>
    <cellStyle name="40% - Accent1 5 10 2 2" xfId="11185" xr:uid="{00000000-0005-0000-0000-0000AD2B0000}"/>
    <cellStyle name="40% - Accent1 5 10 2 2 2" xfId="11186" xr:uid="{00000000-0005-0000-0000-0000AE2B0000}"/>
    <cellStyle name="40% - Accent1 5 10 2 2 2 2" xfId="11187" xr:uid="{00000000-0005-0000-0000-0000AF2B0000}"/>
    <cellStyle name="40% - Accent1 5 10 2 2 3" xfId="11188" xr:uid="{00000000-0005-0000-0000-0000B02B0000}"/>
    <cellStyle name="40% - Accent1 5 10 2 3" xfId="11189" xr:uid="{00000000-0005-0000-0000-0000B12B0000}"/>
    <cellStyle name="40% - Accent1 5 10 2 3 2" xfId="11190" xr:uid="{00000000-0005-0000-0000-0000B22B0000}"/>
    <cellStyle name="40% - Accent1 5 10 2 4" xfId="11191" xr:uid="{00000000-0005-0000-0000-0000B32B0000}"/>
    <cellStyle name="40% - Accent1 5 10 3" xfId="11192" xr:uid="{00000000-0005-0000-0000-0000B42B0000}"/>
    <cellStyle name="40% - Accent1 5 10 3 2" xfId="11193" xr:uid="{00000000-0005-0000-0000-0000B52B0000}"/>
    <cellStyle name="40% - Accent1 5 10 3 2 2" xfId="11194" xr:uid="{00000000-0005-0000-0000-0000B62B0000}"/>
    <cellStyle name="40% - Accent1 5 10 3 3" xfId="11195" xr:uid="{00000000-0005-0000-0000-0000B72B0000}"/>
    <cellStyle name="40% - Accent1 5 10 4" xfId="11196" xr:uid="{00000000-0005-0000-0000-0000B82B0000}"/>
    <cellStyle name="40% - Accent1 5 10 4 2" xfId="11197" xr:uid="{00000000-0005-0000-0000-0000B92B0000}"/>
    <cellStyle name="40% - Accent1 5 10 4 2 2" xfId="11198" xr:uid="{00000000-0005-0000-0000-0000BA2B0000}"/>
    <cellStyle name="40% - Accent1 5 10 4 3" xfId="11199" xr:uid="{00000000-0005-0000-0000-0000BB2B0000}"/>
    <cellStyle name="40% - Accent1 5 10 5" xfId="11200" xr:uid="{00000000-0005-0000-0000-0000BC2B0000}"/>
    <cellStyle name="40% - Accent1 5 10 5 2" xfId="11201" xr:uid="{00000000-0005-0000-0000-0000BD2B0000}"/>
    <cellStyle name="40% - Accent1 5 10 5 2 2" xfId="11202" xr:uid="{00000000-0005-0000-0000-0000BE2B0000}"/>
    <cellStyle name="40% - Accent1 5 10 5 3" xfId="11203" xr:uid="{00000000-0005-0000-0000-0000BF2B0000}"/>
    <cellStyle name="40% - Accent1 5 10 6" xfId="11204" xr:uid="{00000000-0005-0000-0000-0000C02B0000}"/>
    <cellStyle name="40% - Accent1 5 10 6 2" xfId="11205" xr:uid="{00000000-0005-0000-0000-0000C12B0000}"/>
    <cellStyle name="40% - Accent1 5 10 6 2 2" xfId="11206" xr:uid="{00000000-0005-0000-0000-0000C22B0000}"/>
    <cellStyle name="40% - Accent1 5 10 6 3" xfId="11207" xr:uid="{00000000-0005-0000-0000-0000C32B0000}"/>
    <cellStyle name="40% - Accent1 5 10 7" xfId="11208" xr:uid="{00000000-0005-0000-0000-0000C42B0000}"/>
    <cellStyle name="40% - Accent1 5 10 7 2" xfId="11209" xr:uid="{00000000-0005-0000-0000-0000C52B0000}"/>
    <cellStyle name="40% - Accent1 5 10 8" xfId="11210" xr:uid="{00000000-0005-0000-0000-0000C62B0000}"/>
    <cellStyle name="40% - Accent1 5 11" xfId="11211" xr:uid="{00000000-0005-0000-0000-0000C72B0000}"/>
    <cellStyle name="40% - Accent1 5 11 2" xfId="11212" xr:uid="{00000000-0005-0000-0000-0000C82B0000}"/>
    <cellStyle name="40% - Accent1 5 11 2 2" xfId="11213" xr:uid="{00000000-0005-0000-0000-0000C92B0000}"/>
    <cellStyle name="40% - Accent1 5 11 2 2 2" xfId="11214" xr:uid="{00000000-0005-0000-0000-0000CA2B0000}"/>
    <cellStyle name="40% - Accent1 5 11 2 2 2 2" xfId="11215" xr:uid="{00000000-0005-0000-0000-0000CB2B0000}"/>
    <cellStyle name="40% - Accent1 5 11 2 2 3" xfId="11216" xr:uid="{00000000-0005-0000-0000-0000CC2B0000}"/>
    <cellStyle name="40% - Accent1 5 11 2 3" xfId="11217" xr:uid="{00000000-0005-0000-0000-0000CD2B0000}"/>
    <cellStyle name="40% - Accent1 5 11 2 3 2" xfId="11218" xr:uid="{00000000-0005-0000-0000-0000CE2B0000}"/>
    <cellStyle name="40% - Accent1 5 11 2 4" xfId="11219" xr:uid="{00000000-0005-0000-0000-0000CF2B0000}"/>
    <cellStyle name="40% - Accent1 5 11 3" xfId="11220" xr:uid="{00000000-0005-0000-0000-0000D02B0000}"/>
    <cellStyle name="40% - Accent1 5 11 3 2" xfId="11221" xr:uid="{00000000-0005-0000-0000-0000D12B0000}"/>
    <cellStyle name="40% - Accent1 5 11 3 2 2" xfId="11222" xr:uid="{00000000-0005-0000-0000-0000D22B0000}"/>
    <cellStyle name="40% - Accent1 5 11 3 3" xfId="11223" xr:uid="{00000000-0005-0000-0000-0000D32B0000}"/>
    <cellStyle name="40% - Accent1 5 11 4" xfId="11224" xr:uid="{00000000-0005-0000-0000-0000D42B0000}"/>
    <cellStyle name="40% - Accent1 5 11 4 2" xfId="11225" xr:uid="{00000000-0005-0000-0000-0000D52B0000}"/>
    <cellStyle name="40% - Accent1 5 11 5" xfId="11226" xr:uid="{00000000-0005-0000-0000-0000D62B0000}"/>
    <cellStyle name="40% - Accent1 5 12" xfId="11227" xr:uid="{00000000-0005-0000-0000-0000D72B0000}"/>
    <cellStyle name="40% - Accent1 5 12 2" xfId="11228" xr:uid="{00000000-0005-0000-0000-0000D82B0000}"/>
    <cellStyle name="40% - Accent1 5 12 2 2" xfId="11229" xr:uid="{00000000-0005-0000-0000-0000D92B0000}"/>
    <cellStyle name="40% - Accent1 5 12 2 2 2" xfId="11230" xr:uid="{00000000-0005-0000-0000-0000DA2B0000}"/>
    <cellStyle name="40% - Accent1 5 12 2 2 2 2" xfId="11231" xr:uid="{00000000-0005-0000-0000-0000DB2B0000}"/>
    <cellStyle name="40% - Accent1 5 12 2 2 3" xfId="11232" xr:uid="{00000000-0005-0000-0000-0000DC2B0000}"/>
    <cellStyle name="40% - Accent1 5 12 2 3" xfId="11233" xr:uid="{00000000-0005-0000-0000-0000DD2B0000}"/>
    <cellStyle name="40% - Accent1 5 12 2 3 2" xfId="11234" xr:uid="{00000000-0005-0000-0000-0000DE2B0000}"/>
    <cellStyle name="40% - Accent1 5 12 2 4" xfId="11235" xr:uid="{00000000-0005-0000-0000-0000DF2B0000}"/>
    <cellStyle name="40% - Accent1 5 12 3" xfId="11236" xr:uid="{00000000-0005-0000-0000-0000E02B0000}"/>
    <cellStyle name="40% - Accent1 5 12 3 2" xfId="11237" xr:uid="{00000000-0005-0000-0000-0000E12B0000}"/>
    <cellStyle name="40% - Accent1 5 12 3 2 2" xfId="11238" xr:uid="{00000000-0005-0000-0000-0000E22B0000}"/>
    <cellStyle name="40% - Accent1 5 12 3 3" xfId="11239" xr:uid="{00000000-0005-0000-0000-0000E32B0000}"/>
    <cellStyle name="40% - Accent1 5 12 4" xfId="11240" xr:uid="{00000000-0005-0000-0000-0000E42B0000}"/>
    <cellStyle name="40% - Accent1 5 12 4 2" xfId="11241" xr:uid="{00000000-0005-0000-0000-0000E52B0000}"/>
    <cellStyle name="40% - Accent1 5 12 5" xfId="11242" xr:uid="{00000000-0005-0000-0000-0000E62B0000}"/>
    <cellStyle name="40% - Accent1 5 13" xfId="11243" xr:uid="{00000000-0005-0000-0000-0000E72B0000}"/>
    <cellStyle name="40% - Accent1 5 13 2" xfId="11244" xr:uid="{00000000-0005-0000-0000-0000E82B0000}"/>
    <cellStyle name="40% - Accent1 5 13 2 2" xfId="11245" xr:uid="{00000000-0005-0000-0000-0000E92B0000}"/>
    <cellStyle name="40% - Accent1 5 13 2 2 2" xfId="11246" xr:uid="{00000000-0005-0000-0000-0000EA2B0000}"/>
    <cellStyle name="40% - Accent1 5 13 2 2 2 2" xfId="11247" xr:uid="{00000000-0005-0000-0000-0000EB2B0000}"/>
    <cellStyle name="40% - Accent1 5 13 2 2 3" xfId="11248" xr:uid="{00000000-0005-0000-0000-0000EC2B0000}"/>
    <cellStyle name="40% - Accent1 5 13 2 3" xfId="11249" xr:uid="{00000000-0005-0000-0000-0000ED2B0000}"/>
    <cellStyle name="40% - Accent1 5 13 2 3 2" xfId="11250" xr:uid="{00000000-0005-0000-0000-0000EE2B0000}"/>
    <cellStyle name="40% - Accent1 5 13 2 4" xfId="11251" xr:uid="{00000000-0005-0000-0000-0000EF2B0000}"/>
    <cellStyle name="40% - Accent1 5 13 3" xfId="11252" xr:uid="{00000000-0005-0000-0000-0000F02B0000}"/>
    <cellStyle name="40% - Accent1 5 13 3 2" xfId="11253" xr:uid="{00000000-0005-0000-0000-0000F12B0000}"/>
    <cellStyle name="40% - Accent1 5 13 3 2 2" xfId="11254" xr:uid="{00000000-0005-0000-0000-0000F22B0000}"/>
    <cellStyle name="40% - Accent1 5 13 3 3" xfId="11255" xr:uid="{00000000-0005-0000-0000-0000F32B0000}"/>
    <cellStyle name="40% - Accent1 5 13 4" xfId="11256" xr:uid="{00000000-0005-0000-0000-0000F42B0000}"/>
    <cellStyle name="40% - Accent1 5 13 4 2" xfId="11257" xr:uid="{00000000-0005-0000-0000-0000F52B0000}"/>
    <cellStyle name="40% - Accent1 5 13 5" xfId="11258" xr:uid="{00000000-0005-0000-0000-0000F62B0000}"/>
    <cellStyle name="40% - Accent1 5 14" xfId="11259" xr:uid="{00000000-0005-0000-0000-0000F72B0000}"/>
    <cellStyle name="40% - Accent1 5 14 2" xfId="11260" xr:uid="{00000000-0005-0000-0000-0000F82B0000}"/>
    <cellStyle name="40% - Accent1 5 14 2 2" xfId="11261" xr:uid="{00000000-0005-0000-0000-0000F92B0000}"/>
    <cellStyle name="40% - Accent1 5 14 2 2 2" xfId="11262" xr:uid="{00000000-0005-0000-0000-0000FA2B0000}"/>
    <cellStyle name="40% - Accent1 5 14 2 3" xfId="11263" xr:uid="{00000000-0005-0000-0000-0000FB2B0000}"/>
    <cellStyle name="40% - Accent1 5 14 3" xfId="11264" xr:uid="{00000000-0005-0000-0000-0000FC2B0000}"/>
    <cellStyle name="40% - Accent1 5 14 3 2" xfId="11265" xr:uid="{00000000-0005-0000-0000-0000FD2B0000}"/>
    <cellStyle name="40% - Accent1 5 14 4" xfId="11266" xr:uid="{00000000-0005-0000-0000-0000FE2B0000}"/>
    <cellStyle name="40% - Accent1 5 15" xfId="11267" xr:uid="{00000000-0005-0000-0000-0000FF2B0000}"/>
    <cellStyle name="40% - Accent1 5 15 2" xfId="11268" xr:uid="{00000000-0005-0000-0000-0000002C0000}"/>
    <cellStyle name="40% - Accent1 5 15 2 2" xfId="11269" xr:uid="{00000000-0005-0000-0000-0000012C0000}"/>
    <cellStyle name="40% - Accent1 5 15 2 2 2" xfId="11270" xr:uid="{00000000-0005-0000-0000-0000022C0000}"/>
    <cellStyle name="40% - Accent1 5 15 2 3" xfId="11271" xr:uid="{00000000-0005-0000-0000-0000032C0000}"/>
    <cellStyle name="40% - Accent1 5 15 3" xfId="11272" xr:uid="{00000000-0005-0000-0000-0000042C0000}"/>
    <cellStyle name="40% - Accent1 5 15 3 2" xfId="11273" xr:uid="{00000000-0005-0000-0000-0000052C0000}"/>
    <cellStyle name="40% - Accent1 5 15 4" xfId="11274" xr:uid="{00000000-0005-0000-0000-0000062C0000}"/>
    <cellStyle name="40% - Accent1 5 16" xfId="11275" xr:uid="{00000000-0005-0000-0000-0000072C0000}"/>
    <cellStyle name="40% - Accent1 5 16 2" xfId="11276" xr:uid="{00000000-0005-0000-0000-0000082C0000}"/>
    <cellStyle name="40% - Accent1 5 16 2 2" xfId="11277" xr:uid="{00000000-0005-0000-0000-0000092C0000}"/>
    <cellStyle name="40% - Accent1 5 16 3" xfId="11278" xr:uid="{00000000-0005-0000-0000-00000A2C0000}"/>
    <cellStyle name="40% - Accent1 5 17" xfId="11279" xr:uid="{00000000-0005-0000-0000-00000B2C0000}"/>
    <cellStyle name="40% - Accent1 5 17 2" xfId="11280" xr:uid="{00000000-0005-0000-0000-00000C2C0000}"/>
    <cellStyle name="40% - Accent1 5 17 2 2" xfId="11281" xr:uid="{00000000-0005-0000-0000-00000D2C0000}"/>
    <cellStyle name="40% - Accent1 5 17 3" xfId="11282" xr:uid="{00000000-0005-0000-0000-00000E2C0000}"/>
    <cellStyle name="40% - Accent1 5 18" xfId="11283" xr:uid="{00000000-0005-0000-0000-00000F2C0000}"/>
    <cellStyle name="40% - Accent1 5 18 2" xfId="11284" xr:uid="{00000000-0005-0000-0000-0000102C0000}"/>
    <cellStyle name="40% - Accent1 5 18 2 2" xfId="11285" xr:uid="{00000000-0005-0000-0000-0000112C0000}"/>
    <cellStyle name="40% - Accent1 5 18 3" xfId="11286" xr:uid="{00000000-0005-0000-0000-0000122C0000}"/>
    <cellStyle name="40% - Accent1 5 19" xfId="11287" xr:uid="{00000000-0005-0000-0000-0000132C0000}"/>
    <cellStyle name="40% - Accent1 5 19 2" xfId="11288" xr:uid="{00000000-0005-0000-0000-0000142C0000}"/>
    <cellStyle name="40% - Accent1 5 19 2 2" xfId="11289" xr:uid="{00000000-0005-0000-0000-0000152C0000}"/>
    <cellStyle name="40% - Accent1 5 19 3" xfId="11290" xr:uid="{00000000-0005-0000-0000-0000162C0000}"/>
    <cellStyle name="40% - Accent1 5 2" xfId="11291" xr:uid="{00000000-0005-0000-0000-0000172C0000}"/>
    <cellStyle name="40% - Accent1 5 2 10" xfId="11292" xr:uid="{00000000-0005-0000-0000-0000182C0000}"/>
    <cellStyle name="40% - Accent1 5 2 10 2" xfId="11293" xr:uid="{00000000-0005-0000-0000-0000192C0000}"/>
    <cellStyle name="40% - Accent1 5 2 10 2 2" xfId="11294" xr:uid="{00000000-0005-0000-0000-00001A2C0000}"/>
    <cellStyle name="40% - Accent1 5 2 10 2 2 2" xfId="11295" xr:uid="{00000000-0005-0000-0000-00001B2C0000}"/>
    <cellStyle name="40% - Accent1 5 2 10 2 2 2 2" xfId="11296" xr:uid="{00000000-0005-0000-0000-00001C2C0000}"/>
    <cellStyle name="40% - Accent1 5 2 10 2 2 3" xfId="11297" xr:uid="{00000000-0005-0000-0000-00001D2C0000}"/>
    <cellStyle name="40% - Accent1 5 2 10 2 3" xfId="11298" xr:uid="{00000000-0005-0000-0000-00001E2C0000}"/>
    <cellStyle name="40% - Accent1 5 2 10 2 3 2" xfId="11299" xr:uid="{00000000-0005-0000-0000-00001F2C0000}"/>
    <cellStyle name="40% - Accent1 5 2 10 2 4" xfId="11300" xr:uid="{00000000-0005-0000-0000-0000202C0000}"/>
    <cellStyle name="40% - Accent1 5 2 10 3" xfId="11301" xr:uid="{00000000-0005-0000-0000-0000212C0000}"/>
    <cellStyle name="40% - Accent1 5 2 10 3 2" xfId="11302" xr:uid="{00000000-0005-0000-0000-0000222C0000}"/>
    <cellStyle name="40% - Accent1 5 2 10 3 2 2" xfId="11303" xr:uid="{00000000-0005-0000-0000-0000232C0000}"/>
    <cellStyle name="40% - Accent1 5 2 10 3 3" xfId="11304" xr:uid="{00000000-0005-0000-0000-0000242C0000}"/>
    <cellStyle name="40% - Accent1 5 2 10 4" xfId="11305" xr:uid="{00000000-0005-0000-0000-0000252C0000}"/>
    <cellStyle name="40% - Accent1 5 2 10 4 2" xfId="11306" xr:uid="{00000000-0005-0000-0000-0000262C0000}"/>
    <cellStyle name="40% - Accent1 5 2 10 5" xfId="11307" xr:uid="{00000000-0005-0000-0000-0000272C0000}"/>
    <cellStyle name="40% - Accent1 5 2 11" xfId="11308" xr:uid="{00000000-0005-0000-0000-0000282C0000}"/>
    <cellStyle name="40% - Accent1 5 2 11 2" xfId="11309" xr:uid="{00000000-0005-0000-0000-0000292C0000}"/>
    <cellStyle name="40% - Accent1 5 2 11 2 2" xfId="11310" xr:uid="{00000000-0005-0000-0000-00002A2C0000}"/>
    <cellStyle name="40% - Accent1 5 2 11 2 2 2" xfId="11311" xr:uid="{00000000-0005-0000-0000-00002B2C0000}"/>
    <cellStyle name="40% - Accent1 5 2 11 2 2 2 2" xfId="11312" xr:uid="{00000000-0005-0000-0000-00002C2C0000}"/>
    <cellStyle name="40% - Accent1 5 2 11 2 2 3" xfId="11313" xr:uid="{00000000-0005-0000-0000-00002D2C0000}"/>
    <cellStyle name="40% - Accent1 5 2 11 2 3" xfId="11314" xr:uid="{00000000-0005-0000-0000-00002E2C0000}"/>
    <cellStyle name="40% - Accent1 5 2 11 2 3 2" xfId="11315" xr:uid="{00000000-0005-0000-0000-00002F2C0000}"/>
    <cellStyle name="40% - Accent1 5 2 11 2 4" xfId="11316" xr:uid="{00000000-0005-0000-0000-0000302C0000}"/>
    <cellStyle name="40% - Accent1 5 2 11 3" xfId="11317" xr:uid="{00000000-0005-0000-0000-0000312C0000}"/>
    <cellStyle name="40% - Accent1 5 2 11 3 2" xfId="11318" xr:uid="{00000000-0005-0000-0000-0000322C0000}"/>
    <cellStyle name="40% - Accent1 5 2 11 3 2 2" xfId="11319" xr:uid="{00000000-0005-0000-0000-0000332C0000}"/>
    <cellStyle name="40% - Accent1 5 2 11 3 3" xfId="11320" xr:uid="{00000000-0005-0000-0000-0000342C0000}"/>
    <cellStyle name="40% - Accent1 5 2 11 4" xfId="11321" xr:uid="{00000000-0005-0000-0000-0000352C0000}"/>
    <cellStyle name="40% - Accent1 5 2 11 4 2" xfId="11322" xr:uid="{00000000-0005-0000-0000-0000362C0000}"/>
    <cellStyle name="40% - Accent1 5 2 11 5" xfId="11323" xr:uid="{00000000-0005-0000-0000-0000372C0000}"/>
    <cellStyle name="40% - Accent1 5 2 12" xfId="11324" xr:uid="{00000000-0005-0000-0000-0000382C0000}"/>
    <cellStyle name="40% - Accent1 5 2 12 2" xfId="11325" xr:uid="{00000000-0005-0000-0000-0000392C0000}"/>
    <cellStyle name="40% - Accent1 5 2 12 2 2" xfId="11326" xr:uid="{00000000-0005-0000-0000-00003A2C0000}"/>
    <cellStyle name="40% - Accent1 5 2 12 2 2 2" xfId="11327" xr:uid="{00000000-0005-0000-0000-00003B2C0000}"/>
    <cellStyle name="40% - Accent1 5 2 12 2 2 2 2" xfId="11328" xr:uid="{00000000-0005-0000-0000-00003C2C0000}"/>
    <cellStyle name="40% - Accent1 5 2 12 2 2 3" xfId="11329" xr:uid="{00000000-0005-0000-0000-00003D2C0000}"/>
    <cellStyle name="40% - Accent1 5 2 12 2 3" xfId="11330" xr:uid="{00000000-0005-0000-0000-00003E2C0000}"/>
    <cellStyle name="40% - Accent1 5 2 12 2 3 2" xfId="11331" xr:uid="{00000000-0005-0000-0000-00003F2C0000}"/>
    <cellStyle name="40% - Accent1 5 2 12 2 4" xfId="11332" xr:uid="{00000000-0005-0000-0000-0000402C0000}"/>
    <cellStyle name="40% - Accent1 5 2 12 3" xfId="11333" xr:uid="{00000000-0005-0000-0000-0000412C0000}"/>
    <cellStyle name="40% - Accent1 5 2 12 3 2" xfId="11334" xr:uid="{00000000-0005-0000-0000-0000422C0000}"/>
    <cellStyle name="40% - Accent1 5 2 12 3 2 2" xfId="11335" xr:uid="{00000000-0005-0000-0000-0000432C0000}"/>
    <cellStyle name="40% - Accent1 5 2 12 3 3" xfId="11336" xr:uid="{00000000-0005-0000-0000-0000442C0000}"/>
    <cellStyle name="40% - Accent1 5 2 12 4" xfId="11337" xr:uid="{00000000-0005-0000-0000-0000452C0000}"/>
    <cellStyle name="40% - Accent1 5 2 12 4 2" xfId="11338" xr:uid="{00000000-0005-0000-0000-0000462C0000}"/>
    <cellStyle name="40% - Accent1 5 2 12 5" xfId="11339" xr:uid="{00000000-0005-0000-0000-0000472C0000}"/>
    <cellStyle name="40% - Accent1 5 2 13" xfId="11340" xr:uid="{00000000-0005-0000-0000-0000482C0000}"/>
    <cellStyle name="40% - Accent1 5 2 13 2" xfId="11341" xr:uid="{00000000-0005-0000-0000-0000492C0000}"/>
    <cellStyle name="40% - Accent1 5 2 13 2 2" xfId="11342" xr:uid="{00000000-0005-0000-0000-00004A2C0000}"/>
    <cellStyle name="40% - Accent1 5 2 13 2 2 2" xfId="11343" xr:uid="{00000000-0005-0000-0000-00004B2C0000}"/>
    <cellStyle name="40% - Accent1 5 2 13 2 3" xfId="11344" xr:uid="{00000000-0005-0000-0000-00004C2C0000}"/>
    <cellStyle name="40% - Accent1 5 2 13 3" xfId="11345" xr:uid="{00000000-0005-0000-0000-00004D2C0000}"/>
    <cellStyle name="40% - Accent1 5 2 13 3 2" xfId="11346" xr:uid="{00000000-0005-0000-0000-00004E2C0000}"/>
    <cellStyle name="40% - Accent1 5 2 13 4" xfId="11347" xr:uid="{00000000-0005-0000-0000-00004F2C0000}"/>
    <cellStyle name="40% - Accent1 5 2 14" xfId="11348" xr:uid="{00000000-0005-0000-0000-0000502C0000}"/>
    <cellStyle name="40% - Accent1 5 2 14 2" xfId="11349" xr:uid="{00000000-0005-0000-0000-0000512C0000}"/>
    <cellStyle name="40% - Accent1 5 2 14 2 2" xfId="11350" xr:uid="{00000000-0005-0000-0000-0000522C0000}"/>
    <cellStyle name="40% - Accent1 5 2 14 2 2 2" xfId="11351" xr:uid="{00000000-0005-0000-0000-0000532C0000}"/>
    <cellStyle name="40% - Accent1 5 2 14 2 3" xfId="11352" xr:uid="{00000000-0005-0000-0000-0000542C0000}"/>
    <cellStyle name="40% - Accent1 5 2 14 3" xfId="11353" xr:uid="{00000000-0005-0000-0000-0000552C0000}"/>
    <cellStyle name="40% - Accent1 5 2 14 3 2" xfId="11354" xr:uid="{00000000-0005-0000-0000-0000562C0000}"/>
    <cellStyle name="40% - Accent1 5 2 14 4" xfId="11355" xr:uid="{00000000-0005-0000-0000-0000572C0000}"/>
    <cellStyle name="40% - Accent1 5 2 15" xfId="11356" xr:uid="{00000000-0005-0000-0000-0000582C0000}"/>
    <cellStyle name="40% - Accent1 5 2 15 2" xfId="11357" xr:uid="{00000000-0005-0000-0000-0000592C0000}"/>
    <cellStyle name="40% - Accent1 5 2 15 2 2" xfId="11358" xr:uid="{00000000-0005-0000-0000-00005A2C0000}"/>
    <cellStyle name="40% - Accent1 5 2 15 3" xfId="11359" xr:uid="{00000000-0005-0000-0000-00005B2C0000}"/>
    <cellStyle name="40% - Accent1 5 2 16" xfId="11360" xr:uid="{00000000-0005-0000-0000-00005C2C0000}"/>
    <cellStyle name="40% - Accent1 5 2 16 2" xfId="11361" xr:uid="{00000000-0005-0000-0000-00005D2C0000}"/>
    <cellStyle name="40% - Accent1 5 2 16 2 2" xfId="11362" xr:uid="{00000000-0005-0000-0000-00005E2C0000}"/>
    <cellStyle name="40% - Accent1 5 2 16 3" xfId="11363" xr:uid="{00000000-0005-0000-0000-00005F2C0000}"/>
    <cellStyle name="40% - Accent1 5 2 17" xfId="11364" xr:uid="{00000000-0005-0000-0000-0000602C0000}"/>
    <cellStyle name="40% - Accent1 5 2 17 2" xfId="11365" xr:uid="{00000000-0005-0000-0000-0000612C0000}"/>
    <cellStyle name="40% - Accent1 5 2 17 2 2" xfId="11366" xr:uid="{00000000-0005-0000-0000-0000622C0000}"/>
    <cellStyle name="40% - Accent1 5 2 17 3" xfId="11367" xr:uid="{00000000-0005-0000-0000-0000632C0000}"/>
    <cellStyle name="40% - Accent1 5 2 18" xfId="11368" xr:uid="{00000000-0005-0000-0000-0000642C0000}"/>
    <cellStyle name="40% - Accent1 5 2 18 2" xfId="11369" xr:uid="{00000000-0005-0000-0000-0000652C0000}"/>
    <cellStyle name="40% - Accent1 5 2 18 2 2" xfId="11370" xr:uid="{00000000-0005-0000-0000-0000662C0000}"/>
    <cellStyle name="40% - Accent1 5 2 18 3" xfId="11371" xr:uid="{00000000-0005-0000-0000-0000672C0000}"/>
    <cellStyle name="40% - Accent1 5 2 19" xfId="11372" xr:uid="{00000000-0005-0000-0000-0000682C0000}"/>
    <cellStyle name="40% - Accent1 5 2 19 2" xfId="11373" xr:uid="{00000000-0005-0000-0000-0000692C0000}"/>
    <cellStyle name="40% - Accent1 5 2 2" xfId="11374" xr:uid="{00000000-0005-0000-0000-00006A2C0000}"/>
    <cellStyle name="40% - Accent1 5 2 2 10" xfId="11375" xr:uid="{00000000-0005-0000-0000-00006B2C0000}"/>
    <cellStyle name="40% - Accent1 5 2 2 10 2" xfId="11376" xr:uid="{00000000-0005-0000-0000-00006C2C0000}"/>
    <cellStyle name="40% - Accent1 5 2 2 10 2 2" xfId="11377" xr:uid="{00000000-0005-0000-0000-00006D2C0000}"/>
    <cellStyle name="40% - Accent1 5 2 2 10 3" xfId="11378" xr:uid="{00000000-0005-0000-0000-00006E2C0000}"/>
    <cellStyle name="40% - Accent1 5 2 2 11" xfId="11379" xr:uid="{00000000-0005-0000-0000-00006F2C0000}"/>
    <cellStyle name="40% - Accent1 5 2 2 11 2" xfId="11380" xr:uid="{00000000-0005-0000-0000-0000702C0000}"/>
    <cellStyle name="40% - Accent1 5 2 2 11 2 2" xfId="11381" xr:uid="{00000000-0005-0000-0000-0000712C0000}"/>
    <cellStyle name="40% - Accent1 5 2 2 11 3" xfId="11382" xr:uid="{00000000-0005-0000-0000-0000722C0000}"/>
    <cellStyle name="40% - Accent1 5 2 2 12" xfId="11383" xr:uid="{00000000-0005-0000-0000-0000732C0000}"/>
    <cellStyle name="40% - Accent1 5 2 2 12 2" xfId="11384" xr:uid="{00000000-0005-0000-0000-0000742C0000}"/>
    <cellStyle name="40% - Accent1 5 2 2 12 2 2" xfId="11385" xr:uid="{00000000-0005-0000-0000-0000752C0000}"/>
    <cellStyle name="40% - Accent1 5 2 2 12 3" xfId="11386" xr:uid="{00000000-0005-0000-0000-0000762C0000}"/>
    <cellStyle name="40% - Accent1 5 2 2 13" xfId="11387" xr:uid="{00000000-0005-0000-0000-0000772C0000}"/>
    <cellStyle name="40% - Accent1 5 2 2 13 2" xfId="11388" xr:uid="{00000000-0005-0000-0000-0000782C0000}"/>
    <cellStyle name="40% - Accent1 5 2 2 14" xfId="11389" xr:uid="{00000000-0005-0000-0000-0000792C0000}"/>
    <cellStyle name="40% - Accent1 5 2 2 2" xfId="11390" xr:uid="{00000000-0005-0000-0000-00007A2C0000}"/>
    <cellStyle name="40% - Accent1 5 2 2 2 2" xfId="11391" xr:uid="{00000000-0005-0000-0000-00007B2C0000}"/>
    <cellStyle name="40% - Accent1 5 2 2 2 2 2" xfId="11392" xr:uid="{00000000-0005-0000-0000-00007C2C0000}"/>
    <cellStyle name="40% - Accent1 5 2 2 2 2 2 2" xfId="11393" xr:uid="{00000000-0005-0000-0000-00007D2C0000}"/>
    <cellStyle name="40% - Accent1 5 2 2 2 2 2 2 2" xfId="11394" xr:uid="{00000000-0005-0000-0000-00007E2C0000}"/>
    <cellStyle name="40% - Accent1 5 2 2 2 2 2 3" xfId="11395" xr:uid="{00000000-0005-0000-0000-00007F2C0000}"/>
    <cellStyle name="40% - Accent1 5 2 2 2 2 3" xfId="11396" xr:uid="{00000000-0005-0000-0000-0000802C0000}"/>
    <cellStyle name="40% - Accent1 5 2 2 2 2 3 2" xfId="11397" xr:uid="{00000000-0005-0000-0000-0000812C0000}"/>
    <cellStyle name="40% - Accent1 5 2 2 2 2 4" xfId="11398" xr:uid="{00000000-0005-0000-0000-0000822C0000}"/>
    <cellStyle name="40% - Accent1 5 2 2 2 3" xfId="11399" xr:uid="{00000000-0005-0000-0000-0000832C0000}"/>
    <cellStyle name="40% - Accent1 5 2 2 2 3 2" xfId="11400" xr:uid="{00000000-0005-0000-0000-0000842C0000}"/>
    <cellStyle name="40% - Accent1 5 2 2 2 3 2 2" xfId="11401" xr:uid="{00000000-0005-0000-0000-0000852C0000}"/>
    <cellStyle name="40% - Accent1 5 2 2 2 3 3" xfId="11402" xr:uid="{00000000-0005-0000-0000-0000862C0000}"/>
    <cellStyle name="40% - Accent1 5 2 2 2 4" xfId="11403" xr:uid="{00000000-0005-0000-0000-0000872C0000}"/>
    <cellStyle name="40% - Accent1 5 2 2 2 4 2" xfId="11404" xr:uid="{00000000-0005-0000-0000-0000882C0000}"/>
    <cellStyle name="40% - Accent1 5 2 2 2 4 2 2" xfId="11405" xr:uid="{00000000-0005-0000-0000-0000892C0000}"/>
    <cellStyle name="40% - Accent1 5 2 2 2 4 3" xfId="11406" xr:uid="{00000000-0005-0000-0000-00008A2C0000}"/>
    <cellStyle name="40% - Accent1 5 2 2 2 5" xfId="11407" xr:uid="{00000000-0005-0000-0000-00008B2C0000}"/>
    <cellStyle name="40% - Accent1 5 2 2 2 5 2" xfId="11408" xr:uid="{00000000-0005-0000-0000-00008C2C0000}"/>
    <cellStyle name="40% - Accent1 5 2 2 2 5 2 2" xfId="11409" xr:uid="{00000000-0005-0000-0000-00008D2C0000}"/>
    <cellStyle name="40% - Accent1 5 2 2 2 5 3" xfId="11410" xr:uid="{00000000-0005-0000-0000-00008E2C0000}"/>
    <cellStyle name="40% - Accent1 5 2 2 2 6" xfId="11411" xr:uid="{00000000-0005-0000-0000-00008F2C0000}"/>
    <cellStyle name="40% - Accent1 5 2 2 2 6 2" xfId="11412" xr:uid="{00000000-0005-0000-0000-0000902C0000}"/>
    <cellStyle name="40% - Accent1 5 2 2 2 6 2 2" xfId="11413" xr:uid="{00000000-0005-0000-0000-0000912C0000}"/>
    <cellStyle name="40% - Accent1 5 2 2 2 6 3" xfId="11414" xr:uid="{00000000-0005-0000-0000-0000922C0000}"/>
    <cellStyle name="40% - Accent1 5 2 2 2 7" xfId="11415" xr:uid="{00000000-0005-0000-0000-0000932C0000}"/>
    <cellStyle name="40% - Accent1 5 2 2 2 7 2" xfId="11416" xr:uid="{00000000-0005-0000-0000-0000942C0000}"/>
    <cellStyle name="40% - Accent1 5 2 2 2 8" xfId="11417" xr:uid="{00000000-0005-0000-0000-0000952C0000}"/>
    <cellStyle name="40% - Accent1 5 2 2 3" xfId="11418" xr:uid="{00000000-0005-0000-0000-0000962C0000}"/>
    <cellStyle name="40% - Accent1 5 2 2 3 2" xfId="11419" xr:uid="{00000000-0005-0000-0000-0000972C0000}"/>
    <cellStyle name="40% - Accent1 5 2 2 3 2 2" xfId="11420" xr:uid="{00000000-0005-0000-0000-0000982C0000}"/>
    <cellStyle name="40% - Accent1 5 2 2 3 2 2 2" xfId="11421" xr:uid="{00000000-0005-0000-0000-0000992C0000}"/>
    <cellStyle name="40% - Accent1 5 2 2 3 2 2 2 2" xfId="11422" xr:uid="{00000000-0005-0000-0000-00009A2C0000}"/>
    <cellStyle name="40% - Accent1 5 2 2 3 2 2 3" xfId="11423" xr:uid="{00000000-0005-0000-0000-00009B2C0000}"/>
    <cellStyle name="40% - Accent1 5 2 2 3 2 3" xfId="11424" xr:uid="{00000000-0005-0000-0000-00009C2C0000}"/>
    <cellStyle name="40% - Accent1 5 2 2 3 2 3 2" xfId="11425" xr:uid="{00000000-0005-0000-0000-00009D2C0000}"/>
    <cellStyle name="40% - Accent1 5 2 2 3 2 4" xfId="11426" xr:uid="{00000000-0005-0000-0000-00009E2C0000}"/>
    <cellStyle name="40% - Accent1 5 2 2 3 3" xfId="11427" xr:uid="{00000000-0005-0000-0000-00009F2C0000}"/>
    <cellStyle name="40% - Accent1 5 2 2 3 3 2" xfId="11428" xr:uid="{00000000-0005-0000-0000-0000A02C0000}"/>
    <cellStyle name="40% - Accent1 5 2 2 3 3 2 2" xfId="11429" xr:uid="{00000000-0005-0000-0000-0000A12C0000}"/>
    <cellStyle name="40% - Accent1 5 2 2 3 3 3" xfId="11430" xr:uid="{00000000-0005-0000-0000-0000A22C0000}"/>
    <cellStyle name="40% - Accent1 5 2 2 3 4" xfId="11431" xr:uid="{00000000-0005-0000-0000-0000A32C0000}"/>
    <cellStyle name="40% - Accent1 5 2 2 3 4 2" xfId="11432" xr:uid="{00000000-0005-0000-0000-0000A42C0000}"/>
    <cellStyle name="40% - Accent1 5 2 2 3 4 2 2" xfId="11433" xr:uid="{00000000-0005-0000-0000-0000A52C0000}"/>
    <cellStyle name="40% - Accent1 5 2 2 3 4 3" xfId="11434" xr:uid="{00000000-0005-0000-0000-0000A62C0000}"/>
    <cellStyle name="40% - Accent1 5 2 2 3 5" xfId="11435" xr:uid="{00000000-0005-0000-0000-0000A72C0000}"/>
    <cellStyle name="40% - Accent1 5 2 2 3 5 2" xfId="11436" xr:uid="{00000000-0005-0000-0000-0000A82C0000}"/>
    <cellStyle name="40% - Accent1 5 2 2 3 5 2 2" xfId="11437" xr:uid="{00000000-0005-0000-0000-0000A92C0000}"/>
    <cellStyle name="40% - Accent1 5 2 2 3 5 3" xfId="11438" xr:uid="{00000000-0005-0000-0000-0000AA2C0000}"/>
    <cellStyle name="40% - Accent1 5 2 2 3 6" xfId="11439" xr:uid="{00000000-0005-0000-0000-0000AB2C0000}"/>
    <cellStyle name="40% - Accent1 5 2 2 3 6 2" xfId="11440" xr:uid="{00000000-0005-0000-0000-0000AC2C0000}"/>
    <cellStyle name="40% - Accent1 5 2 2 3 6 2 2" xfId="11441" xr:uid="{00000000-0005-0000-0000-0000AD2C0000}"/>
    <cellStyle name="40% - Accent1 5 2 2 3 6 3" xfId="11442" xr:uid="{00000000-0005-0000-0000-0000AE2C0000}"/>
    <cellStyle name="40% - Accent1 5 2 2 3 7" xfId="11443" xr:uid="{00000000-0005-0000-0000-0000AF2C0000}"/>
    <cellStyle name="40% - Accent1 5 2 2 3 7 2" xfId="11444" xr:uid="{00000000-0005-0000-0000-0000B02C0000}"/>
    <cellStyle name="40% - Accent1 5 2 2 3 8" xfId="11445" xr:uid="{00000000-0005-0000-0000-0000B12C0000}"/>
    <cellStyle name="40% - Accent1 5 2 2 4" xfId="11446" xr:uid="{00000000-0005-0000-0000-0000B22C0000}"/>
    <cellStyle name="40% - Accent1 5 2 2 4 2" xfId="11447" xr:uid="{00000000-0005-0000-0000-0000B32C0000}"/>
    <cellStyle name="40% - Accent1 5 2 2 4 2 2" xfId="11448" xr:uid="{00000000-0005-0000-0000-0000B42C0000}"/>
    <cellStyle name="40% - Accent1 5 2 2 4 2 2 2" xfId="11449" xr:uid="{00000000-0005-0000-0000-0000B52C0000}"/>
    <cellStyle name="40% - Accent1 5 2 2 4 2 2 2 2" xfId="11450" xr:uid="{00000000-0005-0000-0000-0000B62C0000}"/>
    <cellStyle name="40% - Accent1 5 2 2 4 2 2 3" xfId="11451" xr:uid="{00000000-0005-0000-0000-0000B72C0000}"/>
    <cellStyle name="40% - Accent1 5 2 2 4 2 3" xfId="11452" xr:uid="{00000000-0005-0000-0000-0000B82C0000}"/>
    <cellStyle name="40% - Accent1 5 2 2 4 2 3 2" xfId="11453" xr:uid="{00000000-0005-0000-0000-0000B92C0000}"/>
    <cellStyle name="40% - Accent1 5 2 2 4 2 4" xfId="11454" xr:uid="{00000000-0005-0000-0000-0000BA2C0000}"/>
    <cellStyle name="40% - Accent1 5 2 2 4 3" xfId="11455" xr:uid="{00000000-0005-0000-0000-0000BB2C0000}"/>
    <cellStyle name="40% - Accent1 5 2 2 4 3 2" xfId="11456" xr:uid="{00000000-0005-0000-0000-0000BC2C0000}"/>
    <cellStyle name="40% - Accent1 5 2 2 4 3 2 2" xfId="11457" xr:uid="{00000000-0005-0000-0000-0000BD2C0000}"/>
    <cellStyle name="40% - Accent1 5 2 2 4 3 3" xfId="11458" xr:uid="{00000000-0005-0000-0000-0000BE2C0000}"/>
    <cellStyle name="40% - Accent1 5 2 2 4 4" xfId="11459" xr:uid="{00000000-0005-0000-0000-0000BF2C0000}"/>
    <cellStyle name="40% - Accent1 5 2 2 4 4 2" xfId="11460" xr:uid="{00000000-0005-0000-0000-0000C02C0000}"/>
    <cellStyle name="40% - Accent1 5 2 2 4 4 2 2" xfId="11461" xr:uid="{00000000-0005-0000-0000-0000C12C0000}"/>
    <cellStyle name="40% - Accent1 5 2 2 4 4 3" xfId="11462" xr:uid="{00000000-0005-0000-0000-0000C22C0000}"/>
    <cellStyle name="40% - Accent1 5 2 2 4 5" xfId="11463" xr:uid="{00000000-0005-0000-0000-0000C32C0000}"/>
    <cellStyle name="40% - Accent1 5 2 2 4 5 2" xfId="11464" xr:uid="{00000000-0005-0000-0000-0000C42C0000}"/>
    <cellStyle name="40% - Accent1 5 2 2 4 5 2 2" xfId="11465" xr:uid="{00000000-0005-0000-0000-0000C52C0000}"/>
    <cellStyle name="40% - Accent1 5 2 2 4 5 3" xfId="11466" xr:uid="{00000000-0005-0000-0000-0000C62C0000}"/>
    <cellStyle name="40% - Accent1 5 2 2 4 6" xfId="11467" xr:uid="{00000000-0005-0000-0000-0000C72C0000}"/>
    <cellStyle name="40% - Accent1 5 2 2 4 6 2" xfId="11468" xr:uid="{00000000-0005-0000-0000-0000C82C0000}"/>
    <cellStyle name="40% - Accent1 5 2 2 4 6 2 2" xfId="11469" xr:uid="{00000000-0005-0000-0000-0000C92C0000}"/>
    <cellStyle name="40% - Accent1 5 2 2 4 6 3" xfId="11470" xr:uid="{00000000-0005-0000-0000-0000CA2C0000}"/>
    <cellStyle name="40% - Accent1 5 2 2 4 7" xfId="11471" xr:uid="{00000000-0005-0000-0000-0000CB2C0000}"/>
    <cellStyle name="40% - Accent1 5 2 2 4 7 2" xfId="11472" xr:uid="{00000000-0005-0000-0000-0000CC2C0000}"/>
    <cellStyle name="40% - Accent1 5 2 2 4 8" xfId="11473" xr:uid="{00000000-0005-0000-0000-0000CD2C0000}"/>
    <cellStyle name="40% - Accent1 5 2 2 5" xfId="11474" xr:uid="{00000000-0005-0000-0000-0000CE2C0000}"/>
    <cellStyle name="40% - Accent1 5 2 2 5 2" xfId="11475" xr:uid="{00000000-0005-0000-0000-0000CF2C0000}"/>
    <cellStyle name="40% - Accent1 5 2 2 5 2 2" xfId="11476" xr:uid="{00000000-0005-0000-0000-0000D02C0000}"/>
    <cellStyle name="40% - Accent1 5 2 2 5 2 2 2" xfId="11477" xr:uid="{00000000-0005-0000-0000-0000D12C0000}"/>
    <cellStyle name="40% - Accent1 5 2 2 5 2 2 2 2" xfId="11478" xr:uid="{00000000-0005-0000-0000-0000D22C0000}"/>
    <cellStyle name="40% - Accent1 5 2 2 5 2 2 3" xfId="11479" xr:uid="{00000000-0005-0000-0000-0000D32C0000}"/>
    <cellStyle name="40% - Accent1 5 2 2 5 2 3" xfId="11480" xr:uid="{00000000-0005-0000-0000-0000D42C0000}"/>
    <cellStyle name="40% - Accent1 5 2 2 5 2 3 2" xfId="11481" xr:uid="{00000000-0005-0000-0000-0000D52C0000}"/>
    <cellStyle name="40% - Accent1 5 2 2 5 2 4" xfId="11482" xr:uid="{00000000-0005-0000-0000-0000D62C0000}"/>
    <cellStyle name="40% - Accent1 5 2 2 5 3" xfId="11483" xr:uid="{00000000-0005-0000-0000-0000D72C0000}"/>
    <cellStyle name="40% - Accent1 5 2 2 5 3 2" xfId="11484" xr:uid="{00000000-0005-0000-0000-0000D82C0000}"/>
    <cellStyle name="40% - Accent1 5 2 2 5 3 2 2" xfId="11485" xr:uid="{00000000-0005-0000-0000-0000D92C0000}"/>
    <cellStyle name="40% - Accent1 5 2 2 5 3 3" xfId="11486" xr:uid="{00000000-0005-0000-0000-0000DA2C0000}"/>
    <cellStyle name="40% - Accent1 5 2 2 5 4" xfId="11487" xr:uid="{00000000-0005-0000-0000-0000DB2C0000}"/>
    <cellStyle name="40% - Accent1 5 2 2 5 4 2" xfId="11488" xr:uid="{00000000-0005-0000-0000-0000DC2C0000}"/>
    <cellStyle name="40% - Accent1 5 2 2 5 5" xfId="11489" xr:uid="{00000000-0005-0000-0000-0000DD2C0000}"/>
    <cellStyle name="40% - Accent1 5 2 2 6" xfId="11490" xr:uid="{00000000-0005-0000-0000-0000DE2C0000}"/>
    <cellStyle name="40% - Accent1 5 2 2 6 2" xfId="11491" xr:uid="{00000000-0005-0000-0000-0000DF2C0000}"/>
    <cellStyle name="40% - Accent1 5 2 2 6 2 2" xfId="11492" xr:uid="{00000000-0005-0000-0000-0000E02C0000}"/>
    <cellStyle name="40% - Accent1 5 2 2 6 2 2 2" xfId="11493" xr:uid="{00000000-0005-0000-0000-0000E12C0000}"/>
    <cellStyle name="40% - Accent1 5 2 2 6 2 2 2 2" xfId="11494" xr:uid="{00000000-0005-0000-0000-0000E22C0000}"/>
    <cellStyle name="40% - Accent1 5 2 2 6 2 2 3" xfId="11495" xr:uid="{00000000-0005-0000-0000-0000E32C0000}"/>
    <cellStyle name="40% - Accent1 5 2 2 6 2 3" xfId="11496" xr:uid="{00000000-0005-0000-0000-0000E42C0000}"/>
    <cellStyle name="40% - Accent1 5 2 2 6 2 3 2" xfId="11497" xr:uid="{00000000-0005-0000-0000-0000E52C0000}"/>
    <cellStyle name="40% - Accent1 5 2 2 6 2 4" xfId="11498" xr:uid="{00000000-0005-0000-0000-0000E62C0000}"/>
    <cellStyle name="40% - Accent1 5 2 2 6 3" xfId="11499" xr:uid="{00000000-0005-0000-0000-0000E72C0000}"/>
    <cellStyle name="40% - Accent1 5 2 2 6 3 2" xfId="11500" xr:uid="{00000000-0005-0000-0000-0000E82C0000}"/>
    <cellStyle name="40% - Accent1 5 2 2 6 3 2 2" xfId="11501" xr:uid="{00000000-0005-0000-0000-0000E92C0000}"/>
    <cellStyle name="40% - Accent1 5 2 2 6 3 3" xfId="11502" xr:uid="{00000000-0005-0000-0000-0000EA2C0000}"/>
    <cellStyle name="40% - Accent1 5 2 2 6 4" xfId="11503" xr:uid="{00000000-0005-0000-0000-0000EB2C0000}"/>
    <cellStyle name="40% - Accent1 5 2 2 6 4 2" xfId="11504" xr:uid="{00000000-0005-0000-0000-0000EC2C0000}"/>
    <cellStyle name="40% - Accent1 5 2 2 6 5" xfId="11505" xr:uid="{00000000-0005-0000-0000-0000ED2C0000}"/>
    <cellStyle name="40% - Accent1 5 2 2 7" xfId="11506" xr:uid="{00000000-0005-0000-0000-0000EE2C0000}"/>
    <cellStyle name="40% - Accent1 5 2 2 7 2" xfId="11507" xr:uid="{00000000-0005-0000-0000-0000EF2C0000}"/>
    <cellStyle name="40% - Accent1 5 2 2 7 2 2" xfId="11508" xr:uid="{00000000-0005-0000-0000-0000F02C0000}"/>
    <cellStyle name="40% - Accent1 5 2 2 7 2 2 2" xfId="11509" xr:uid="{00000000-0005-0000-0000-0000F12C0000}"/>
    <cellStyle name="40% - Accent1 5 2 2 7 2 3" xfId="11510" xr:uid="{00000000-0005-0000-0000-0000F22C0000}"/>
    <cellStyle name="40% - Accent1 5 2 2 7 3" xfId="11511" xr:uid="{00000000-0005-0000-0000-0000F32C0000}"/>
    <cellStyle name="40% - Accent1 5 2 2 7 3 2" xfId="11512" xr:uid="{00000000-0005-0000-0000-0000F42C0000}"/>
    <cellStyle name="40% - Accent1 5 2 2 7 4" xfId="11513" xr:uid="{00000000-0005-0000-0000-0000F52C0000}"/>
    <cellStyle name="40% - Accent1 5 2 2 8" xfId="11514" xr:uid="{00000000-0005-0000-0000-0000F62C0000}"/>
    <cellStyle name="40% - Accent1 5 2 2 8 2" xfId="11515" xr:uid="{00000000-0005-0000-0000-0000F72C0000}"/>
    <cellStyle name="40% - Accent1 5 2 2 8 2 2" xfId="11516" xr:uid="{00000000-0005-0000-0000-0000F82C0000}"/>
    <cellStyle name="40% - Accent1 5 2 2 8 2 2 2" xfId="11517" xr:uid="{00000000-0005-0000-0000-0000F92C0000}"/>
    <cellStyle name="40% - Accent1 5 2 2 8 2 3" xfId="11518" xr:uid="{00000000-0005-0000-0000-0000FA2C0000}"/>
    <cellStyle name="40% - Accent1 5 2 2 8 3" xfId="11519" xr:uid="{00000000-0005-0000-0000-0000FB2C0000}"/>
    <cellStyle name="40% - Accent1 5 2 2 8 3 2" xfId="11520" xr:uid="{00000000-0005-0000-0000-0000FC2C0000}"/>
    <cellStyle name="40% - Accent1 5 2 2 8 4" xfId="11521" xr:uid="{00000000-0005-0000-0000-0000FD2C0000}"/>
    <cellStyle name="40% - Accent1 5 2 2 9" xfId="11522" xr:uid="{00000000-0005-0000-0000-0000FE2C0000}"/>
    <cellStyle name="40% - Accent1 5 2 2 9 2" xfId="11523" xr:uid="{00000000-0005-0000-0000-0000FF2C0000}"/>
    <cellStyle name="40% - Accent1 5 2 2 9 2 2" xfId="11524" xr:uid="{00000000-0005-0000-0000-0000002D0000}"/>
    <cellStyle name="40% - Accent1 5 2 2 9 3" xfId="11525" xr:uid="{00000000-0005-0000-0000-0000012D0000}"/>
    <cellStyle name="40% - Accent1 5 2 20" xfId="11526" xr:uid="{00000000-0005-0000-0000-0000022D0000}"/>
    <cellStyle name="40% - Accent1 5 2 3" xfId="11527" xr:uid="{00000000-0005-0000-0000-0000032D0000}"/>
    <cellStyle name="40% - Accent1 5 2 3 10" xfId="11528" xr:uid="{00000000-0005-0000-0000-0000042D0000}"/>
    <cellStyle name="40% - Accent1 5 2 3 10 2" xfId="11529" xr:uid="{00000000-0005-0000-0000-0000052D0000}"/>
    <cellStyle name="40% - Accent1 5 2 3 10 2 2" xfId="11530" xr:uid="{00000000-0005-0000-0000-0000062D0000}"/>
    <cellStyle name="40% - Accent1 5 2 3 10 3" xfId="11531" xr:uid="{00000000-0005-0000-0000-0000072D0000}"/>
    <cellStyle name="40% - Accent1 5 2 3 11" xfId="11532" xr:uid="{00000000-0005-0000-0000-0000082D0000}"/>
    <cellStyle name="40% - Accent1 5 2 3 11 2" xfId="11533" xr:uid="{00000000-0005-0000-0000-0000092D0000}"/>
    <cellStyle name="40% - Accent1 5 2 3 11 2 2" xfId="11534" xr:uid="{00000000-0005-0000-0000-00000A2D0000}"/>
    <cellStyle name="40% - Accent1 5 2 3 11 3" xfId="11535" xr:uid="{00000000-0005-0000-0000-00000B2D0000}"/>
    <cellStyle name="40% - Accent1 5 2 3 12" xfId="11536" xr:uid="{00000000-0005-0000-0000-00000C2D0000}"/>
    <cellStyle name="40% - Accent1 5 2 3 12 2" xfId="11537" xr:uid="{00000000-0005-0000-0000-00000D2D0000}"/>
    <cellStyle name="40% - Accent1 5 2 3 12 2 2" xfId="11538" xr:uid="{00000000-0005-0000-0000-00000E2D0000}"/>
    <cellStyle name="40% - Accent1 5 2 3 12 3" xfId="11539" xr:uid="{00000000-0005-0000-0000-00000F2D0000}"/>
    <cellStyle name="40% - Accent1 5 2 3 13" xfId="11540" xr:uid="{00000000-0005-0000-0000-0000102D0000}"/>
    <cellStyle name="40% - Accent1 5 2 3 13 2" xfId="11541" xr:uid="{00000000-0005-0000-0000-0000112D0000}"/>
    <cellStyle name="40% - Accent1 5 2 3 14" xfId="11542" xr:uid="{00000000-0005-0000-0000-0000122D0000}"/>
    <cellStyle name="40% - Accent1 5 2 3 2" xfId="11543" xr:uid="{00000000-0005-0000-0000-0000132D0000}"/>
    <cellStyle name="40% - Accent1 5 2 3 2 2" xfId="11544" xr:uid="{00000000-0005-0000-0000-0000142D0000}"/>
    <cellStyle name="40% - Accent1 5 2 3 2 2 2" xfId="11545" xr:uid="{00000000-0005-0000-0000-0000152D0000}"/>
    <cellStyle name="40% - Accent1 5 2 3 2 2 2 2" xfId="11546" xr:uid="{00000000-0005-0000-0000-0000162D0000}"/>
    <cellStyle name="40% - Accent1 5 2 3 2 2 2 2 2" xfId="11547" xr:uid="{00000000-0005-0000-0000-0000172D0000}"/>
    <cellStyle name="40% - Accent1 5 2 3 2 2 2 3" xfId="11548" xr:uid="{00000000-0005-0000-0000-0000182D0000}"/>
    <cellStyle name="40% - Accent1 5 2 3 2 2 3" xfId="11549" xr:uid="{00000000-0005-0000-0000-0000192D0000}"/>
    <cellStyle name="40% - Accent1 5 2 3 2 2 3 2" xfId="11550" xr:uid="{00000000-0005-0000-0000-00001A2D0000}"/>
    <cellStyle name="40% - Accent1 5 2 3 2 2 4" xfId="11551" xr:uid="{00000000-0005-0000-0000-00001B2D0000}"/>
    <cellStyle name="40% - Accent1 5 2 3 2 3" xfId="11552" xr:uid="{00000000-0005-0000-0000-00001C2D0000}"/>
    <cellStyle name="40% - Accent1 5 2 3 2 3 2" xfId="11553" xr:uid="{00000000-0005-0000-0000-00001D2D0000}"/>
    <cellStyle name="40% - Accent1 5 2 3 2 3 2 2" xfId="11554" xr:uid="{00000000-0005-0000-0000-00001E2D0000}"/>
    <cellStyle name="40% - Accent1 5 2 3 2 3 3" xfId="11555" xr:uid="{00000000-0005-0000-0000-00001F2D0000}"/>
    <cellStyle name="40% - Accent1 5 2 3 2 4" xfId="11556" xr:uid="{00000000-0005-0000-0000-0000202D0000}"/>
    <cellStyle name="40% - Accent1 5 2 3 2 4 2" xfId="11557" xr:uid="{00000000-0005-0000-0000-0000212D0000}"/>
    <cellStyle name="40% - Accent1 5 2 3 2 4 2 2" xfId="11558" xr:uid="{00000000-0005-0000-0000-0000222D0000}"/>
    <cellStyle name="40% - Accent1 5 2 3 2 4 3" xfId="11559" xr:uid="{00000000-0005-0000-0000-0000232D0000}"/>
    <cellStyle name="40% - Accent1 5 2 3 2 5" xfId="11560" xr:uid="{00000000-0005-0000-0000-0000242D0000}"/>
    <cellStyle name="40% - Accent1 5 2 3 2 5 2" xfId="11561" xr:uid="{00000000-0005-0000-0000-0000252D0000}"/>
    <cellStyle name="40% - Accent1 5 2 3 2 5 2 2" xfId="11562" xr:uid="{00000000-0005-0000-0000-0000262D0000}"/>
    <cellStyle name="40% - Accent1 5 2 3 2 5 3" xfId="11563" xr:uid="{00000000-0005-0000-0000-0000272D0000}"/>
    <cellStyle name="40% - Accent1 5 2 3 2 6" xfId="11564" xr:uid="{00000000-0005-0000-0000-0000282D0000}"/>
    <cellStyle name="40% - Accent1 5 2 3 2 6 2" xfId="11565" xr:uid="{00000000-0005-0000-0000-0000292D0000}"/>
    <cellStyle name="40% - Accent1 5 2 3 2 6 2 2" xfId="11566" xr:uid="{00000000-0005-0000-0000-00002A2D0000}"/>
    <cellStyle name="40% - Accent1 5 2 3 2 6 3" xfId="11567" xr:uid="{00000000-0005-0000-0000-00002B2D0000}"/>
    <cellStyle name="40% - Accent1 5 2 3 2 7" xfId="11568" xr:uid="{00000000-0005-0000-0000-00002C2D0000}"/>
    <cellStyle name="40% - Accent1 5 2 3 2 7 2" xfId="11569" xr:uid="{00000000-0005-0000-0000-00002D2D0000}"/>
    <cellStyle name="40% - Accent1 5 2 3 2 8" xfId="11570" xr:uid="{00000000-0005-0000-0000-00002E2D0000}"/>
    <cellStyle name="40% - Accent1 5 2 3 3" xfId="11571" xr:uid="{00000000-0005-0000-0000-00002F2D0000}"/>
    <cellStyle name="40% - Accent1 5 2 3 3 2" xfId="11572" xr:uid="{00000000-0005-0000-0000-0000302D0000}"/>
    <cellStyle name="40% - Accent1 5 2 3 3 2 2" xfId="11573" xr:uid="{00000000-0005-0000-0000-0000312D0000}"/>
    <cellStyle name="40% - Accent1 5 2 3 3 2 2 2" xfId="11574" xr:uid="{00000000-0005-0000-0000-0000322D0000}"/>
    <cellStyle name="40% - Accent1 5 2 3 3 2 2 2 2" xfId="11575" xr:uid="{00000000-0005-0000-0000-0000332D0000}"/>
    <cellStyle name="40% - Accent1 5 2 3 3 2 2 3" xfId="11576" xr:uid="{00000000-0005-0000-0000-0000342D0000}"/>
    <cellStyle name="40% - Accent1 5 2 3 3 2 3" xfId="11577" xr:uid="{00000000-0005-0000-0000-0000352D0000}"/>
    <cellStyle name="40% - Accent1 5 2 3 3 2 3 2" xfId="11578" xr:uid="{00000000-0005-0000-0000-0000362D0000}"/>
    <cellStyle name="40% - Accent1 5 2 3 3 2 4" xfId="11579" xr:uid="{00000000-0005-0000-0000-0000372D0000}"/>
    <cellStyle name="40% - Accent1 5 2 3 3 3" xfId="11580" xr:uid="{00000000-0005-0000-0000-0000382D0000}"/>
    <cellStyle name="40% - Accent1 5 2 3 3 3 2" xfId="11581" xr:uid="{00000000-0005-0000-0000-0000392D0000}"/>
    <cellStyle name="40% - Accent1 5 2 3 3 3 2 2" xfId="11582" xr:uid="{00000000-0005-0000-0000-00003A2D0000}"/>
    <cellStyle name="40% - Accent1 5 2 3 3 3 3" xfId="11583" xr:uid="{00000000-0005-0000-0000-00003B2D0000}"/>
    <cellStyle name="40% - Accent1 5 2 3 3 4" xfId="11584" xr:uid="{00000000-0005-0000-0000-00003C2D0000}"/>
    <cellStyle name="40% - Accent1 5 2 3 3 4 2" xfId="11585" xr:uid="{00000000-0005-0000-0000-00003D2D0000}"/>
    <cellStyle name="40% - Accent1 5 2 3 3 4 2 2" xfId="11586" xr:uid="{00000000-0005-0000-0000-00003E2D0000}"/>
    <cellStyle name="40% - Accent1 5 2 3 3 4 3" xfId="11587" xr:uid="{00000000-0005-0000-0000-00003F2D0000}"/>
    <cellStyle name="40% - Accent1 5 2 3 3 5" xfId="11588" xr:uid="{00000000-0005-0000-0000-0000402D0000}"/>
    <cellStyle name="40% - Accent1 5 2 3 3 5 2" xfId="11589" xr:uid="{00000000-0005-0000-0000-0000412D0000}"/>
    <cellStyle name="40% - Accent1 5 2 3 3 5 2 2" xfId="11590" xr:uid="{00000000-0005-0000-0000-0000422D0000}"/>
    <cellStyle name="40% - Accent1 5 2 3 3 5 3" xfId="11591" xr:uid="{00000000-0005-0000-0000-0000432D0000}"/>
    <cellStyle name="40% - Accent1 5 2 3 3 6" xfId="11592" xr:uid="{00000000-0005-0000-0000-0000442D0000}"/>
    <cellStyle name="40% - Accent1 5 2 3 3 6 2" xfId="11593" xr:uid="{00000000-0005-0000-0000-0000452D0000}"/>
    <cellStyle name="40% - Accent1 5 2 3 3 6 2 2" xfId="11594" xr:uid="{00000000-0005-0000-0000-0000462D0000}"/>
    <cellStyle name="40% - Accent1 5 2 3 3 6 3" xfId="11595" xr:uid="{00000000-0005-0000-0000-0000472D0000}"/>
    <cellStyle name="40% - Accent1 5 2 3 3 7" xfId="11596" xr:uid="{00000000-0005-0000-0000-0000482D0000}"/>
    <cellStyle name="40% - Accent1 5 2 3 3 7 2" xfId="11597" xr:uid="{00000000-0005-0000-0000-0000492D0000}"/>
    <cellStyle name="40% - Accent1 5 2 3 3 8" xfId="11598" xr:uid="{00000000-0005-0000-0000-00004A2D0000}"/>
    <cellStyle name="40% - Accent1 5 2 3 4" xfId="11599" xr:uid="{00000000-0005-0000-0000-00004B2D0000}"/>
    <cellStyle name="40% - Accent1 5 2 3 4 2" xfId="11600" xr:uid="{00000000-0005-0000-0000-00004C2D0000}"/>
    <cellStyle name="40% - Accent1 5 2 3 4 2 2" xfId="11601" xr:uid="{00000000-0005-0000-0000-00004D2D0000}"/>
    <cellStyle name="40% - Accent1 5 2 3 4 2 2 2" xfId="11602" xr:uid="{00000000-0005-0000-0000-00004E2D0000}"/>
    <cellStyle name="40% - Accent1 5 2 3 4 2 2 2 2" xfId="11603" xr:uid="{00000000-0005-0000-0000-00004F2D0000}"/>
    <cellStyle name="40% - Accent1 5 2 3 4 2 2 3" xfId="11604" xr:uid="{00000000-0005-0000-0000-0000502D0000}"/>
    <cellStyle name="40% - Accent1 5 2 3 4 2 3" xfId="11605" xr:uid="{00000000-0005-0000-0000-0000512D0000}"/>
    <cellStyle name="40% - Accent1 5 2 3 4 2 3 2" xfId="11606" xr:uid="{00000000-0005-0000-0000-0000522D0000}"/>
    <cellStyle name="40% - Accent1 5 2 3 4 2 4" xfId="11607" xr:uid="{00000000-0005-0000-0000-0000532D0000}"/>
    <cellStyle name="40% - Accent1 5 2 3 4 3" xfId="11608" xr:uid="{00000000-0005-0000-0000-0000542D0000}"/>
    <cellStyle name="40% - Accent1 5 2 3 4 3 2" xfId="11609" xr:uid="{00000000-0005-0000-0000-0000552D0000}"/>
    <cellStyle name="40% - Accent1 5 2 3 4 3 2 2" xfId="11610" xr:uid="{00000000-0005-0000-0000-0000562D0000}"/>
    <cellStyle name="40% - Accent1 5 2 3 4 3 3" xfId="11611" xr:uid="{00000000-0005-0000-0000-0000572D0000}"/>
    <cellStyle name="40% - Accent1 5 2 3 4 4" xfId="11612" xr:uid="{00000000-0005-0000-0000-0000582D0000}"/>
    <cellStyle name="40% - Accent1 5 2 3 4 4 2" xfId="11613" xr:uid="{00000000-0005-0000-0000-0000592D0000}"/>
    <cellStyle name="40% - Accent1 5 2 3 4 4 2 2" xfId="11614" xr:uid="{00000000-0005-0000-0000-00005A2D0000}"/>
    <cellStyle name="40% - Accent1 5 2 3 4 4 3" xfId="11615" xr:uid="{00000000-0005-0000-0000-00005B2D0000}"/>
    <cellStyle name="40% - Accent1 5 2 3 4 5" xfId="11616" xr:uid="{00000000-0005-0000-0000-00005C2D0000}"/>
    <cellStyle name="40% - Accent1 5 2 3 4 5 2" xfId="11617" xr:uid="{00000000-0005-0000-0000-00005D2D0000}"/>
    <cellStyle name="40% - Accent1 5 2 3 4 5 2 2" xfId="11618" xr:uid="{00000000-0005-0000-0000-00005E2D0000}"/>
    <cellStyle name="40% - Accent1 5 2 3 4 5 3" xfId="11619" xr:uid="{00000000-0005-0000-0000-00005F2D0000}"/>
    <cellStyle name="40% - Accent1 5 2 3 4 6" xfId="11620" xr:uid="{00000000-0005-0000-0000-0000602D0000}"/>
    <cellStyle name="40% - Accent1 5 2 3 4 6 2" xfId="11621" xr:uid="{00000000-0005-0000-0000-0000612D0000}"/>
    <cellStyle name="40% - Accent1 5 2 3 4 6 2 2" xfId="11622" xr:uid="{00000000-0005-0000-0000-0000622D0000}"/>
    <cellStyle name="40% - Accent1 5 2 3 4 6 3" xfId="11623" xr:uid="{00000000-0005-0000-0000-0000632D0000}"/>
    <cellStyle name="40% - Accent1 5 2 3 4 7" xfId="11624" xr:uid="{00000000-0005-0000-0000-0000642D0000}"/>
    <cellStyle name="40% - Accent1 5 2 3 4 7 2" xfId="11625" xr:uid="{00000000-0005-0000-0000-0000652D0000}"/>
    <cellStyle name="40% - Accent1 5 2 3 4 8" xfId="11626" xr:uid="{00000000-0005-0000-0000-0000662D0000}"/>
    <cellStyle name="40% - Accent1 5 2 3 5" xfId="11627" xr:uid="{00000000-0005-0000-0000-0000672D0000}"/>
    <cellStyle name="40% - Accent1 5 2 3 5 2" xfId="11628" xr:uid="{00000000-0005-0000-0000-0000682D0000}"/>
    <cellStyle name="40% - Accent1 5 2 3 5 2 2" xfId="11629" xr:uid="{00000000-0005-0000-0000-0000692D0000}"/>
    <cellStyle name="40% - Accent1 5 2 3 5 2 2 2" xfId="11630" xr:uid="{00000000-0005-0000-0000-00006A2D0000}"/>
    <cellStyle name="40% - Accent1 5 2 3 5 2 2 2 2" xfId="11631" xr:uid="{00000000-0005-0000-0000-00006B2D0000}"/>
    <cellStyle name="40% - Accent1 5 2 3 5 2 2 3" xfId="11632" xr:uid="{00000000-0005-0000-0000-00006C2D0000}"/>
    <cellStyle name="40% - Accent1 5 2 3 5 2 3" xfId="11633" xr:uid="{00000000-0005-0000-0000-00006D2D0000}"/>
    <cellStyle name="40% - Accent1 5 2 3 5 2 3 2" xfId="11634" xr:uid="{00000000-0005-0000-0000-00006E2D0000}"/>
    <cellStyle name="40% - Accent1 5 2 3 5 2 4" xfId="11635" xr:uid="{00000000-0005-0000-0000-00006F2D0000}"/>
    <cellStyle name="40% - Accent1 5 2 3 5 3" xfId="11636" xr:uid="{00000000-0005-0000-0000-0000702D0000}"/>
    <cellStyle name="40% - Accent1 5 2 3 5 3 2" xfId="11637" xr:uid="{00000000-0005-0000-0000-0000712D0000}"/>
    <cellStyle name="40% - Accent1 5 2 3 5 3 2 2" xfId="11638" xr:uid="{00000000-0005-0000-0000-0000722D0000}"/>
    <cellStyle name="40% - Accent1 5 2 3 5 3 3" xfId="11639" xr:uid="{00000000-0005-0000-0000-0000732D0000}"/>
    <cellStyle name="40% - Accent1 5 2 3 5 4" xfId="11640" xr:uid="{00000000-0005-0000-0000-0000742D0000}"/>
    <cellStyle name="40% - Accent1 5 2 3 5 4 2" xfId="11641" xr:uid="{00000000-0005-0000-0000-0000752D0000}"/>
    <cellStyle name="40% - Accent1 5 2 3 5 5" xfId="11642" xr:uid="{00000000-0005-0000-0000-0000762D0000}"/>
    <cellStyle name="40% - Accent1 5 2 3 6" xfId="11643" xr:uid="{00000000-0005-0000-0000-0000772D0000}"/>
    <cellStyle name="40% - Accent1 5 2 3 6 2" xfId="11644" xr:uid="{00000000-0005-0000-0000-0000782D0000}"/>
    <cellStyle name="40% - Accent1 5 2 3 6 2 2" xfId="11645" xr:uid="{00000000-0005-0000-0000-0000792D0000}"/>
    <cellStyle name="40% - Accent1 5 2 3 6 2 2 2" xfId="11646" xr:uid="{00000000-0005-0000-0000-00007A2D0000}"/>
    <cellStyle name="40% - Accent1 5 2 3 6 2 2 2 2" xfId="11647" xr:uid="{00000000-0005-0000-0000-00007B2D0000}"/>
    <cellStyle name="40% - Accent1 5 2 3 6 2 2 3" xfId="11648" xr:uid="{00000000-0005-0000-0000-00007C2D0000}"/>
    <cellStyle name="40% - Accent1 5 2 3 6 2 3" xfId="11649" xr:uid="{00000000-0005-0000-0000-00007D2D0000}"/>
    <cellStyle name="40% - Accent1 5 2 3 6 2 3 2" xfId="11650" xr:uid="{00000000-0005-0000-0000-00007E2D0000}"/>
    <cellStyle name="40% - Accent1 5 2 3 6 2 4" xfId="11651" xr:uid="{00000000-0005-0000-0000-00007F2D0000}"/>
    <cellStyle name="40% - Accent1 5 2 3 6 3" xfId="11652" xr:uid="{00000000-0005-0000-0000-0000802D0000}"/>
    <cellStyle name="40% - Accent1 5 2 3 6 3 2" xfId="11653" xr:uid="{00000000-0005-0000-0000-0000812D0000}"/>
    <cellStyle name="40% - Accent1 5 2 3 6 3 2 2" xfId="11654" xr:uid="{00000000-0005-0000-0000-0000822D0000}"/>
    <cellStyle name="40% - Accent1 5 2 3 6 3 3" xfId="11655" xr:uid="{00000000-0005-0000-0000-0000832D0000}"/>
    <cellStyle name="40% - Accent1 5 2 3 6 4" xfId="11656" xr:uid="{00000000-0005-0000-0000-0000842D0000}"/>
    <cellStyle name="40% - Accent1 5 2 3 6 4 2" xfId="11657" xr:uid="{00000000-0005-0000-0000-0000852D0000}"/>
    <cellStyle name="40% - Accent1 5 2 3 6 5" xfId="11658" xr:uid="{00000000-0005-0000-0000-0000862D0000}"/>
    <cellStyle name="40% - Accent1 5 2 3 7" xfId="11659" xr:uid="{00000000-0005-0000-0000-0000872D0000}"/>
    <cellStyle name="40% - Accent1 5 2 3 7 2" xfId="11660" xr:uid="{00000000-0005-0000-0000-0000882D0000}"/>
    <cellStyle name="40% - Accent1 5 2 3 7 2 2" xfId="11661" xr:uid="{00000000-0005-0000-0000-0000892D0000}"/>
    <cellStyle name="40% - Accent1 5 2 3 7 2 2 2" xfId="11662" xr:uid="{00000000-0005-0000-0000-00008A2D0000}"/>
    <cellStyle name="40% - Accent1 5 2 3 7 2 3" xfId="11663" xr:uid="{00000000-0005-0000-0000-00008B2D0000}"/>
    <cellStyle name="40% - Accent1 5 2 3 7 3" xfId="11664" xr:uid="{00000000-0005-0000-0000-00008C2D0000}"/>
    <cellStyle name="40% - Accent1 5 2 3 7 3 2" xfId="11665" xr:uid="{00000000-0005-0000-0000-00008D2D0000}"/>
    <cellStyle name="40% - Accent1 5 2 3 7 4" xfId="11666" xr:uid="{00000000-0005-0000-0000-00008E2D0000}"/>
    <cellStyle name="40% - Accent1 5 2 3 8" xfId="11667" xr:uid="{00000000-0005-0000-0000-00008F2D0000}"/>
    <cellStyle name="40% - Accent1 5 2 3 8 2" xfId="11668" xr:uid="{00000000-0005-0000-0000-0000902D0000}"/>
    <cellStyle name="40% - Accent1 5 2 3 8 2 2" xfId="11669" xr:uid="{00000000-0005-0000-0000-0000912D0000}"/>
    <cellStyle name="40% - Accent1 5 2 3 8 2 2 2" xfId="11670" xr:uid="{00000000-0005-0000-0000-0000922D0000}"/>
    <cellStyle name="40% - Accent1 5 2 3 8 2 3" xfId="11671" xr:uid="{00000000-0005-0000-0000-0000932D0000}"/>
    <cellStyle name="40% - Accent1 5 2 3 8 3" xfId="11672" xr:uid="{00000000-0005-0000-0000-0000942D0000}"/>
    <cellStyle name="40% - Accent1 5 2 3 8 3 2" xfId="11673" xr:uid="{00000000-0005-0000-0000-0000952D0000}"/>
    <cellStyle name="40% - Accent1 5 2 3 8 4" xfId="11674" xr:uid="{00000000-0005-0000-0000-0000962D0000}"/>
    <cellStyle name="40% - Accent1 5 2 3 9" xfId="11675" xr:uid="{00000000-0005-0000-0000-0000972D0000}"/>
    <cellStyle name="40% - Accent1 5 2 3 9 2" xfId="11676" xr:uid="{00000000-0005-0000-0000-0000982D0000}"/>
    <cellStyle name="40% - Accent1 5 2 3 9 2 2" xfId="11677" xr:uid="{00000000-0005-0000-0000-0000992D0000}"/>
    <cellStyle name="40% - Accent1 5 2 3 9 3" xfId="11678" xr:uid="{00000000-0005-0000-0000-00009A2D0000}"/>
    <cellStyle name="40% - Accent1 5 2 4" xfId="11679" xr:uid="{00000000-0005-0000-0000-00009B2D0000}"/>
    <cellStyle name="40% - Accent1 5 2 4 10" xfId="11680" xr:uid="{00000000-0005-0000-0000-00009C2D0000}"/>
    <cellStyle name="40% - Accent1 5 2 4 10 2" xfId="11681" xr:uid="{00000000-0005-0000-0000-00009D2D0000}"/>
    <cellStyle name="40% - Accent1 5 2 4 10 2 2" xfId="11682" xr:uid="{00000000-0005-0000-0000-00009E2D0000}"/>
    <cellStyle name="40% - Accent1 5 2 4 10 3" xfId="11683" xr:uid="{00000000-0005-0000-0000-00009F2D0000}"/>
    <cellStyle name="40% - Accent1 5 2 4 11" xfId="11684" xr:uid="{00000000-0005-0000-0000-0000A02D0000}"/>
    <cellStyle name="40% - Accent1 5 2 4 11 2" xfId="11685" xr:uid="{00000000-0005-0000-0000-0000A12D0000}"/>
    <cellStyle name="40% - Accent1 5 2 4 11 2 2" xfId="11686" xr:uid="{00000000-0005-0000-0000-0000A22D0000}"/>
    <cellStyle name="40% - Accent1 5 2 4 11 3" xfId="11687" xr:uid="{00000000-0005-0000-0000-0000A32D0000}"/>
    <cellStyle name="40% - Accent1 5 2 4 12" xfId="11688" xr:uid="{00000000-0005-0000-0000-0000A42D0000}"/>
    <cellStyle name="40% - Accent1 5 2 4 12 2" xfId="11689" xr:uid="{00000000-0005-0000-0000-0000A52D0000}"/>
    <cellStyle name="40% - Accent1 5 2 4 12 2 2" xfId="11690" xr:uid="{00000000-0005-0000-0000-0000A62D0000}"/>
    <cellStyle name="40% - Accent1 5 2 4 12 3" xfId="11691" xr:uid="{00000000-0005-0000-0000-0000A72D0000}"/>
    <cellStyle name="40% - Accent1 5 2 4 13" xfId="11692" xr:uid="{00000000-0005-0000-0000-0000A82D0000}"/>
    <cellStyle name="40% - Accent1 5 2 4 13 2" xfId="11693" xr:uid="{00000000-0005-0000-0000-0000A92D0000}"/>
    <cellStyle name="40% - Accent1 5 2 4 14" xfId="11694" xr:uid="{00000000-0005-0000-0000-0000AA2D0000}"/>
    <cellStyle name="40% - Accent1 5 2 4 2" xfId="11695" xr:uid="{00000000-0005-0000-0000-0000AB2D0000}"/>
    <cellStyle name="40% - Accent1 5 2 4 2 2" xfId="11696" xr:uid="{00000000-0005-0000-0000-0000AC2D0000}"/>
    <cellStyle name="40% - Accent1 5 2 4 2 2 2" xfId="11697" xr:uid="{00000000-0005-0000-0000-0000AD2D0000}"/>
    <cellStyle name="40% - Accent1 5 2 4 2 2 2 2" xfId="11698" xr:uid="{00000000-0005-0000-0000-0000AE2D0000}"/>
    <cellStyle name="40% - Accent1 5 2 4 2 2 2 2 2" xfId="11699" xr:uid="{00000000-0005-0000-0000-0000AF2D0000}"/>
    <cellStyle name="40% - Accent1 5 2 4 2 2 2 3" xfId="11700" xr:uid="{00000000-0005-0000-0000-0000B02D0000}"/>
    <cellStyle name="40% - Accent1 5 2 4 2 2 3" xfId="11701" xr:uid="{00000000-0005-0000-0000-0000B12D0000}"/>
    <cellStyle name="40% - Accent1 5 2 4 2 2 3 2" xfId="11702" xr:uid="{00000000-0005-0000-0000-0000B22D0000}"/>
    <cellStyle name="40% - Accent1 5 2 4 2 2 4" xfId="11703" xr:uid="{00000000-0005-0000-0000-0000B32D0000}"/>
    <cellStyle name="40% - Accent1 5 2 4 2 3" xfId="11704" xr:uid="{00000000-0005-0000-0000-0000B42D0000}"/>
    <cellStyle name="40% - Accent1 5 2 4 2 3 2" xfId="11705" xr:uid="{00000000-0005-0000-0000-0000B52D0000}"/>
    <cellStyle name="40% - Accent1 5 2 4 2 3 2 2" xfId="11706" xr:uid="{00000000-0005-0000-0000-0000B62D0000}"/>
    <cellStyle name="40% - Accent1 5 2 4 2 3 3" xfId="11707" xr:uid="{00000000-0005-0000-0000-0000B72D0000}"/>
    <cellStyle name="40% - Accent1 5 2 4 2 4" xfId="11708" xr:uid="{00000000-0005-0000-0000-0000B82D0000}"/>
    <cellStyle name="40% - Accent1 5 2 4 2 4 2" xfId="11709" xr:uid="{00000000-0005-0000-0000-0000B92D0000}"/>
    <cellStyle name="40% - Accent1 5 2 4 2 4 2 2" xfId="11710" xr:uid="{00000000-0005-0000-0000-0000BA2D0000}"/>
    <cellStyle name="40% - Accent1 5 2 4 2 4 3" xfId="11711" xr:uid="{00000000-0005-0000-0000-0000BB2D0000}"/>
    <cellStyle name="40% - Accent1 5 2 4 2 5" xfId="11712" xr:uid="{00000000-0005-0000-0000-0000BC2D0000}"/>
    <cellStyle name="40% - Accent1 5 2 4 2 5 2" xfId="11713" xr:uid="{00000000-0005-0000-0000-0000BD2D0000}"/>
    <cellStyle name="40% - Accent1 5 2 4 2 5 2 2" xfId="11714" xr:uid="{00000000-0005-0000-0000-0000BE2D0000}"/>
    <cellStyle name="40% - Accent1 5 2 4 2 5 3" xfId="11715" xr:uid="{00000000-0005-0000-0000-0000BF2D0000}"/>
    <cellStyle name="40% - Accent1 5 2 4 2 6" xfId="11716" xr:uid="{00000000-0005-0000-0000-0000C02D0000}"/>
    <cellStyle name="40% - Accent1 5 2 4 2 6 2" xfId="11717" xr:uid="{00000000-0005-0000-0000-0000C12D0000}"/>
    <cellStyle name="40% - Accent1 5 2 4 2 6 2 2" xfId="11718" xr:uid="{00000000-0005-0000-0000-0000C22D0000}"/>
    <cellStyle name="40% - Accent1 5 2 4 2 6 3" xfId="11719" xr:uid="{00000000-0005-0000-0000-0000C32D0000}"/>
    <cellStyle name="40% - Accent1 5 2 4 2 7" xfId="11720" xr:uid="{00000000-0005-0000-0000-0000C42D0000}"/>
    <cellStyle name="40% - Accent1 5 2 4 2 7 2" xfId="11721" xr:uid="{00000000-0005-0000-0000-0000C52D0000}"/>
    <cellStyle name="40% - Accent1 5 2 4 2 8" xfId="11722" xr:uid="{00000000-0005-0000-0000-0000C62D0000}"/>
    <cellStyle name="40% - Accent1 5 2 4 3" xfId="11723" xr:uid="{00000000-0005-0000-0000-0000C72D0000}"/>
    <cellStyle name="40% - Accent1 5 2 4 3 2" xfId="11724" xr:uid="{00000000-0005-0000-0000-0000C82D0000}"/>
    <cellStyle name="40% - Accent1 5 2 4 3 2 2" xfId="11725" xr:uid="{00000000-0005-0000-0000-0000C92D0000}"/>
    <cellStyle name="40% - Accent1 5 2 4 3 2 2 2" xfId="11726" xr:uid="{00000000-0005-0000-0000-0000CA2D0000}"/>
    <cellStyle name="40% - Accent1 5 2 4 3 2 2 2 2" xfId="11727" xr:uid="{00000000-0005-0000-0000-0000CB2D0000}"/>
    <cellStyle name="40% - Accent1 5 2 4 3 2 2 3" xfId="11728" xr:uid="{00000000-0005-0000-0000-0000CC2D0000}"/>
    <cellStyle name="40% - Accent1 5 2 4 3 2 3" xfId="11729" xr:uid="{00000000-0005-0000-0000-0000CD2D0000}"/>
    <cellStyle name="40% - Accent1 5 2 4 3 2 3 2" xfId="11730" xr:uid="{00000000-0005-0000-0000-0000CE2D0000}"/>
    <cellStyle name="40% - Accent1 5 2 4 3 2 4" xfId="11731" xr:uid="{00000000-0005-0000-0000-0000CF2D0000}"/>
    <cellStyle name="40% - Accent1 5 2 4 3 3" xfId="11732" xr:uid="{00000000-0005-0000-0000-0000D02D0000}"/>
    <cellStyle name="40% - Accent1 5 2 4 3 3 2" xfId="11733" xr:uid="{00000000-0005-0000-0000-0000D12D0000}"/>
    <cellStyle name="40% - Accent1 5 2 4 3 3 2 2" xfId="11734" xr:uid="{00000000-0005-0000-0000-0000D22D0000}"/>
    <cellStyle name="40% - Accent1 5 2 4 3 3 3" xfId="11735" xr:uid="{00000000-0005-0000-0000-0000D32D0000}"/>
    <cellStyle name="40% - Accent1 5 2 4 3 4" xfId="11736" xr:uid="{00000000-0005-0000-0000-0000D42D0000}"/>
    <cellStyle name="40% - Accent1 5 2 4 3 4 2" xfId="11737" xr:uid="{00000000-0005-0000-0000-0000D52D0000}"/>
    <cellStyle name="40% - Accent1 5 2 4 3 4 2 2" xfId="11738" xr:uid="{00000000-0005-0000-0000-0000D62D0000}"/>
    <cellStyle name="40% - Accent1 5 2 4 3 4 3" xfId="11739" xr:uid="{00000000-0005-0000-0000-0000D72D0000}"/>
    <cellStyle name="40% - Accent1 5 2 4 3 5" xfId="11740" xr:uid="{00000000-0005-0000-0000-0000D82D0000}"/>
    <cellStyle name="40% - Accent1 5 2 4 3 5 2" xfId="11741" xr:uid="{00000000-0005-0000-0000-0000D92D0000}"/>
    <cellStyle name="40% - Accent1 5 2 4 3 5 2 2" xfId="11742" xr:uid="{00000000-0005-0000-0000-0000DA2D0000}"/>
    <cellStyle name="40% - Accent1 5 2 4 3 5 3" xfId="11743" xr:uid="{00000000-0005-0000-0000-0000DB2D0000}"/>
    <cellStyle name="40% - Accent1 5 2 4 3 6" xfId="11744" xr:uid="{00000000-0005-0000-0000-0000DC2D0000}"/>
    <cellStyle name="40% - Accent1 5 2 4 3 6 2" xfId="11745" xr:uid="{00000000-0005-0000-0000-0000DD2D0000}"/>
    <cellStyle name="40% - Accent1 5 2 4 3 6 2 2" xfId="11746" xr:uid="{00000000-0005-0000-0000-0000DE2D0000}"/>
    <cellStyle name="40% - Accent1 5 2 4 3 6 3" xfId="11747" xr:uid="{00000000-0005-0000-0000-0000DF2D0000}"/>
    <cellStyle name="40% - Accent1 5 2 4 3 7" xfId="11748" xr:uid="{00000000-0005-0000-0000-0000E02D0000}"/>
    <cellStyle name="40% - Accent1 5 2 4 3 7 2" xfId="11749" xr:uid="{00000000-0005-0000-0000-0000E12D0000}"/>
    <cellStyle name="40% - Accent1 5 2 4 3 8" xfId="11750" xr:uid="{00000000-0005-0000-0000-0000E22D0000}"/>
    <cellStyle name="40% - Accent1 5 2 4 4" xfId="11751" xr:uid="{00000000-0005-0000-0000-0000E32D0000}"/>
    <cellStyle name="40% - Accent1 5 2 4 4 2" xfId="11752" xr:uid="{00000000-0005-0000-0000-0000E42D0000}"/>
    <cellStyle name="40% - Accent1 5 2 4 4 2 2" xfId="11753" xr:uid="{00000000-0005-0000-0000-0000E52D0000}"/>
    <cellStyle name="40% - Accent1 5 2 4 4 2 2 2" xfId="11754" xr:uid="{00000000-0005-0000-0000-0000E62D0000}"/>
    <cellStyle name="40% - Accent1 5 2 4 4 2 2 2 2" xfId="11755" xr:uid="{00000000-0005-0000-0000-0000E72D0000}"/>
    <cellStyle name="40% - Accent1 5 2 4 4 2 2 3" xfId="11756" xr:uid="{00000000-0005-0000-0000-0000E82D0000}"/>
    <cellStyle name="40% - Accent1 5 2 4 4 2 3" xfId="11757" xr:uid="{00000000-0005-0000-0000-0000E92D0000}"/>
    <cellStyle name="40% - Accent1 5 2 4 4 2 3 2" xfId="11758" xr:uid="{00000000-0005-0000-0000-0000EA2D0000}"/>
    <cellStyle name="40% - Accent1 5 2 4 4 2 4" xfId="11759" xr:uid="{00000000-0005-0000-0000-0000EB2D0000}"/>
    <cellStyle name="40% - Accent1 5 2 4 4 3" xfId="11760" xr:uid="{00000000-0005-0000-0000-0000EC2D0000}"/>
    <cellStyle name="40% - Accent1 5 2 4 4 3 2" xfId="11761" xr:uid="{00000000-0005-0000-0000-0000ED2D0000}"/>
    <cellStyle name="40% - Accent1 5 2 4 4 3 2 2" xfId="11762" xr:uid="{00000000-0005-0000-0000-0000EE2D0000}"/>
    <cellStyle name="40% - Accent1 5 2 4 4 3 3" xfId="11763" xr:uid="{00000000-0005-0000-0000-0000EF2D0000}"/>
    <cellStyle name="40% - Accent1 5 2 4 4 4" xfId="11764" xr:uid="{00000000-0005-0000-0000-0000F02D0000}"/>
    <cellStyle name="40% - Accent1 5 2 4 4 4 2" xfId="11765" xr:uid="{00000000-0005-0000-0000-0000F12D0000}"/>
    <cellStyle name="40% - Accent1 5 2 4 4 4 2 2" xfId="11766" xr:uid="{00000000-0005-0000-0000-0000F22D0000}"/>
    <cellStyle name="40% - Accent1 5 2 4 4 4 3" xfId="11767" xr:uid="{00000000-0005-0000-0000-0000F32D0000}"/>
    <cellStyle name="40% - Accent1 5 2 4 4 5" xfId="11768" xr:uid="{00000000-0005-0000-0000-0000F42D0000}"/>
    <cellStyle name="40% - Accent1 5 2 4 4 5 2" xfId="11769" xr:uid="{00000000-0005-0000-0000-0000F52D0000}"/>
    <cellStyle name="40% - Accent1 5 2 4 4 5 2 2" xfId="11770" xr:uid="{00000000-0005-0000-0000-0000F62D0000}"/>
    <cellStyle name="40% - Accent1 5 2 4 4 5 3" xfId="11771" xr:uid="{00000000-0005-0000-0000-0000F72D0000}"/>
    <cellStyle name="40% - Accent1 5 2 4 4 6" xfId="11772" xr:uid="{00000000-0005-0000-0000-0000F82D0000}"/>
    <cellStyle name="40% - Accent1 5 2 4 4 6 2" xfId="11773" xr:uid="{00000000-0005-0000-0000-0000F92D0000}"/>
    <cellStyle name="40% - Accent1 5 2 4 4 6 2 2" xfId="11774" xr:uid="{00000000-0005-0000-0000-0000FA2D0000}"/>
    <cellStyle name="40% - Accent1 5 2 4 4 6 3" xfId="11775" xr:uid="{00000000-0005-0000-0000-0000FB2D0000}"/>
    <cellStyle name="40% - Accent1 5 2 4 4 7" xfId="11776" xr:uid="{00000000-0005-0000-0000-0000FC2D0000}"/>
    <cellStyle name="40% - Accent1 5 2 4 4 7 2" xfId="11777" xr:uid="{00000000-0005-0000-0000-0000FD2D0000}"/>
    <cellStyle name="40% - Accent1 5 2 4 4 8" xfId="11778" xr:uid="{00000000-0005-0000-0000-0000FE2D0000}"/>
    <cellStyle name="40% - Accent1 5 2 4 5" xfId="11779" xr:uid="{00000000-0005-0000-0000-0000FF2D0000}"/>
    <cellStyle name="40% - Accent1 5 2 4 5 2" xfId="11780" xr:uid="{00000000-0005-0000-0000-0000002E0000}"/>
    <cellStyle name="40% - Accent1 5 2 4 5 2 2" xfId="11781" xr:uid="{00000000-0005-0000-0000-0000012E0000}"/>
    <cellStyle name="40% - Accent1 5 2 4 5 2 2 2" xfId="11782" xr:uid="{00000000-0005-0000-0000-0000022E0000}"/>
    <cellStyle name="40% - Accent1 5 2 4 5 2 2 2 2" xfId="11783" xr:uid="{00000000-0005-0000-0000-0000032E0000}"/>
    <cellStyle name="40% - Accent1 5 2 4 5 2 2 3" xfId="11784" xr:uid="{00000000-0005-0000-0000-0000042E0000}"/>
    <cellStyle name="40% - Accent1 5 2 4 5 2 3" xfId="11785" xr:uid="{00000000-0005-0000-0000-0000052E0000}"/>
    <cellStyle name="40% - Accent1 5 2 4 5 2 3 2" xfId="11786" xr:uid="{00000000-0005-0000-0000-0000062E0000}"/>
    <cellStyle name="40% - Accent1 5 2 4 5 2 4" xfId="11787" xr:uid="{00000000-0005-0000-0000-0000072E0000}"/>
    <cellStyle name="40% - Accent1 5 2 4 5 3" xfId="11788" xr:uid="{00000000-0005-0000-0000-0000082E0000}"/>
    <cellStyle name="40% - Accent1 5 2 4 5 3 2" xfId="11789" xr:uid="{00000000-0005-0000-0000-0000092E0000}"/>
    <cellStyle name="40% - Accent1 5 2 4 5 3 2 2" xfId="11790" xr:uid="{00000000-0005-0000-0000-00000A2E0000}"/>
    <cellStyle name="40% - Accent1 5 2 4 5 3 3" xfId="11791" xr:uid="{00000000-0005-0000-0000-00000B2E0000}"/>
    <cellStyle name="40% - Accent1 5 2 4 5 4" xfId="11792" xr:uid="{00000000-0005-0000-0000-00000C2E0000}"/>
    <cellStyle name="40% - Accent1 5 2 4 5 4 2" xfId="11793" xr:uid="{00000000-0005-0000-0000-00000D2E0000}"/>
    <cellStyle name="40% - Accent1 5 2 4 5 5" xfId="11794" xr:uid="{00000000-0005-0000-0000-00000E2E0000}"/>
    <cellStyle name="40% - Accent1 5 2 4 6" xfId="11795" xr:uid="{00000000-0005-0000-0000-00000F2E0000}"/>
    <cellStyle name="40% - Accent1 5 2 4 6 2" xfId="11796" xr:uid="{00000000-0005-0000-0000-0000102E0000}"/>
    <cellStyle name="40% - Accent1 5 2 4 6 2 2" xfId="11797" xr:uid="{00000000-0005-0000-0000-0000112E0000}"/>
    <cellStyle name="40% - Accent1 5 2 4 6 2 2 2" xfId="11798" xr:uid="{00000000-0005-0000-0000-0000122E0000}"/>
    <cellStyle name="40% - Accent1 5 2 4 6 2 2 2 2" xfId="11799" xr:uid="{00000000-0005-0000-0000-0000132E0000}"/>
    <cellStyle name="40% - Accent1 5 2 4 6 2 2 3" xfId="11800" xr:uid="{00000000-0005-0000-0000-0000142E0000}"/>
    <cellStyle name="40% - Accent1 5 2 4 6 2 3" xfId="11801" xr:uid="{00000000-0005-0000-0000-0000152E0000}"/>
    <cellStyle name="40% - Accent1 5 2 4 6 2 3 2" xfId="11802" xr:uid="{00000000-0005-0000-0000-0000162E0000}"/>
    <cellStyle name="40% - Accent1 5 2 4 6 2 4" xfId="11803" xr:uid="{00000000-0005-0000-0000-0000172E0000}"/>
    <cellStyle name="40% - Accent1 5 2 4 6 3" xfId="11804" xr:uid="{00000000-0005-0000-0000-0000182E0000}"/>
    <cellStyle name="40% - Accent1 5 2 4 6 3 2" xfId="11805" xr:uid="{00000000-0005-0000-0000-0000192E0000}"/>
    <cellStyle name="40% - Accent1 5 2 4 6 3 2 2" xfId="11806" xr:uid="{00000000-0005-0000-0000-00001A2E0000}"/>
    <cellStyle name="40% - Accent1 5 2 4 6 3 3" xfId="11807" xr:uid="{00000000-0005-0000-0000-00001B2E0000}"/>
    <cellStyle name="40% - Accent1 5 2 4 6 4" xfId="11808" xr:uid="{00000000-0005-0000-0000-00001C2E0000}"/>
    <cellStyle name="40% - Accent1 5 2 4 6 4 2" xfId="11809" xr:uid="{00000000-0005-0000-0000-00001D2E0000}"/>
    <cellStyle name="40% - Accent1 5 2 4 6 5" xfId="11810" xr:uid="{00000000-0005-0000-0000-00001E2E0000}"/>
    <cellStyle name="40% - Accent1 5 2 4 7" xfId="11811" xr:uid="{00000000-0005-0000-0000-00001F2E0000}"/>
    <cellStyle name="40% - Accent1 5 2 4 7 2" xfId="11812" xr:uid="{00000000-0005-0000-0000-0000202E0000}"/>
    <cellStyle name="40% - Accent1 5 2 4 7 2 2" xfId="11813" xr:uid="{00000000-0005-0000-0000-0000212E0000}"/>
    <cellStyle name="40% - Accent1 5 2 4 7 2 2 2" xfId="11814" xr:uid="{00000000-0005-0000-0000-0000222E0000}"/>
    <cellStyle name="40% - Accent1 5 2 4 7 2 3" xfId="11815" xr:uid="{00000000-0005-0000-0000-0000232E0000}"/>
    <cellStyle name="40% - Accent1 5 2 4 7 3" xfId="11816" xr:uid="{00000000-0005-0000-0000-0000242E0000}"/>
    <cellStyle name="40% - Accent1 5 2 4 7 3 2" xfId="11817" xr:uid="{00000000-0005-0000-0000-0000252E0000}"/>
    <cellStyle name="40% - Accent1 5 2 4 7 4" xfId="11818" xr:uid="{00000000-0005-0000-0000-0000262E0000}"/>
    <cellStyle name="40% - Accent1 5 2 4 8" xfId="11819" xr:uid="{00000000-0005-0000-0000-0000272E0000}"/>
    <cellStyle name="40% - Accent1 5 2 4 8 2" xfId="11820" xr:uid="{00000000-0005-0000-0000-0000282E0000}"/>
    <cellStyle name="40% - Accent1 5 2 4 8 2 2" xfId="11821" xr:uid="{00000000-0005-0000-0000-0000292E0000}"/>
    <cellStyle name="40% - Accent1 5 2 4 8 2 2 2" xfId="11822" xr:uid="{00000000-0005-0000-0000-00002A2E0000}"/>
    <cellStyle name="40% - Accent1 5 2 4 8 2 3" xfId="11823" xr:uid="{00000000-0005-0000-0000-00002B2E0000}"/>
    <cellStyle name="40% - Accent1 5 2 4 8 3" xfId="11824" xr:uid="{00000000-0005-0000-0000-00002C2E0000}"/>
    <cellStyle name="40% - Accent1 5 2 4 8 3 2" xfId="11825" xr:uid="{00000000-0005-0000-0000-00002D2E0000}"/>
    <cellStyle name="40% - Accent1 5 2 4 8 4" xfId="11826" xr:uid="{00000000-0005-0000-0000-00002E2E0000}"/>
    <cellStyle name="40% - Accent1 5 2 4 9" xfId="11827" xr:uid="{00000000-0005-0000-0000-00002F2E0000}"/>
    <cellStyle name="40% - Accent1 5 2 4 9 2" xfId="11828" xr:uid="{00000000-0005-0000-0000-0000302E0000}"/>
    <cellStyle name="40% - Accent1 5 2 4 9 2 2" xfId="11829" xr:uid="{00000000-0005-0000-0000-0000312E0000}"/>
    <cellStyle name="40% - Accent1 5 2 4 9 3" xfId="11830" xr:uid="{00000000-0005-0000-0000-0000322E0000}"/>
    <cellStyle name="40% - Accent1 5 2 5" xfId="11831" xr:uid="{00000000-0005-0000-0000-0000332E0000}"/>
    <cellStyle name="40% - Accent1 5 2 5 10" xfId="11832" xr:uid="{00000000-0005-0000-0000-0000342E0000}"/>
    <cellStyle name="40% - Accent1 5 2 5 10 2" xfId="11833" xr:uid="{00000000-0005-0000-0000-0000352E0000}"/>
    <cellStyle name="40% - Accent1 5 2 5 10 2 2" xfId="11834" xr:uid="{00000000-0005-0000-0000-0000362E0000}"/>
    <cellStyle name="40% - Accent1 5 2 5 10 3" xfId="11835" xr:uid="{00000000-0005-0000-0000-0000372E0000}"/>
    <cellStyle name="40% - Accent1 5 2 5 11" xfId="11836" xr:uid="{00000000-0005-0000-0000-0000382E0000}"/>
    <cellStyle name="40% - Accent1 5 2 5 11 2" xfId="11837" xr:uid="{00000000-0005-0000-0000-0000392E0000}"/>
    <cellStyle name="40% - Accent1 5 2 5 11 2 2" xfId="11838" xr:uid="{00000000-0005-0000-0000-00003A2E0000}"/>
    <cellStyle name="40% - Accent1 5 2 5 11 3" xfId="11839" xr:uid="{00000000-0005-0000-0000-00003B2E0000}"/>
    <cellStyle name="40% - Accent1 5 2 5 12" xfId="11840" xr:uid="{00000000-0005-0000-0000-00003C2E0000}"/>
    <cellStyle name="40% - Accent1 5 2 5 12 2" xfId="11841" xr:uid="{00000000-0005-0000-0000-00003D2E0000}"/>
    <cellStyle name="40% - Accent1 5 2 5 12 2 2" xfId="11842" xr:uid="{00000000-0005-0000-0000-00003E2E0000}"/>
    <cellStyle name="40% - Accent1 5 2 5 12 3" xfId="11843" xr:uid="{00000000-0005-0000-0000-00003F2E0000}"/>
    <cellStyle name="40% - Accent1 5 2 5 13" xfId="11844" xr:uid="{00000000-0005-0000-0000-0000402E0000}"/>
    <cellStyle name="40% - Accent1 5 2 5 13 2" xfId="11845" xr:uid="{00000000-0005-0000-0000-0000412E0000}"/>
    <cellStyle name="40% - Accent1 5 2 5 14" xfId="11846" xr:uid="{00000000-0005-0000-0000-0000422E0000}"/>
    <cellStyle name="40% - Accent1 5 2 5 2" xfId="11847" xr:uid="{00000000-0005-0000-0000-0000432E0000}"/>
    <cellStyle name="40% - Accent1 5 2 5 2 2" xfId="11848" xr:uid="{00000000-0005-0000-0000-0000442E0000}"/>
    <cellStyle name="40% - Accent1 5 2 5 2 2 2" xfId="11849" xr:uid="{00000000-0005-0000-0000-0000452E0000}"/>
    <cellStyle name="40% - Accent1 5 2 5 2 2 2 2" xfId="11850" xr:uid="{00000000-0005-0000-0000-0000462E0000}"/>
    <cellStyle name="40% - Accent1 5 2 5 2 2 2 2 2" xfId="11851" xr:uid="{00000000-0005-0000-0000-0000472E0000}"/>
    <cellStyle name="40% - Accent1 5 2 5 2 2 2 3" xfId="11852" xr:uid="{00000000-0005-0000-0000-0000482E0000}"/>
    <cellStyle name="40% - Accent1 5 2 5 2 2 3" xfId="11853" xr:uid="{00000000-0005-0000-0000-0000492E0000}"/>
    <cellStyle name="40% - Accent1 5 2 5 2 2 3 2" xfId="11854" xr:uid="{00000000-0005-0000-0000-00004A2E0000}"/>
    <cellStyle name="40% - Accent1 5 2 5 2 2 4" xfId="11855" xr:uid="{00000000-0005-0000-0000-00004B2E0000}"/>
    <cellStyle name="40% - Accent1 5 2 5 2 3" xfId="11856" xr:uid="{00000000-0005-0000-0000-00004C2E0000}"/>
    <cellStyle name="40% - Accent1 5 2 5 2 3 2" xfId="11857" xr:uid="{00000000-0005-0000-0000-00004D2E0000}"/>
    <cellStyle name="40% - Accent1 5 2 5 2 3 2 2" xfId="11858" xr:uid="{00000000-0005-0000-0000-00004E2E0000}"/>
    <cellStyle name="40% - Accent1 5 2 5 2 3 3" xfId="11859" xr:uid="{00000000-0005-0000-0000-00004F2E0000}"/>
    <cellStyle name="40% - Accent1 5 2 5 2 4" xfId="11860" xr:uid="{00000000-0005-0000-0000-0000502E0000}"/>
    <cellStyle name="40% - Accent1 5 2 5 2 4 2" xfId="11861" xr:uid="{00000000-0005-0000-0000-0000512E0000}"/>
    <cellStyle name="40% - Accent1 5 2 5 2 4 2 2" xfId="11862" xr:uid="{00000000-0005-0000-0000-0000522E0000}"/>
    <cellStyle name="40% - Accent1 5 2 5 2 4 3" xfId="11863" xr:uid="{00000000-0005-0000-0000-0000532E0000}"/>
    <cellStyle name="40% - Accent1 5 2 5 2 5" xfId="11864" xr:uid="{00000000-0005-0000-0000-0000542E0000}"/>
    <cellStyle name="40% - Accent1 5 2 5 2 5 2" xfId="11865" xr:uid="{00000000-0005-0000-0000-0000552E0000}"/>
    <cellStyle name="40% - Accent1 5 2 5 2 5 2 2" xfId="11866" xr:uid="{00000000-0005-0000-0000-0000562E0000}"/>
    <cellStyle name="40% - Accent1 5 2 5 2 5 3" xfId="11867" xr:uid="{00000000-0005-0000-0000-0000572E0000}"/>
    <cellStyle name="40% - Accent1 5 2 5 2 6" xfId="11868" xr:uid="{00000000-0005-0000-0000-0000582E0000}"/>
    <cellStyle name="40% - Accent1 5 2 5 2 6 2" xfId="11869" xr:uid="{00000000-0005-0000-0000-0000592E0000}"/>
    <cellStyle name="40% - Accent1 5 2 5 2 6 2 2" xfId="11870" xr:uid="{00000000-0005-0000-0000-00005A2E0000}"/>
    <cellStyle name="40% - Accent1 5 2 5 2 6 3" xfId="11871" xr:uid="{00000000-0005-0000-0000-00005B2E0000}"/>
    <cellStyle name="40% - Accent1 5 2 5 2 7" xfId="11872" xr:uid="{00000000-0005-0000-0000-00005C2E0000}"/>
    <cellStyle name="40% - Accent1 5 2 5 2 7 2" xfId="11873" xr:uid="{00000000-0005-0000-0000-00005D2E0000}"/>
    <cellStyle name="40% - Accent1 5 2 5 2 8" xfId="11874" xr:uid="{00000000-0005-0000-0000-00005E2E0000}"/>
    <cellStyle name="40% - Accent1 5 2 5 3" xfId="11875" xr:uid="{00000000-0005-0000-0000-00005F2E0000}"/>
    <cellStyle name="40% - Accent1 5 2 5 3 2" xfId="11876" xr:uid="{00000000-0005-0000-0000-0000602E0000}"/>
    <cellStyle name="40% - Accent1 5 2 5 3 2 2" xfId="11877" xr:uid="{00000000-0005-0000-0000-0000612E0000}"/>
    <cellStyle name="40% - Accent1 5 2 5 3 2 2 2" xfId="11878" xr:uid="{00000000-0005-0000-0000-0000622E0000}"/>
    <cellStyle name="40% - Accent1 5 2 5 3 2 2 2 2" xfId="11879" xr:uid="{00000000-0005-0000-0000-0000632E0000}"/>
    <cellStyle name="40% - Accent1 5 2 5 3 2 2 3" xfId="11880" xr:uid="{00000000-0005-0000-0000-0000642E0000}"/>
    <cellStyle name="40% - Accent1 5 2 5 3 2 3" xfId="11881" xr:uid="{00000000-0005-0000-0000-0000652E0000}"/>
    <cellStyle name="40% - Accent1 5 2 5 3 2 3 2" xfId="11882" xr:uid="{00000000-0005-0000-0000-0000662E0000}"/>
    <cellStyle name="40% - Accent1 5 2 5 3 2 4" xfId="11883" xr:uid="{00000000-0005-0000-0000-0000672E0000}"/>
    <cellStyle name="40% - Accent1 5 2 5 3 3" xfId="11884" xr:uid="{00000000-0005-0000-0000-0000682E0000}"/>
    <cellStyle name="40% - Accent1 5 2 5 3 3 2" xfId="11885" xr:uid="{00000000-0005-0000-0000-0000692E0000}"/>
    <cellStyle name="40% - Accent1 5 2 5 3 3 2 2" xfId="11886" xr:uid="{00000000-0005-0000-0000-00006A2E0000}"/>
    <cellStyle name="40% - Accent1 5 2 5 3 3 3" xfId="11887" xr:uid="{00000000-0005-0000-0000-00006B2E0000}"/>
    <cellStyle name="40% - Accent1 5 2 5 3 4" xfId="11888" xr:uid="{00000000-0005-0000-0000-00006C2E0000}"/>
    <cellStyle name="40% - Accent1 5 2 5 3 4 2" xfId="11889" xr:uid="{00000000-0005-0000-0000-00006D2E0000}"/>
    <cellStyle name="40% - Accent1 5 2 5 3 4 2 2" xfId="11890" xr:uid="{00000000-0005-0000-0000-00006E2E0000}"/>
    <cellStyle name="40% - Accent1 5 2 5 3 4 3" xfId="11891" xr:uid="{00000000-0005-0000-0000-00006F2E0000}"/>
    <cellStyle name="40% - Accent1 5 2 5 3 5" xfId="11892" xr:uid="{00000000-0005-0000-0000-0000702E0000}"/>
    <cellStyle name="40% - Accent1 5 2 5 3 5 2" xfId="11893" xr:uid="{00000000-0005-0000-0000-0000712E0000}"/>
    <cellStyle name="40% - Accent1 5 2 5 3 5 2 2" xfId="11894" xr:uid="{00000000-0005-0000-0000-0000722E0000}"/>
    <cellStyle name="40% - Accent1 5 2 5 3 5 3" xfId="11895" xr:uid="{00000000-0005-0000-0000-0000732E0000}"/>
    <cellStyle name="40% - Accent1 5 2 5 3 6" xfId="11896" xr:uid="{00000000-0005-0000-0000-0000742E0000}"/>
    <cellStyle name="40% - Accent1 5 2 5 3 6 2" xfId="11897" xr:uid="{00000000-0005-0000-0000-0000752E0000}"/>
    <cellStyle name="40% - Accent1 5 2 5 3 6 2 2" xfId="11898" xr:uid="{00000000-0005-0000-0000-0000762E0000}"/>
    <cellStyle name="40% - Accent1 5 2 5 3 6 3" xfId="11899" xr:uid="{00000000-0005-0000-0000-0000772E0000}"/>
    <cellStyle name="40% - Accent1 5 2 5 3 7" xfId="11900" xr:uid="{00000000-0005-0000-0000-0000782E0000}"/>
    <cellStyle name="40% - Accent1 5 2 5 3 7 2" xfId="11901" xr:uid="{00000000-0005-0000-0000-0000792E0000}"/>
    <cellStyle name="40% - Accent1 5 2 5 3 8" xfId="11902" xr:uid="{00000000-0005-0000-0000-00007A2E0000}"/>
    <cellStyle name="40% - Accent1 5 2 5 4" xfId="11903" xr:uid="{00000000-0005-0000-0000-00007B2E0000}"/>
    <cellStyle name="40% - Accent1 5 2 5 4 2" xfId="11904" xr:uid="{00000000-0005-0000-0000-00007C2E0000}"/>
    <cellStyle name="40% - Accent1 5 2 5 4 2 2" xfId="11905" xr:uid="{00000000-0005-0000-0000-00007D2E0000}"/>
    <cellStyle name="40% - Accent1 5 2 5 4 2 2 2" xfId="11906" xr:uid="{00000000-0005-0000-0000-00007E2E0000}"/>
    <cellStyle name="40% - Accent1 5 2 5 4 2 2 2 2" xfId="11907" xr:uid="{00000000-0005-0000-0000-00007F2E0000}"/>
    <cellStyle name="40% - Accent1 5 2 5 4 2 2 3" xfId="11908" xr:uid="{00000000-0005-0000-0000-0000802E0000}"/>
    <cellStyle name="40% - Accent1 5 2 5 4 2 3" xfId="11909" xr:uid="{00000000-0005-0000-0000-0000812E0000}"/>
    <cellStyle name="40% - Accent1 5 2 5 4 2 3 2" xfId="11910" xr:uid="{00000000-0005-0000-0000-0000822E0000}"/>
    <cellStyle name="40% - Accent1 5 2 5 4 2 4" xfId="11911" xr:uid="{00000000-0005-0000-0000-0000832E0000}"/>
    <cellStyle name="40% - Accent1 5 2 5 4 3" xfId="11912" xr:uid="{00000000-0005-0000-0000-0000842E0000}"/>
    <cellStyle name="40% - Accent1 5 2 5 4 3 2" xfId="11913" xr:uid="{00000000-0005-0000-0000-0000852E0000}"/>
    <cellStyle name="40% - Accent1 5 2 5 4 3 2 2" xfId="11914" xr:uid="{00000000-0005-0000-0000-0000862E0000}"/>
    <cellStyle name="40% - Accent1 5 2 5 4 3 3" xfId="11915" xr:uid="{00000000-0005-0000-0000-0000872E0000}"/>
    <cellStyle name="40% - Accent1 5 2 5 4 4" xfId="11916" xr:uid="{00000000-0005-0000-0000-0000882E0000}"/>
    <cellStyle name="40% - Accent1 5 2 5 4 4 2" xfId="11917" xr:uid="{00000000-0005-0000-0000-0000892E0000}"/>
    <cellStyle name="40% - Accent1 5 2 5 4 4 2 2" xfId="11918" xr:uid="{00000000-0005-0000-0000-00008A2E0000}"/>
    <cellStyle name="40% - Accent1 5 2 5 4 4 3" xfId="11919" xr:uid="{00000000-0005-0000-0000-00008B2E0000}"/>
    <cellStyle name="40% - Accent1 5 2 5 4 5" xfId="11920" xr:uid="{00000000-0005-0000-0000-00008C2E0000}"/>
    <cellStyle name="40% - Accent1 5 2 5 4 5 2" xfId="11921" xr:uid="{00000000-0005-0000-0000-00008D2E0000}"/>
    <cellStyle name="40% - Accent1 5 2 5 4 5 2 2" xfId="11922" xr:uid="{00000000-0005-0000-0000-00008E2E0000}"/>
    <cellStyle name="40% - Accent1 5 2 5 4 5 3" xfId="11923" xr:uid="{00000000-0005-0000-0000-00008F2E0000}"/>
    <cellStyle name="40% - Accent1 5 2 5 4 6" xfId="11924" xr:uid="{00000000-0005-0000-0000-0000902E0000}"/>
    <cellStyle name="40% - Accent1 5 2 5 4 6 2" xfId="11925" xr:uid="{00000000-0005-0000-0000-0000912E0000}"/>
    <cellStyle name="40% - Accent1 5 2 5 4 6 2 2" xfId="11926" xr:uid="{00000000-0005-0000-0000-0000922E0000}"/>
    <cellStyle name="40% - Accent1 5 2 5 4 6 3" xfId="11927" xr:uid="{00000000-0005-0000-0000-0000932E0000}"/>
    <cellStyle name="40% - Accent1 5 2 5 4 7" xfId="11928" xr:uid="{00000000-0005-0000-0000-0000942E0000}"/>
    <cellStyle name="40% - Accent1 5 2 5 4 7 2" xfId="11929" xr:uid="{00000000-0005-0000-0000-0000952E0000}"/>
    <cellStyle name="40% - Accent1 5 2 5 4 8" xfId="11930" xr:uid="{00000000-0005-0000-0000-0000962E0000}"/>
    <cellStyle name="40% - Accent1 5 2 5 5" xfId="11931" xr:uid="{00000000-0005-0000-0000-0000972E0000}"/>
    <cellStyle name="40% - Accent1 5 2 5 5 2" xfId="11932" xr:uid="{00000000-0005-0000-0000-0000982E0000}"/>
    <cellStyle name="40% - Accent1 5 2 5 5 2 2" xfId="11933" xr:uid="{00000000-0005-0000-0000-0000992E0000}"/>
    <cellStyle name="40% - Accent1 5 2 5 5 2 2 2" xfId="11934" xr:uid="{00000000-0005-0000-0000-00009A2E0000}"/>
    <cellStyle name="40% - Accent1 5 2 5 5 2 2 2 2" xfId="11935" xr:uid="{00000000-0005-0000-0000-00009B2E0000}"/>
    <cellStyle name="40% - Accent1 5 2 5 5 2 2 3" xfId="11936" xr:uid="{00000000-0005-0000-0000-00009C2E0000}"/>
    <cellStyle name="40% - Accent1 5 2 5 5 2 3" xfId="11937" xr:uid="{00000000-0005-0000-0000-00009D2E0000}"/>
    <cellStyle name="40% - Accent1 5 2 5 5 2 3 2" xfId="11938" xr:uid="{00000000-0005-0000-0000-00009E2E0000}"/>
    <cellStyle name="40% - Accent1 5 2 5 5 2 4" xfId="11939" xr:uid="{00000000-0005-0000-0000-00009F2E0000}"/>
    <cellStyle name="40% - Accent1 5 2 5 5 3" xfId="11940" xr:uid="{00000000-0005-0000-0000-0000A02E0000}"/>
    <cellStyle name="40% - Accent1 5 2 5 5 3 2" xfId="11941" xr:uid="{00000000-0005-0000-0000-0000A12E0000}"/>
    <cellStyle name="40% - Accent1 5 2 5 5 3 2 2" xfId="11942" xr:uid="{00000000-0005-0000-0000-0000A22E0000}"/>
    <cellStyle name="40% - Accent1 5 2 5 5 3 3" xfId="11943" xr:uid="{00000000-0005-0000-0000-0000A32E0000}"/>
    <cellStyle name="40% - Accent1 5 2 5 5 4" xfId="11944" xr:uid="{00000000-0005-0000-0000-0000A42E0000}"/>
    <cellStyle name="40% - Accent1 5 2 5 5 4 2" xfId="11945" xr:uid="{00000000-0005-0000-0000-0000A52E0000}"/>
    <cellStyle name="40% - Accent1 5 2 5 5 5" xfId="11946" xr:uid="{00000000-0005-0000-0000-0000A62E0000}"/>
    <cellStyle name="40% - Accent1 5 2 5 6" xfId="11947" xr:uid="{00000000-0005-0000-0000-0000A72E0000}"/>
    <cellStyle name="40% - Accent1 5 2 5 6 2" xfId="11948" xr:uid="{00000000-0005-0000-0000-0000A82E0000}"/>
    <cellStyle name="40% - Accent1 5 2 5 6 2 2" xfId="11949" xr:uid="{00000000-0005-0000-0000-0000A92E0000}"/>
    <cellStyle name="40% - Accent1 5 2 5 6 2 2 2" xfId="11950" xr:uid="{00000000-0005-0000-0000-0000AA2E0000}"/>
    <cellStyle name="40% - Accent1 5 2 5 6 2 2 2 2" xfId="11951" xr:uid="{00000000-0005-0000-0000-0000AB2E0000}"/>
    <cellStyle name="40% - Accent1 5 2 5 6 2 2 3" xfId="11952" xr:uid="{00000000-0005-0000-0000-0000AC2E0000}"/>
    <cellStyle name="40% - Accent1 5 2 5 6 2 3" xfId="11953" xr:uid="{00000000-0005-0000-0000-0000AD2E0000}"/>
    <cellStyle name="40% - Accent1 5 2 5 6 2 3 2" xfId="11954" xr:uid="{00000000-0005-0000-0000-0000AE2E0000}"/>
    <cellStyle name="40% - Accent1 5 2 5 6 2 4" xfId="11955" xr:uid="{00000000-0005-0000-0000-0000AF2E0000}"/>
    <cellStyle name="40% - Accent1 5 2 5 6 3" xfId="11956" xr:uid="{00000000-0005-0000-0000-0000B02E0000}"/>
    <cellStyle name="40% - Accent1 5 2 5 6 3 2" xfId="11957" xr:uid="{00000000-0005-0000-0000-0000B12E0000}"/>
    <cellStyle name="40% - Accent1 5 2 5 6 3 2 2" xfId="11958" xr:uid="{00000000-0005-0000-0000-0000B22E0000}"/>
    <cellStyle name="40% - Accent1 5 2 5 6 3 3" xfId="11959" xr:uid="{00000000-0005-0000-0000-0000B32E0000}"/>
    <cellStyle name="40% - Accent1 5 2 5 6 4" xfId="11960" xr:uid="{00000000-0005-0000-0000-0000B42E0000}"/>
    <cellStyle name="40% - Accent1 5 2 5 6 4 2" xfId="11961" xr:uid="{00000000-0005-0000-0000-0000B52E0000}"/>
    <cellStyle name="40% - Accent1 5 2 5 6 5" xfId="11962" xr:uid="{00000000-0005-0000-0000-0000B62E0000}"/>
    <cellStyle name="40% - Accent1 5 2 5 7" xfId="11963" xr:uid="{00000000-0005-0000-0000-0000B72E0000}"/>
    <cellStyle name="40% - Accent1 5 2 5 7 2" xfId="11964" xr:uid="{00000000-0005-0000-0000-0000B82E0000}"/>
    <cellStyle name="40% - Accent1 5 2 5 7 2 2" xfId="11965" xr:uid="{00000000-0005-0000-0000-0000B92E0000}"/>
    <cellStyle name="40% - Accent1 5 2 5 7 2 2 2" xfId="11966" xr:uid="{00000000-0005-0000-0000-0000BA2E0000}"/>
    <cellStyle name="40% - Accent1 5 2 5 7 2 3" xfId="11967" xr:uid="{00000000-0005-0000-0000-0000BB2E0000}"/>
    <cellStyle name="40% - Accent1 5 2 5 7 3" xfId="11968" xr:uid="{00000000-0005-0000-0000-0000BC2E0000}"/>
    <cellStyle name="40% - Accent1 5 2 5 7 3 2" xfId="11969" xr:uid="{00000000-0005-0000-0000-0000BD2E0000}"/>
    <cellStyle name="40% - Accent1 5 2 5 7 4" xfId="11970" xr:uid="{00000000-0005-0000-0000-0000BE2E0000}"/>
    <cellStyle name="40% - Accent1 5 2 5 8" xfId="11971" xr:uid="{00000000-0005-0000-0000-0000BF2E0000}"/>
    <cellStyle name="40% - Accent1 5 2 5 8 2" xfId="11972" xr:uid="{00000000-0005-0000-0000-0000C02E0000}"/>
    <cellStyle name="40% - Accent1 5 2 5 8 2 2" xfId="11973" xr:uid="{00000000-0005-0000-0000-0000C12E0000}"/>
    <cellStyle name="40% - Accent1 5 2 5 8 2 2 2" xfId="11974" xr:uid="{00000000-0005-0000-0000-0000C22E0000}"/>
    <cellStyle name="40% - Accent1 5 2 5 8 2 3" xfId="11975" xr:uid="{00000000-0005-0000-0000-0000C32E0000}"/>
    <cellStyle name="40% - Accent1 5 2 5 8 3" xfId="11976" xr:uid="{00000000-0005-0000-0000-0000C42E0000}"/>
    <cellStyle name="40% - Accent1 5 2 5 8 3 2" xfId="11977" xr:uid="{00000000-0005-0000-0000-0000C52E0000}"/>
    <cellStyle name="40% - Accent1 5 2 5 8 4" xfId="11978" xr:uid="{00000000-0005-0000-0000-0000C62E0000}"/>
    <cellStyle name="40% - Accent1 5 2 5 9" xfId="11979" xr:uid="{00000000-0005-0000-0000-0000C72E0000}"/>
    <cellStyle name="40% - Accent1 5 2 5 9 2" xfId="11980" xr:uid="{00000000-0005-0000-0000-0000C82E0000}"/>
    <cellStyle name="40% - Accent1 5 2 5 9 2 2" xfId="11981" xr:uid="{00000000-0005-0000-0000-0000C92E0000}"/>
    <cellStyle name="40% - Accent1 5 2 5 9 3" xfId="11982" xr:uid="{00000000-0005-0000-0000-0000CA2E0000}"/>
    <cellStyle name="40% - Accent1 5 2 6" xfId="11983" xr:uid="{00000000-0005-0000-0000-0000CB2E0000}"/>
    <cellStyle name="40% - Accent1 5 2 6 10" xfId="11984" xr:uid="{00000000-0005-0000-0000-0000CC2E0000}"/>
    <cellStyle name="40% - Accent1 5 2 6 10 2" xfId="11985" xr:uid="{00000000-0005-0000-0000-0000CD2E0000}"/>
    <cellStyle name="40% - Accent1 5 2 6 10 2 2" xfId="11986" xr:uid="{00000000-0005-0000-0000-0000CE2E0000}"/>
    <cellStyle name="40% - Accent1 5 2 6 10 3" xfId="11987" xr:uid="{00000000-0005-0000-0000-0000CF2E0000}"/>
    <cellStyle name="40% - Accent1 5 2 6 11" xfId="11988" xr:uid="{00000000-0005-0000-0000-0000D02E0000}"/>
    <cellStyle name="40% - Accent1 5 2 6 11 2" xfId="11989" xr:uid="{00000000-0005-0000-0000-0000D12E0000}"/>
    <cellStyle name="40% - Accent1 5 2 6 11 2 2" xfId="11990" xr:uid="{00000000-0005-0000-0000-0000D22E0000}"/>
    <cellStyle name="40% - Accent1 5 2 6 11 3" xfId="11991" xr:uid="{00000000-0005-0000-0000-0000D32E0000}"/>
    <cellStyle name="40% - Accent1 5 2 6 12" xfId="11992" xr:uid="{00000000-0005-0000-0000-0000D42E0000}"/>
    <cellStyle name="40% - Accent1 5 2 6 12 2" xfId="11993" xr:uid="{00000000-0005-0000-0000-0000D52E0000}"/>
    <cellStyle name="40% - Accent1 5 2 6 12 2 2" xfId="11994" xr:uid="{00000000-0005-0000-0000-0000D62E0000}"/>
    <cellStyle name="40% - Accent1 5 2 6 12 3" xfId="11995" xr:uid="{00000000-0005-0000-0000-0000D72E0000}"/>
    <cellStyle name="40% - Accent1 5 2 6 13" xfId="11996" xr:uid="{00000000-0005-0000-0000-0000D82E0000}"/>
    <cellStyle name="40% - Accent1 5 2 6 13 2" xfId="11997" xr:uid="{00000000-0005-0000-0000-0000D92E0000}"/>
    <cellStyle name="40% - Accent1 5 2 6 14" xfId="11998" xr:uid="{00000000-0005-0000-0000-0000DA2E0000}"/>
    <cellStyle name="40% - Accent1 5 2 6 2" xfId="11999" xr:uid="{00000000-0005-0000-0000-0000DB2E0000}"/>
    <cellStyle name="40% - Accent1 5 2 6 2 2" xfId="12000" xr:uid="{00000000-0005-0000-0000-0000DC2E0000}"/>
    <cellStyle name="40% - Accent1 5 2 6 2 2 2" xfId="12001" xr:uid="{00000000-0005-0000-0000-0000DD2E0000}"/>
    <cellStyle name="40% - Accent1 5 2 6 2 2 2 2" xfId="12002" xr:uid="{00000000-0005-0000-0000-0000DE2E0000}"/>
    <cellStyle name="40% - Accent1 5 2 6 2 2 2 2 2" xfId="12003" xr:uid="{00000000-0005-0000-0000-0000DF2E0000}"/>
    <cellStyle name="40% - Accent1 5 2 6 2 2 2 3" xfId="12004" xr:uid="{00000000-0005-0000-0000-0000E02E0000}"/>
    <cellStyle name="40% - Accent1 5 2 6 2 2 3" xfId="12005" xr:uid="{00000000-0005-0000-0000-0000E12E0000}"/>
    <cellStyle name="40% - Accent1 5 2 6 2 2 3 2" xfId="12006" xr:uid="{00000000-0005-0000-0000-0000E22E0000}"/>
    <cellStyle name="40% - Accent1 5 2 6 2 2 4" xfId="12007" xr:uid="{00000000-0005-0000-0000-0000E32E0000}"/>
    <cellStyle name="40% - Accent1 5 2 6 2 3" xfId="12008" xr:uid="{00000000-0005-0000-0000-0000E42E0000}"/>
    <cellStyle name="40% - Accent1 5 2 6 2 3 2" xfId="12009" xr:uid="{00000000-0005-0000-0000-0000E52E0000}"/>
    <cellStyle name="40% - Accent1 5 2 6 2 3 2 2" xfId="12010" xr:uid="{00000000-0005-0000-0000-0000E62E0000}"/>
    <cellStyle name="40% - Accent1 5 2 6 2 3 3" xfId="12011" xr:uid="{00000000-0005-0000-0000-0000E72E0000}"/>
    <cellStyle name="40% - Accent1 5 2 6 2 4" xfId="12012" xr:uid="{00000000-0005-0000-0000-0000E82E0000}"/>
    <cellStyle name="40% - Accent1 5 2 6 2 4 2" xfId="12013" xr:uid="{00000000-0005-0000-0000-0000E92E0000}"/>
    <cellStyle name="40% - Accent1 5 2 6 2 4 2 2" xfId="12014" xr:uid="{00000000-0005-0000-0000-0000EA2E0000}"/>
    <cellStyle name="40% - Accent1 5 2 6 2 4 3" xfId="12015" xr:uid="{00000000-0005-0000-0000-0000EB2E0000}"/>
    <cellStyle name="40% - Accent1 5 2 6 2 5" xfId="12016" xr:uid="{00000000-0005-0000-0000-0000EC2E0000}"/>
    <cellStyle name="40% - Accent1 5 2 6 2 5 2" xfId="12017" xr:uid="{00000000-0005-0000-0000-0000ED2E0000}"/>
    <cellStyle name="40% - Accent1 5 2 6 2 5 2 2" xfId="12018" xr:uid="{00000000-0005-0000-0000-0000EE2E0000}"/>
    <cellStyle name="40% - Accent1 5 2 6 2 5 3" xfId="12019" xr:uid="{00000000-0005-0000-0000-0000EF2E0000}"/>
    <cellStyle name="40% - Accent1 5 2 6 2 6" xfId="12020" xr:uid="{00000000-0005-0000-0000-0000F02E0000}"/>
    <cellStyle name="40% - Accent1 5 2 6 2 6 2" xfId="12021" xr:uid="{00000000-0005-0000-0000-0000F12E0000}"/>
    <cellStyle name="40% - Accent1 5 2 6 2 6 2 2" xfId="12022" xr:uid="{00000000-0005-0000-0000-0000F22E0000}"/>
    <cellStyle name="40% - Accent1 5 2 6 2 6 3" xfId="12023" xr:uid="{00000000-0005-0000-0000-0000F32E0000}"/>
    <cellStyle name="40% - Accent1 5 2 6 2 7" xfId="12024" xr:uid="{00000000-0005-0000-0000-0000F42E0000}"/>
    <cellStyle name="40% - Accent1 5 2 6 2 7 2" xfId="12025" xr:uid="{00000000-0005-0000-0000-0000F52E0000}"/>
    <cellStyle name="40% - Accent1 5 2 6 2 8" xfId="12026" xr:uid="{00000000-0005-0000-0000-0000F62E0000}"/>
    <cellStyle name="40% - Accent1 5 2 6 3" xfId="12027" xr:uid="{00000000-0005-0000-0000-0000F72E0000}"/>
    <cellStyle name="40% - Accent1 5 2 6 3 2" xfId="12028" xr:uid="{00000000-0005-0000-0000-0000F82E0000}"/>
    <cellStyle name="40% - Accent1 5 2 6 3 2 2" xfId="12029" xr:uid="{00000000-0005-0000-0000-0000F92E0000}"/>
    <cellStyle name="40% - Accent1 5 2 6 3 2 2 2" xfId="12030" xr:uid="{00000000-0005-0000-0000-0000FA2E0000}"/>
    <cellStyle name="40% - Accent1 5 2 6 3 2 2 2 2" xfId="12031" xr:uid="{00000000-0005-0000-0000-0000FB2E0000}"/>
    <cellStyle name="40% - Accent1 5 2 6 3 2 2 3" xfId="12032" xr:uid="{00000000-0005-0000-0000-0000FC2E0000}"/>
    <cellStyle name="40% - Accent1 5 2 6 3 2 3" xfId="12033" xr:uid="{00000000-0005-0000-0000-0000FD2E0000}"/>
    <cellStyle name="40% - Accent1 5 2 6 3 2 3 2" xfId="12034" xr:uid="{00000000-0005-0000-0000-0000FE2E0000}"/>
    <cellStyle name="40% - Accent1 5 2 6 3 2 4" xfId="12035" xr:uid="{00000000-0005-0000-0000-0000FF2E0000}"/>
    <cellStyle name="40% - Accent1 5 2 6 3 3" xfId="12036" xr:uid="{00000000-0005-0000-0000-0000002F0000}"/>
    <cellStyle name="40% - Accent1 5 2 6 3 3 2" xfId="12037" xr:uid="{00000000-0005-0000-0000-0000012F0000}"/>
    <cellStyle name="40% - Accent1 5 2 6 3 3 2 2" xfId="12038" xr:uid="{00000000-0005-0000-0000-0000022F0000}"/>
    <cellStyle name="40% - Accent1 5 2 6 3 3 3" xfId="12039" xr:uid="{00000000-0005-0000-0000-0000032F0000}"/>
    <cellStyle name="40% - Accent1 5 2 6 3 4" xfId="12040" xr:uid="{00000000-0005-0000-0000-0000042F0000}"/>
    <cellStyle name="40% - Accent1 5 2 6 3 4 2" xfId="12041" xr:uid="{00000000-0005-0000-0000-0000052F0000}"/>
    <cellStyle name="40% - Accent1 5 2 6 3 4 2 2" xfId="12042" xr:uid="{00000000-0005-0000-0000-0000062F0000}"/>
    <cellStyle name="40% - Accent1 5 2 6 3 4 3" xfId="12043" xr:uid="{00000000-0005-0000-0000-0000072F0000}"/>
    <cellStyle name="40% - Accent1 5 2 6 3 5" xfId="12044" xr:uid="{00000000-0005-0000-0000-0000082F0000}"/>
    <cellStyle name="40% - Accent1 5 2 6 3 5 2" xfId="12045" xr:uid="{00000000-0005-0000-0000-0000092F0000}"/>
    <cellStyle name="40% - Accent1 5 2 6 3 5 2 2" xfId="12046" xr:uid="{00000000-0005-0000-0000-00000A2F0000}"/>
    <cellStyle name="40% - Accent1 5 2 6 3 5 3" xfId="12047" xr:uid="{00000000-0005-0000-0000-00000B2F0000}"/>
    <cellStyle name="40% - Accent1 5 2 6 3 6" xfId="12048" xr:uid="{00000000-0005-0000-0000-00000C2F0000}"/>
    <cellStyle name="40% - Accent1 5 2 6 3 6 2" xfId="12049" xr:uid="{00000000-0005-0000-0000-00000D2F0000}"/>
    <cellStyle name="40% - Accent1 5 2 6 3 6 2 2" xfId="12050" xr:uid="{00000000-0005-0000-0000-00000E2F0000}"/>
    <cellStyle name="40% - Accent1 5 2 6 3 6 3" xfId="12051" xr:uid="{00000000-0005-0000-0000-00000F2F0000}"/>
    <cellStyle name="40% - Accent1 5 2 6 3 7" xfId="12052" xr:uid="{00000000-0005-0000-0000-0000102F0000}"/>
    <cellStyle name="40% - Accent1 5 2 6 3 7 2" xfId="12053" xr:uid="{00000000-0005-0000-0000-0000112F0000}"/>
    <cellStyle name="40% - Accent1 5 2 6 3 8" xfId="12054" xr:uid="{00000000-0005-0000-0000-0000122F0000}"/>
    <cellStyle name="40% - Accent1 5 2 6 4" xfId="12055" xr:uid="{00000000-0005-0000-0000-0000132F0000}"/>
    <cellStyle name="40% - Accent1 5 2 6 4 2" xfId="12056" xr:uid="{00000000-0005-0000-0000-0000142F0000}"/>
    <cellStyle name="40% - Accent1 5 2 6 4 2 2" xfId="12057" xr:uid="{00000000-0005-0000-0000-0000152F0000}"/>
    <cellStyle name="40% - Accent1 5 2 6 4 2 2 2" xfId="12058" xr:uid="{00000000-0005-0000-0000-0000162F0000}"/>
    <cellStyle name="40% - Accent1 5 2 6 4 2 2 2 2" xfId="12059" xr:uid="{00000000-0005-0000-0000-0000172F0000}"/>
    <cellStyle name="40% - Accent1 5 2 6 4 2 2 3" xfId="12060" xr:uid="{00000000-0005-0000-0000-0000182F0000}"/>
    <cellStyle name="40% - Accent1 5 2 6 4 2 3" xfId="12061" xr:uid="{00000000-0005-0000-0000-0000192F0000}"/>
    <cellStyle name="40% - Accent1 5 2 6 4 2 3 2" xfId="12062" xr:uid="{00000000-0005-0000-0000-00001A2F0000}"/>
    <cellStyle name="40% - Accent1 5 2 6 4 2 4" xfId="12063" xr:uid="{00000000-0005-0000-0000-00001B2F0000}"/>
    <cellStyle name="40% - Accent1 5 2 6 4 3" xfId="12064" xr:uid="{00000000-0005-0000-0000-00001C2F0000}"/>
    <cellStyle name="40% - Accent1 5 2 6 4 3 2" xfId="12065" xr:uid="{00000000-0005-0000-0000-00001D2F0000}"/>
    <cellStyle name="40% - Accent1 5 2 6 4 3 2 2" xfId="12066" xr:uid="{00000000-0005-0000-0000-00001E2F0000}"/>
    <cellStyle name="40% - Accent1 5 2 6 4 3 3" xfId="12067" xr:uid="{00000000-0005-0000-0000-00001F2F0000}"/>
    <cellStyle name="40% - Accent1 5 2 6 4 4" xfId="12068" xr:uid="{00000000-0005-0000-0000-0000202F0000}"/>
    <cellStyle name="40% - Accent1 5 2 6 4 4 2" xfId="12069" xr:uid="{00000000-0005-0000-0000-0000212F0000}"/>
    <cellStyle name="40% - Accent1 5 2 6 4 4 2 2" xfId="12070" xr:uid="{00000000-0005-0000-0000-0000222F0000}"/>
    <cellStyle name="40% - Accent1 5 2 6 4 4 3" xfId="12071" xr:uid="{00000000-0005-0000-0000-0000232F0000}"/>
    <cellStyle name="40% - Accent1 5 2 6 4 5" xfId="12072" xr:uid="{00000000-0005-0000-0000-0000242F0000}"/>
    <cellStyle name="40% - Accent1 5 2 6 4 5 2" xfId="12073" xr:uid="{00000000-0005-0000-0000-0000252F0000}"/>
    <cellStyle name="40% - Accent1 5 2 6 4 5 2 2" xfId="12074" xr:uid="{00000000-0005-0000-0000-0000262F0000}"/>
    <cellStyle name="40% - Accent1 5 2 6 4 5 3" xfId="12075" xr:uid="{00000000-0005-0000-0000-0000272F0000}"/>
    <cellStyle name="40% - Accent1 5 2 6 4 6" xfId="12076" xr:uid="{00000000-0005-0000-0000-0000282F0000}"/>
    <cellStyle name="40% - Accent1 5 2 6 4 6 2" xfId="12077" xr:uid="{00000000-0005-0000-0000-0000292F0000}"/>
    <cellStyle name="40% - Accent1 5 2 6 4 6 2 2" xfId="12078" xr:uid="{00000000-0005-0000-0000-00002A2F0000}"/>
    <cellStyle name="40% - Accent1 5 2 6 4 6 3" xfId="12079" xr:uid="{00000000-0005-0000-0000-00002B2F0000}"/>
    <cellStyle name="40% - Accent1 5 2 6 4 7" xfId="12080" xr:uid="{00000000-0005-0000-0000-00002C2F0000}"/>
    <cellStyle name="40% - Accent1 5 2 6 4 7 2" xfId="12081" xr:uid="{00000000-0005-0000-0000-00002D2F0000}"/>
    <cellStyle name="40% - Accent1 5 2 6 4 8" xfId="12082" xr:uid="{00000000-0005-0000-0000-00002E2F0000}"/>
    <cellStyle name="40% - Accent1 5 2 6 5" xfId="12083" xr:uid="{00000000-0005-0000-0000-00002F2F0000}"/>
    <cellStyle name="40% - Accent1 5 2 6 5 2" xfId="12084" xr:uid="{00000000-0005-0000-0000-0000302F0000}"/>
    <cellStyle name="40% - Accent1 5 2 6 5 2 2" xfId="12085" xr:uid="{00000000-0005-0000-0000-0000312F0000}"/>
    <cellStyle name="40% - Accent1 5 2 6 5 2 2 2" xfId="12086" xr:uid="{00000000-0005-0000-0000-0000322F0000}"/>
    <cellStyle name="40% - Accent1 5 2 6 5 2 2 2 2" xfId="12087" xr:uid="{00000000-0005-0000-0000-0000332F0000}"/>
    <cellStyle name="40% - Accent1 5 2 6 5 2 2 3" xfId="12088" xr:uid="{00000000-0005-0000-0000-0000342F0000}"/>
    <cellStyle name="40% - Accent1 5 2 6 5 2 3" xfId="12089" xr:uid="{00000000-0005-0000-0000-0000352F0000}"/>
    <cellStyle name="40% - Accent1 5 2 6 5 2 3 2" xfId="12090" xr:uid="{00000000-0005-0000-0000-0000362F0000}"/>
    <cellStyle name="40% - Accent1 5 2 6 5 2 4" xfId="12091" xr:uid="{00000000-0005-0000-0000-0000372F0000}"/>
    <cellStyle name="40% - Accent1 5 2 6 5 3" xfId="12092" xr:uid="{00000000-0005-0000-0000-0000382F0000}"/>
    <cellStyle name="40% - Accent1 5 2 6 5 3 2" xfId="12093" xr:uid="{00000000-0005-0000-0000-0000392F0000}"/>
    <cellStyle name="40% - Accent1 5 2 6 5 3 2 2" xfId="12094" xr:uid="{00000000-0005-0000-0000-00003A2F0000}"/>
    <cellStyle name="40% - Accent1 5 2 6 5 3 3" xfId="12095" xr:uid="{00000000-0005-0000-0000-00003B2F0000}"/>
    <cellStyle name="40% - Accent1 5 2 6 5 4" xfId="12096" xr:uid="{00000000-0005-0000-0000-00003C2F0000}"/>
    <cellStyle name="40% - Accent1 5 2 6 5 4 2" xfId="12097" xr:uid="{00000000-0005-0000-0000-00003D2F0000}"/>
    <cellStyle name="40% - Accent1 5 2 6 5 5" xfId="12098" xr:uid="{00000000-0005-0000-0000-00003E2F0000}"/>
    <cellStyle name="40% - Accent1 5 2 6 6" xfId="12099" xr:uid="{00000000-0005-0000-0000-00003F2F0000}"/>
    <cellStyle name="40% - Accent1 5 2 6 6 2" xfId="12100" xr:uid="{00000000-0005-0000-0000-0000402F0000}"/>
    <cellStyle name="40% - Accent1 5 2 6 6 2 2" xfId="12101" xr:uid="{00000000-0005-0000-0000-0000412F0000}"/>
    <cellStyle name="40% - Accent1 5 2 6 6 2 2 2" xfId="12102" xr:uid="{00000000-0005-0000-0000-0000422F0000}"/>
    <cellStyle name="40% - Accent1 5 2 6 6 2 2 2 2" xfId="12103" xr:uid="{00000000-0005-0000-0000-0000432F0000}"/>
    <cellStyle name="40% - Accent1 5 2 6 6 2 2 3" xfId="12104" xr:uid="{00000000-0005-0000-0000-0000442F0000}"/>
    <cellStyle name="40% - Accent1 5 2 6 6 2 3" xfId="12105" xr:uid="{00000000-0005-0000-0000-0000452F0000}"/>
    <cellStyle name="40% - Accent1 5 2 6 6 2 3 2" xfId="12106" xr:uid="{00000000-0005-0000-0000-0000462F0000}"/>
    <cellStyle name="40% - Accent1 5 2 6 6 2 4" xfId="12107" xr:uid="{00000000-0005-0000-0000-0000472F0000}"/>
    <cellStyle name="40% - Accent1 5 2 6 6 3" xfId="12108" xr:uid="{00000000-0005-0000-0000-0000482F0000}"/>
    <cellStyle name="40% - Accent1 5 2 6 6 3 2" xfId="12109" xr:uid="{00000000-0005-0000-0000-0000492F0000}"/>
    <cellStyle name="40% - Accent1 5 2 6 6 3 2 2" xfId="12110" xr:uid="{00000000-0005-0000-0000-00004A2F0000}"/>
    <cellStyle name="40% - Accent1 5 2 6 6 3 3" xfId="12111" xr:uid="{00000000-0005-0000-0000-00004B2F0000}"/>
    <cellStyle name="40% - Accent1 5 2 6 6 4" xfId="12112" xr:uid="{00000000-0005-0000-0000-00004C2F0000}"/>
    <cellStyle name="40% - Accent1 5 2 6 6 4 2" xfId="12113" xr:uid="{00000000-0005-0000-0000-00004D2F0000}"/>
    <cellStyle name="40% - Accent1 5 2 6 6 5" xfId="12114" xr:uid="{00000000-0005-0000-0000-00004E2F0000}"/>
    <cellStyle name="40% - Accent1 5 2 6 7" xfId="12115" xr:uid="{00000000-0005-0000-0000-00004F2F0000}"/>
    <cellStyle name="40% - Accent1 5 2 6 7 2" xfId="12116" xr:uid="{00000000-0005-0000-0000-0000502F0000}"/>
    <cellStyle name="40% - Accent1 5 2 6 7 2 2" xfId="12117" xr:uid="{00000000-0005-0000-0000-0000512F0000}"/>
    <cellStyle name="40% - Accent1 5 2 6 7 2 2 2" xfId="12118" xr:uid="{00000000-0005-0000-0000-0000522F0000}"/>
    <cellStyle name="40% - Accent1 5 2 6 7 2 3" xfId="12119" xr:uid="{00000000-0005-0000-0000-0000532F0000}"/>
    <cellStyle name="40% - Accent1 5 2 6 7 3" xfId="12120" xr:uid="{00000000-0005-0000-0000-0000542F0000}"/>
    <cellStyle name="40% - Accent1 5 2 6 7 3 2" xfId="12121" xr:uid="{00000000-0005-0000-0000-0000552F0000}"/>
    <cellStyle name="40% - Accent1 5 2 6 7 4" xfId="12122" xr:uid="{00000000-0005-0000-0000-0000562F0000}"/>
    <cellStyle name="40% - Accent1 5 2 6 8" xfId="12123" xr:uid="{00000000-0005-0000-0000-0000572F0000}"/>
    <cellStyle name="40% - Accent1 5 2 6 8 2" xfId="12124" xr:uid="{00000000-0005-0000-0000-0000582F0000}"/>
    <cellStyle name="40% - Accent1 5 2 6 8 2 2" xfId="12125" xr:uid="{00000000-0005-0000-0000-0000592F0000}"/>
    <cellStyle name="40% - Accent1 5 2 6 8 2 2 2" xfId="12126" xr:uid="{00000000-0005-0000-0000-00005A2F0000}"/>
    <cellStyle name="40% - Accent1 5 2 6 8 2 3" xfId="12127" xr:uid="{00000000-0005-0000-0000-00005B2F0000}"/>
    <cellStyle name="40% - Accent1 5 2 6 8 3" xfId="12128" xr:uid="{00000000-0005-0000-0000-00005C2F0000}"/>
    <cellStyle name="40% - Accent1 5 2 6 8 3 2" xfId="12129" xr:uid="{00000000-0005-0000-0000-00005D2F0000}"/>
    <cellStyle name="40% - Accent1 5 2 6 8 4" xfId="12130" xr:uid="{00000000-0005-0000-0000-00005E2F0000}"/>
    <cellStyle name="40% - Accent1 5 2 6 9" xfId="12131" xr:uid="{00000000-0005-0000-0000-00005F2F0000}"/>
    <cellStyle name="40% - Accent1 5 2 6 9 2" xfId="12132" xr:uid="{00000000-0005-0000-0000-0000602F0000}"/>
    <cellStyle name="40% - Accent1 5 2 6 9 2 2" xfId="12133" xr:uid="{00000000-0005-0000-0000-0000612F0000}"/>
    <cellStyle name="40% - Accent1 5 2 6 9 3" xfId="12134" xr:uid="{00000000-0005-0000-0000-0000622F0000}"/>
    <cellStyle name="40% - Accent1 5 2 7" xfId="12135" xr:uid="{00000000-0005-0000-0000-0000632F0000}"/>
    <cellStyle name="40% - Accent1 5 2 7 2" xfId="12136" xr:uid="{00000000-0005-0000-0000-0000642F0000}"/>
    <cellStyle name="40% - Accent1 5 2 7 2 2" xfId="12137" xr:uid="{00000000-0005-0000-0000-0000652F0000}"/>
    <cellStyle name="40% - Accent1 5 2 7 2 2 2" xfId="12138" xr:uid="{00000000-0005-0000-0000-0000662F0000}"/>
    <cellStyle name="40% - Accent1 5 2 7 2 2 2 2" xfId="12139" xr:uid="{00000000-0005-0000-0000-0000672F0000}"/>
    <cellStyle name="40% - Accent1 5 2 7 2 2 3" xfId="12140" xr:uid="{00000000-0005-0000-0000-0000682F0000}"/>
    <cellStyle name="40% - Accent1 5 2 7 2 3" xfId="12141" xr:uid="{00000000-0005-0000-0000-0000692F0000}"/>
    <cellStyle name="40% - Accent1 5 2 7 2 3 2" xfId="12142" xr:uid="{00000000-0005-0000-0000-00006A2F0000}"/>
    <cellStyle name="40% - Accent1 5 2 7 2 4" xfId="12143" xr:uid="{00000000-0005-0000-0000-00006B2F0000}"/>
    <cellStyle name="40% - Accent1 5 2 7 3" xfId="12144" xr:uid="{00000000-0005-0000-0000-00006C2F0000}"/>
    <cellStyle name="40% - Accent1 5 2 7 3 2" xfId="12145" xr:uid="{00000000-0005-0000-0000-00006D2F0000}"/>
    <cellStyle name="40% - Accent1 5 2 7 3 2 2" xfId="12146" xr:uid="{00000000-0005-0000-0000-00006E2F0000}"/>
    <cellStyle name="40% - Accent1 5 2 7 3 3" xfId="12147" xr:uid="{00000000-0005-0000-0000-00006F2F0000}"/>
    <cellStyle name="40% - Accent1 5 2 7 4" xfId="12148" xr:uid="{00000000-0005-0000-0000-0000702F0000}"/>
    <cellStyle name="40% - Accent1 5 2 7 4 2" xfId="12149" xr:uid="{00000000-0005-0000-0000-0000712F0000}"/>
    <cellStyle name="40% - Accent1 5 2 7 4 2 2" xfId="12150" xr:uid="{00000000-0005-0000-0000-0000722F0000}"/>
    <cellStyle name="40% - Accent1 5 2 7 4 3" xfId="12151" xr:uid="{00000000-0005-0000-0000-0000732F0000}"/>
    <cellStyle name="40% - Accent1 5 2 7 5" xfId="12152" xr:uid="{00000000-0005-0000-0000-0000742F0000}"/>
    <cellStyle name="40% - Accent1 5 2 7 5 2" xfId="12153" xr:uid="{00000000-0005-0000-0000-0000752F0000}"/>
    <cellStyle name="40% - Accent1 5 2 7 5 2 2" xfId="12154" xr:uid="{00000000-0005-0000-0000-0000762F0000}"/>
    <cellStyle name="40% - Accent1 5 2 7 5 3" xfId="12155" xr:uid="{00000000-0005-0000-0000-0000772F0000}"/>
    <cellStyle name="40% - Accent1 5 2 7 6" xfId="12156" xr:uid="{00000000-0005-0000-0000-0000782F0000}"/>
    <cellStyle name="40% - Accent1 5 2 7 6 2" xfId="12157" xr:uid="{00000000-0005-0000-0000-0000792F0000}"/>
    <cellStyle name="40% - Accent1 5 2 7 6 2 2" xfId="12158" xr:uid="{00000000-0005-0000-0000-00007A2F0000}"/>
    <cellStyle name="40% - Accent1 5 2 7 6 3" xfId="12159" xr:uid="{00000000-0005-0000-0000-00007B2F0000}"/>
    <cellStyle name="40% - Accent1 5 2 7 7" xfId="12160" xr:uid="{00000000-0005-0000-0000-00007C2F0000}"/>
    <cellStyle name="40% - Accent1 5 2 7 7 2" xfId="12161" xr:uid="{00000000-0005-0000-0000-00007D2F0000}"/>
    <cellStyle name="40% - Accent1 5 2 7 8" xfId="12162" xr:uid="{00000000-0005-0000-0000-00007E2F0000}"/>
    <cellStyle name="40% - Accent1 5 2 8" xfId="12163" xr:uid="{00000000-0005-0000-0000-00007F2F0000}"/>
    <cellStyle name="40% - Accent1 5 2 8 2" xfId="12164" xr:uid="{00000000-0005-0000-0000-0000802F0000}"/>
    <cellStyle name="40% - Accent1 5 2 8 2 2" xfId="12165" xr:uid="{00000000-0005-0000-0000-0000812F0000}"/>
    <cellStyle name="40% - Accent1 5 2 8 2 2 2" xfId="12166" xr:uid="{00000000-0005-0000-0000-0000822F0000}"/>
    <cellStyle name="40% - Accent1 5 2 8 2 2 2 2" xfId="12167" xr:uid="{00000000-0005-0000-0000-0000832F0000}"/>
    <cellStyle name="40% - Accent1 5 2 8 2 2 3" xfId="12168" xr:uid="{00000000-0005-0000-0000-0000842F0000}"/>
    <cellStyle name="40% - Accent1 5 2 8 2 3" xfId="12169" xr:uid="{00000000-0005-0000-0000-0000852F0000}"/>
    <cellStyle name="40% - Accent1 5 2 8 2 3 2" xfId="12170" xr:uid="{00000000-0005-0000-0000-0000862F0000}"/>
    <cellStyle name="40% - Accent1 5 2 8 2 4" xfId="12171" xr:uid="{00000000-0005-0000-0000-0000872F0000}"/>
    <cellStyle name="40% - Accent1 5 2 8 3" xfId="12172" xr:uid="{00000000-0005-0000-0000-0000882F0000}"/>
    <cellStyle name="40% - Accent1 5 2 8 3 2" xfId="12173" xr:uid="{00000000-0005-0000-0000-0000892F0000}"/>
    <cellStyle name="40% - Accent1 5 2 8 3 2 2" xfId="12174" xr:uid="{00000000-0005-0000-0000-00008A2F0000}"/>
    <cellStyle name="40% - Accent1 5 2 8 3 3" xfId="12175" xr:uid="{00000000-0005-0000-0000-00008B2F0000}"/>
    <cellStyle name="40% - Accent1 5 2 8 4" xfId="12176" xr:uid="{00000000-0005-0000-0000-00008C2F0000}"/>
    <cellStyle name="40% - Accent1 5 2 8 4 2" xfId="12177" xr:uid="{00000000-0005-0000-0000-00008D2F0000}"/>
    <cellStyle name="40% - Accent1 5 2 8 4 2 2" xfId="12178" xr:uid="{00000000-0005-0000-0000-00008E2F0000}"/>
    <cellStyle name="40% - Accent1 5 2 8 4 3" xfId="12179" xr:uid="{00000000-0005-0000-0000-00008F2F0000}"/>
    <cellStyle name="40% - Accent1 5 2 8 5" xfId="12180" xr:uid="{00000000-0005-0000-0000-0000902F0000}"/>
    <cellStyle name="40% - Accent1 5 2 8 5 2" xfId="12181" xr:uid="{00000000-0005-0000-0000-0000912F0000}"/>
    <cellStyle name="40% - Accent1 5 2 8 5 2 2" xfId="12182" xr:uid="{00000000-0005-0000-0000-0000922F0000}"/>
    <cellStyle name="40% - Accent1 5 2 8 5 3" xfId="12183" xr:uid="{00000000-0005-0000-0000-0000932F0000}"/>
    <cellStyle name="40% - Accent1 5 2 8 6" xfId="12184" xr:uid="{00000000-0005-0000-0000-0000942F0000}"/>
    <cellStyle name="40% - Accent1 5 2 8 6 2" xfId="12185" xr:uid="{00000000-0005-0000-0000-0000952F0000}"/>
    <cellStyle name="40% - Accent1 5 2 8 6 2 2" xfId="12186" xr:uid="{00000000-0005-0000-0000-0000962F0000}"/>
    <cellStyle name="40% - Accent1 5 2 8 6 3" xfId="12187" xr:uid="{00000000-0005-0000-0000-0000972F0000}"/>
    <cellStyle name="40% - Accent1 5 2 8 7" xfId="12188" xr:uid="{00000000-0005-0000-0000-0000982F0000}"/>
    <cellStyle name="40% - Accent1 5 2 8 7 2" xfId="12189" xr:uid="{00000000-0005-0000-0000-0000992F0000}"/>
    <cellStyle name="40% - Accent1 5 2 8 8" xfId="12190" xr:uid="{00000000-0005-0000-0000-00009A2F0000}"/>
    <cellStyle name="40% - Accent1 5 2 9" xfId="12191" xr:uid="{00000000-0005-0000-0000-00009B2F0000}"/>
    <cellStyle name="40% - Accent1 5 2 9 2" xfId="12192" xr:uid="{00000000-0005-0000-0000-00009C2F0000}"/>
    <cellStyle name="40% - Accent1 5 2 9 2 2" xfId="12193" xr:uid="{00000000-0005-0000-0000-00009D2F0000}"/>
    <cellStyle name="40% - Accent1 5 2 9 2 2 2" xfId="12194" xr:uid="{00000000-0005-0000-0000-00009E2F0000}"/>
    <cellStyle name="40% - Accent1 5 2 9 2 2 2 2" xfId="12195" xr:uid="{00000000-0005-0000-0000-00009F2F0000}"/>
    <cellStyle name="40% - Accent1 5 2 9 2 2 3" xfId="12196" xr:uid="{00000000-0005-0000-0000-0000A02F0000}"/>
    <cellStyle name="40% - Accent1 5 2 9 2 3" xfId="12197" xr:uid="{00000000-0005-0000-0000-0000A12F0000}"/>
    <cellStyle name="40% - Accent1 5 2 9 2 3 2" xfId="12198" xr:uid="{00000000-0005-0000-0000-0000A22F0000}"/>
    <cellStyle name="40% - Accent1 5 2 9 2 4" xfId="12199" xr:uid="{00000000-0005-0000-0000-0000A32F0000}"/>
    <cellStyle name="40% - Accent1 5 2 9 3" xfId="12200" xr:uid="{00000000-0005-0000-0000-0000A42F0000}"/>
    <cellStyle name="40% - Accent1 5 2 9 3 2" xfId="12201" xr:uid="{00000000-0005-0000-0000-0000A52F0000}"/>
    <cellStyle name="40% - Accent1 5 2 9 3 2 2" xfId="12202" xr:uid="{00000000-0005-0000-0000-0000A62F0000}"/>
    <cellStyle name="40% - Accent1 5 2 9 3 3" xfId="12203" xr:uid="{00000000-0005-0000-0000-0000A72F0000}"/>
    <cellStyle name="40% - Accent1 5 2 9 4" xfId="12204" xr:uid="{00000000-0005-0000-0000-0000A82F0000}"/>
    <cellStyle name="40% - Accent1 5 2 9 4 2" xfId="12205" xr:uid="{00000000-0005-0000-0000-0000A92F0000}"/>
    <cellStyle name="40% - Accent1 5 2 9 4 2 2" xfId="12206" xr:uid="{00000000-0005-0000-0000-0000AA2F0000}"/>
    <cellStyle name="40% - Accent1 5 2 9 4 3" xfId="12207" xr:uid="{00000000-0005-0000-0000-0000AB2F0000}"/>
    <cellStyle name="40% - Accent1 5 2 9 5" xfId="12208" xr:uid="{00000000-0005-0000-0000-0000AC2F0000}"/>
    <cellStyle name="40% - Accent1 5 2 9 5 2" xfId="12209" xr:uid="{00000000-0005-0000-0000-0000AD2F0000}"/>
    <cellStyle name="40% - Accent1 5 2 9 5 2 2" xfId="12210" xr:uid="{00000000-0005-0000-0000-0000AE2F0000}"/>
    <cellStyle name="40% - Accent1 5 2 9 5 3" xfId="12211" xr:uid="{00000000-0005-0000-0000-0000AF2F0000}"/>
    <cellStyle name="40% - Accent1 5 2 9 6" xfId="12212" xr:uid="{00000000-0005-0000-0000-0000B02F0000}"/>
    <cellStyle name="40% - Accent1 5 2 9 6 2" xfId="12213" xr:uid="{00000000-0005-0000-0000-0000B12F0000}"/>
    <cellStyle name="40% - Accent1 5 2 9 6 2 2" xfId="12214" xr:uid="{00000000-0005-0000-0000-0000B22F0000}"/>
    <cellStyle name="40% - Accent1 5 2 9 6 3" xfId="12215" xr:uid="{00000000-0005-0000-0000-0000B32F0000}"/>
    <cellStyle name="40% - Accent1 5 2 9 7" xfId="12216" xr:uid="{00000000-0005-0000-0000-0000B42F0000}"/>
    <cellStyle name="40% - Accent1 5 2 9 7 2" xfId="12217" xr:uid="{00000000-0005-0000-0000-0000B52F0000}"/>
    <cellStyle name="40% - Accent1 5 2 9 8" xfId="12218" xr:uid="{00000000-0005-0000-0000-0000B62F0000}"/>
    <cellStyle name="40% - Accent1 5 20" xfId="12219" xr:uid="{00000000-0005-0000-0000-0000B72F0000}"/>
    <cellStyle name="40% - Accent1 5 20 2" xfId="12220" xr:uid="{00000000-0005-0000-0000-0000B82F0000}"/>
    <cellStyle name="40% - Accent1 5 21" xfId="12221" xr:uid="{00000000-0005-0000-0000-0000B92F0000}"/>
    <cellStyle name="40% - Accent1 5 3" xfId="12222" xr:uid="{00000000-0005-0000-0000-0000BA2F0000}"/>
    <cellStyle name="40% - Accent1 5 3 10" xfId="12223" xr:uid="{00000000-0005-0000-0000-0000BB2F0000}"/>
    <cellStyle name="40% - Accent1 5 3 10 2" xfId="12224" xr:uid="{00000000-0005-0000-0000-0000BC2F0000}"/>
    <cellStyle name="40% - Accent1 5 3 10 2 2" xfId="12225" xr:uid="{00000000-0005-0000-0000-0000BD2F0000}"/>
    <cellStyle name="40% - Accent1 5 3 10 3" xfId="12226" xr:uid="{00000000-0005-0000-0000-0000BE2F0000}"/>
    <cellStyle name="40% - Accent1 5 3 11" xfId="12227" xr:uid="{00000000-0005-0000-0000-0000BF2F0000}"/>
    <cellStyle name="40% - Accent1 5 3 11 2" xfId="12228" xr:uid="{00000000-0005-0000-0000-0000C02F0000}"/>
    <cellStyle name="40% - Accent1 5 3 11 2 2" xfId="12229" xr:uid="{00000000-0005-0000-0000-0000C12F0000}"/>
    <cellStyle name="40% - Accent1 5 3 11 3" xfId="12230" xr:uid="{00000000-0005-0000-0000-0000C22F0000}"/>
    <cellStyle name="40% - Accent1 5 3 12" xfId="12231" xr:uid="{00000000-0005-0000-0000-0000C32F0000}"/>
    <cellStyle name="40% - Accent1 5 3 12 2" xfId="12232" xr:uid="{00000000-0005-0000-0000-0000C42F0000}"/>
    <cellStyle name="40% - Accent1 5 3 12 2 2" xfId="12233" xr:uid="{00000000-0005-0000-0000-0000C52F0000}"/>
    <cellStyle name="40% - Accent1 5 3 12 3" xfId="12234" xr:uid="{00000000-0005-0000-0000-0000C62F0000}"/>
    <cellStyle name="40% - Accent1 5 3 13" xfId="12235" xr:uid="{00000000-0005-0000-0000-0000C72F0000}"/>
    <cellStyle name="40% - Accent1 5 3 13 2" xfId="12236" xr:uid="{00000000-0005-0000-0000-0000C82F0000}"/>
    <cellStyle name="40% - Accent1 5 3 14" xfId="12237" xr:uid="{00000000-0005-0000-0000-0000C92F0000}"/>
    <cellStyle name="40% - Accent1 5 3 2" xfId="12238" xr:uid="{00000000-0005-0000-0000-0000CA2F0000}"/>
    <cellStyle name="40% - Accent1 5 3 2 2" xfId="12239" xr:uid="{00000000-0005-0000-0000-0000CB2F0000}"/>
    <cellStyle name="40% - Accent1 5 3 2 2 2" xfId="12240" xr:uid="{00000000-0005-0000-0000-0000CC2F0000}"/>
    <cellStyle name="40% - Accent1 5 3 2 2 2 2" xfId="12241" xr:uid="{00000000-0005-0000-0000-0000CD2F0000}"/>
    <cellStyle name="40% - Accent1 5 3 2 2 2 2 2" xfId="12242" xr:uid="{00000000-0005-0000-0000-0000CE2F0000}"/>
    <cellStyle name="40% - Accent1 5 3 2 2 2 3" xfId="12243" xr:uid="{00000000-0005-0000-0000-0000CF2F0000}"/>
    <cellStyle name="40% - Accent1 5 3 2 2 3" xfId="12244" xr:uid="{00000000-0005-0000-0000-0000D02F0000}"/>
    <cellStyle name="40% - Accent1 5 3 2 2 3 2" xfId="12245" xr:uid="{00000000-0005-0000-0000-0000D12F0000}"/>
    <cellStyle name="40% - Accent1 5 3 2 2 4" xfId="12246" xr:uid="{00000000-0005-0000-0000-0000D22F0000}"/>
    <cellStyle name="40% - Accent1 5 3 2 3" xfId="12247" xr:uid="{00000000-0005-0000-0000-0000D32F0000}"/>
    <cellStyle name="40% - Accent1 5 3 2 3 2" xfId="12248" xr:uid="{00000000-0005-0000-0000-0000D42F0000}"/>
    <cellStyle name="40% - Accent1 5 3 2 3 2 2" xfId="12249" xr:uid="{00000000-0005-0000-0000-0000D52F0000}"/>
    <cellStyle name="40% - Accent1 5 3 2 3 3" xfId="12250" xr:uid="{00000000-0005-0000-0000-0000D62F0000}"/>
    <cellStyle name="40% - Accent1 5 3 2 4" xfId="12251" xr:uid="{00000000-0005-0000-0000-0000D72F0000}"/>
    <cellStyle name="40% - Accent1 5 3 2 4 2" xfId="12252" xr:uid="{00000000-0005-0000-0000-0000D82F0000}"/>
    <cellStyle name="40% - Accent1 5 3 2 4 2 2" xfId="12253" xr:uid="{00000000-0005-0000-0000-0000D92F0000}"/>
    <cellStyle name="40% - Accent1 5 3 2 4 3" xfId="12254" xr:uid="{00000000-0005-0000-0000-0000DA2F0000}"/>
    <cellStyle name="40% - Accent1 5 3 2 5" xfId="12255" xr:uid="{00000000-0005-0000-0000-0000DB2F0000}"/>
    <cellStyle name="40% - Accent1 5 3 2 5 2" xfId="12256" xr:uid="{00000000-0005-0000-0000-0000DC2F0000}"/>
    <cellStyle name="40% - Accent1 5 3 2 5 2 2" xfId="12257" xr:uid="{00000000-0005-0000-0000-0000DD2F0000}"/>
    <cellStyle name="40% - Accent1 5 3 2 5 3" xfId="12258" xr:uid="{00000000-0005-0000-0000-0000DE2F0000}"/>
    <cellStyle name="40% - Accent1 5 3 2 6" xfId="12259" xr:uid="{00000000-0005-0000-0000-0000DF2F0000}"/>
    <cellStyle name="40% - Accent1 5 3 2 6 2" xfId="12260" xr:uid="{00000000-0005-0000-0000-0000E02F0000}"/>
    <cellStyle name="40% - Accent1 5 3 2 6 2 2" xfId="12261" xr:uid="{00000000-0005-0000-0000-0000E12F0000}"/>
    <cellStyle name="40% - Accent1 5 3 2 6 3" xfId="12262" xr:uid="{00000000-0005-0000-0000-0000E22F0000}"/>
    <cellStyle name="40% - Accent1 5 3 2 7" xfId="12263" xr:uid="{00000000-0005-0000-0000-0000E32F0000}"/>
    <cellStyle name="40% - Accent1 5 3 2 7 2" xfId="12264" xr:uid="{00000000-0005-0000-0000-0000E42F0000}"/>
    <cellStyle name="40% - Accent1 5 3 2 8" xfId="12265" xr:uid="{00000000-0005-0000-0000-0000E52F0000}"/>
    <cellStyle name="40% - Accent1 5 3 3" xfId="12266" xr:uid="{00000000-0005-0000-0000-0000E62F0000}"/>
    <cellStyle name="40% - Accent1 5 3 3 2" xfId="12267" xr:uid="{00000000-0005-0000-0000-0000E72F0000}"/>
    <cellStyle name="40% - Accent1 5 3 3 2 2" xfId="12268" xr:uid="{00000000-0005-0000-0000-0000E82F0000}"/>
    <cellStyle name="40% - Accent1 5 3 3 2 2 2" xfId="12269" xr:uid="{00000000-0005-0000-0000-0000E92F0000}"/>
    <cellStyle name="40% - Accent1 5 3 3 2 2 2 2" xfId="12270" xr:uid="{00000000-0005-0000-0000-0000EA2F0000}"/>
    <cellStyle name="40% - Accent1 5 3 3 2 2 3" xfId="12271" xr:uid="{00000000-0005-0000-0000-0000EB2F0000}"/>
    <cellStyle name="40% - Accent1 5 3 3 2 3" xfId="12272" xr:uid="{00000000-0005-0000-0000-0000EC2F0000}"/>
    <cellStyle name="40% - Accent1 5 3 3 2 3 2" xfId="12273" xr:uid="{00000000-0005-0000-0000-0000ED2F0000}"/>
    <cellStyle name="40% - Accent1 5 3 3 2 4" xfId="12274" xr:uid="{00000000-0005-0000-0000-0000EE2F0000}"/>
    <cellStyle name="40% - Accent1 5 3 3 3" xfId="12275" xr:uid="{00000000-0005-0000-0000-0000EF2F0000}"/>
    <cellStyle name="40% - Accent1 5 3 3 3 2" xfId="12276" xr:uid="{00000000-0005-0000-0000-0000F02F0000}"/>
    <cellStyle name="40% - Accent1 5 3 3 3 2 2" xfId="12277" xr:uid="{00000000-0005-0000-0000-0000F12F0000}"/>
    <cellStyle name="40% - Accent1 5 3 3 3 3" xfId="12278" xr:uid="{00000000-0005-0000-0000-0000F22F0000}"/>
    <cellStyle name="40% - Accent1 5 3 3 4" xfId="12279" xr:uid="{00000000-0005-0000-0000-0000F32F0000}"/>
    <cellStyle name="40% - Accent1 5 3 3 4 2" xfId="12280" xr:uid="{00000000-0005-0000-0000-0000F42F0000}"/>
    <cellStyle name="40% - Accent1 5 3 3 4 2 2" xfId="12281" xr:uid="{00000000-0005-0000-0000-0000F52F0000}"/>
    <cellStyle name="40% - Accent1 5 3 3 4 3" xfId="12282" xr:uid="{00000000-0005-0000-0000-0000F62F0000}"/>
    <cellStyle name="40% - Accent1 5 3 3 5" xfId="12283" xr:uid="{00000000-0005-0000-0000-0000F72F0000}"/>
    <cellStyle name="40% - Accent1 5 3 3 5 2" xfId="12284" xr:uid="{00000000-0005-0000-0000-0000F82F0000}"/>
    <cellStyle name="40% - Accent1 5 3 3 5 2 2" xfId="12285" xr:uid="{00000000-0005-0000-0000-0000F92F0000}"/>
    <cellStyle name="40% - Accent1 5 3 3 5 3" xfId="12286" xr:uid="{00000000-0005-0000-0000-0000FA2F0000}"/>
    <cellStyle name="40% - Accent1 5 3 3 6" xfId="12287" xr:uid="{00000000-0005-0000-0000-0000FB2F0000}"/>
    <cellStyle name="40% - Accent1 5 3 3 6 2" xfId="12288" xr:uid="{00000000-0005-0000-0000-0000FC2F0000}"/>
    <cellStyle name="40% - Accent1 5 3 3 6 2 2" xfId="12289" xr:uid="{00000000-0005-0000-0000-0000FD2F0000}"/>
    <cellStyle name="40% - Accent1 5 3 3 6 3" xfId="12290" xr:uid="{00000000-0005-0000-0000-0000FE2F0000}"/>
    <cellStyle name="40% - Accent1 5 3 3 7" xfId="12291" xr:uid="{00000000-0005-0000-0000-0000FF2F0000}"/>
    <cellStyle name="40% - Accent1 5 3 3 7 2" xfId="12292" xr:uid="{00000000-0005-0000-0000-000000300000}"/>
    <cellStyle name="40% - Accent1 5 3 3 8" xfId="12293" xr:uid="{00000000-0005-0000-0000-000001300000}"/>
    <cellStyle name="40% - Accent1 5 3 4" xfId="12294" xr:uid="{00000000-0005-0000-0000-000002300000}"/>
    <cellStyle name="40% - Accent1 5 3 4 2" xfId="12295" xr:uid="{00000000-0005-0000-0000-000003300000}"/>
    <cellStyle name="40% - Accent1 5 3 4 2 2" xfId="12296" xr:uid="{00000000-0005-0000-0000-000004300000}"/>
    <cellStyle name="40% - Accent1 5 3 4 2 2 2" xfId="12297" xr:uid="{00000000-0005-0000-0000-000005300000}"/>
    <cellStyle name="40% - Accent1 5 3 4 2 2 2 2" xfId="12298" xr:uid="{00000000-0005-0000-0000-000006300000}"/>
    <cellStyle name="40% - Accent1 5 3 4 2 2 3" xfId="12299" xr:uid="{00000000-0005-0000-0000-000007300000}"/>
    <cellStyle name="40% - Accent1 5 3 4 2 3" xfId="12300" xr:uid="{00000000-0005-0000-0000-000008300000}"/>
    <cellStyle name="40% - Accent1 5 3 4 2 3 2" xfId="12301" xr:uid="{00000000-0005-0000-0000-000009300000}"/>
    <cellStyle name="40% - Accent1 5 3 4 2 4" xfId="12302" xr:uid="{00000000-0005-0000-0000-00000A300000}"/>
    <cellStyle name="40% - Accent1 5 3 4 3" xfId="12303" xr:uid="{00000000-0005-0000-0000-00000B300000}"/>
    <cellStyle name="40% - Accent1 5 3 4 3 2" xfId="12304" xr:uid="{00000000-0005-0000-0000-00000C300000}"/>
    <cellStyle name="40% - Accent1 5 3 4 3 2 2" xfId="12305" xr:uid="{00000000-0005-0000-0000-00000D300000}"/>
    <cellStyle name="40% - Accent1 5 3 4 3 3" xfId="12306" xr:uid="{00000000-0005-0000-0000-00000E300000}"/>
    <cellStyle name="40% - Accent1 5 3 4 4" xfId="12307" xr:uid="{00000000-0005-0000-0000-00000F300000}"/>
    <cellStyle name="40% - Accent1 5 3 4 4 2" xfId="12308" xr:uid="{00000000-0005-0000-0000-000010300000}"/>
    <cellStyle name="40% - Accent1 5 3 4 4 2 2" xfId="12309" xr:uid="{00000000-0005-0000-0000-000011300000}"/>
    <cellStyle name="40% - Accent1 5 3 4 4 3" xfId="12310" xr:uid="{00000000-0005-0000-0000-000012300000}"/>
    <cellStyle name="40% - Accent1 5 3 4 5" xfId="12311" xr:uid="{00000000-0005-0000-0000-000013300000}"/>
    <cellStyle name="40% - Accent1 5 3 4 5 2" xfId="12312" xr:uid="{00000000-0005-0000-0000-000014300000}"/>
    <cellStyle name="40% - Accent1 5 3 4 5 2 2" xfId="12313" xr:uid="{00000000-0005-0000-0000-000015300000}"/>
    <cellStyle name="40% - Accent1 5 3 4 5 3" xfId="12314" xr:uid="{00000000-0005-0000-0000-000016300000}"/>
    <cellStyle name="40% - Accent1 5 3 4 6" xfId="12315" xr:uid="{00000000-0005-0000-0000-000017300000}"/>
    <cellStyle name="40% - Accent1 5 3 4 6 2" xfId="12316" xr:uid="{00000000-0005-0000-0000-000018300000}"/>
    <cellStyle name="40% - Accent1 5 3 4 6 2 2" xfId="12317" xr:uid="{00000000-0005-0000-0000-000019300000}"/>
    <cellStyle name="40% - Accent1 5 3 4 6 3" xfId="12318" xr:uid="{00000000-0005-0000-0000-00001A300000}"/>
    <cellStyle name="40% - Accent1 5 3 4 7" xfId="12319" xr:uid="{00000000-0005-0000-0000-00001B300000}"/>
    <cellStyle name="40% - Accent1 5 3 4 7 2" xfId="12320" xr:uid="{00000000-0005-0000-0000-00001C300000}"/>
    <cellStyle name="40% - Accent1 5 3 4 8" xfId="12321" xr:uid="{00000000-0005-0000-0000-00001D300000}"/>
    <cellStyle name="40% - Accent1 5 3 5" xfId="12322" xr:uid="{00000000-0005-0000-0000-00001E300000}"/>
    <cellStyle name="40% - Accent1 5 3 5 2" xfId="12323" xr:uid="{00000000-0005-0000-0000-00001F300000}"/>
    <cellStyle name="40% - Accent1 5 3 5 2 2" xfId="12324" xr:uid="{00000000-0005-0000-0000-000020300000}"/>
    <cellStyle name="40% - Accent1 5 3 5 2 2 2" xfId="12325" xr:uid="{00000000-0005-0000-0000-000021300000}"/>
    <cellStyle name="40% - Accent1 5 3 5 2 2 2 2" xfId="12326" xr:uid="{00000000-0005-0000-0000-000022300000}"/>
    <cellStyle name="40% - Accent1 5 3 5 2 2 3" xfId="12327" xr:uid="{00000000-0005-0000-0000-000023300000}"/>
    <cellStyle name="40% - Accent1 5 3 5 2 3" xfId="12328" xr:uid="{00000000-0005-0000-0000-000024300000}"/>
    <cellStyle name="40% - Accent1 5 3 5 2 3 2" xfId="12329" xr:uid="{00000000-0005-0000-0000-000025300000}"/>
    <cellStyle name="40% - Accent1 5 3 5 2 4" xfId="12330" xr:uid="{00000000-0005-0000-0000-000026300000}"/>
    <cellStyle name="40% - Accent1 5 3 5 3" xfId="12331" xr:uid="{00000000-0005-0000-0000-000027300000}"/>
    <cellStyle name="40% - Accent1 5 3 5 3 2" xfId="12332" xr:uid="{00000000-0005-0000-0000-000028300000}"/>
    <cellStyle name="40% - Accent1 5 3 5 3 2 2" xfId="12333" xr:uid="{00000000-0005-0000-0000-000029300000}"/>
    <cellStyle name="40% - Accent1 5 3 5 3 3" xfId="12334" xr:uid="{00000000-0005-0000-0000-00002A300000}"/>
    <cellStyle name="40% - Accent1 5 3 5 4" xfId="12335" xr:uid="{00000000-0005-0000-0000-00002B300000}"/>
    <cellStyle name="40% - Accent1 5 3 5 4 2" xfId="12336" xr:uid="{00000000-0005-0000-0000-00002C300000}"/>
    <cellStyle name="40% - Accent1 5 3 5 5" xfId="12337" xr:uid="{00000000-0005-0000-0000-00002D300000}"/>
    <cellStyle name="40% - Accent1 5 3 6" xfId="12338" xr:uid="{00000000-0005-0000-0000-00002E300000}"/>
    <cellStyle name="40% - Accent1 5 3 6 2" xfId="12339" xr:uid="{00000000-0005-0000-0000-00002F300000}"/>
    <cellStyle name="40% - Accent1 5 3 6 2 2" xfId="12340" xr:uid="{00000000-0005-0000-0000-000030300000}"/>
    <cellStyle name="40% - Accent1 5 3 6 2 2 2" xfId="12341" xr:uid="{00000000-0005-0000-0000-000031300000}"/>
    <cellStyle name="40% - Accent1 5 3 6 2 2 2 2" xfId="12342" xr:uid="{00000000-0005-0000-0000-000032300000}"/>
    <cellStyle name="40% - Accent1 5 3 6 2 2 3" xfId="12343" xr:uid="{00000000-0005-0000-0000-000033300000}"/>
    <cellStyle name="40% - Accent1 5 3 6 2 3" xfId="12344" xr:uid="{00000000-0005-0000-0000-000034300000}"/>
    <cellStyle name="40% - Accent1 5 3 6 2 3 2" xfId="12345" xr:uid="{00000000-0005-0000-0000-000035300000}"/>
    <cellStyle name="40% - Accent1 5 3 6 2 4" xfId="12346" xr:uid="{00000000-0005-0000-0000-000036300000}"/>
    <cellStyle name="40% - Accent1 5 3 6 3" xfId="12347" xr:uid="{00000000-0005-0000-0000-000037300000}"/>
    <cellStyle name="40% - Accent1 5 3 6 3 2" xfId="12348" xr:uid="{00000000-0005-0000-0000-000038300000}"/>
    <cellStyle name="40% - Accent1 5 3 6 3 2 2" xfId="12349" xr:uid="{00000000-0005-0000-0000-000039300000}"/>
    <cellStyle name="40% - Accent1 5 3 6 3 3" xfId="12350" xr:uid="{00000000-0005-0000-0000-00003A300000}"/>
    <cellStyle name="40% - Accent1 5 3 6 4" xfId="12351" xr:uid="{00000000-0005-0000-0000-00003B300000}"/>
    <cellStyle name="40% - Accent1 5 3 6 4 2" xfId="12352" xr:uid="{00000000-0005-0000-0000-00003C300000}"/>
    <cellStyle name="40% - Accent1 5 3 6 5" xfId="12353" xr:uid="{00000000-0005-0000-0000-00003D300000}"/>
    <cellStyle name="40% - Accent1 5 3 7" xfId="12354" xr:uid="{00000000-0005-0000-0000-00003E300000}"/>
    <cellStyle name="40% - Accent1 5 3 7 2" xfId="12355" xr:uid="{00000000-0005-0000-0000-00003F300000}"/>
    <cellStyle name="40% - Accent1 5 3 7 2 2" xfId="12356" xr:uid="{00000000-0005-0000-0000-000040300000}"/>
    <cellStyle name="40% - Accent1 5 3 7 2 2 2" xfId="12357" xr:uid="{00000000-0005-0000-0000-000041300000}"/>
    <cellStyle name="40% - Accent1 5 3 7 2 3" xfId="12358" xr:uid="{00000000-0005-0000-0000-000042300000}"/>
    <cellStyle name="40% - Accent1 5 3 7 3" xfId="12359" xr:uid="{00000000-0005-0000-0000-000043300000}"/>
    <cellStyle name="40% - Accent1 5 3 7 3 2" xfId="12360" xr:uid="{00000000-0005-0000-0000-000044300000}"/>
    <cellStyle name="40% - Accent1 5 3 7 4" xfId="12361" xr:uid="{00000000-0005-0000-0000-000045300000}"/>
    <cellStyle name="40% - Accent1 5 3 8" xfId="12362" xr:uid="{00000000-0005-0000-0000-000046300000}"/>
    <cellStyle name="40% - Accent1 5 3 8 2" xfId="12363" xr:uid="{00000000-0005-0000-0000-000047300000}"/>
    <cellStyle name="40% - Accent1 5 3 8 2 2" xfId="12364" xr:uid="{00000000-0005-0000-0000-000048300000}"/>
    <cellStyle name="40% - Accent1 5 3 8 2 2 2" xfId="12365" xr:uid="{00000000-0005-0000-0000-000049300000}"/>
    <cellStyle name="40% - Accent1 5 3 8 2 3" xfId="12366" xr:uid="{00000000-0005-0000-0000-00004A300000}"/>
    <cellStyle name="40% - Accent1 5 3 8 3" xfId="12367" xr:uid="{00000000-0005-0000-0000-00004B300000}"/>
    <cellStyle name="40% - Accent1 5 3 8 3 2" xfId="12368" xr:uid="{00000000-0005-0000-0000-00004C300000}"/>
    <cellStyle name="40% - Accent1 5 3 8 4" xfId="12369" xr:uid="{00000000-0005-0000-0000-00004D300000}"/>
    <cellStyle name="40% - Accent1 5 3 9" xfId="12370" xr:uid="{00000000-0005-0000-0000-00004E300000}"/>
    <cellStyle name="40% - Accent1 5 3 9 2" xfId="12371" xr:uid="{00000000-0005-0000-0000-00004F300000}"/>
    <cellStyle name="40% - Accent1 5 3 9 2 2" xfId="12372" xr:uid="{00000000-0005-0000-0000-000050300000}"/>
    <cellStyle name="40% - Accent1 5 3 9 3" xfId="12373" xr:uid="{00000000-0005-0000-0000-000051300000}"/>
    <cellStyle name="40% - Accent1 5 4" xfId="12374" xr:uid="{00000000-0005-0000-0000-000052300000}"/>
    <cellStyle name="40% - Accent1 5 4 10" xfId="12375" xr:uid="{00000000-0005-0000-0000-000053300000}"/>
    <cellStyle name="40% - Accent1 5 4 10 2" xfId="12376" xr:uid="{00000000-0005-0000-0000-000054300000}"/>
    <cellStyle name="40% - Accent1 5 4 10 2 2" xfId="12377" xr:uid="{00000000-0005-0000-0000-000055300000}"/>
    <cellStyle name="40% - Accent1 5 4 10 3" xfId="12378" xr:uid="{00000000-0005-0000-0000-000056300000}"/>
    <cellStyle name="40% - Accent1 5 4 11" xfId="12379" xr:uid="{00000000-0005-0000-0000-000057300000}"/>
    <cellStyle name="40% - Accent1 5 4 11 2" xfId="12380" xr:uid="{00000000-0005-0000-0000-000058300000}"/>
    <cellStyle name="40% - Accent1 5 4 11 2 2" xfId="12381" xr:uid="{00000000-0005-0000-0000-000059300000}"/>
    <cellStyle name="40% - Accent1 5 4 11 3" xfId="12382" xr:uid="{00000000-0005-0000-0000-00005A300000}"/>
    <cellStyle name="40% - Accent1 5 4 12" xfId="12383" xr:uid="{00000000-0005-0000-0000-00005B300000}"/>
    <cellStyle name="40% - Accent1 5 4 12 2" xfId="12384" xr:uid="{00000000-0005-0000-0000-00005C300000}"/>
    <cellStyle name="40% - Accent1 5 4 12 2 2" xfId="12385" xr:uid="{00000000-0005-0000-0000-00005D300000}"/>
    <cellStyle name="40% - Accent1 5 4 12 3" xfId="12386" xr:uid="{00000000-0005-0000-0000-00005E300000}"/>
    <cellStyle name="40% - Accent1 5 4 13" xfId="12387" xr:uid="{00000000-0005-0000-0000-00005F300000}"/>
    <cellStyle name="40% - Accent1 5 4 13 2" xfId="12388" xr:uid="{00000000-0005-0000-0000-000060300000}"/>
    <cellStyle name="40% - Accent1 5 4 14" xfId="12389" xr:uid="{00000000-0005-0000-0000-000061300000}"/>
    <cellStyle name="40% - Accent1 5 4 2" xfId="12390" xr:uid="{00000000-0005-0000-0000-000062300000}"/>
    <cellStyle name="40% - Accent1 5 4 2 2" xfId="12391" xr:uid="{00000000-0005-0000-0000-000063300000}"/>
    <cellStyle name="40% - Accent1 5 4 2 2 2" xfId="12392" xr:uid="{00000000-0005-0000-0000-000064300000}"/>
    <cellStyle name="40% - Accent1 5 4 2 2 2 2" xfId="12393" xr:uid="{00000000-0005-0000-0000-000065300000}"/>
    <cellStyle name="40% - Accent1 5 4 2 2 2 2 2" xfId="12394" xr:uid="{00000000-0005-0000-0000-000066300000}"/>
    <cellStyle name="40% - Accent1 5 4 2 2 2 3" xfId="12395" xr:uid="{00000000-0005-0000-0000-000067300000}"/>
    <cellStyle name="40% - Accent1 5 4 2 2 3" xfId="12396" xr:uid="{00000000-0005-0000-0000-000068300000}"/>
    <cellStyle name="40% - Accent1 5 4 2 2 3 2" xfId="12397" xr:uid="{00000000-0005-0000-0000-000069300000}"/>
    <cellStyle name="40% - Accent1 5 4 2 2 4" xfId="12398" xr:uid="{00000000-0005-0000-0000-00006A300000}"/>
    <cellStyle name="40% - Accent1 5 4 2 3" xfId="12399" xr:uid="{00000000-0005-0000-0000-00006B300000}"/>
    <cellStyle name="40% - Accent1 5 4 2 3 2" xfId="12400" xr:uid="{00000000-0005-0000-0000-00006C300000}"/>
    <cellStyle name="40% - Accent1 5 4 2 3 2 2" xfId="12401" xr:uid="{00000000-0005-0000-0000-00006D300000}"/>
    <cellStyle name="40% - Accent1 5 4 2 3 3" xfId="12402" xr:uid="{00000000-0005-0000-0000-00006E300000}"/>
    <cellStyle name="40% - Accent1 5 4 2 4" xfId="12403" xr:uid="{00000000-0005-0000-0000-00006F300000}"/>
    <cellStyle name="40% - Accent1 5 4 2 4 2" xfId="12404" xr:uid="{00000000-0005-0000-0000-000070300000}"/>
    <cellStyle name="40% - Accent1 5 4 2 4 2 2" xfId="12405" xr:uid="{00000000-0005-0000-0000-000071300000}"/>
    <cellStyle name="40% - Accent1 5 4 2 4 3" xfId="12406" xr:uid="{00000000-0005-0000-0000-000072300000}"/>
    <cellStyle name="40% - Accent1 5 4 2 5" xfId="12407" xr:uid="{00000000-0005-0000-0000-000073300000}"/>
    <cellStyle name="40% - Accent1 5 4 2 5 2" xfId="12408" xr:uid="{00000000-0005-0000-0000-000074300000}"/>
    <cellStyle name="40% - Accent1 5 4 2 5 2 2" xfId="12409" xr:uid="{00000000-0005-0000-0000-000075300000}"/>
    <cellStyle name="40% - Accent1 5 4 2 5 3" xfId="12410" xr:uid="{00000000-0005-0000-0000-000076300000}"/>
    <cellStyle name="40% - Accent1 5 4 2 6" xfId="12411" xr:uid="{00000000-0005-0000-0000-000077300000}"/>
    <cellStyle name="40% - Accent1 5 4 2 6 2" xfId="12412" xr:uid="{00000000-0005-0000-0000-000078300000}"/>
    <cellStyle name="40% - Accent1 5 4 2 6 2 2" xfId="12413" xr:uid="{00000000-0005-0000-0000-000079300000}"/>
    <cellStyle name="40% - Accent1 5 4 2 6 3" xfId="12414" xr:uid="{00000000-0005-0000-0000-00007A300000}"/>
    <cellStyle name="40% - Accent1 5 4 2 7" xfId="12415" xr:uid="{00000000-0005-0000-0000-00007B300000}"/>
    <cellStyle name="40% - Accent1 5 4 2 7 2" xfId="12416" xr:uid="{00000000-0005-0000-0000-00007C300000}"/>
    <cellStyle name="40% - Accent1 5 4 2 8" xfId="12417" xr:uid="{00000000-0005-0000-0000-00007D300000}"/>
    <cellStyle name="40% - Accent1 5 4 3" xfId="12418" xr:uid="{00000000-0005-0000-0000-00007E300000}"/>
    <cellStyle name="40% - Accent1 5 4 3 2" xfId="12419" xr:uid="{00000000-0005-0000-0000-00007F300000}"/>
    <cellStyle name="40% - Accent1 5 4 3 2 2" xfId="12420" xr:uid="{00000000-0005-0000-0000-000080300000}"/>
    <cellStyle name="40% - Accent1 5 4 3 2 2 2" xfId="12421" xr:uid="{00000000-0005-0000-0000-000081300000}"/>
    <cellStyle name="40% - Accent1 5 4 3 2 2 2 2" xfId="12422" xr:uid="{00000000-0005-0000-0000-000082300000}"/>
    <cellStyle name="40% - Accent1 5 4 3 2 2 3" xfId="12423" xr:uid="{00000000-0005-0000-0000-000083300000}"/>
    <cellStyle name="40% - Accent1 5 4 3 2 3" xfId="12424" xr:uid="{00000000-0005-0000-0000-000084300000}"/>
    <cellStyle name="40% - Accent1 5 4 3 2 3 2" xfId="12425" xr:uid="{00000000-0005-0000-0000-000085300000}"/>
    <cellStyle name="40% - Accent1 5 4 3 2 4" xfId="12426" xr:uid="{00000000-0005-0000-0000-000086300000}"/>
    <cellStyle name="40% - Accent1 5 4 3 3" xfId="12427" xr:uid="{00000000-0005-0000-0000-000087300000}"/>
    <cellStyle name="40% - Accent1 5 4 3 3 2" xfId="12428" xr:uid="{00000000-0005-0000-0000-000088300000}"/>
    <cellStyle name="40% - Accent1 5 4 3 3 2 2" xfId="12429" xr:uid="{00000000-0005-0000-0000-000089300000}"/>
    <cellStyle name="40% - Accent1 5 4 3 3 3" xfId="12430" xr:uid="{00000000-0005-0000-0000-00008A300000}"/>
    <cellStyle name="40% - Accent1 5 4 3 4" xfId="12431" xr:uid="{00000000-0005-0000-0000-00008B300000}"/>
    <cellStyle name="40% - Accent1 5 4 3 4 2" xfId="12432" xr:uid="{00000000-0005-0000-0000-00008C300000}"/>
    <cellStyle name="40% - Accent1 5 4 3 4 2 2" xfId="12433" xr:uid="{00000000-0005-0000-0000-00008D300000}"/>
    <cellStyle name="40% - Accent1 5 4 3 4 3" xfId="12434" xr:uid="{00000000-0005-0000-0000-00008E300000}"/>
    <cellStyle name="40% - Accent1 5 4 3 5" xfId="12435" xr:uid="{00000000-0005-0000-0000-00008F300000}"/>
    <cellStyle name="40% - Accent1 5 4 3 5 2" xfId="12436" xr:uid="{00000000-0005-0000-0000-000090300000}"/>
    <cellStyle name="40% - Accent1 5 4 3 5 2 2" xfId="12437" xr:uid="{00000000-0005-0000-0000-000091300000}"/>
    <cellStyle name="40% - Accent1 5 4 3 5 3" xfId="12438" xr:uid="{00000000-0005-0000-0000-000092300000}"/>
    <cellStyle name="40% - Accent1 5 4 3 6" xfId="12439" xr:uid="{00000000-0005-0000-0000-000093300000}"/>
    <cellStyle name="40% - Accent1 5 4 3 6 2" xfId="12440" xr:uid="{00000000-0005-0000-0000-000094300000}"/>
    <cellStyle name="40% - Accent1 5 4 3 6 2 2" xfId="12441" xr:uid="{00000000-0005-0000-0000-000095300000}"/>
    <cellStyle name="40% - Accent1 5 4 3 6 3" xfId="12442" xr:uid="{00000000-0005-0000-0000-000096300000}"/>
    <cellStyle name="40% - Accent1 5 4 3 7" xfId="12443" xr:uid="{00000000-0005-0000-0000-000097300000}"/>
    <cellStyle name="40% - Accent1 5 4 3 7 2" xfId="12444" xr:uid="{00000000-0005-0000-0000-000098300000}"/>
    <cellStyle name="40% - Accent1 5 4 3 8" xfId="12445" xr:uid="{00000000-0005-0000-0000-000099300000}"/>
    <cellStyle name="40% - Accent1 5 4 4" xfId="12446" xr:uid="{00000000-0005-0000-0000-00009A300000}"/>
    <cellStyle name="40% - Accent1 5 4 4 2" xfId="12447" xr:uid="{00000000-0005-0000-0000-00009B300000}"/>
    <cellStyle name="40% - Accent1 5 4 4 2 2" xfId="12448" xr:uid="{00000000-0005-0000-0000-00009C300000}"/>
    <cellStyle name="40% - Accent1 5 4 4 2 2 2" xfId="12449" xr:uid="{00000000-0005-0000-0000-00009D300000}"/>
    <cellStyle name="40% - Accent1 5 4 4 2 2 2 2" xfId="12450" xr:uid="{00000000-0005-0000-0000-00009E300000}"/>
    <cellStyle name="40% - Accent1 5 4 4 2 2 3" xfId="12451" xr:uid="{00000000-0005-0000-0000-00009F300000}"/>
    <cellStyle name="40% - Accent1 5 4 4 2 3" xfId="12452" xr:uid="{00000000-0005-0000-0000-0000A0300000}"/>
    <cellStyle name="40% - Accent1 5 4 4 2 3 2" xfId="12453" xr:uid="{00000000-0005-0000-0000-0000A1300000}"/>
    <cellStyle name="40% - Accent1 5 4 4 2 4" xfId="12454" xr:uid="{00000000-0005-0000-0000-0000A2300000}"/>
    <cellStyle name="40% - Accent1 5 4 4 3" xfId="12455" xr:uid="{00000000-0005-0000-0000-0000A3300000}"/>
    <cellStyle name="40% - Accent1 5 4 4 3 2" xfId="12456" xr:uid="{00000000-0005-0000-0000-0000A4300000}"/>
    <cellStyle name="40% - Accent1 5 4 4 3 2 2" xfId="12457" xr:uid="{00000000-0005-0000-0000-0000A5300000}"/>
    <cellStyle name="40% - Accent1 5 4 4 3 3" xfId="12458" xr:uid="{00000000-0005-0000-0000-0000A6300000}"/>
    <cellStyle name="40% - Accent1 5 4 4 4" xfId="12459" xr:uid="{00000000-0005-0000-0000-0000A7300000}"/>
    <cellStyle name="40% - Accent1 5 4 4 4 2" xfId="12460" xr:uid="{00000000-0005-0000-0000-0000A8300000}"/>
    <cellStyle name="40% - Accent1 5 4 4 4 2 2" xfId="12461" xr:uid="{00000000-0005-0000-0000-0000A9300000}"/>
    <cellStyle name="40% - Accent1 5 4 4 4 3" xfId="12462" xr:uid="{00000000-0005-0000-0000-0000AA300000}"/>
    <cellStyle name="40% - Accent1 5 4 4 5" xfId="12463" xr:uid="{00000000-0005-0000-0000-0000AB300000}"/>
    <cellStyle name="40% - Accent1 5 4 4 5 2" xfId="12464" xr:uid="{00000000-0005-0000-0000-0000AC300000}"/>
    <cellStyle name="40% - Accent1 5 4 4 5 2 2" xfId="12465" xr:uid="{00000000-0005-0000-0000-0000AD300000}"/>
    <cellStyle name="40% - Accent1 5 4 4 5 3" xfId="12466" xr:uid="{00000000-0005-0000-0000-0000AE300000}"/>
    <cellStyle name="40% - Accent1 5 4 4 6" xfId="12467" xr:uid="{00000000-0005-0000-0000-0000AF300000}"/>
    <cellStyle name="40% - Accent1 5 4 4 6 2" xfId="12468" xr:uid="{00000000-0005-0000-0000-0000B0300000}"/>
    <cellStyle name="40% - Accent1 5 4 4 6 2 2" xfId="12469" xr:uid="{00000000-0005-0000-0000-0000B1300000}"/>
    <cellStyle name="40% - Accent1 5 4 4 6 3" xfId="12470" xr:uid="{00000000-0005-0000-0000-0000B2300000}"/>
    <cellStyle name="40% - Accent1 5 4 4 7" xfId="12471" xr:uid="{00000000-0005-0000-0000-0000B3300000}"/>
    <cellStyle name="40% - Accent1 5 4 4 7 2" xfId="12472" xr:uid="{00000000-0005-0000-0000-0000B4300000}"/>
    <cellStyle name="40% - Accent1 5 4 4 8" xfId="12473" xr:uid="{00000000-0005-0000-0000-0000B5300000}"/>
    <cellStyle name="40% - Accent1 5 4 5" xfId="12474" xr:uid="{00000000-0005-0000-0000-0000B6300000}"/>
    <cellStyle name="40% - Accent1 5 4 5 2" xfId="12475" xr:uid="{00000000-0005-0000-0000-0000B7300000}"/>
    <cellStyle name="40% - Accent1 5 4 5 2 2" xfId="12476" xr:uid="{00000000-0005-0000-0000-0000B8300000}"/>
    <cellStyle name="40% - Accent1 5 4 5 2 2 2" xfId="12477" xr:uid="{00000000-0005-0000-0000-0000B9300000}"/>
    <cellStyle name="40% - Accent1 5 4 5 2 2 2 2" xfId="12478" xr:uid="{00000000-0005-0000-0000-0000BA300000}"/>
    <cellStyle name="40% - Accent1 5 4 5 2 2 3" xfId="12479" xr:uid="{00000000-0005-0000-0000-0000BB300000}"/>
    <cellStyle name="40% - Accent1 5 4 5 2 3" xfId="12480" xr:uid="{00000000-0005-0000-0000-0000BC300000}"/>
    <cellStyle name="40% - Accent1 5 4 5 2 3 2" xfId="12481" xr:uid="{00000000-0005-0000-0000-0000BD300000}"/>
    <cellStyle name="40% - Accent1 5 4 5 2 4" xfId="12482" xr:uid="{00000000-0005-0000-0000-0000BE300000}"/>
    <cellStyle name="40% - Accent1 5 4 5 3" xfId="12483" xr:uid="{00000000-0005-0000-0000-0000BF300000}"/>
    <cellStyle name="40% - Accent1 5 4 5 3 2" xfId="12484" xr:uid="{00000000-0005-0000-0000-0000C0300000}"/>
    <cellStyle name="40% - Accent1 5 4 5 3 2 2" xfId="12485" xr:uid="{00000000-0005-0000-0000-0000C1300000}"/>
    <cellStyle name="40% - Accent1 5 4 5 3 3" xfId="12486" xr:uid="{00000000-0005-0000-0000-0000C2300000}"/>
    <cellStyle name="40% - Accent1 5 4 5 4" xfId="12487" xr:uid="{00000000-0005-0000-0000-0000C3300000}"/>
    <cellStyle name="40% - Accent1 5 4 5 4 2" xfId="12488" xr:uid="{00000000-0005-0000-0000-0000C4300000}"/>
    <cellStyle name="40% - Accent1 5 4 5 5" xfId="12489" xr:uid="{00000000-0005-0000-0000-0000C5300000}"/>
    <cellStyle name="40% - Accent1 5 4 6" xfId="12490" xr:uid="{00000000-0005-0000-0000-0000C6300000}"/>
    <cellStyle name="40% - Accent1 5 4 6 2" xfId="12491" xr:uid="{00000000-0005-0000-0000-0000C7300000}"/>
    <cellStyle name="40% - Accent1 5 4 6 2 2" xfId="12492" xr:uid="{00000000-0005-0000-0000-0000C8300000}"/>
    <cellStyle name="40% - Accent1 5 4 6 2 2 2" xfId="12493" xr:uid="{00000000-0005-0000-0000-0000C9300000}"/>
    <cellStyle name="40% - Accent1 5 4 6 2 2 2 2" xfId="12494" xr:uid="{00000000-0005-0000-0000-0000CA300000}"/>
    <cellStyle name="40% - Accent1 5 4 6 2 2 3" xfId="12495" xr:uid="{00000000-0005-0000-0000-0000CB300000}"/>
    <cellStyle name="40% - Accent1 5 4 6 2 3" xfId="12496" xr:uid="{00000000-0005-0000-0000-0000CC300000}"/>
    <cellStyle name="40% - Accent1 5 4 6 2 3 2" xfId="12497" xr:uid="{00000000-0005-0000-0000-0000CD300000}"/>
    <cellStyle name="40% - Accent1 5 4 6 2 4" xfId="12498" xr:uid="{00000000-0005-0000-0000-0000CE300000}"/>
    <cellStyle name="40% - Accent1 5 4 6 3" xfId="12499" xr:uid="{00000000-0005-0000-0000-0000CF300000}"/>
    <cellStyle name="40% - Accent1 5 4 6 3 2" xfId="12500" xr:uid="{00000000-0005-0000-0000-0000D0300000}"/>
    <cellStyle name="40% - Accent1 5 4 6 3 2 2" xfId="12501" xr:uid="{00000000-0005-0000-0000-0000D1300000}"/>
    <cellStyle name="40% - Accent1 5 4 6 3 3" xfId="12502" xr:uid="{00000000-0005-0000-0000-0000D2300000}"/>
    <cellStyle name="40% - Accent1 5 4 6 4" xfId="12503" xr:uid="{00000000-0005-0000-0000-0000D3300000}"/>
    <cellStyle name="40% - Accent1 5 4 6 4 2" xfId="12504" xr:uid="{00000000-0005-0000-0000-0000D4300000}"/>
    <cellStyle name="40% - Accent1 5 4 6 5" xfId="12505" xr:uid="{00000000-0005-0000-0000-0000D5300000}"/>
    <cellStyle name="40% - Accent1 5 4 7" xfId="12506" xr:uid="{00000000-0005-0000-0000-0000D6300000}"/>
    <cellStyle name="40% - Accent1 5 4 7 2" xfId="12507" xr:uid="{00000000-0005-0000-0000-0000D7300000}"/>
    <cellStyle name="40% - Accent1 5 4 7 2 2" xfId="12508" xr:uid="{00000000-0005-0000-0000-0000D8300000}"/>
    <cellStyle name="40% - Accent1 5 4 7 2 2 2" xfId="12509" xr:uid="{00000000-0005-0000-0000-0000D9300000}"/>
    <cellStyle name="40% - Accent1 5 4 7 2 3" xfId="12510" xr:uid="{00000000-0005-0000-0000-0000DA300000}"/>
    <cellStyle name="40% - Accent1 5 4 7 3" xfId="12511" xr:uid="{00000000-0005-0000-0000-0000DB300000}"/>
    <cellStyle name="40% - Accent1 5 4 7 3 2" xfId="12512" xr:uid="{00000000-0005-0000-0000-0000DC300000}"/>
    <cellStyle name="40% - Accent1 5 4 7 4" xfId="12513" xr:uid="{00000000-0005-0000-0000-0000DD300000}"/>
    <cellStyle name="40% - Accent1 5 4 8" xfId="12514" xr:uid="{00000000-0005-0000-0000-0000DE300000}"/>
    <cellStyle name="40% - Accent1 5 4 8 2" xfId="12515" xr:uid="{00000000-0005-0000-0000-0000DF300000}"/>
    <cellStyle name="40% - Accent1 5 4 8 2 2" xfId="12516" xr:uid="{00000000-0005-0000-0000-0000E0300000}"/>
    <cellStyle name="40% - Accent1 5 4 8 2 2 2" xfId="12517" xr:uid="{00000000-0005-0000-0000-0000E1300000}"/>
    <cellStyle name="40% - Accent1 5 4 8 2 3" xfId="12518" xr:uid="{00000000-0005-0000-0000-0000E2300000}"/>
    <cellStyle name="40% - Accent1 5 4 8 3" xfId="12519" xr:uid="{00000000-0005-0000-0000-0000E3300000}"/>
    <cellStyle name="40% - Accent1 5 4 8 3 2" xfId="12520" xr:uid="{00000000-0005-0000-0000-0000E4300000}"/>
    <cellStyle name="40% - Accent1 5 4 8 4" xfId="12521" xr:uid="{00000000-0005-0000-0000-0000E5300000}"/>
    <cellStyle name="40% - Accent1 5 4 9" xfId="12522" xr:uid="{00000000-0005-0000-0000-0000E6300000}"/>
    <cellStyle name="40% - Accent1 5 4 9 2" xfId="12523" xr:uid="{00000000-0005-0000-0000-0000E7300000}"/>
    <cellStyle name="40% - Accent1 5 4 9 2 2" xfId="12524" xr:uid="{00000000-0005-0000-0000-0000E8300000}"/>
    <cellStyle name="40% - Accent1 5 4 9 3" xfId="12525" xr:uid="{00000000-0005-0000-0000-0000E9300000}"/>
    <cellStyle name="40% - Accent1 5 5" xfId="12526" xr:uid="{00000000-0005-0000-0000-0000EA300000}"/>
    <cellStyle name="40% - Accent1 5 5 10" xfId="12527" xr:uid="{00000000-0005-0000-0000-0000EB300000}"/>
    <cellStyle name="40% - Accent1 5 5 10 2" xfId="12528" xr:uid="{00000000-0005-0000-0000-0000EC300000}"/>
    <cellStyle name="40% - Accent1 5 5 10 2 2" xfId="12529" xr:uid="{00000000-0005-0000-0000-0000ED300000}"/>
    <cellStyle name="40% - Accent1 5 5 10 3" xfId="12530" xr:uid="{00000000-0005-0000-0000-0000EE300000}"/>
    <cellStyle name="40% - Accent1 5 5 11" xfId="12531" xr:uid="{00000000-0005-0000-0000-0000EF300000}"/>
    <cellStyle name="40% - Accent1 5 5 11 2" xfId="12532" xr:uid="{00000000-0005-0000-0000-0000F0300000}"/>
    <cellStyle name="40% - Accent1 5 5 11 2 2" xfId="12533" xr:uid="{00000000-0005-0000-0000-0000F1300000}"/>
    <cellStyle name="40% - Accent1 5 5 11 3" xfId="12534" xr:uid="{00000000-0005-0000-0000-0000F2300000}"/>
    <cellStyle name="40% - Accent1 5 5 12" xfId="12535" xr:uid="{00000000-0005-0000-0000-0000F3300000}"/>
    <cellStyle name="40% - Accent1 5 5 12 2" xfId="12536" xr:uid="{00000000-0005-0000-0000-0000F4300000}"/>
    <cellStyle name="40% - Accent1 5 5 12 2 2" xfId="12537" xr:uid="{00000000-0005-0000-0000-0000F5300000}"/>
    <cellStyle name="40% - Accent1 5 5 12 3" xfId="12538" xr:uid="{00000000-0005-0000-0000-0000F6300000}"/>
    <cellStyle name="40% - Accent1 5 5 13" xfId="12539" xr:uid="{00000000-0005-0000-0000-0000F7300000}"/>
    <cellStyle name="40% - Accent1 5 5 13 2" xfId="12540" xr:uid="{00000000-0005-0000-0000-0000F8300000}"/>
    <cellStyle name="40% - Accent1 5 5 14" xfId="12541" xr:uid="{00000000-0005-0000-0000-0000F9300000}"/>
    <cellStyle name="40% - Accent1 5 5 2" xfId="12542" xr:uid="{00000000-0005-0000-0000-0000FA300000}"/>
    <cellStyle name="40% - Accent1 5 5 2 2" xfId="12543" xr:uid="{00000000-0005-0000-0000-0000FB300000}"/>
    <cellStyle name="40% - Accent1 5 5 2 2 2" xfId="12544" xr:uid="{00000000-0005-0000-0000-0000FC300000}"/>
    <cellStyle name="40% - Accent1 5 5 2 2 2 2" xfId="12545" xr:uid="{00000000-0005-0000-0000-0000FD300000}"/>
    <cellStyle name="40% - Accent1 5 5 2 2 2 2 2" xfId="12546" xr:uid="{00000000-0005-0000-0000-0000FE300000}"/>
    <cellStyle name="40% - Accent1 5 5 2 2 2 3" xfId="12547" xr:uid="{00000000-0005-0000-0000-0000FF300000}"/>
    <cellStyle name="40% - Accent1 5 5 2 2 3" xfId="12548" xr:uid="{00000000-0005-0000-0000-000000310000}"/>
    <cellStyle name="40% - Accent1 5 5 2 2 3 2" xfId="12549" xr:uid="{00000000-0005-0000-0000-000001310000}"/>
    <cellStyle name="40% - Accent1 5 5 2 2 4" xfId="12550" xr:uid="{00000000-0005-0000-0000-000002310000}"/>
    <cellStyle name="40% - Accent1 5 5 2 3" xfId="12551" xr:uid="{00000000-0005-0000-0000-000003310000}"/>
    <cellStyle name="40% - Accent1 5 5 2 3 2" xfId="12552" xr:uid="{00000000-0005-0000-0000-000004310000}"/>
    <cellStyle name="40% - Accent1 5 5 2 3 2 2" xfId="12553" xr:uid="{00000000-0005-0000-0000-000005310000}"/>
    <cellStyle name="40% - Accent1 5 5 2 3 3" xfId="12554" xr:uid="{00000000-0005-0000-0000-000006310000}"/>
    <cellStyle name="40% - Accent1 5 5 2 4" xfId="12555" xr:uid="{00000000-0005-0000-0000-000007310000}"/>
    <cellStyle name="40% - Accent1 5 5 2 4 2" xfId="12556" xr:uid="{00000000-0005-0000-0000-000008310000}"/>
    <cellStyle name="40% - Accent1 5 5 2 4 2 2" xfId="12557" xr:uid="{00000000-0005-0000-0000-000009310000}"/>
    <cellStyle name="40% - Accent1 5 5 2 4 3" xfId="12558" xr:uid="{00000000-0005-0000-0000-00000A310000}"/>
    <cellStyle name="40% - Accent1 5 5 2 5" xfId="12559" xr:uid="{00000000-0005-0000-0000-00000B310000}"/>
    <cellStyle name="40% - Accent1 5 5 2 5 2" xfId="12560" xr:uid="{00000000-0005-0000-0000-00000C310000}"/>
    <cellStyle name="40% - Accent1 5 5 2 5 2 2" xfId="12561" xr:uid="{00000000-0005-0000-0000-00000D310000}"/>
    <cellStyle name="40% - Accent1 5 5 2 5 3" xfId="12562" xr:uid="{00000000-0005-0000-0000-00000E310000}"/>
    <cellStyle name="40% - Accent1 5 5 2 6" xfId="12563" xr:uid="{00000000-0005-0000-0000-00000F310000}"/>
    <cellStyle name="40% - Accent1 5 5 2 6 2" xfId="12564" xr:uid="{00000000-0005-0000-0000-000010310000}"/>
    <cellStyle name="40% - Accent1 5 5 2 6 2 2" xfId="12565" xr:uid="{00000000-0005-0000-0000-000011310000}"/>
    <cellStyle name="40% - Accent1 5 5 2 6 3" xfId="12566" xr:uid="{00000000-0005-0000-0000-000012310000}"/>
    <cellStyle name="40% - Accent1 5 5 2 7" xfId="12567" xr:uid="{00000000-0005-0000-0000-000013310000}"/>
    <cellStyle name="40% - Accent1 5 5 2 7 2" xfId="12568" xr:uid="{00000000-0005-0000-0000-000014310000}"/>
    <cellStyle name="40% - Accent1 5 5 2 8" xfId="12569" xr:uid="{00000000-0005-0000-0000-000015310000}"/>
    <cellStyle name="40% - Accent1 5 5 3" xfId="12570" xr:uid="{00000000-0005-0000-0000-000016310000}"/>
    <cellStyle name="40% - Accent1 5 5 3 2" xfId="12571" xr:uid="{00000000-0005-0000-0000-000017310000}"/>
    <cellStyle name="40% - Accent1 5 5 3 2 2" xfId="12572" xr:uid="{00000000-0005-0000-0000-000018310000}"/>
    <cellStyle name="40% - Accent1 5 5 3 2 2 2" xfId="12573" xr:uid="{00000000-0005-0000-0000-000019310000}"/>
    <cellStyle name="40% - Accent1 5 5 3 2 2 2 2" xfId="12574" xr:uid="{00000000-0005-0000-0000-00001A310000}"/>
    <cellStyle name="40% - Accent1 5 5 3 2 2 3" xfId="12575" xr:uid="{00000000-0005-0000-0000-00001B310000}"/>
    <cellStyle name="40% - Accent1 5 5 3 2 3" xfId="12576" xr:uid="{00000000-0005-0000-0000-00001C310000}"/>
    <cellStyle name="40% - Accent1 5 5 3 2 3 2" xfId="12577" xr:uid="{00000000-0005-0000-0000-00001D310000}"/>
    <cellStyle name="40% - Accent1 5 5 3 2 4" xfId="12578" xr:uid="{00000000-0005-0000-0000-00001E310000}"/>
    <cellStyle name="40% - Accent1 5 5 3 3" xfId="12579" xr:uid="{00000000-0005-0000-0000-00001F310000}"/>
    <cellStyle name="40% - Accent1 5 5 3 3 2" xfId="12580" xr:uid="{00000000-0005-0000-0000-000020310000}"/>
    <cellStyle name="40% - Accent1 5 5 3 3 2 2" xfId="12581" xr:uid="{00000000-0005-0000-0000-000021310000}"/>
    <cellStyle name="40% - Accent1 5 5 3 3 3" xfId="12582" xr:uid="{00000000-0005-0000-0000-000022310000}"/>
    <cellStyle name="40% - Accent1 5 5 3 4" xfId="12583" xr:uid="{00000000-0005-0000-0000-000023310000}"/>
    <cellStyle name="40% - Accent1 5 5 3 4 2" xfId="12584" xr:uid="{00000000-0005-0000-0000-000024310000}"/>
    <cellStyle name="40% - Accent1 5 5 3 4 2 2" xfId="12585" xr:uid="{00000000-0005-0000-0000-000025310000}"/>
    <cellStyle name="40% - Accent1 5 5 3 4 3" xfId="12586" xr:uid="{00000000-0005-0000-0000-000026310000}"/>
    <cellStyle name="40% - Accent1 5 5 3 5" xfId="12587" xr:uid="{00000000-0005-0000-0000-000027310000}"/>
    <cellStyle name="40% - Accent1 5 5 3 5 2" xfId="12588" xr:uid="{00000000-0005-0000-0000-000028310000}"/>
    <cellStyle name="40% - Accent1 5 5 3 5 2 2" xfId="12589" xr:uid="{00000000-0005-0000-0000-000029310000}"/>
    <cellStyle name="40% - Accent1 5 5 3 5 3" xfId="12590" xr:uid="{00000000-0005-0000-0000-00002A310000}"/>
    <cellStyle name="40% - Accent1 5 5 3 6" xfId="12591" xr:uid="{00000000-0005-0000-0000-00002B310000}"/>
    <cellStyle name="40% - Accent1 5 5 3 6 2" xfId="12592" xr:uid="{00000000-0005-0000-0000-00002C310000}"/>
    <cellStyle name="40% - Accent1 5 5 3 6 2 2" xfId="12593" xr:uid="{00000000-0005-0000-0000-00002D310000}"/>
    <cellStyle name="40% - Accent1 5 5 3 6 3" xfId="12594" xr:uid="{00000000-0005-0000-0000-00002E310000}"/>
    <cellStyle name="40% - Accent1 5 5 3 7" xfId="12595" xr:uid="{00000000-0005-0000-0000-00002F310000}"/>
    <cellStyle name="40% - Accent1 5 5 3 7 2" xfId="12596" xr:uid="{00000000-0005-0000-0000-000030310000}"/>
    <cellStyle name="40% - Accent1 5 5 3 8" xfId="12597" xr:uid="{00000000-0005-0000-0000-000031310000}"/>
    <cellStyle name="40% - Accent1 5 5 4" xfId="12598" xr:uid="{00000000-0005-0000-0000-000032310000}"/>
    <cellStyle name="40% - Accent1 5 5 4 2" xfId="12599" xr:uid="{00000000-0005-0000-0000-000033310000}"/>
    <cellStyle name="40% - Accent1 5 5 4 2 2" xfId="12600" xr:uid="{00000000-0005-0000-0000-000034310000}"/>
    <cellStyle name="40% - Accent1 5 5 4 2 2 2" xfId="12601" xr:uid="{00000000-0005-0000-0000-000035310000}"/>
    <cellStyle name="40% - Accent1 5 5 4 2 2 2 2" xfId="12602" xr:uid="{00000000-0005-0000-0000-000036310000}"/>
    <cellStyle name="40% - Accent1 5 5 4 2 2 3" xfId="12603" xr:uid="{00000000-0005-0000-0000-000037310000}"/>
    <cellStyle name="40% - Accent1 5 5 4 2 3" xfId="12604" xr:uid="{00000000-0005-0000-0000-000038310000}"/>
    <cellStyle name="40% - Accent1 5 5 4 2 3 2" xfId="12605" xr:uid="{00000000-0005-0000-0000-000039310000}"/>
    <cellStyle name="40% - Accent1 5 5 4 2 4" xfId="12606" xr:uid="{00000000-0005-0000-0000-00003A310000}"/>
    <cellStyle name="40% - Accent1 5 5 4 3" xfId="12607" xr:uid="{00000000-0005-0000-0000-00003B310000}"/>
    <cellStyle name="40% - Accent1 5 5 4 3 2" xfId="12608" xr:uid="{00000000-0005-0000-0000-00003C310000}"/>
    <cellStyle name="40% - Accent1 5 5 4 3 2 2" xfId="12609" xr:uid="{00000000-0005-0000-0000-00003D310000}"/>
    <cellStyle name="40% - Accent1 5 5 4 3 3" xfId="12610" xr:uid="{00000000-0005-0000-0000-00003E310000}"/>
    <cellStyle name="40% - Accent1 5 5 4 4" xfId="12611" xr:uid="{00000000-0005-0000-0000-00003F310000}"/>
    <cellStyle name="40% - Accent1 5 5 4 4 2" xfId="12612" xr:uid="{00000000-0005-0000-0000-000040310000}"/>
    <cellStyle name="40% - Accent1 5 5 4 4 2 2" xfId="12613" xr:uid="{00000000-0005-0000-0000-000041310000}"/>
    <cellStyle name="40% - Accent1 5 5 4 4 3" xfId="12614" xr:uid="{00000000-0005-0000-0000-000042310000}"/>
    <cellStyle name="40% - Accent1 5 5 4 5" xfId="12615" xr:uid="{00000000-0005-0000-0000-000043310000}"/>
    <cellStyle name="40% - Accent1 5 5 4 5 2" xfId="12616" xr:uid="{00000000-0005-0000-0000-000044310000}"/>
    <cellStyle name="40% - Accent1 5 5 4 5 2 2" xfId="12617" xr:uid="{00000000-0005-0000-0000-000045310000}"/>
    <cellStyle name="40% - Accent1 5 5 4 5 3" xfId="12618" xr:uid="{00000000-0005-0000-0000-000046310000}"/>
    <cellStyle name="40% - Accent1 5 5 4 6" xfId="12619" xr:uid="{00000000-0005-0000-0000-000047310000}"/>
    <cellStyle name="40% - Accent1 5 5 4 6 2" xfId="12620" xr:uid="{00000000-0005-0000-0000-000048310000}"/>
    <cellStyle name="40% - Accent1 5 5 4 6 2 2" xfId="12621" xr:uid="{00000000-0005-0000-0000-000049310000}"/>
    <cellStyle name="40% - Accent1 5 5 4 6 3" xfId="12622" xr:uid="{00000000-0005-0000-0000-00004A310000}"/>
    <cellStyle name="40% - Accent1 5 5 4 7" xfId="12623" xr:uid="{00000000-0005-0000-0000-00004B310000}"/>
    <cellStyle name="40% - Accent1 5 5 4 7 2" xfId="12624" xr:uid="{00000000-0005-0000-0000-00004C310000}"/>
    <cellStyle name="40% - Accent1 5 5 4 8" xfId="12625" xr:uid="{00000000-0005-0000-0000-00004D310000}"/>
    <cellStyle name="40% - Accent1 5 5 5" xfId="12626" xr:uid="{00000000-0005-0000-0000-00004E310000}"/>
    <cellStyle name="40% - Accent1 5 5 5 2" xfId="12627" xr:uid="{00000000-0005-0000-0000-00004F310000}"/>
    <cellStyle name="40% - Accent1 5 5 5 2 2" xfId="12628" xr:uid="{00000000-0005-0000-0000-000050310000}"/>
    <cellStyle name="40% - Accent1 5 5 5 2 2 2" xfId="12629" xr:uid="{00000000-0005-0000-0000-000051310000}"/>
    <cellStyle name="40% - Accent1 5 5 5 2 2 2 2" xfId="12630" xr:uid="{00000000-0005-0000-0000-000052310000}"/>
    <cellStyle name="40% - Accent1 5 5 5 2 2 3" xfId="12631" xr:uid="{00000000-0005-0000-0000-000053310000}"/>
    <cellStyle name="40% - Accent1 5 5 5 2 3" xfId="12632" xr:uid="{00000000-0005-0000-0000-000054310000}"/>
    <cellStyle name="40% - Accent1 5 5 5 2 3 2" xfId="12633" xr:uid="{00000000-0005-0000-0000-000055310000}"/>
    <cellStyle name="40% - Accent1 5 5 5 2 4" xfId="12634" xr:uid="{00000000-0005-0000-0000-000056310000}"/>
    <cellStyle name="40% - Accent1 5 5 5 3" xfId="12635" xr:uid="{00000000-0005-0000-0000-000057310000}"/>
    <cellStyle name="40% - Accent1 5 5 5 3 2" xfId="12636" xr:uid="{00000000-0005-0000-0000-000058310000}"/>
    <cellStyle name="40% - Accent1 5 5 5 3 2 2" xfId="12637" xr:uid="{00000000-0005-0000-0000-000059310000}"/>
    <cellStyle name="40% - Accent1 5 5 5 3 3" xfId="12638" xr:uid="{00000000-0005-0000-0000-00005A310000}"/>
    <cellStyle name="40% - Accent1 5 5 5 4" xfId="12639" xr:uid="{00000000-0005-0000-0000-00005B310000}"/>
    <cellStyle name="40% - Accent1 5 5 5 4 2" xfId="12640" xr:uid="{00000000-0005-0000-0000-00005C310000}"/>
    <cellStyle name="40% - Accent1 5 5 5 5" xfId="12641" xr:uid="{00000000-0005-0000-0000-00005D310000}"/>
    <cellStyle name="40% - Accent1 5 5 6" xfId="12642" xr:uid="{00000000-0005-0000-0000-00005E310000}"/>
    <cellStyle name="40% - Accent1 5 5 6 2" xfId="12643" xr:uid="{00000000-0005-0000-0000-00005F310000}"/>
    <cellStyle name="40% - Accent1 5 5 6 2 2" xfId="12644" xr:uid="{00000000-0005-0000-0000-000060310000}"/>
    <cellStyle name="40% - Accent1 5 5 6 2 2 2" xfId="12645" xr:uid="{00000000-0005-0000-0000-000061310000}"/>
    <cellStyle name="40% - Accent1 5 5 6 2 2 2 2" xfId="12646" xr:uid="{00000000-0005-0000-0000-000062310000}"/>
    <cellStyle name="40% - Accent1 5 5 6 2 2 3" xfId="12647" xr:uid="{00000000-0005-0000-0000-000063310000}"/>
    <cellStyle name="40% - Accent1 5 5 6 2 3" xfId="12648" xr:uid="{00000000-0005-0000-0000-000064310000}"/>
    <cellStyle name="40% - Accent1 5 5 6 2 3 2" xfId="12649" xr:uid="{00000000-0005-0000-0000-000065310000}"/>
    <cellStyle name="40% - Accent1 5 5 6 2 4" xfId="12650" xr:uid="{00000000-0005-0000-0000-000066310000}"/>
    <cellStyle name="40% - Accent1 5 5 6 3" xfId="12651" xr:uid="{00000000-0005-0000-0000-000067310000}"/>
    <cellStyle name="40% - Accent1 5 5 6 3 2" xfId="12652" xr:uid="{00000000-0005-0000-0000-000068310000}"/>
    <cellStyle name="40% - Accent1 5 5 6 3 2 2" xfId="12653" xr:uid="{00000000-0005-0000-0000-000069310000}"/>
    <cellStyle name="40% - Accent1 5 5 6 3 3" xfId="12654" xr:uid="{00000000-0005-0000-0000-00006A310000}"/>
    <cellStyle name="40% - Accent1 5 5 6 4" xfId="12655" xr:uid="{00000000-0005-0000-0000-00006B310000}"/>
    <cellStyle name="40% - Accent1 5 5 6 4 2" xfId="12656" xr:uid="{00000000-0005-0000-0000-00006C310000}"/>
    <cellStyle name="40% - Accent1 5 5 6 5" xfId="12657" xr:uid="{00000000-0005-0000-0000-00006D310000}"/>
    <cellStyle name="40% - Accent1 5 5 7" xfId="12658" xr:uid="{00000000-0005-0000-0000-00006E310000}"/>
    <cellStyle name="40% - Accent1 5 5 7 2" xfId="12659" xr:uid="{00000000-0005-0000-0000-00006F310000}"/>
    <cellStyle name="40% - Accent1 5 5 7 2 2" xfId="12660" xr:uid="{00000000-0005-0000-0000-000070310000}"/>
    <cellStyle name="40% - Accent1 5 5 7 2 2 2" xfId="12661" xr:uid="{00000000-0005-0000-0000-000071310000}"/>
    <cellStyle name="40% - Accent1 5 5 7 2 3" xfId="12662" xr:uid="{00000000-0005-0000-0000-000072310000}"/>
    <cellStyle name="40% - Accent1 5 5 7 3" xfId="12663" xr:uid="{00000000-0005-0000-0000-000073310000}"/>
    <cellStyle name="40% - Accent1 5 5 7 3 2" xfId="12664" xr:uid="{00000000-0005-0000-0000-000074310000}"/>
    <cellStyle name="40% - Accent1 5 5 7 4" xfId="12665" xr:uid="{00000000-0005-0000-0000-000075310000}"/>
    <cellStyle name="40% - Accent1 5 5 8" xfId="12666" xr:uid="{00000000-0005-0000-0000-000076310000}"/>
    <cellStyle name="40% - Accent1 5 5 8 2" xfId="12667" xr:uid="{00000000-0005-0000-0000-000077310000}"/>
    <cellStyle name="40% - Accent1 5 5 8 2 2" xfId="12668" xr:uid="{00000000-0005-0000-0000-000078310000}"/>
    <cellStyle name="40% - Accent1 5 5 8 2 2 2" xfId="12669" xr:uid="{00000000-0005-0000-0000-000079310000}"/>
    <cellStyle name="40% - Accent1 5 5 8 2 3" xfId="12670" xr:uid="{00000000-0005-0000-0000-00007A310000}"/>
    <cellStyle name="40% - Accent1 5 5 8 3" xfId="12671" xr:uid="{00000000-0005-0000-0000-00007B310000}"/>
    <cellStyle name="40% - Accent1 5 5 8 3 2" xfId="12672" xr:uid="{00000000-0005-0000-0000-00007C310000}"/>
    <cellStyle name="40% - Accent1 5 5 8 4" xfId="12673" xr:uid="{00000000-0005-0000-0000-00007D310000}"/>
    <cellStyle name="40% - Accent1 5 5 9" xfId="12674" xr:uid="{00000000-0005-0000-0000-00007E310000}"/>
    <cellStyle name="40% - Accent1 5 5 9 2" xfId="12675" xr:uid="{00000000-0005-0000-0000-00007F310000}"/>
    <cellStyle name="40% - Accent1 5 5 9 2 2" xfId="12676" xr:uid="{00000000-0005-0000-0000-000080310000}"/>
    <cellStyle name="40% - Accent1 5 5 9 3" xfId="12677" xr:uid="{00000000-0005-0000-0000-000081310000}"/>
    <cellStyle name="40% - Accent1 5 6" xfId="12678" xr:uid="{00000000-0005-0000-0000-000082310000}"/>
    <cellStyle name="40% - Accent1 5 6 10" xfId="12679" xr:uid="{00000000-0005-0000-0000-000083310000}"/>
    <cellStyle name="40% - Accent1 5 6 10 2" xfId="12680" xr:uid="{00000000-0005-0000-0000-000084310000}"/>
    <cellStyle name="40% - Accent1 5 6 10 2 2" xfId="12681" xr:uid="{00000000-0005-0000-0000-000085310000}"/>
    <cellStyle name="40% - Accent1 5 6 10 3" xfId="12682" xr:uid="{00000000-0005-0000-0000-000086310000}"/>
    <cellStyle name="40% - Accent1 5 6 11" xfId="12683" xr:uid="{00000000-0005-0000-0000-000087310000}"/>
    <cellStyle name="40% - Accent1 5 6 11 2" xfId="12684" xr:uid="{00000000-0005-0000-0000-000088310000}"/>
    <cellStyle name="40% - Accent1 5 6 11 2 2" xfId="12685" xr:uid="{00000000-0005-0000-0000-000089310000}"/>
    <cellStyle name="40% - Accent1 5 6 11 3" xfId="12686" xr:uid="{00000000-0005-0000-0000-00008A310000}"/>
    <cellStyle name="40% - Accent1 5 6 12" xfId="12687" xr:uid="{00000000-0005-0000-0000-00008B310000}"/>
    <cellStyle name="40% - Accent1 5 6 12 2" xfId="12688" xr:uid="{00000000-0005-0000-0000-00008C310000}"/>
    <cellStyle name="40% - Accent1 5 6 12 2 2" xfId="12689" xr:uid="{00000000-0005-0000-0000-00008D310000}"/>
    <cellStyle name="40% - Accent1 5 6 12 3" xfId="12690" xr:uid="{00000000-0005-0000-0000-00008E310000}"/>
    <cellStyle name="40% - Accent1 5 6 13" xfId="12691" xr:uid="{00000000-0005-0000-0000-00008F310000}"/>
    <cellStyle name="40% - Accent1 5 6 13 2" xfId="12692" xr:uid="{00000000-0005-0000-0000-000090310000}"/>
    <cellStyle name="40% - Accent1 5 6 14" xfId="12693" xr:uid="{00000000-0005-0000-0000-000091310000}"/>
    <cellStyle name="40% - Accent1 5 6 2" xfId="12694" xr:uid="{00000000-0005-0000-0000-000092310000}"/>
    <cellStyle name="40% - Accent1 5 6 2 2" xfId="12695" xr:uid="{00000000-0005-0000-0000-000093310000}"/>
    <cellStyle name="40% - Accent1 5 6 2 2 2" xfId="12696" xr:uid="{00000000-0005-0000-0000-000094310000}"/>
    <cellStyle name="40% - Accent1 5 6 2 2 2 2" xfId="12697" xr:uid="{00000000-0005-0000-0000-000095310000}"/>
    <cellStyle name="40% - Accent1 5 6 2 2 2 2 2" xfId="12698" xr:uid="{00000000-0005-0000-0000-000096310000}"/>
    <cellStyle name="40% - Accent1 5 6 2 2 2 3" xfId="12699" xr:uid="{00000000-0005-0000-0000-000097310000}"/>
    <cellStyle name="40% - Accent1 5 6 2 2 3" xfId="12700" xr:uid="{00000000-0005-0000-0000-000098310000}"/>
    <cellStyle name="40% - Accent1 5 6 2 2 3 2" xfId="12701" xr:uid="{00000000-0005-0000-0000-000099310000}"/>
    <cellStyle name="40% - Accent1 5 6 2 2 4" xfId="12702" xr:uid="{00000000-0005-0000-0000-00009A310000}"/>
    <cellStyle name="40% - Accent1 5 6 2 3" xfId="12703" xr:uid="{00000000-0005-0000-0000-00009B310000}"/>
    <cellStyle name="40% - Accent1 5 6 2 3 2" xfId="12704" xr:uid="{00000000-0005-0000-0000-00009C310000}"/>
    <cellStyle name="40% - Accent1 5 6 2 3 2 2" xfId="12705" xr:uid="{00000000-0005-0000-0000-00009D310000}"/>
    <cellStyle name="40% - Accent1 5 6 2 3 3" xfId="12706" xr:uid="{00000000-0005-0000-0000-00009E310000}"/>
    <cellStyle name="40% - Accent1 5 6 2 4" xfId="12707" xr:uid="{00000000-0005-0000-0000-00009F310000}"/>
    <cellStyle name="40% - Accent1 5 6 2 4 2" xfId="12708" xr:uid="{00000000-0005-0000-0000-0000A0310000}"/>
    <cellStyle name="40% - Accent1 5 6 2 4 2 2" xfId="12709" xr:uid="{00000000-0005-0000-0000-0000A1310000}"/>
    <cellStyle name="40% - Accent1 5 6 2 4 3" xfId="12710" xr:uid="{00000000-0005-0000-0000-0000A2310000}"/>
    <cellStyle name="40% - Accent1 5 6 2 5" xfId="12711" xr:uid="{00000000-0005-0000-0000-0000A3310000}"/>
    <cellStyle name="40% - Accent1 5 6 2 5 2" xfId="12712" xr:uid="{00000000-0005-0000-0000-0000A4310000}"/>
    <cellStyle name="40% - Accent1 5 6 2 5 2 2" xfId="12713" xr:uid="{00000000-0005-0000-0000-0000A5310000}"/>
    <cellStyle name="40% - Accent1 5 6 2 5 3" xfId="12714" xr:uid="{00000000-0005-0000-0000-0000A6310000}"/>
    <cellStyle name="40% - Accent1 5 6 2 6" xfId="12715" xr:uid="{00000000-0005-0000-0000-0000A7310000}"/>
    <cellStyle name="40% - Accent1 5 6 2 6 2" xfId="12716" xr:uid="{00000000-0005-0000-0000-0000A8310000}"/>
    <cellStyle name="40% - Accent1 5 6 2 6 2 2" xfId="12717" xr:uid="{00000000-0005-0000-0000-0000A9310000}"/>
    <cellStyle name="40% - Accent1 5 6 2 6 3" xfId="12718" xr:uid="{00000000-0005-0000-0000-0000AA310000}"/>
    <cellStyle name="40% - Accent1 5 6 2 7" xfId="12719" xr:uid="{00000000-0005-0000-0000-0000AB310000}"/>
    <cellStyle name="40% - Accent1 5 6 2 7 2" xfId="12720" xr:uid="{00000000-0005-0000-0000-0000AC310000}"/>
    <cellStyle name="40% - Accent1 5 6 2 8" xfId="12721" xr:uid="{00000000-0005-0000-0000-0000AD310000}"/>
    <cellStyle name="40% - Accent1 5 6 3" xfId="12722" xr:uid="{00000000-0005-0000-0000-0000AE310000}"/>
    <cellStyle name="40% - Accent1 5 6 3 2" xfId="12723" xr:uid="{00000000-0005-0000-0000-0000AF310000}"/>
    <cellStyle name="40% - Accent1 5 6 3 2 2" xfId="12724" xr:uid="{00000000-0005-0000-0000-0000B0310000}"/>
    <cellStyle name="40% - Accent1 5 6 3 2 2 2" xfId="12725" xr:uid="{00000000-0005-0000-0000-0000B1310000}"/>
    <cellStyle name="40% - Accent1 5 6 3 2 2 2 2" xfId="12726" xr:uid="{00000000-0005-0000-0000-0000B2310000}"/>
    <cellStyle name="40% - Accent1 5 6 3 2 2 3" xfId="12727" xr:uid="{00000000-0005-0000-0000-0000B3310000}"/>
    <cellStyle name="40% - Accent1 5 6 3 2 3" xfId="12728" xr:uid="{00000000-0005-0000-0000-0000B4310000}"/>
    <cellStyle name="40% - Accent1 5 6 3 2 3 2" xfId="12729" xr:uid="{00000000-0005-0000-0000-0000B5310000}"/>
    <cellStyle name="40% - Accent1 5 6 3 2 4" xfId="12730" xr:uid="{00000000-0005-0000-0000-0000B6310000}"/>
    <cellStyle name="40% - Accent1 5 6 3 3" xfId="12731" xr:uid="{00000000-0005-0000-0000-0000B7310000}"/>
    <cellStyle name="40% - Accent1 5 6 3 3 2" xfId="12732" xr:uid="{00000000-0005-0000-0000-0000B8310000}"/>
    <cellStyle name="40% - Accent1 5 6 3 3 2 2" xfId="12733" xr:uid="{00000000-0005-0000-0000-0000B9310000}"/>
    <cellStyle name="40% - Accent1 5 6 3 3 3" xfId="12734" xr:uid="{00000000-0005-0000-0000-0000BA310000}"/>
    <cellStyle name="40% - Accent1 5 6 3 4" xfId="12735" xr:uid="{00000000-0005-0000-0000-0000BB310000}"/>
    <cellStyle name="40% - Accent1 5 6 3 4 2" xfId="12736" xr:uid="{00000000-0005-0000-0000-0000BC310000}"/>
    <cellStyle name="40% - Accent1 5 6 3 4 2 2" xfId="12737" xr:uid="{00000000-0005-0000-0000-0000BD310000}"/>
    <cellStyle name="40% - Accent1 5 6 3 4 3" xfId="12738" xr:uid="{00000000-0005-0000-0000-0000BE310000}"/>
    <cellStyle name="40% - Accent1 5 6 3 5" xfId="12739" xr:uid="{00000000-0005-0000-0000-0000BF310000}"/>
    <cellStyle name="40% - Accent1 5 6 3 5 2" xfId="12740" xr:uid="{00000000-0005-0000-0000-0000C0310000}"/>
    <cellStyle name="40% - Accent1 5 6 3 5 2 2" xfId="12741" xr:uid="{00000000-0005-0000-0000-0000C1310000}"/>
    <cellStyle name="40% - Accent1 5 6 3 5 3" xfId="12742" xr:uid="{00000000-0005-0000-0000-0000C2310000}"/>
    <cellStyle name="40% - Accent1 5 6 3 6" xfId="12743" xr:uid="{00000000-0005-0000-0000-0000C3310000}"/>
    <cellStyle name="40% - Accent1 5 6 3 6 2" xfId="12744" xr:uid="{00000000-0005-0000-0000-0000C4310000}"/>
    <cellStyle name="40% - Accent1 5 6 3 6 2 2" xfId="12745" xr:uid="{00000000-0005-0000-0000-0000C5310000}"/>
    <cellStyle name="40% - Accent1 5 6 3 6 3" xfId="12746" xr:uid="{00000000-0005-0000-0000-0000C6310000}"/>
    <cellStyle name="40% - Accent1 5 6 3 7" xfId="12747" xr:uid="{00000000-0005-0000-0000-0000C7310000}"/>
    <cellStyle name="40% - Accent1 5 6 3 7 2" xfId="12748" xr:uid="{00000000-0005-0000-0000-0000C8310000}"/>
    <cellStyle name="40% - Accent1 5 6 3 8" xfId="12749" xr:uid="{00000000-0005-0000-0000-0000C9310000}"/>
    <cellStyle name="40% - Accent1 5 6 4" xfId="12750" xr:uid="{00000000-0005-0000-0000-0000CA310000}"/>
    <cellStyle name="40% - Accent1 5 6 4 2" xfId="12751" xr:uid="{00000000-0005-0000-0000-0000CB310000}"/>
    <cellStyle name="40% - Accent1 5 6 4 2 2" xfId="12752" xr:uid="{00000000-0005-0000-0000-0000CC310000}"/>
    <cellStyle name="40% - Accent1 5 6 4 2 2 2" xfId="12753" xr:uid="{00000000-0005-0000-0000-0000CD310000}"/>
    <cellStyle name="40% - Accent1 5 6 4 2 2 2 2" xfId="12754" xr:uid="{00000000-0005-0000-0000-0000CE310000}"/>
    <cellStyle name="40% - Accent1 5 6 4 2 2 3" xfId="12755" xr:uid="{00000000-0005-0000-0000-0000CF310000}"/>
    <cellStyle name="40% - Accent1 5 6 4 2 3" xfId="12756" xr:uid="{00000000-0005-0000-0000-0000D0310000}"/>
    <cellStyle name="40% - Accent1 5 6 4 2 3 2" xfId="12757" xr:uid="{00000000-0005-0000-0000-0000D1310000}"/>
    <cellStyle name="40% - Accent1 5 6 4 2 4" xfId="12758" xr:uid="{00000000-0005-0000-0000-0000D2310000}"/>
    <cellStyle name="40% - Accent1 5 6 4 3" xfId="12759" xr:uid="{00000000-0005-0000-0000-0000D3310000}"/>
    <cellStyle name="40% - Accent1 5 6 4 3 2" xfId="12760" xr:uid="{00000000-0005-0000-0000-0000D4310000}"/>
    <cellStyle name="40% - Accent1 5 6 4 3 2 2" xfId="12761" xr:uid="{00000000-0005-0000-0000-0000D5310000}"/>
    <cellStyle name="40% - Accent1 5 6 4 3 3" xfId="12762" xr:uid="{00000000-0005-0000-0000-0000D6310000}"/>
    <cellStyle name="40% - Accent1 5 6 4 4" xfId="12763" xr:uid="{00000000-0005-0000-0000-0000D7310000}"/>
    <cellStyle name="40% - Accent1 5 6 4 4 2" xfId="12764" xr:uid="{00000000-0005-0000-0000-0000D8310000}"/>
    <cellStyle name="40% - Accent1 5 6 4 4 2 2" xfId="12765" xr:uid="{00000000-0005-0000-0000-0000D9310000}"/>
    <cellStyle name="40% - Accent1 5 6 4 4 3" xfId="12766" xr:uid="{00000000-0005-0000-0000-0000DA310000}"/>
    <cellStyle name="40% - Accent1 5 6 4 5" xfId="12767" xr:uid="{00000000-0005-0000-0000-0000DB310000}"/>
    <cellStyle name="40% - Accent1 5 6 4 5 2" xfId="12768" xr:uid="{00000000-0005-0000-0000-0000DC310000}"/>
    <cellStyle name="40% - Accent1 5 6 4 5 2 2" xfId="12769" xr:uid="{00000000-0005-0000-0000-0000DD310000}"/>
    <cellStyle name="40% - Accent1 5 6 4 5 3" xfId="12770" xr:uid="{00000000-0005-0000-0000-0000DE310000}"/>
    <cellStyle name="40% - Accent1 5 6 4 6" xfId="12771" xr:uid="{00000000-0005-0000-0000-0000DF310000}"/>
    <cellStyle name="40% - Accent1 5 6 4 6 2" xfId="12772" xr:uid="{00000000-0005-0000-0000-0000E0310000}"/>
    <cellStyle name="40% - Accent1 5 6 4 6 2 2" xfId="12773" xr:uid="{00000000-0005-0000-0000-0000E1310000}"/>
    <cellStyle name="40% - Accent1 5 6 4 6 3" xfId="12774" xr:uid="{00000000-0005-0000-0000-0000E2310000}"/>
    <cellStyle name="40% - Accent1 5 6 4 7" xfId="12775" xr:uid="{00000000-0005-0000-0000-0000E3310000}"/>
    <cellStyle name="40% - Accent1 5 6 4 7 2" xfId="12776" xr:uid="{00000000-0005-0000-0000-0000E4310000}"/>
    <cellStyle name="40% - Accent1 5 6 4 8" xfId="12777" xr:uid="{00000000-0005-0000-0000-0000E5310000}"/>
    <cellStyle name="40% - Accent1 5 6 5" xfId="12778" xr:uid="{00000000-0005-0000-0000-0000E6310000}"/>
    <cellStyle name="40% - Accent1 5 6 5 2" xfId="12779" xr:uid="{00000000-0005-0000-0000-0000E7310000}"/>
    <cellStyle name="40% - Accent1 5 6 5 2 2" xfId="12780" xr:uid="{00000000-0005-0000-0000-0000E8310000}"/>
    <cellStyle name="40% - Accent1 5 6 5 2 2 2" xfId="12781" xr:uid="{00000000-0005-0000-0000-0000E9310000}"/>
    <cellStyle name="40% - Accent1 5 6 5 2 2 2 2" xfId="12782" xr:uid="{00000000-0005-0000-0000-0000EA310000}"/>
    <cellStyle name="40% - Accent1 5 6 5 2 2 3" xfId="12783" xr:uid="{00000000-0005-0000-0000-0000EB310000}"/>
    <cellStyle name="40% - Accent1 5 6 5 2 3" xfId="12784" xr:uid="{00000000-0005-0000-0000-0000EC310000}"/>
    <cellStyle name="40% - Accent1 5 6 5 2 3 2" xfId="12785" xr:uid="{00000000-0005-0000-0000-0000ED310000}"/>
    <cellStyle name="40% - Accent1 5 6 5 2 4" xfId="12786" xr:uid="{00000000-0005-0000-0000-0000EE310000}"/>
    <cellStyle name="40% - Accent1 5 6 5 3" xfId="12787" xr:uid="{00000000-0005-0000-0000-0000EF310000}"/>
    <cellStyle name="40% - Accent1 5 6 5 3 2" xfId="12788" xr:uid="{00000000-0005-0000-0000-0000F0310000}"/>
    <cellStyle name="40% - Accent1 5 6 5 3 2 2" xfId="12789" xr:uid="{00000000-0005-0000-0000-0000F1310000}"/>
    <cellStyle name="40% - Accent1 5 6 5 3 3" xfId="12790" xr:uid="{00000000-0005-0000-0000-0000F2310000}"/>
    <cellStyle name="40% - Accent1 5 6 5 4" xfId="12791" xr:uid="{00000000-0005-0000-0000-0000F3310000}"/>
    <cellStyle name="40% - Accent1 5 6 5 4 2" xfId="12792" xr:uid="{00000000-0005-0000-0000-0000F4310000}"/>
    <cellStyle name="40% - Accent1 5 6 5 5" xfId="12793" xr:uid="{00000000-0005-0000-0000-0000F5310000}"/>
    <cellStyle name="40% - Accent1 5 6 6" xfId="12794" xr:uid="{00000000-0005-0000-0000-0000F6310000}"/>
    <cellStyle name="40% - Accent1 5 6 6 2" xfId="12795" xr:uid="{00000000-0005-0000-0000-0000F7310000}"/>
    <cellStyle name="40% - Accent1 5 6 6 2 2" xfId="12796" xr:uid="{00000000-0005-0000-0000-0000F8310000}"/>
    <cellStyle name="40% - Accent1 5 6 6 2 2 2" xfId="12797" xr:uid="{00000000-0005-0000-0000-0000F9310000}"/>
    <cellStyle name="40% - Accent1 5 6 6 2 2 2 2" xfId="12798" xr:uid="{00000000-0005-0000-0000-0000FA310000}"/>
    <cellStyle name="40% - Accent1 5 6 6 2 2 3" xfId="12799" xr:uid="{00000000-0005-0000-0000-0000FB310000}"/>
    <cellStyle name="40% - Accent1 5 6 6 2 3" xfId="12800" xr:uid="{00000000-0005-0000-0000-0000FC310000}"/>
    <cellStyle name="40% - Accent1 5 6 6 2 3 2" xfId="12801" xr:uid="{00000000-0005-0000-0000-0000FD310000}"/>
    <cellStyle name="40% - Accent1 5 6 6 2 4" xfId="12802" xr:uid="{00000000-0005-0000-0000-0000FE310000}"/>
    <cellStyle name="40% - Accent1 5 6 6 3" xfId="12803" xr:uid="{00000000-0005-0000-0000-0000FF310000}"/>
    <cellStyle name="40% - Accent1 5 6 6 3 2" xfId="12804" xr:uid="{00000000-0005-0000-0000-000000320000}"/>
    <cellStyle name="40% - Accent1 5 6 6 3 2 2" xfId="12805" xr:uid="{00000000-0005-0000-0000-000001320000}"/>
    <cellStyle name="40% - Accent1 5 6 6 3 3" xfId="12806" xr:uid="{00000000-0005-0000-0000-000002320000}"/>
    <cellStyle name="40% - Accent1 5 6 6 4" xfId="12807" xr:uid="{00000000-0005-0000-0000-000003320000}"/>
    <cellStyle name="40% - Accent1 5 6 6 4 2" xfId="12808" xr:uid="{00000000-0005-0000-0000-000004320000}"/>
    <cellStyle name="40% - Accent1 5 6 6 5" xfId="12809" xr:uid="{00000000-0005-0000-0000-000005320000}"/>
    <cellStyle name="40% - Accent1 5 6 7" xfId="12810" xr:uid="{00000000-0005-0000-0000-000006320000}"/>
    <cellStyle name="40% - Accent1 5 6 7 2" xfId="12811" xr:uid="{00000000-0005-0000-0000-000007320000}"/>
    <cellStyle name="40% - Accent1 5 6 7 2 2" xfId="12812" xr:uid="{00000000-0005-0000-0000-000008320000}"/>
    <cellStyle name="40% - Accent1 5 6 7 2 2 2" xfId="12813" xr:uid="{00000000-0005-0000-0000-000009320000}"/>
    <cellStyle name="40% - Accent1 5 6 7 2 3" xfId="12814" xr:uid="{00000000-0005-0000-0000-00000A320000}"/>
    <cellStyle name="40% - Accent1 5 6 7 3" xfId="12815" xr:uid="{00000000-0005-0000-0000-00000B320000}"/>
    <cellStyle name="40% - Accent1 5 6 7 3 2" xfId="12816" xr:uid="{00000000-0005-0000-0000-00000C320000}"/>
    <cellStyle name="40% - Accent1 5 6 7 4" xfId="12817" xr:uid="{00000000-0005-0000-0000-00000D320000}"/>
    <cellStyle name="40% - Accent1 5 6 8" xfId="12818" xr:uid="{00000000-0005-0000-0000-00000E320000}"/>
    <cellStyle name="40% - Accent1 5 6 8 2" xfId="12819" xr:uid="{00000000-0005-0000-0000-00000F320000}"/>
    <cellStyle name="40% - Accent1 5 6 8 2 2" xfId="12820" xr:uid="{00000000-0005-0000-0000-000010320000}"/>
    <cellStyle name="40% - Accent1 5 6 8 2 2 2" xfId="12821" xr:uid="{00000000-0005-0000-0000-000011320000}"/>
    <cellStyle name="40% - Accent1 5 6 8 2 3" xfId="12822" xr:uid="{00000000-0005-0000-0000-000012320000}"/>
    <cellStyle name="40% - Accent1 5 6 8 3" xfId="12823" xr:uid="{00000000-0005-0000-0000-000013320000}"/>
    <cellStyle name="40% - Accent1 5 6 8 3 2" xfId="12824" xr:uid="{00000000-0005-0000-0000-000014320000}"/>
    <cellStyle name="40% - Accent1 5 6 8 4" xfId="12825" xr:uid="{00000000-0005-0000-0000-000015320000}"/>
    <cellStyle name="40% - Accent1 5 6 9" xfId="12826" xr:uid="{00000000-0005-0000-0000-000016320000}"/>
    <cellStyle name="40% - Accent1 5 6 9 2" xfId="12827" xr:uid="{00000000-0005-0000-0000-000017320000}"/>
    <cellStyle name="40% - Accent1 5 6 9 2 2" xfId="12828" xr:uid="{00000000-0005-0000-0000-000018320000}"/>
    <cellStyle name="40% - Accent1 5 6 9 3" xfId="12829" xr:uid="{00000000-0005-0000-0000-000019320000}"/>
    <cellStyle name="40% - Accent1 5 7" xfId="12830" xr:uid="{00000000-0005-0000-0000-00001A320000}"/>
    <cellStyle name="40% - Accent1 5 7 10" xfId="12831" xr:uid="{00000000-0005-0000-0000-00001B320000}"/>
    <cellStyle name="40% - Accent1 5 7 10 2" xfId="12832" xr:uid="{00000000-0005-0000-0000-00001C320000}"/>
    <cellStyle name="40% - Accent1 5 7 10 2 2" xfId="12833" xr:uid="{00000000-0005-0000-0000-00001D320000}"/>
    <cellStyle name="40% - Accent1 5 7 10 3" xfId="12834" xr:uid="{00000000-0005-0000-0000-00001E320000}"/>
    <cellStyle name="40% - Accent1 5 7 11" xfId="12835" xr:uid="{00000000-0005-0000-0000-00001F320000}"/>
    <cellStyle name="40% - Accent1 5 7 11 2" xfId="12836" xr:uid="{00000000-0005-0000-0000-000020320000}"/>
    <cellStyle name="40% - Accent1 5 7 11 2 2" xfId="12837" xr:uid="{00000000-0005-0000-0000-000021320000}"/>
    <cellStyle name="40% - Accent1 5 7 11 3" xfId="12838" xr:uid="{00000000-0005-0000-0000-000022320000}"/>
    <cellStyle name="40% - Accent1 5 7 12" xfId="12839" xr:uid="{00000000-0005-0000-0000-000023320000}"/>
    <cellStyle name="40% - Accent1 5 7 12 2" xfId="12840" xr:uid="{00000000-0005-0000-0000-000024320000}"/>
    <cellStyle name="40% - Accent1 5 7 12 2 2" xfId="12841" xr:uid="{00000000-0005-0000-0000-000025320000}"/>
    <cellStyle name="40% - Accent1 5 7 12 3" xfId="12842" xr:uid="{00000000-0005-0000-0000-000026320000}"/>
    <cellStyle name="40% - Accent1 5 7 13" xfId="12843" xr:uid="{00000000-0005-0000-0000-000027320000}"/>
    <cellStyle name="40% - Accent1 5 7 13 2" xfId="12844" xr:uid="{00000000-0005-0000-0000-000028320000}"/>
    <cellStyle name="40% - Accent1 5 7 14" xfId="12845" xr:uid="{00000000-0005-0000-0000-000029320000}"/>
    <cellStyle name="40% - Accent1 5 7 2" xfId="12846" xr:uid="{00000000-0005-0000-0000-00002A320000}"/>
    <cellStyle name="40% - Accent1 5 7 2 2" xfId="12847" xr:uid="{00000000-0005-0000-0000-00002B320000}"/>
    <cellStyle name="40% - Accent1 5 7 2 2 2" xfId="12848" xr:uid="{00000000-0005-0000-0000-00002C320000}"/>
    <cellStyle name="40% - Accent1 5 7 2 2 2 2" xfId="12849" xr:uid="{00000000-0005-0000-0000-00002D320000}"/>
    <cellStyle name="40% - Accent1 5 7 2 2 2 2 2" xfId="12850" xr:uid="{00000000-0005-0000-0000-00002E320000}"/>
    <cellStyle name="40% - Accent1 5 7 2 2 2 3" xfId="12851" xr:uid="{00000000-0005-0000-0000-00002F320000}"/>
    <cellStyle name="40% - Accent1 5 7 2 2 3" xfId="12852" xr:uid="{00000000-0005-0000-0000-000030320000}"/>
    <cellStyle name="40% - Accent1 5 7 2 2 3 2" xfId="12853" xr:uid="{00000000-0005-0000-0000-000031320000}"/>
    <cellStyle name="40% - Accent1 5 7 2 2 4" xfId="12854" xr:uid="{00000000-0005-0000-0000-000032320000}"/>
    <cellStyle name="40% - Accent1 5 7 2 3" xfId="12855" xr:uid="{00000000-0005-0000-0000-000033320000}"/>
    <cellStyle name="40% - Accent1 5 7 2 3 2" xfId="12856" xr:uid="{00000000-0005-0000-0000-000034320000}"/>
    <cellStyle name="40% - Accent1 5 7 2 3 2 2" xfId="12857" xr:uid="{00000000-0005-0000-0000-000035320000}"/>
    <cellStyle name="40% - Accent1 5 7 2 3 3" xfId="12858" xr:uid="{00000000-0005-0000-0000-000036320000}"/>
    <cellStyle name="40% - Accent1 5 7 2 4" xfId="12859" xr:uid="{00000000-0005-0000-0000-000037320000}"/>
    <cellStyle name="40% - Accent1 5 7 2 4 2" xfId="12860" xr:uid="{00000000-0005-0000-0000-000038320000}"/>
    <cellStyle name="40% - Accent1 5 7 2 4 2 2" xfId="12861" xr:uid="{00000000-0005-0000-0000-000039320000}"/>
    <cellStyle name="40% - Accent1 5 7 2 4 3" xfId="12862" xr:uid="{00000000-0005-0000-0000-00003A320000}"/>
    <cellStyle name="40% - Accent1 5 7 2 5" xfId="12863" xr:uid="{00000000-0005-0000-0000-00003B320000}"/>
    <cellStyle name="40% - Accent1 5 7 2 5 2" xfId="12864" xr:uid="{00000000-0005-0000-0000-00003C320000}"/>
    <cellStyle name="40% - Accent1 5 7 2 5 2 2" xfId="12865" xr:uid="{00000000-0005-0000-0000-00003D320000}"/>
    <cellStyle name="40% - Accent1 5 7 2 5 3" xfId="12866" xr:uid="{00000000-0005-0000-0000-00003E320000}"/>
    <cellStyle name="40% - Accent1 5 7 2 6" xfId="12867" xr:uid="{00000000-0005-0000-0000-00003F320000}"/>
    <cellStyle name="40% - Accent1 5 7 2 6 2" xfId="12868" xr:uid="{00000000-0005-0000-0000-000040320000}"/>
    <cellStyle name="40% - Accent1 5 7 2 6 2 2" xfId="12869" xr:uid="{00000000-0005-0000-0000-000041320000}"/>
    <cellStyle name="40% - Accent1 5 7 2 6 3" xfId="12870" xr:uid="{00000000-0005-0000-0000-000042320000}"/>
    <cellStyle name="40% - Accent1 5 7 2 7" xfId="12871" xr:uid="{00000000-0005-0000-0000-000043320000}"/>
    <cellStyle name="40% - Accent1 5 7 2 7 2" xfId="12872" xr:uid="{00000000-0005-0000-0000-000044320000}"/>
    <cellStyle name="40% - Accent1 5 7 2 8" xfId="12873" xr:uid="{00000000-0005-0000-0000-000045320000}"/>
    <cellStyle name="40% - Accent1 5 7 3" xfId="12874" xr:uid="{00000000-0005-0000-0000-000046320000}"/>
    <cellStyle name="40% - Accent1 5 7 3 2" xfId="12875" xr:uid="{00000000-0005-0000-0000-000047320000}"/>
    <cellStyle name="40% - Accent1 5 7 3 2 2" xfId="12876" xr:uid="{00000000-0005-0000-0000-000048320000}"/>
    <cellStyle name="40% - Accent1 5 7 3 2 2 2" xfId="12877" xr:uid="{00000000-0005-0000-0000-000049320000}"/>
    <cellStyle name="40% - Accent1 5 7 3 2 2 2 2" xfId="12878" xr:uid="{00000000-0005-0000-0000-00004A320000}"/>
    <cellStyle name="40% - Accent1 5 7 3 2 2 3" xfId="12879" xr:uid="{00000000-0005-0000-0000-00004B320000}"/>
    <cellStyle name="40% - Accent1 5 7 3 2 3" xfId="12880" xr:uid="{00000000-0005-0000-0000-00004C320000}"/>
    <cellStyle name="40% - Accent1 5 7 3 2 3 2" xfId="12881" xr:uid="{00000000-0005-0000-0000-00004D320000}"/>
    <cellStyle name="40% - Accent1 5 7 3 2 4" xfId="12882" xr:uid="{00000000-0005-0000-0000-00004E320000}"/>
    <cellStyle name="40% - Accent1 5 7 3 3" xfId="12883" xr:uid="{00000000-0005-0000-0000-00004F320000}"/>
    <cellStyle name="40% - Accent1 5 7 3 3 2" xfId="12884" xr:uid="{00000000-0005-0000-0000-000050320000}"/>
    <cellStyle name="40% - Accent1 5 7 3 3 2 2" xfId="12885" xr:uid="{00000000-0005-0000-0000-000051320000}"/>
    <cellStyle name="40% - Accent1 5 7 3 3 3" xfId="12886" xr:uid="{00000000-0005-0000-0000-000052320000}"/>
    <cellStyle name="40% - Accent1 5 7 3 4" xfId="12887" xr:uid="{00000000-0005-0000-0000-000053320000}"/>
    <cellStyle name="40% - Accent1 5 7 3 4 2" xfId="12888" xr:uid="{00000000-0005-0000-0000-000054320000}"/>
    <cellStyle name="40% - Accent1 5 7 3 4 2 2" xfId="12889" xr:uid="{00000000-0005-0000-0000-000055320000}"/>
    <cellStyle name="40% - Accent1 5 7 3 4 3" xfId="12890" xr:uid="{00000000-0005-0000-0000-000056320000}"/>
    <cellStyle name="40% - Accent1 5 7 3 5" xfId="12891" xr:uid="{00000000-0005-0000-0000-000057320000}"/>
    <cellStyle name="40% - Accent1 5 7 3 5 2" xfId="12892" xr:uid="{00000000-0005-0000-0000-000058320000}"/>
    <cellStyle name="40% - Accent1 5 7 3 5 2 2" xfId="12893" xr:uid="{00000000-0005-0000-0000-000059320000}"/>
    <cellStyle name="40% - Accent1 5 7 3 5 3" xfId="12894" xr:uid="{00000000-0005-0000-0000-00005A320000}"/>
    <cellStyle name="40% - Accent1 5 7 3 6" xfId="12895" xr:uid="{00000000-0005-0000-0000-00005B320000}"/>
    <cellStyle name="40% - Accent1 5 7 3 6 2" xfId="12896" xr:uid="{00000000-0005-0000-0000-00005C320000}"/>
    <cellStyle name="40% - Accent1 5 7 3 6 2 2" xfId="12897" xr:uid="{00000000-0005-0000-0000-00005D320000}"/>
    <cellStyle name="40% - Accent1 5 7 3 6 3" xfId="12898" xr:uid="{00000000-0005-0000-0000-00005E320000}"/>
    <cellStyle name="40% - Accent1 5 7 3 7" xfId="12899" xr:uid="{00000000-0005-0000-0000-00005F320000}"/>
    <cellStyle name="40% - Accent1 5 7 3 7 2" xfId="12900" xr:uid="{00000000-0005-0000-0000-000060320000}"/>
    <cellStyle name="40% - Accent1 5 7 3 8" xfId="12901" xr:uid="{00000000-0005-0000-0000-000061320000}"/>
    <cellStyle name="40% - Accent1 5 7 4" xfId="12902" xr:uid="{00000000-0005-0000-0000-000062320000}"/>
    <cellStyle name="40% - Accent1 5 7 4 2" xfId="12903" xr:uid="{00000000-0005-0000-0000-000063320000}"/>
    <cellStyle name="40% - Accent1 5 7 4 2 2" xfId="12904" xr:uid="{00000000-0005-0000-0000-000064320000}"/>
    <cellStyle name="40% - Accent1 5 7 4 2 2 2" xfId="12905" xr:uid="{00000000-0005-0000-0000-000065320000}"/>
    <cellStyle name="40% - Accent1 5 7 4 2 2 2 2" xfId="12906" xr:uid="{00000000-0005-0000-0000-000066320000}"/>
    <cellStyle name="40% - Accent1 5 7 4 2 2 3" xfId="12907" xr:uid="{00000000-0005-0000-0000-000067320000}"/>
    <cellStyle name="40% - Accent1 5 7 4 2 3" xfId="12908" xr:uid="{00000000-0005-0000-0000-000068320000}"/>
    <cellStyle name="40% - Accent1 5 7 4 2 3 2" xfId="12909" xr:uid="{00000000-0005-0000-0000-000069320000}"/>
    <cellStyle name="40% - Accent1 5 7 4 2 4" xfId="12910" xr:uid="{00000000-0005-0000-0000-00006A320000}"/>
    <cellStyle name="40% - Accent1 5 7 4 3" xfId="12911" xr:uid="{00000000-0005-0000-0000-00006B320000}"/>
    <cellStyle name="40% - Accent1 5 7 4 3 2" xfId="12912" xr:uid="{00000000-0005-0000-0000-00006C320000}"/>
    <cellStyle name="40% - Accent1 5 7 4 3 2 2" xfId="12913" xr:uid="{00000000-0005-0000-0000-00006D320000}"/>
    <cellStyle name="40% - Accent1 5 7 4 3 3" xfId="12914" xr:uid="{00000000-0005-0000-0000-00006E320000}"/>
    <cellStyle name="40% - Accent1 5 7 4 4" xfId="12915" xr:uid="{00000000-0005-0000-0000-00006F320000}"/>
    <cellStyle name="40% - Accent1 5 7 4 4 2" xfId="12916" xr:uid="{00000000-0005-0000-0000-000070320000}"/>
    <cellStyle name="40% - Accent1 5 7 4 4 2 2" xfId="12917" xr:uid="{00000000-0005-0000-0000-000071320000}"/>
    <cellStyle name="40% - Accent1 5 7 4 4 3" xfId="12918" xr:uid="{00000000-0005-0000-0000-000072320000}"/>
    <cellStyle name="40% - Accent1 5 7 4 5" xfId="12919" xr:uid="{00000000-0005-0000-0000-000073320000}"/>
    <cellStyle name="40% - Accent1 5 7 4 5 2" xfId="12920" xr:uid="{00000000-0005-0000-0000-000074320000}"/>
    <cellStyle name="40% - Accent1 5 7 4 5 2 2" xfId="12921" xr:uid="{00000000-0005-0000-0000-000075320000}"/>
    <cellStyle name="40% - Accent1 5 7 4 5 3" xfId="12922" xr:uid="{00000000-0005-0000-0000-000076320000}"/>
    <cellStyle name="40% - Accent1 5 7 4 6" xfId="12923" xr:uid="{00000000-0005-0000-0000-000077320000}"/>
    <cellStyle name="40% - Accent1 5 7 4 6 2" xfId="12924" xr:uid="{00000000-0005-0000-0000-000078320000}"/>
    <cellStyle name="40% - Accent1 5 7 4 6 2 2" xfId="12925" xr:uid="{00000000-0005-0000-0000-000079320000}"/>
    <cellStyle name="40% - Accent1 5 7 4 6 3" xfId="12926" xr:uid="{00000000-0005-0000-0000-00007A320000}"/>
    <cellStyle name="40% - Accent1 5 7 4 7" xfId="12927" xr:uid="{00000000-0005-0000-0000-00007B320000}"/>
    <cellStyle name="40% - Accent1 5 7 4 7 2" xfId="12928" xr:uid="{00000000-0005-0000-0000-00007C320000}"/>
    <cellStyle name="40% - Accent1 5 7 4 8" xfId="12929" xr:uid="{00000000-0005-0000-0000-00007D320000}"/>
    <cellStyle name="40% - Accent1 5 7 5" xfId="12930" xr:uid="{00000000-0005-0000-0000-00007E320000}"/>
    <cellStyle name="40% - Accent1 5 7 5 2" xfId="12931" xr:uid="{00000000-0005-0000-0000-00007F320000}"/>
    <cellStyle name="40% - Accent1 5 7 5 2 2" xfId="12932" xr:uid="{00000000-0005-0000-0000-000080320000}"/>
    <cellStyle name="40% - Accent1 5 7 5 2 2 2" xfId="12933" xr:uid="{00000000-0005-0000-0000-000081320000}"/>
    <cellStyle name="40% - Accent1 5 7 5 2 2 2 2" xfId="12934" xr:uid="{00000000-0005-0000-0000-000082320000}"/>
    <cellStyle name="40% - Accent1 5 7 5 2 2 3" xfId="12935" xr:uid="{00000000-0005-0000-0000-000083320000}"/>
    <cellStyle name="40% - Accent1 5 7 5 2 3" xfId="12936" xr:uid="{00000000-0005-0000-0000-000084320000}"/>
    <cellStyle name="40% - Accent1 5 7 5 2 3 2" xfId="12937" xr:uid="{00000000-0005-0000-0000-000085320000}"/>
    <cellStyle name="40% - Accent1 5 7 5 2 4" xfId="12938" xr:uid="{00000000-0005-0000-0000-000086320000}"/>
    <cellStyle name="40% - Accent1 5 7 5 3" xfId="12939" xr:uid="{00000000-0005-0000-0000-000087320000}"/>
    <cellStyle name="40% - Accent1 5 7 5 3 2" xfId="12940" xr:uid="{00000000-0005-0000-0000-000088320000}"/>
    <cellStyle name="40% - Accent1 5 7 5 3 2 2" xfId="12941" xr:uid="{00000000-0005-0000-0000-000089320000}"/>
    <cellStyle name="40% - Accent1 5 7 5 3 3" xfId="12942" xr:uid="{00000000-0005-0000-0000-00008A320000}"/>
    <cellStyle name="40% - Accent1 5 7 5 4" xfId="12943" xr:uid="{00000000-0005-0000-0000-00008B320000}"/>
    <cellStyle name="40% - Accent1 5 7 5 4 2" xfId="12944" xr:uid="{00000000-0005-0000-0000-00008C320000}"/>
    <cellStyle name="40% - Accent1 5 7 5 5" xfId="12945" xr:uid="{00000000-0005-0000-0000-00008D320000}"/>
    <cellStyle name="40% - Accent1 5 7 6" xfId="12946" xr:uid="{00000000-0005-0000-0000-00008E320000}"/>
    <cellStyle name="40% - Accent1 5 7 6 2" xfId="12947" xr:uid="{00000000-0005-0000-0000-00008F320000}"/>
    <cellStyle name="40% - Accent1 5 7 6 2 2" xfId="12948" xr:uid="{00000000-0005-0000-0000-000090320000}"/>
    <cellStyle name="40% - Accent1 5 7 6 2 2 2" xfId="12949" xr:uid="{00000000-0005-0000-0000-000091320000}"/>
    <cellStyle name="40% - Accent1 5 7 6 2 2 2 2" xfId="12950" xr:uid="{00000000-0005-0000-0000-000092320000}"/>
    <cellStyle name="40% - Accent1 5 7 6 2 2 3" xfId="12951" xr:uid="{00000000-0005-0000-0000-000093320000}"/>
    <cellStyle name="40% - Accent1 5 7 6 2 3" xfId="12952" xr:uid="{00000000-0005-0000-0000-000094320000}"/>
    <cellStyle name="40% - Accent1 5 7 6 2 3 2" xfId="12953" xr:uid="{00000000-0005-0000-0000-000095320000}"/>
    <cellStyle name="40% - Accent1 5 7 6 2 4" xfId="12954" xr:uid="{00000000-0005-0000-0000-000096320000}"/>
    <cellStyle name="40% - Accent1 5 7 6 3" xfId="12955" xr:uid="{00000000-0005-0000-0000-000097320000}"/>
    <cellStyle name="40% - Accent1 5 7 6 3 2" xfId="12956" xr:uid="{00000000-0005-0000-0000-000098320000}"/>
    <cellStyle name="40% - Accent1 5 7 6 3 2 2" xfId="12957" xr:uid="{00000000-0005-0000-0000-000099320000}"/>
    <cellStyle name="40% - Accent1 5 7 6 3 3" xfId="12958" xr:uid="{00000000-0005-0000-0000-00009A320000}"/>
    <cellStyle name="40% - Accent1 5 7 6 4" xfId="12959" xr:uid="{00000000-0005-0000-0000-00009B320000}"/>
    <cellStyle name="40% - Accent1 5 7 6 4 2" xfId="12960" xr:uid="{00000000-0005-0000-0000-00009C320000}"/>
    <cellStyle name="40% - Accent1 5 7 6 5" xfId="12961" xr:uid="{00000000-0005-0000-0000-00009D320000}"/>
    <cellStyle name="40% - Accent1 5 7 7" xfId="12962" xr:uid="{00000000-0005-0000-0000-00009E320000}"/>
    <cellStyle name="40% - Accent1 5 7 7 2" xfId="12963" xr:uid="{00000000-0005-0000-0000-00009F320000}"/>
    <cellStyle name="40% - Accent1 5 7 7 2 2" xfId="12964" xr:uid="{00000000-0005-0000-0000-0000A0320000}"/>
    <cellStyle name="40% - Accent1 5 7 7 2 2 2" xfId="12965" xr:uid="{00000000-0005-0000-0000-0000A1320000}"/>
    <cellStyle name="40% - Accent1 5 7 7 2 3" xfId="12966" xr:uid="{00000000-0005-0000-0000-0000A2320000}"/>
    <cellStyle name="40% - Accent1 5 7 7 3" xfId="12967" xr:uid="{00000000-0005-0000-0000-0000A3320000}"/>
    <cellStyle name="40% - Accent1 5 7 7 3 2" xfId="12968" xr:uid="{00000000-0005-0000-0000-0000A4320000}"/>
    <cellStyle name="40% - Accent1 5 7 7 4" xfId="12969" xr:uid="{00000000-0005-0000-0000-0000A5320000}"/>
    <cellStyle name="40% - Accent1 5 7 8" xfId="12970" xr:uid="{00000000-0005-0000-0000-0000A6320000}"/>
    <cellStyle name="40% - Accent1 5 7 8 2" xfId="12971" xr:uid="{00000000-0005-0000-0000-0000A7320000}"/>
    <cellStyle name="40% - Accent1 5 7 8 2 2" xfId="12972" xr:uid="{00000000-0005-0000-0000-0000A8320000}"/>
    <cellStyle name="40% - Accent1 5 7 8 2 2 2" xfId="12973" xr:uid="{00000000-0005-0000-0000-0000A9320000}"/>
    <cellStyle name="40% - Accent1 5 7 8 2 3" xfId="12974" xr:uid="{00000000-0005-0000-0000-0000AA320000}"/>
    <cellStyle name="40% - Accent1 5 7 8 3" xfId="12975" xr:uid="{00000000-0005-0000-0000-0000AB320000}"/>
    <cellStyle name="40% - Accent1 5 7 8 3 2" xfId="12976" xr:uid="{00000000-0005-0000-0000-0000AC320000}"/>
    <cellStyle name="40% - Accent1 5 7 8 4" xfId="12977" xr:uid="{00000000-0005-0000-0000-0000AD320000}"/>
    <cellStyle name="40% - Accent1 5 7 9" xfId="12978" xr:uid="{00000000-0005-0000-0000-0000AE320000}"/>
    <cellStyle name="40% - Accent1 5 7 9 2" xfId="12979" xr:uid="{00000000-0005-0000-0000-0000AF320000}"/>
    <cellStyle name="40% - Accent1 5 7 9 2 2" xfId="12980" xr:uid="{00000000-0005-0000-0000-0000B0320000}"/>
    <cellStyle name="40% - Accent1 5 7 9 3" xfId="12981" xr:uid="{00000000-0005-0000-0000-0000B1320000}"/>
    <cellStyle name="40% - Accent1 5 8" xfId="12982" xr:uid="{00000000-0005-0000-0000-0000B2320000}"/>
    <cellStyle name="40% - Accent1 5 8 2" xfId="12983" xr:uid="{00000000-0005-0000-0000-0000B3320000}"/>
    <cellStyle name="40% - Accent1 5 8 2 2" xfId="12984" xr:uid="{00000000-0005-0000-0000-0000B4320000}"/>
    <cellStyle name="40% - Accent1 5 8 2 2 2" xfId="12985" xr:uid="{00000000-0005-0000-0000-0000B5320000}"/>
    <cellStyle name="40% - Accent1 5 8 2 2 2 2" xfId="12986" xr:uid="{00000000-0005-0000-0000-0000B6320000}"/>
    <cellStyle name="40% - Accent1 5 8 2 2 3" xfId="12987" xr:uid="{00000000-0005-0000-0000-0000B7320000}"/>
    <cellStyle name="40% - Accent1 5 8 2 3" xfId="12988" xr:uid="{00000000-0005-0000-0000-0000B8320000}"/>
    <cellStyle name="40% - Accent1 5 8 2 3 2" xfId="12989" xr:uid="{00000000-0005-0000-0000-0000B9320000}"/>
    <cellStyle name="40% - Accent1 5 8 2 4" xfId="12990" xr:uid="{00000000-0005-0000-0000-0000BA320000}"/>
    <cellStyle name="40% - Accent1 5 8 3" xfId="12991" xr:uid="{00000000-0005-0000-0000-0000BB320000}"/>
    <cellStyle name="40% - Accent1 5 8 3 2" xfId="12992" xr:uid="{00000000-0005-0000-0000-0000BC320000}"/>
    <cellStyle name="40% - Accent1 5 8 3 2 2" xfId="12993" xr:uid="{00000000-0005-0000-0000-0000BD320000}"/>
    <cellStyle name="40% - Accent1 5 8 3 3" xfId="12994" xr:uid="{00000000-0005-0000-0000-0000BE320000}"/>
    <cellStyle name="40% - Accent1 5 8 4" xfId="12995" xr:uid="{00000000-0005-0000-0000-0000BF320000}"/>
    <cellStyle name="40% - Accent1 5 8 4 2" xfId="12996" xr:uid="{00000000-0005-0000-0000-0000C0320000}"/>
    <cellStyle name="40% - Accent1 5 8 4 2 2" xfId="12997" xr:uid="{00000000-0005-0000-0000-0000C1320000}"/>
    <cellStyle name="40% - Accent1 5 8 4 3" xfId="12998" xr:uid="{00000000-0005-0000-0000-0000C2320000}"/>
    <cellStyle name="40% - Accent1 5 8 5" xfId="12999" xr:uid="{00000000-0005-0000-0000-0000C3320000}"/>
    <cellStyle name="40% - Accent1 5 8 5 2" xfId="13000" xr:uid="{00000000-0005-0000-0000-0000C4320000}"/>
    <cellStyle name="40% - Accent1 5 8 5 2 2" xfId="13001" xr:uid="{00000000-0005-0000-0000-0000C5320000}"/>
    <cellStyle name="40% - Accent1 5 8 5 3" xfId="13002" xr:uid="{00000000-0005-0000-0000-0000C6320000}"/>
    <cellStyle name="40% - Accent1 5 8 6" xfId="13003" xr:uid="{00000000-0005-0000-0000-0000C7320000}"/>
    <cellStyle name="40% - Accent1 5 8 6 2" xfId="13004" xr:uid="{00000000-0005-0000-0000-0000C8320000}"/>
    <cellStyle name="40% - Accent1 5 8 6 2 2" xfId="13005" xr:uid="{00000000-0005-0000-0000-0000C9320000}"/>
    <cellStyle name="40% - Accent1 5 8 6 3" xfId="13006" xr:uid="{00000000-0005-0000-0000-0000CA320000}"/>
    <cellStyle name="40% - Accent1 5 8 7" xfId="13007" xr:uid="{00000000-0005-0000-0000-0000CB320000}"/>
    <cellStyle name="40% - Accent1 5 8 7 2" xfId="13008" xr:uid="{00000000-0005-0000-0000-0000CC320000}"/>
    <cellStyle name="40% - Accent1 5 8 8" xfId="13009" xr:uid="{00000000-0005-0000-0000-0000CD320000}"/>
    <cellStyle name="40% - Accent1 5 9" xfId="13010" xr:uid="{00000000-0005-0000-0000-0000CE320000}"/>
    <cellStyle name="40% - Accent1 5 9 2" xfId="13011" xr:uid="{00000000-0005-0000-0000-0000CF320000}"/>
    <cellStyle name="40% - Accent1 5 9 2 2" xfId="13012" xr:uid="{00000000-0005-0000-0000-0000D0320000}"/>
    <cellStyle name="40% - Accent1 5 9 2 2 2" xfId="13013" xr:uid="{00000000-0005-0000-0000-0000D1320000}"/>
    <cellStyle name="40% - Accent1 5 9 2 2 2 2" xfId="13014" xr:uid="{00000000-0005-0000-0000-0000D2320000}"/>
    <cellStyle name="40% - Accent1 5 9 2 2 3" xfId="13015" xr:uid="{00000000-0005-0000-0000-0000D3320000}"/>
    <cellStyle name="40% - Accent1 5 9 2 3" xfId="13016" xr:uid="{00000000-0005-0000-0000-0000D4320000}"/>
    <cellStyle name="40% - Accent1 5 9 2 3 2" xfId="13017" xr:uid="{00000000-0005-0000-0000-0000D5320000}"/>
    <cellStyle name="40% - Accent1 5 9 2 4" xfId="13018" xr:uid="{00000000-0005-0000-0000-0000D6320000}"/>
    <cellStyle name="40% - Accent1 5 9 3" xfId="13019" xr:uid="{00000000-0005-0000-0000-0000D7320000}"/>
    <cellStyle name="40% - Accent1 5 9 3 2" xfId="13020" xr:uid="{00000000-0005-0000-0000-0000D8320000}"/>
    <cellStyle name="40% - Accent1 5 9 3 2 2" xfId="13021" xr:uid="{00000000-0005-0000-0000-0000D9320000}"/>
    <cellStyle name="40% - Accent1 5 9 3 3" xfId="13022" xr:uid="{00000000-0005-0000-0000-0000DA320000}"/>
    <cellStyle name="40% - Accent1 5 9 4" xfId="13023" xr:uid="{00000000-0005-0000-0000-0000DB320000}"/>
    <cellStyle name="40% - Accent1 5 9 4 2" xfId="13024" xr:uid="{00000000-0005-0000-0000-0000DC320000}"/>
    <cellStyle name="40% - Accent1 5 9 4 2 2" xfId="13025" xr:uid="{00000000-0005-0000-0000-0000DD320000}"/>
    <cellStyle name="40% - Accent1 5 9 4 3" xfId="13026" xr:uid="{00000000-0005-0000-0000-0000DE320000}"/>
    <cellStyle name="40% - Accent1 5 9 5" xfId="13027" xr:uid="{00000000-0005-0000-0000-0000DF320000}"/>
    <cellStyle name="40% - Accent1 5 9 5 2" xfId="13028" xr:uid="{00000000-0005-0000-0000-0000E0320000}"/>
    <cellStyle name="40% - Accent1 5 9 5 2 2" xfId="13029" xr:uid="{00000000-0005-0000-0000-0000E1320000}"/>
    <cellStyle name="40% - Accent1 5 9 5 3" xfId="13030" xr:uid="{00000000-0005-0000-0000-0000E2320000}"/>
    <cellStyle name="40% - Accent1 5 9 6" xfId="13031" xr:uid="{00000000-0005-0000-0000-0000E3320000}"/>
    <cellStyle name="40% - Accent1 5 9 6 2" xfId="13032" xr:uid="{00000000-0005-0000-0000-0000E4320000}"/>
    <cellStyle name="40% - Accent1 5 9 6 2 2" xfId="13033" xr:uid="{00000000-0005-0000-0000-0000E5320000}"/>
    <cellStyle name="40% - Accent1 5 9 6 3" xfId="13034" xr:uid="{00000000-0005-0000-0000-0000E6320000}"/>
    <cellStyle name="40% - Accent1 5 9 7" xfId="13035" xr:uid="{00000000-0005-0000-0000-0000E7320000}"/>
    <cellStyle name="40% - Accent1 5 9 7 2" xfId="13036" xr:uid="{00000000-0005-0000-0000-0000E8320000}"/>
    <cellStyle name="40% - Accent1 5 9 8" xfId="13037" xr:uid="{00000000-0005-0000-0000-0000E9320000}"/>
    <cellStyle name="40% - Accent1 6" xfId="13038" xr:uid="{00000000-0005-0000-0000-0000EA320000}"/>
    <cellStyle name="40% - Accent2 2" xfId="13039" xr:uid="{00000000-0005-0000-0000-0000EB320000}"/>
    <cellStyle name="40% - Accent2 3" xfId="13040" xr:uid="{00000000-0005-0000-0000-0000EC320000}"/>
    <cellStyle name="40% - Accent2 4" xfId="13041" xr:uid="{00000000-0005-0000-0000-0000ED320000}"/>
    <cellStyle name="40% - Accent2 5" xfId="13042" xr:uid="{00000000-0005-0000-0000-0000EE320000}"/>
    <cellStyle name="40% - Accent2 5 10" xfId="13043" xr:uid="{00000000-0005-0000-0000-0000EF320000}"/>
    <cellStyle name="40% - Accent2 5 10 2" xfId="13044" xr:uid="{00000000-0005-0000-0000-0000F0320000}"/>
    <cellStyle name="40% - Accent2 5 10 2 2" xfId="13045" xr:uid="{00000000-0005-0000-0000-0000F1320000}"/>
    <cellStyle name="40% - Accent2 5 10 2 2 2" xfId="13046" xr:uid="{00000000-0005-0000-0000-0000F2320000}"/>
    <cellStyle name="40% - Accent2 5 10 2 2 2 2" xfId="13047" xr:uid="{00000000-0005-0000-0000-0000F3320000}"/>
    <cellStyle name="40% - Accent2 5 10 2 2 3" xfId="13048" xr:uid="{00000000-0005-0000-0000-0000F4320000}"/>
    <cellStyle name="40% - Accent2 5 10 2 3" xfId="13049" xr:uid="{00000000-0005-0000-0000-0000F5320000}"/>
    <cellStyle name="40% - Accent2 5 10 2 3 2" xfId="13050" xr:uid="{00000000-0005-0000-0000-0000F6320000}"/>
    <cellStyle name="40% - Accent2 5 10 2 4" xfId="13051" xr:uid="{00000000-0005-0000-0000-0000F7320000}"/>
    <cellStyle name="40% - Accent2 5 10 3" xfId="13052" xr:uid="{00000000-0005-0000-0000-0000F8320000}"/>
    <cellStyle name="40% - Accent2 5 10 3 2" xfId="13053" xr:uid="{00000000-0005-0000-0000-0000F9320000}"/>
    <cellStyle name="40% - Accent2 5 10 3 2 2" xfId="13054" xr:uid="{00000000-0005-0000-0000-0000FA320000}"/>
    <cellStyle name="40% - Accent2 5 10 3 3" xfId="13055" xr:uid="{00000000-0005-0000-0000-0000FB320000}"/>
    <cellStyle name="40% - Accent2 5 10 4" xfId="13056" xr:uid="{00000000-0005-0000-0000-0000FC320000}"/>
    <cellStyle name="40% - Accent2 5 10 4 2" xfId="13057" xr:uid="{00000000-0005-0000-0000-0000FD320000}"/>
    <cellStyle name="40% - Accent2 5 10 4 2 2" xfId="13058" xr:uid="{00000000-0005-0000-0000-0000FE320000}"/>
    <cellStyle name="40% - Accent2 5 10 4 3" xfId="13059" xr:uid="{00000000-0005-0000-0000-0000FF320000}"/>
    <cellStyle name="40% - Accent2 5 10 5" xfId="13060" xr:uid="{00000000-0005-0000-0000-000000330000}"/>
    <cellStyle name="40% - Accent2 5 10 5 2" xfId="13061" xr:uid="{00000000-0005-0000-0000-000001330000}"/>
    <cellStyle name="40% - Accent2 5 10 5 2 2" xfId="13062" xr:uid="{00000000-0005-0000-0000-000002330000}"/>
    <cellStyle name="40% - Accent2 5 10 5 3" xfId="13063" xr:uid="{00000000-0005-0000-0000-000003330000}"/>
    <cellStyle name="40% - Accent2 5 10 6" xfId="13064" xr:uid="{00000000-0005-0000-0000-000004330000}"/>
    <cellStyle name="40% - Accent2 5 10 6 2" xfId="13065" xr:uid="{00000000-0005-0000-0000-000005330000}"/>
    <cellStyle name="40% - Accent2 5 10 6 2 2" xfId="13066" xr:uid="{00000000-0005-0000-0000-000006330000}"/>
    <cellStyle name="40% - Accent2 5 10 6 3" xfId="13067" xr:uid="{00000000-0005-0000-0000-000007330000}"/>
    <cellStyle name="40% - Accent2 5 10 7" xfId="13068" xr:uid="{00000000-0005-0000-0000-000008330000}"/>
    <cellStyle name="40% - Accent2 5 10 7 2" xfId="13069" xr:uid="{00000000-0005-0000-0000-000009330000}"/>
    <cellStyle name="40% - Accent2 5 10 8" xfId="13070" xr:uid="{00000000-0005-0000-0000-00000A330000}"/>
    <cellStyle name="40% - Accent2 5 11" xfId="13071" xr:uid="{00000000-0005-0000-0000-00000B330000}"/>
    <cellStyle name="40% - Accent2 5 11 2" xfId="13072" xr:uid="{00000000-0005-0000-0000-00000C330000}"/>
    <cellStyle name="40% - Accent2 5 11 2 2" xfId="13073" xr:uid="{00000000-0005-0000-0000-00000D330000}"/>
    <cellStyle name="40% - Accent2 5 11 2 2 2" xfId="13074" xr:uid="{00000000-0005-0000-0000-00000E330000}"/>
    <cellStyle name="40% - Accent2 5 11 2 2 2 2" xfId="13075" xr:uid="{00000000-0005-0000-0000-00000F330000}"/>
    <cellStyle name="40% - Accent2 5 11 2 2 3" xfId="13076" xr:uid="{00000000-0005-0000-0000-000010330000}"/>
    <cellStyle name="40% - Accent2 5 11 2 3" xfId="13077" xr:uid="{00000000-0005-0000-0000-000011330000}"/>
    <cellStyle name="40% - Accent2 5 11 2 3 2" xfId="13078" xr:uid="{00000000-0005-0000-0000-000012330000}"/>
    <cellStyle name="40% - Accent2 5 11 2 4" xfId="13079" xr:uid="{00000000-0005-0000-0000-000013330000}"/>
    <cellStyle name="40% - Accent2 5 11 3" xfId="13080" xr:uid="{00000000-0005-0000-0000-000014330000}"/>
    <cellStyle name="40% - Accent2 5 11 3 2" xfId="13081" xr:uid="{00000000-0005-0000-0000-000015330000}"/>
    <cellStyle name="40% - Accent2 5 11 3 2 2" xfId="13082" xr:uid="{00000000-0005-0000-0000-000016330000}"/>
    <cellStyle name="40% - Accent2 5 11 3 3" xfId="13083" xr:uid="{00000000-0005-0000-0000-000017330000}"/>
    <cellStyle name="40% - Accent2 5 11 4" xfId="13084" xr:uid="{00000000-0005-0000-0000-000018330000}"/>
    <cellStyle name="40% - Accent2 5 11 4 2" xfId="13085" xr:uid="{00000000-0005-0000-0000-000019330000}"/>
    <cellStyle name="40% - Accent2 5 11 5" xfId="13086" xr:uid="{00000000-0005-0000-0000-00001A330000}"/>
    <cellStyle name="40% - Accent2 5 12" xfId="13087" xr:uid="{00000000-0005-0000-0000-00001B330000}"/>
    <cellStyle name="40% - Accent2 5 12 2" xfId="13088" xr:uid="{00000000-0005-0000-0000-00001C330000}"/>
    <cellStyle name="40% - Accent2 5 12 2 2" xfId="13089" xr:uid="{00000000-0005-0000-0000-00001D330000}"/>
    <cellStyle name="40% - Accent2 5 12 2 2 2" xfId="13090" xr:uid="{00000000-0005-0000-0000-00001E330000}"/>
    <cellStyle name="40% - Accent2 5 12 2 2 2 2" xfId="13091" xr:uid="{00000000-0005-0000-0000-00001F330000}"/>
    <cellStyle name="40% - Accent2 5 12 2 2 3" xfId="13092" xr:uid="{00000000-0005-0000-0000-000020330000}"/>
    <cellStyle name="40% - Accent2 5 12 2 3" xfId="13093" xr:uid="{00000000-0005-0000-0000-000021330000}"/>
    <cellStyle name="40% - Accent2 5 12 2 3 2" xfId="13094" xr:uid="{00000000-0005-0000-0000-000022330000}"/>
    <cellStyle name="40% - Accent2 5 12 2 4" xfId="13095" xr:uid="{00000000-0005-0000-0000-000023330000}"/>
    <cellStyle name="40% - Accent2 5 12 3" xfId="13096" xr:uid="{00000000-0005-0000-0000-000024330000}"/>
    <cellStyle name="40% - Accent2 5 12 3 2" xfId="13097" xr:uid="{00000000-0005-0000-0000-000025330000}"/>
    <cellStyle name="40% - Accent2 5 12 3 2 2" xfId="13098" xr:uid="{00000000-0005-0000-0000-000026330000}"/>
    <cellStyle name="40% - Accent2 5 12 3 3" xfId="13099" xr:uid="{00000000-0005-0000-0000-000027330000}"/>
    <cellStyle name="40% - Accent2 5 12 4" xfId="13100" xr:uid="{00000000-0005-0000-0000-000028330000}"/>
    <cellStyle name="40% - Accent2 5 12 4 2" xfId="13101" xr:uid="{00000000-0005-0000-0000-000029330000}"/>
    <cellStyle name="40% - Accent2 5 12 5" xfId="13102" xr:uid="{00000000-0005-0000-0000-00002A330000}"/>
    <cellStyle name="40% - Accent2 5 13" xfId="13103" xr:uid="{00000000-0005-0000-0000-00002B330000}"/>
    <cellStyle name="40% - Accent2 5 13 2" xfId="13104" xr:uid="{00000000-0005-0000-0000-00002C330000}"/>
    <cellStyle name="40% - Accent2 5 13 2 2" xfId="13105" xr:uid="{00000000-0005-0000-0000-00002D330000}"/>
    <cellStyle name="40% - Accent2 5 13 2 2 2" xfId="13106" xr:uid="{00000000-0005-0000-0000-00002E330000}"/>
    <cellStyle name="40% - Accent2 5 13 2 2 2 2" xfId="13107" xr:uid="{00000000-0005-0000-0000-00002F330000}"/>
    <cellStyle name="40% - Accent2 5 13 2 2 3" xfId="13108" xr:uid="{00000000-0005-0000-0000-000030330000}"/>
    <cellStyle name="40% - Accent2 5 13 2 3" xfId="13109" xr:uid="{00000000-0005-0000-0000-000031330000}"/>
    <cellStyle name="40% - Accent2 5 13 2 3 2" xfId="13110" xr:uid="{00000000-0005-0000-0000-000032330000}"/>
    <cellStyle name="40% - Accent2 5 13 2 4" xfId="13111" xr:uid="{00000000-0005-0000-0000-000033330000}"/>
    <cellStyle name="40% - Accent2 5 13 3" xfId="13112" xr:uid="{00000000-0005-0000-0000-000034330000}"/>
    <cellStyle name="40% - Accent2 5 13 3 2" xfId="13113" xr:uid="{00000000-0005-0000-0000-000035330000}"/>
    <cellStyle name="40% - Accent2 5 13 3 2 2" xfId="13114" xr:uid="{00000000-0005-0000-0000-000036330000}"/>
    <cellStyle name="40% - Accent2 5 13 3 3" xfId="13115" xr:uid="{00000000-0005-0000-0000-000037330000}"/>
    <cellStyle name="40% - Accent2 5 13 4" xfId="13116" xr:uid="{00000000-0005-0000-0000-000038330000}"/>
    <cellStyle name="40% - Accent2 5 13 4 2" xfId="13117" xr:uid="{00000000-0005-0000-0000-000039330000}"/>
    <cellStyle name="40% - Accent2 5 13 5" xfId="13118" xr:uid="{00000000-0005-0000-0000-00003A330000}"/>
    <cellStyle name="40% - Accent2 5 14" xfId="13119" xr:uid="{00000000-0005-0000-0000-00003B330000}"/>
    <cellStyle name="40% - Accent2 5 14 2" xfId="13120" xr:uid="{00000000-0005-0000-0000-00003C330000}"/>
    <cellStyle name="40% - Accent2 5 14 2 2" xfId="13121" xr:uid="{00000000-0005-0000-0000-00003D330000}"/>
    <cellStyle name="40% - Accent2 5 14 2 2 2" xfId="13122" xr:uid="{00000000-0005-0000-0000-00003E330000}"/>
    <cellStyle name="40% - Accent2 5 14 2 3" xfId="13123" xr:uid="{00000000-0005-0000-0000-00003F330000}"/>
    <cellStyle name="40% - Accent2 5 14 3" xfId="13124" xr:uid="{00000000-0005-0000-0000-000040330000}"/>
    <cellStyle name="40% - Accent2 5 14 3 2" xfId="13125" xr:uid="{00000000-0005-0000-0000-000041330000}"/>
    <cellStyle name="40% - Accent2 5 14 4" xfId="13126" xr:uid="{00000000-0005-0000-0000-000042330000}"/>
    <cellStyle name="40% - Accent2 5 15" xfId="13127" xr:uid="{00000000-0005-0000-0000-000043330000}"/>
    <cellStyle name="40% - Accent2 5 15 2" xfId="13128" xr:uid="{00000000-0005-0000-0000-000044330000}"/>
    <cellStyle name="40% - Accent2 5 15 2 2" xfId="13129" xr:uid="{00000000-0005-0000-0000-000045330000}"/>
    <cellStyle name="40% - Accent2 5 15 2 2 2" xfId="13130" xr:uid="{00000000-0005-0000-0000-000046330000}"/>
    <cellStyle name="40% - Accent2 5 15 2 3" xfId="13131" xr:uid="{00000000-0005-0000-0000-000047330000}"/>
    <cellStyle name="40% - Accent2 5 15 3" xfId="13132" xr:uid="{00000000-0005-0000-0000-000048330000}"/>
    <cellStyle name="40% - Accent2 5 15 3 2" xfId="13133" xr:uid="{00000000-0005-0000-0000-000049330000}"/>
    <cellStyle name="40% - Accent2 5 15 4" xfId="13134" xr:uid="{00000000-0005-0000-0000-00004A330000}"/>
    <cellStyle name="40% - Accent2 5 16" xfId="13135" xr:uid="{00000000-0005-0000-0000-00004B330000}"/>
    <cellStyle name="40% - Accent2 5 16 2" xfId="13136" xr:uid="{00000000-0005-0000-0000-00004C330000}"/>
    <cellStyle name="40% - Accent2 5 16 2 2" xfId="13137" xr:uid="{00000000-0005-0000-0000-00004D330000}"/>
    <cellStyle name="40% - Accent2 5 16 3" xfId="13138" xr:uid="{00000000-0005-0000-0000-00004E330000}"/>
    <cellStyle name="40% - Accent2 5 17" xfId="13139" xr:uid="{00000000-0005-0000-0000-00004F330000}"/>
    <cellStyle name="40% - Accent2 5 17 2" xfId="13140" xr:uid="{00000000-0005-0000-0000-000050330000}"/>
    <cellStyle name="40% - Accent2 5 17 2 2" xfId="13141" xr:uid="{00000000-0005-0000-0000-000051330000}"/>
    <cellStyle name="40% - Accent2 5 17 3" xfId="13142" xr:uid="{00000000-0005-0000-0000-000052330000}"/>
    <cellStyle name="40% - Accent2 5 18" xfId="13143" xr:uid="{00000000-0005-0000-0000-000053330000}"/>
    <cellStyle name="40% - Accent2 5 18 2" xfId="13144" xr:uid="{00000000-0005-0000-0000-000054330000}"/>
    <cellStyle name="40% - Accent2 5 18 2 2" xfId="13145" xr:uid="{00000000-0005-0000-0000-000055330000}"/>
    <cellStyle name="40% - Accent2 5 18 3" xfId="13146" xr:uid="{00000000-0005-0000-0000-000056330000}"/>
    <cellStyle name="40% - Accent2 5 19" xfId="13147" xr:uid="{00000000-0005-0000-0000-000057330000}"/>
    <cellStyle name="40% - Accent2 5 19 2" xfId="13148" xr:uid="{00000000-0005-0000-0000-000058330000}"/>
    <cellStyle name="40% - Accent2 5 19 2 2" xfId="13149" xr:uid="{00000000-0005-0000-0000-000059330000}"/>
    <cellStyle name="40% - Accent2 5 19 3" xfId="13150" xr:uid="{00000000-0005-0000-0000-00005A330000}"/>
    <cellStyle name="40% - Accent2 5 2" xfId="13151" xr:uid="{00000000-0005-0000-0000-00005B330000}"/>
    <cellStyle name="40% - Accent2 5 2 10" xfId="13152" xr:uid="{00000000-0005-0000-0000-00005C330000}"/>
    <cellStyle name="40% - Accent2 5 2 10 2" xfId="13153" xr:uid="{00000000-0005-0000-0000-00005D330000}"/>
    <cellStyle name="40% - Accent2 5 2 10 2 2" xfId="13154" xr:uid="{00000000-0005-0000-0000-00005E330000}"/>
    <cellStyle name="40% - Accent2 5 2 10 2 2 2" xfId="13155" xr:uid="{00000000-0005-0000-0000-00005F330000}"/>
    <cellStyle name="40% - Accent2 5 2 10 2 2 2 2" xfId="13156" xr:uid="{00000000-0005-0000-0000-000060330000}"/>
    <cellStyle name="40% - Accent2 5 2 10 2 2 3" xfId="13157" xr:uid="{00000000-0005-0000-0000-000061330000}"/>
    <cellStyle name="40% - Accent2 5 2 10 2 3" xfId="13158" xr:uid="{00000000-0005-0000-0000-000062330000}"/>
    <cellStyle name="40% - Accent2 5 2 10 2 3 2" xfId="13159" xr:uid="{00000000-0005-0000-0000-000063330000}"/>
    <cellStyle name="40% - Accent2 5 2 10 2 4" xfId="13160" xr:uid="{00000000-0005-0000-0000-000064330000}"/>
    <cellStyle name="40% - Accent2 5 2 10 3" xfId="13161" xr:uid="{00000000-0005-0000-0000-000065330000}"/>
    <cellStyle name="40% - Accent2 5 2 10 3 2" xfId="13162" xr:uid="{00000000-0005-0000-0000-000066330000}"/>
    <cellStyle name="40% - Accent2 5 2 10 3 2 2" xfId="13163" xr:uid="{00000000-0005-0000-0000-000067330000}"/>
    <cellStyle name="40% - Accent2 5 2 10 3 3" xfId="13164" xr:uid="{00000000-0005-0000-0000-000068330000}"/>
    <cellStyle name="40% - Accent2 5 2 10 4" xfId="13165" xr:uid="{00000000-0005-0000-0000-000069330000}"/>
    <cellStyle name="40% - Accent2 5 2 10 4 2" xfId="13166" xr:uid="{00000000-0005-0000-0000-00006A330000}"/>
    <cellStyle name="40% - Accent2 5 2 10 5" xfId="13167" xr:uid="{00000000-0005-0000-0000-00006B330000}"/>
    <cellStyle name="40% - Accent2 5 2 11" xfId="13168" xr:uid="{00000000-0005-0000-0000-00006C330000}"/>
    <cellStyle name="40% - Accent2 5 2 11 2" xfId="13169" xr:uid="{00000000-0005-0000-0000-00006D330000}"/>
    <cellStyle name="40% - Accent2 5 2 11 2 2" xfId="13170" xr:uid="{00000000-0005-0000-0000-00006E330000}"/>
    <cellStyle name="40% - Accent2 5 2 11 2 2 2" xfId="13171" xr:uid="{00000000-0005-0000-0000-00006F330000}"/>
    <cellStyle name="40% - Accent2 5 2 11 2 2 2 2" xfId="13172" xr:uid="{00000000-0005-0000-0000-000070330000}"/>
    <cellStyle name="40% - Accent2 5 2 11 2 2 3" xfId="13173" xr:uid="{00000000-0005-0000-0000-000071330000}"/>
    <cellStyle name="40% - Accent2 5 2 11 2 3" xfId="13174" xr:uid="{00000000-0005-0000-0000-000072330000}"/>
    <cellStyle name="40% - Accent2 5 2 11 2 3 2" xfId="13175" xr:uid="{00000000-0005-0000-0000-000073330000}"/>
    <cellStyle name="40% - Accent2 5 2 11 2 4" xfId="13176" xr:uid="{00000000-0005-0000-0000-000074330000}"/>
    <cellStyle name="40% - Accent2 5 2 11 3" xfId="13177" xr:uid="{00000000-0005-0000-0000-000075330000}"/>
    <cellStyle name="40% - Accent2 5 2 11 3 2" xfId="13178" xr:uid="{00000000-0005-0000-0000-000076330000}"/>
    <cellStyle name="40% - Accent2 5 2 11 3 2 2" xfId="13179" xr:uid="{00000000-0005-0000-0000-000077330000}"/>
    <cellStyle name="40% - Accent2 5 2 11 3 3" xfId="13180" xr:uid="{00000000-0005-0000-0000-000078330000}"/>
    <cellStyle name="40% - Accent2 5 2 11 4" xfId="13181" xr:uid="{00000000-0005-0000-0000-000079330000}"/>
    <cellStyle name="40% - Accent2 5 2 11 4 2" xfId="13182" xr:uid="{00000000-0005-0000-0000-00007A330000}"/>
    <cellStyle name="40% - Accent2 5 2 11 5" xfId="13183" xr:uid="{00000000-0005-0000-0000-00007B330000}"/>
    <cellStyle name="40% - Accent2 5 2 12" xfId="13184" xr:uid="{00000000-0005-0000-0000-00007C330000}"/>
    <cellStyle name="40% - Accent2 5 2 12 2" xfId="13185" xr:uid="{00000000-0005-0000-0000-00007D330000}"/>
    <cellStyle name="40% - Accent2 5 2 12 2 2" xfId="13186" xr:uid="{00000000-0005-0000-0000-00007E330000}"/>
    <cellStyle name="40% - Accent2 5 2 12 2 2 2" xfId="13187" xr:uid="{00000000-0005-0000-0000-00007F330000}"/>
    <cellStyle name="40% - Accent2 5 2 12 2 2 2 2" xfId="13188" xr:uid="{00000000-0005-0000-0000-000080330000}"/>
    <cellStyle name="40% - Accent2 5 2 12 2 2 3" xfId="13189" xr:uid="{00000000-0005-0000-0000-000081330000}"/>
    <cellStyle name="40% - Accent2 5 2 12 2 3" xfId="13190" xr:uid="{00000000-0005-0000-0000-000082330000}"/>
    <cellStyle name="40% - Accent2 5 2 12 2 3 2" xfId="13191" xr:uid="{00000000-0005-0000-0000-000083330000}"/>
    <cellStyle name="40% - Accent2 5 2 12 2 4" xfId="13192" xr:uid="{00000000-0005-0000-0000-000084330000}"/>
    <cellStyle name="40% - Accent2 5 2 12 3" xfId="13193" xr:uid="{00000000-0005-0000-0000-000085330000}"/>
    <cellStyle name="40% - Accent2 5 2 12 3 2" xfId="13194" xr:uid="{00000000-0005-0000-0000-000086330000}"/>
    <cellStyle name="40% - Accent2 5 2 12 3 2 2" xfId="13195" xr:uid="{00000000-0005-0000-0000-000087330000}"/>
    <cellStyle name="40% - Accent2 5 2 12 3 3" xfId="13196" xr:uid="{00000000-0005-0000-0000-000088330000}"/>
    <cellStyle name="40% - Accent2 5 2 12 4" xfId="13197" xr:uid="{00000000-0005-0000-0000-000089330000}"/>
    <cellStyle name="40% - Accent2 5 2 12 4 2" xfId="13198" xr:uid="{00000000-0005-0000-0000-00008A330000}"/>
    <cellStyle name="40% - Accent2 5 2 12 5" xfId="13199" xr:uid="{00000000-0005-0000-0000-00008B330000}"/>
    <cellStyle name="40% - Accent2 5 2 13" xfId="13200" xr:uid="{00000000-0005-0000-0000-00008C330000}"/>
    <cellStyle name="40% - Accent2 5 2 13 2" xfId="13201" xr:uid="{00000000-0005-0000-0000-00008D330000}"/>
    <cellStyle name="40% - Accent2 5 2 13 2 2" xfId="13202" xr:uid="{00000000-0005-0000-0000-00008E330000}"/>
    <cellStyle name="40% - Accent2 5 2 13 2 2 2" xfId="13203" xr:uid="{00000000-0005-0000-0000-00008F330000}"/>
    <cellStyle name="40% - Accent2 5 2 13 2 3" xfId="13204" xr:uid="{00000000-0005-0000-0000-000090330000}"/>
    <cellStyle name="40% - Accent2 5 2 13 3" xfId="13205" xr:uid="{00000000-0005-0000-0000-000091330000}"/>
    <cellStyle name="40% - Accent2 5 2 13 3 2" xfId="13206" xr:uid="{00000000-0005-0000-0000-000092330000}"/>
    <cellStyle name="40% - Accent2 5 2 13 4" xfId="13207" xr:uid="{00000000-0005-0000-0000-000093330000}"/>
    <cellStyle name="40% - Accent2 5 2 14" xfId="13208" xr:uid="{00000000-0005-0000-0000-000094330000}"/>
    <cellStyle name="40% - Accent2 5 2 14 2" xfId="13209" xr:uid="{00000000-0005-0000-0000-000095330000}"/>
    <cellStyle name="40% - Accent2 5 2 14 2 2" xfId="13210" xr:uid="{00000000-0005-0000-0000-000096330000}"/>
    <cellStyle name="40% - Accent2 5 2 14 2 2 2" xfId="13211" xr:uid="{00000000-0005-0000-0000-000097330000}"/>
    <cellStyle name="40% - Accent2 5 2 14 2 3" xfId="13212" xr:uid="{00000000-0005-0000-0000-000098330000}"/>
    <cellStyle name="40% - Accent2 5 2 14 3" xfId="13213" xr:uid="{00000000-0005-0000-0000-000099330000}"/>
    <cellStyle name="40% - Accent2 5 2 14 3 2" xfId="13214" xr:uid="{00000000-0005-0000-0000-00009A330000}"/>
    <cellStyle name="40% - Accent2 5 2 14 4" xfId="13215" xr:uid="{00000000-0005-0000-0000-00009B330000}"/>
    <cellStyle name="40% - Accent2 5 2 15" xfId="13216" xr:uid="{00000000-0005-0000-0000-00009C330000}"/>
    <cellStyle name="40% - Accent2 5 2 15 2" xfId="13217" xr:uid="{00000000-0005-0000-0000-00009D330000}"/>
    <cellStyle name="40% - Accent2 5 2 15 2 2" xfId="13218" xr:uid="{00000000-0005-0000-0000-00009E330000}"/>
    <cellStyle name="40% - Accent2 5 2 15 3" xfId="13219" xr:uid="{00000000-0005-0000-0000-00009F330000}"/>
    <cellStyle name="40% - Accent2 5 2 16" xfId="13220" xr:uid="{00000000-0005-0000-0000-0000A0330000}"/>
    <cellStyle name="40% - Accent2 5 2 16 2" xfId="13221" xr:uid="{00000000-0005-0000-0000-0000A1330000}"/>
    <cellStyle name="40% - Accent2 5 2 16 2 2" xfId="13222" xr:uid="{00000000-0005-0000-0000-0000A2330000}"/>
    <cellStyle name="40% - Accent2 5 2 16 3" xfId="13223" xr:uid="{00000000-0005-0000-0000-0000A3330000}"/>
    <cellStyle name="40% - Accent2 5 2 17" xfId="13224" xr:uid="{00000000-0005-0000-0000-0000A4330000}"/>
    <cellStyle name="40% - Accent2 5 2 17 2" xfId="13225" xr:uid="{00000000-0005-0000-0000-0000A5330000}"/>
    <cellStyle name="40% - Accent2 5 2 17 2 2" xfId="13226" xr:uid="{00000000-0005-0000-0000-0000A6330000}"/>
    <cellStyle name="40% - Accent2 5 2 17 3" xfId="13227" xr:uid="{00000000-0005-0000-0000-0000A7330000}"/>
    <cellStyle name="40% - Accent2 5 2 18" xfId="13228" xr:uid="{00000000-0005-0000-0000-0000A8330000}"/>
    <cellStyle name="40% - Accent2 5 2 18 2" xfId="13229" xr:uid="{00000000-0005-0000-0000-0000A9330000}"/>
    <cellStyle name="40% - Accent2 5 2 18 2 2" xfId="13230" xr:uid="{00000000-0005-0000-0000-0000AA330000}"/>
    <cellStyle name="40% - Accent2 5 2 18 3" xfId="13231" xr:uid="{00000000-0005-0000-0000-0000AB330000}"/>
    <cellStyle name="40% - Accent2 5 2 19" xfId="13232" xr:uid="{00000000-0005-0000-0000-0000AC330000}"/>
    <cellStyle name="40% - Accent2 5 2 19 2" xfId="13233" xr:uid="{00000000-0005-0000-0000-0000AD330000}"/>
    <cellStyle name="40% - Accent2 5 2 2" xfId="13234" xr:uid="{00000000-0005-0000-0000-0000AE330000}"/>
    <cellStyle name="40% - Accent2 5 2 2 10" xfId="13235" xr:uid="{00000000-0005-0000-0000-0000AF330000}"/>
    <cellStyle name="40% - Accent2 5 2 2 10 2" xfId="13236" xr:uid="{00000000-0005-0000-0000-0000B0330000}"/>
    <cellStyle name="40% - Accent2 5 2 2 10 2 2" xfId="13237" xr:uid="{00000000-0005-0000-0000-0000B1330000}"/>
    <cellStyle name="40% - Accent2 5 2 2 10 3" xfId="13238" xr:uid="{00000000-0005-0000-0000-0000B2330000}"/>
    <cellStyle name="40% - Accent2 5 2 2 11" xfId="13239" xr:uid="{00000000-0005-0000-0000-0000B3330000}"/>
    <cellStyle name="40% - Accent2 5 2 2 11 2" xfId="13240" xr:uid="{00000000-0005-0000-0000-0000B4330000}"/>
    <cellStyle name="40% - Accent2 5 2 2 11 2 2" xfId="13241" xr:uid="{00000000-0005-0000-0000-0000B5330000}"/>
    <cellStyle name="40% - Accent2 5 2 2 11 3" xfId="13242" xr:uid="{00000000-0005-0000-0000-0000B6330000}"/>
    <cellStyle name="40% - Accent2 5 2 2 12" xfId="13243" xr:uid="{00000000-0005-0000-0000-0000B7330000}"/>
    <cellStyle name="40% - Accent2 5 2 2 12 2" xfId="13244" xr:uid="{00000000-0005-0000-0000-0000B8330000}"/>
    <cellStyle name="40% - Accent2 5 2 2 12 2 2" xfId="13245" xr:uid="{00000000-0005-0000-0000-0000B9330000}"/>
    <cellStyle name="40% - Accent2 5 2 2 12 3" xfId="13246" xr:uid="{00000000-0005-0000-0000-0000BA330000}"/>
    <cellStyle name="40% - Accent2 5 2 2 13" xfId="13247" xr:uid="{00000000-0005-0000-0000-0000BB330000}"/>
    <cellStyle name="40% - Accent2 5 2 2 13 2" xfId="13248" xr:uid="{00000000-0005-0000-0000-0000BC330000}"/>
    <cellStyle name="40% - Accent2 5 2 2 14" xfId="13249" xr:uid="{00000000-0005-0000-0000-0000BD330000}"/>
    <cellStyle name="40% - Accent2 5 2 2 2" xfId="13250" xr:uid="{00000000-0005-0000-0000-0000BE330000}"/>
    <cellStyle name="40% - Accent2 5 2 2 2 2" xfId="13251" xr:uid="{00000000-0005-0000-0000-0000BF330000}"/>
    <cellStyle name="40% - Accent2 5 2 2 2 2 2" xfId="13252" xr:uid="{00000000-0005-0000-0000-0000C0330000}"/>
    <cellStyle name="40% - Accent2 5 2 2 2 2 2 2" xfId="13253" xr:uid="{00000000-0005-0000-0000-0000C1330000}"/>
    <cellStyle name="40% - Accent2 5 2 2 2 2 2 2 2" xfId="13254" xr:uid="{00000000-0005-0000-0000-0000C2330000}"/>
    <cellStyle name="40% - Accent2 5 2 2 2 2 2 3" xfId="13255" xr:uid="{00000000-0005-0000-0000-0000C3330000}"/>
    <cellStyle name="40% - Accent2 5 2 2 2 2 3" xfId="13256" xr:uid="{00000000-0005-0000-0000-0000C4330000}"/>
    <cellStyle name="40% - Accent2 5 2 2 2 2 3 2" xfId="13257" xr:uid="{00000000-0005-0000-0000-0000C5330000}"/>
    <cellStyle name="40% - Accent2 5 2 2 2 2 4" xfId="13258" xr:uid="{00000000-0005-0000-0000-0000C6330000}"/>
    <cellStyle name="40% - Accent2 5 2 2 2 3" xfId="13259" xr:uid="{00000000-0005-0000-0000-0000C7330000}"/>
    <cellStyle name="40% - Accent2 5 2 2 2 3 2" xfId="13260" xr:uid="{00000000-0005-0000-0000-0000C8330000}"/>
    <cellStyle name="40% - Accent2 5 2 2 2 3 2 2" xfId="13261" xr:uid="{00000000-0005-0000-0000-0000C9330000}"/>
    <cellStyle name="40% - Accent2 5 2 2 2 3 3" xfId="13262" xr:uid="{00000000-0005-0000-0000-0000CA330000}"/>
    <cellStyle name="40% - Accent2 5 2 2 2 4" xfId="13263" xr:uid="{00000000-0005-0000-0000-0000CB330000}"/>
    <cellStyle name="40% - Accent2 5 2 2 2 4 2" xfId="13264" xr:uid="{00000000-0005-0000-0000-0000CC330000}"/>
    <cellStyle name="40% - Accent2 5 2 2 2 4 2 2" xfId="13265" xr:uid="{00000000-0005-0000-0000-0000CD330000}"/>
    <cellStyle name="40% - Accent2 5 2 2 2 4 3" xfId="13266" xr:uid="{00000000-0005-0000-0000-0000CE330000}"/>
    <cellStyle name="40% - Accent2 5 2 2 2 5" xfId="13267" xr:uid="{00000000-0005-0000-0000-0000CF330000}"/>
    <cellStyle name="40% - Accent2 5 2 2 2 5 2" xfId="13268" xr:uid="{00000000-0005-0000-0000-0000D0330000}"/>
    <cellStyle name="40% - Accent2 5 2 2 2 5 2 2" xfId="13269" xr:uid="{00000000-0005-0000-0000-0000D1330000}"/>
    <cellStyle name="40% - Accent2 5 2 2 2 5 3" xfId="13270" xr:uid="{00000000-0005-0000-0000-0000D2330000}"/>
    <cellStyle name="40% - Accent2 5 2 2 2 6" xfId="13271" xr:uid="{00000000-0005-0000-0000-0000D3330000}"/>
    <cellStyle name="40% - Accent2 5 2 2 2 6 2" xfId="13272" xr:uid="{00000000-0005-0000-0000-0000D4330000}"/>
    <cellStyle name="40% - Accent2 5 2 2 2 6 2 2" xfId="13273" xr:uid="{00000000-0005-0000-0000-0000D5330000}"/>
    <cellStyle name="40% - Accent2 5 2 2 2 6 3" xfId="13274" xr:uid="{00000000-0005-0000-0000-0000D6330000}"/>
    <cellStyle name="40% - Accent2 5 2 2 2 7" xfId="13275" xr:uid="{00000000-0005-0000-0000-0000D7330000}"/>
    <cellStyle name="40% - Accent2 5 2 2 2 7 2" xfId="13276" xr:uid="{00000000-0005-0000-0000-0000D8330000}"/>
    <cellStyle name="40% - Accent2 5 2 2 2 8" xfId="13277" xr:uid="{00000000-0005-0000-0000-0000D9330000}"/>
    <cellStyle name="40% - Accent2 5 2 2 3" xfId="13278" xr:uid="{00000000-0005-0000-0000-0000DA330000}"/>
    <cellStyle name="40% - Accent2 5 2 2 3 2" xfId="13279" xr:uid="{00000000-0005-0000-0000-0000DB330000}"/>
    <cellStyle name="40% - Accent2 5 2 2 3 2 2" xfId="13280" xr:uid="{00000000-0005-0000-0000-0000DC330000}"/>
    <cellStyle name="40% - Accent2 5 2 2 3 2 2 2" xfId="13281" xr:uid="{00000000-0005-0000-0000-0000DD330000}"/>
    <cellStyle name="40% - Accent2 5 2 2 3 2 2 2 2" xfId="13282" xr:uid="{00000000-0005-0000-0000-0000DE330000}"/>
    <cellStyle name="40% - Accent2 5 2 2 3 2 2 3" xfId="13283" xr:uid="{00000000-0005-0000-0000-0000DF330000}"/>
    <cellStyle name="40% - Accent2 5 2 2 3 2 3" xfId="13284" xr:uid="{00000000-0005-0000-0000-0000E0330000}"/>
    <cellStyle name="40% - Accent2 5 2 2 3 2 3 2" xfId="13285" xr:uid="{00000000-0005-0000-0000-0000E1330000}"/>
    <cellStyle name="40% - Accent2 5 2 2 3 2 4" xfId="13286" xr:uid="{00000000-0005-0000-0000-0000E2330000}"/>
    <cellStyle name="40% - Accent2 5 2 2 3 3" xfId="13287" xr:uid="{00000000-0005-0000-0000-0000E3330000}"/>
    <cellStyle name="40% - Accent2 5 2 2 3 3 2" xfId="13288" xr:uid="{00000000-0005-0000-0000-0000E4330000}"/>
    <cellStyle name="40% - Accent2 5 2 2 3 3 2 2" xfId="13289" xr:uid="{00000000-0005-0000-0000-0000E5330000}"/>
    <cellStyle name="40% - Accent2 5 2 2 3 3 3" xfId="13290" xr:uid="{00000000-0005-0000-0000-0000E6330000}"/>
    <cellStyle name="40% - Accent2 5 2 2 3 4" xfId="13291" xr:uid="{00000000-0005-0000-0000-0000E7330000}"/>
    <cellStyle name="40% - Accent2 5 2 2 3 4 2" xfId="13292" xr:uid="{00000000-0005-0000-0000-0000E8330000}"/>
    <cellStyle name="40% - Accent2 5 2 2 3 4 2 2" xfId="13293" xr:uid="{00000000-0005-0000-0000-0000E9330000}"/>
    <cellStyle name="40% - Accent2 5 2 2 3 4 3" xfId="13294" xr:uid="{00000000-0005-0000-0000-0000EA330000}"/>
    <cellStyle name="40% - Accent2 5 2 2 3 5" xfId="13295" xr:uid="{00000000-0005-0000-0000-0000EB330000}"/>
    <cellStyle name="40% - Accent2 5 2 2 3 5 2" xfId="13296" xr:uid="{00000000-0005-0000-0000-0000EC330000}"/>
    <cellStyle name="40% - Accent2 5 2 2 3 5 2 2" xfId="13297" xr:uid="{00000000-0005-0000-0000-0000ED330000}"/>
    <cellStyle name="40% - Accent2 5 2 2 3 5 3" xfId="13298" xr:uid="{00000000-0005-0000-0000-0000EE330000}"/>
    <cellStyle name="40% - Accent2 5 2 2 3 6" xfId="13299" xr:uid="{00000000-0005-0000-0000-0000EF330000}"/>
    <cellStyle name="40% - Accent2 5 2 2 3 6 2" xfId="13300" xr:uid="{00000000-0005-0000-0000-0000F0330000}"/>
    <cellStyle name="40% - Accent2 5 2 2 3 6 2 2" xfId="13301" xr:uid="{00000000-0005-0000-0000-0000F1330000}"/>
    <cellStyle name="40% - Accent2 5 2 2 3 6 3" xfId="13302" xr:uid="{00000000-0005-0000-0000-0000F2330000}"/>
    <cellStyle name="40% - Accent2 5 2 2 3 7" xfId="13303" xr:uid="{00000000-0005-0000-0000-0000F3330000}"/>
    <cellStyle name="40% - Accent2 5 2 2 3 7 2" xfId="13304" xr:uid="{00000000-0005-0000-0000-0000F4330000}"/>
    <cellStyle name="40% - Accent2 5 2 2 3 8" xfId="13305" xr:uid="{00000000-0005-0000-0000-0000F5330000}"/>
    <cellStyle name="40% - Accent2 5 2 2 4" xfId="13306" xr:uid="{00000000-0005-0000-0000-0000F6330000}"/>
    <cellStyle name="40% - Accent2 5 2 2 4 2" xfId="13307" xr:uid="{00000000-0005-0000-0000-0000F7330000}"/>
    <cellStyle name="40% - Accent2 5 2 2 4 2 2" xfId="13308" xr:uid="{00000000-0005-0000-0000-0000F8330000}"/>
    <cellStyle name="40% - Accent2 5 2 2 4 2 2 2" xfId="13309" xr:uid="{00000000-0005-0000-0000-0000F9330000}"/>
    <cellStyle name="40% - Accent2 5 2 2 4 2 2 2 2" xfId="13310" xr:uid="{00000000-0005-0000-0000-0000FA330000}"/>
    <cellStyle name="40% - Accent2 5 2 2 4 2 2 3" xfId="13311" xr:uid="{00000000-0005-0000-0000-0000FB330000}"/>
    <cellStyle name="40% - Accent2 5 2 2 4 2 3" xfId="13312" xr:uid="{00000000-0005-0000-0000-0000FC330000}"/>
    <cellStyle name="40% - Accent2 5 2 2 4 2 3 2" xfId="13313" xr:uid="{00000000-0005-0000-0000-0000FD330000}"/>
    <cellStyle name="40% - Accent2 5 2 2 4 2 4" xfId="13314" xr:uid="{00000000-0005-0000-0000-0000FE330000}"/>
    <cellStyle name="40% - Accent2 5 2 2 4 3" xfId="13315" xr:uid="{00000000-0005-0000-0000-0000FF330000}"/>
    <cellStyle name="40% - Accent2 5 2 2 4 3 2" xfId="13316" xr:uid="{00000000-0005-0000-0000-000000340000}"/>
    <cellStyle name="40% - Accent2 5 2 2 4 3 2 2" xfId="13317" xr:uid="{00000000-0005-0000-0000-000001340000}"/>
    <cellStyle name="40% - Accent2 5 2 2 4 3 3" xfId="13318" xr:uid="{00000000-0005-0000-0000-000002340000}"/>
    <cellStyle name="40% - Accent2 5 2 2 4 4" xfId="13319" xr:uid="{00000000-0005-0000-0000-000003340000}"/>
    <cellStyle name="40% - Accent2 5 2 2 4 4 2" xfId="13320" xr:uid="{00000000-0005-0000-0000-000004340000}"/>
    <cellStyle name="40% - Accent2 5 2 2 4 4 2 2" xfId="13321" xr:uid="{00000000-0005-0000-0000-000005340000}"/>
    <cellStyle name="40% - Accent2 5 2 2 4 4 3" xfId="13322" xr:uid="{00000000-0005-0000-0000-000006340000}"/>
    <cellStyle name="40% - Accent2 5 2 2 4 5" xfId="13323" xr:uid="{00000000-0005-0000-0000-000007340000}"/>
    <cellStyle name="40% - Accent2 5 2 2 4 5 2" xfId="13324" xr:uid="{00000000-0005-0000-0000-000008340000}"/>
    <cellStyle name="40% - Accent2 5 2 2 4 5 2 2" xfId="13325" xr:uid="{00000000-0005-0000-0000-000009340000}"/>
    <cellStyle name="40% - Accent2 5 2 2 4 5 3" xfId="13326" xr:uid="{00000000-0005-0000-0000-00000A340000}"/>
    <cellStyle name="40% - Accent2 5 2 2 4 6" xfId="13327" xr:uid="{00000000-0005-0000-0000-00000B340000}"/>
    <cellStyle name="40% - Accent2 5 2 2 4 6 2" xfId="13328" xr:uid="{00000000-0005-0000-0000-00000C340000}"/>
    <cellStyle name="40% - Accent2 5 2 2 4 6 2 2" xfId="13329" xr:uid="{00000000-0005-0000-0000-00000D340000}"/>
    <cellStyle name="40% - Accent2 5 2 2 4 6 3" xfId="13330" xr:uid="{00000000-0005-0000-0000-00000E340000}"/>
    <cellStyle name="40% - Accent2 5 2 2 4 7" xfId="13331" xr:uid="{00000000-0005-0000-0000-00000F340000}"/>
    <cellStyle name="40% - Accent2 5 2 2 4 7 2" xfId="13332" xr:uid="{00000000-0005-0000-0000-000010340000}"/>
    <cellStyle name="40% - Accent2 5 2 2 4 8" xfId="13333" xr:uid="{00000000-0005-0000-0000-000011340000}"/>
    <cellStyle name="40% - Accent2 5 2 2 5" xfId="13334" xr:uid="{00000000-0005-0000-0000-000012340000}"/>
    <cellStyle name="40% - Accent2 5 2 2 5 2" xfId="13335" xr:uid="{00000000-0005-0000-0000-000013340000}"/>
    <cellStyle name="40% - Accent2 5 2 2 5 2 2" xfId="13336" xr:uid="{00000000-0005-0000-0000-000014340000}"/>
    <cellStyle name="40% - Accent2 5 2 2 5 2 2 2" xfId="13337" xr:uid="{00000000-0005-0000-0000-000015340000}"/>
    <cellStyle name="40% - Accent2 5 2 2 5 2 2 2 2" xfId="13338" xr:uid="{00000000-0005-0000-0000-000016340000}"/>
    <cellStyle name="40% - Accent2 5 2 2 5 2 2 3" xfId="13339" xr:uid="{00000000-0005-0000-0000-000017340000}"/>
    <cellStyle name="40% - Accent2 5 2 2 5 2 3" xfId="13340" xr:uid="{00000000-0005-0000-0000-000018340000}"/>
    <cellStyle name="40% - Accent2 5 2 2 5 2 3 2" xfId="13341" xr:uid="{00000000-0005-0000-0000-000019340000}"/>
    <cellStyle name="40% - Accent2 5 2 2 5 2 4" xfId="13342" xr:uid="{00000000-0005-0000-0000-00001A340000}"/>
    <cellStyle name="40% - Accent2 5 2 2 5 3" xfId="13343" xr:uid="{00000000-0005-0000-0000-00001B340000}"/>
    <cellStyle name="40% - Accent2 5 2 2 5 3 2" xfId="13344" xr:uid="{00000000-0005-0000-0000-00001C340000}"/>
    <cellStyle name="40% - Accent2 5 2 2 5 3 2 2" xfId="13345" xr:uid="{00000000-0005-0000-0000-00001D340000}"/>
    <cellStyle name="40% - Accent2 5 2 2 5 3 3" xfId="13346" xr:uid="{00000000-0005-0000-0000-00001E340000}"/>
    <cellStyle name="40% - Accent2 5 2 2 5 4" xfId="13347" xr:uid="{00000000-0005-0000-0000-00001F340000}"/>
    <cellStyle name="40% - Accent2 5 2 2 5 4 2" xfId="13348" xr:uid="{00000000-0005-0000-0000-000020340000}"/>
    <cellStyle name="40% - Accent2 5 2 2 5 5" xfId="13349" xr:uid="{00000000-0005-0000-0000-000021340000}"/>
    <cellStyle name="40% - Accent2 5 2 2 6" xfId="13350" xr:uid="{00000000-0005-0000-0000-000022340000}"/>
    <cellStyle name="40% - Accent2 5 2 2 6 2" xfId="13351" xr:uid="{00000000-0005-0000-0000-000023340000}"/>
    <cellStyle name="40% - Accent2 5 2 2 6 2 2" xfId="13352" xr:uid="{00000000-0005-0000-0000-000024340000}"/>
    <cellStyle name="40% - Accent2 5 2 2 6 2 2 2" xfId="13353" xr:uid="{00000000-0005-0000-0000-000025340000}"/>
    <cellStyle name="40% - Accent2 5 2 2 6 2 2 2 2" xfId="13354" xr:uid="{00000000-0005-0000-0000-000026340000}"/>
    <cellStyle name="40% - Accent2 5 2 2 6 2 2 3" xfId="13355" xr:uid="{00000000-0005-0000-0000-000027340000}"/>
    <cellStyle name="40% - Accent2 5 2 2 6 2 3" xfId="13356" xr:uid="{00000000-0005-0000-0000-000028340000}"/>
    <cellStyle name="40% - Accent2 5 2 2 6 2 3 2" xfId="13357" xr:uid="{00000000-0005-0000-0000-000029340000}"/>
    <cellStyle name="40% - Accent2 5 2 2 6 2 4" xfId="13358" xr:uid="{00000000-0005-0000-0000-00002A340000}"/>
    <cellStyle name="40% - Accent2 5 2 2 6 3" xfId="13359" xr:uid="{00000000-0005-0000-0000-00002B340000}"/>
    <cellStyle name="40% - Accent2 5 2 2 6 3 2" xfId="13360" xr:uid="{00000000-0005-0000-0000-00002C340000}"/>
    <cellStyle name="40% - Accent2 5 2 2 6 3 2 2" xfId="13361" xr:uid="{00000000-0005-0000-0000-00002D340000}"/>
    <cellStyle name="40% - Accent2 5 2 2 6 3 3" xfId="13362" xr:uid="{00000000-0005-0000-0000-00002E340000}"/>
    <cellStyle name="40% - Accent2 5 2 2 6 4" xfId="13363" xr:uid="{00000000-0005-0000-0000-00002F340000}"/>
    <cellStyle name="40% - Accent2 5 2 2 6 4 2" xfId="13364" xr:uid="{00000000-0005-0000-0000-000030340000}"/>
    <cellStyle name="40% - Accent2 5 2 2 6 5" xfId="13365" xr:uid="{00000000-0005-0000-0000-000031340000}"/>
    <cellStyle name="40% - Accent2 5 2 2 7" xfId="13366" xr:uid="{00000000-0005-0000-0000-000032340000}"/>
    <cellStyle name="40% - Accent2 5 2 2 7 2" xfId="13367" xr:uid="{00000000-0005-0000-0000-000033340000}"/>
    <cellStyle name="40% - Accent2 5 2 2 7 2 2" xfId="13368" xr:uid="{00000000-0005-0000-0000-000034340000}"/>
    <cellStyle name="40% - Accent2 5 2 2 7 2 2 2" xfId="13369" xr:uid="{00000000-0005-0000-0000-000035340000}"/>
    <cellStyle name="40% - Accent2 5 2 2 7 2 3" xfId="13370" xr:uid="{00000000-0005-0000-0000-000036340000}"/>
    <cellStyle name="40% - Accent2 5 2 2 7 3" xfId="13371" xr:uid="{00000000-0005-0000-0000-000037340000}"/>
    <cellStyle name="40% - Accent2 5 2 2 7 3 2" xfId="13372" xr:uid="{00000000-0005-0000-0000-000038340000}"/>
    <cellStyle name="40% - Accent2 5 2 2 7 4" xfId="13373" xr:uid="{00000000-0005-0000-0000-000039340000}"/>
    <cellStyle name="40% - Accent2 5 2 2 8" xfId="13374" xr:uid="{00000000-0005-0000-0000-00003A340000}"/>
    <cellStyle name="40% - Accent2 5 2 2 8 2" xfId="13375" xr:uid="{00000000-0005-0000-0000-00003B340000}"/>
    <cellStyle name="40% - Accent2 5 2 2 8 2 2" xfId="13376" xr:uid="{00000000-0005-0000-0000-00003C340000}"/>
    <cellStyle name="40% - Accent2 5 2 2 8 2 2 2" xfId="13377" xr:uid="{00000000-0005-0000-0000-00003D340000}"/>
    <cellStyle name="40% - Accent2 5 2 2 8 2 3" xfId="13378" xr:uid="{00000000-0005-0000-0000-00003E340000}"/>
    <cellStyle name="40% - Accent2 5 2 2 8 3" xfId="13379" xr:uid="{00000000-0005-0000-0000-00003F340000}"/>
    <cellStyle name="40% - Accent2 5 2 2 8 3 2" xfId="13380" xr:uid="{00000000-0005-0000-0000-000040340000}"/>
    <cellStyle name="40% - Accent2 5 2 2 8 4" xfId="13381" xr:uid="{00000000-0005-0000-0000-000041340000}"/>
    <cellStyle name="40% - Accent2 5 2 2 9" xfId="13382" xr:uid="{00000000-0005-0000-0000-000042340000}"/>
    <cellStyle name="40% - Accent2 5 2 2 9 2" xfId="13383" xr:uid="{00000000-0005-0000-0000-000043340000}"/>
    <cellStyle name="40% - Accent2 5 2 2 9 2 2" xfId="13384" xr:uid="{00000000-0005-0000-0000-000044340000}"/>
    <cellStyle name="40% - Accent2 5 2 2 9 3" xfId="13385" xr:uid="{00000000-0005-0000-0000-000045340000}"/>
    <cellStyle name="40% - Accent2 5 2 20" xfId="13386" xr:uid="{00000000-0005-0000-0000-000046340000}"/>
    <cellStyle name="40% - Accent2 5 2 3" xfId="13387" xr:uid="{00000000-0005-0000-0000-000047340000}"/>
    <cellStyle name="40% - Accent2 5 2 3 10" xfId="13388" xr:uid="{00000000-0005-0000-0000-000048340000}"/>
    <cellStyle name="40% - Accent2 5 2 3 10 2" xfId="13389" xr:uid="{00000000-0005-0000-0000-000049340000}"/>
    <cellStyle name="40% - Accent2 5 2 3 10 2 2" xfId="13390" xr:uid="{00000000-0005-0000-0000-00004A340000}"/>
    <cellStyle name="40% - Accent2 5 2 3 10 3" xfId="13391" xr:uid="{00000000-0005-0000-0000-00004B340000}"/>
    <cellStyle name="40% - Accent2 5 2 3 11" xfId="13392" xr:uid="{00000000-0005-0000-0000-00004C340000}"/>
    <cellStyle name="40% - Accent2 5 2 3 11 2" xfId="13393" xr:uid="{00000000-0005-0000-0000-00004D340000}"/>
    <cellStyle name="40% - Accent2 5 2 3 11 2 2" xfId="13394" xr:uid="{00000000-0005-0000-0000-00004E340000}"/>
    <cellStyle name="40% - Accent2 5 2 3 11 3" xfId="13395" xr:uid="{00000000-0005-0000-0000-00004F340000}"/>
    <cellStyle name="40% - Accent2 5 2 3 12" xfId="13396" xr:uid="{00000000-0005-0000-0000-000050340000}"/>
    <cellStyle name="40% - Accent2 5 2 3 12 2" xfId="13397" xr:uid="{00000000-0005-0000-0000-000051340000}"/>
    <cellStyle name="40% - Accent2 5 2 3 12 2 2" xfId="13398" xr:uid="{00000000-0005-0000-0000-000052340000}"/>
    <cellStyle name="40% - Accent2 5 2 3 12 3" xfId="13399" xr:uid="{00000000-0005-0000-0000-000053340000}"/>
    <cellStyle name="40% - Accent2 5 2 3 13" xfId="13400" xr:uid="{00000000-0005-0000-0000-000054340000}"/>
    <cellStyle name="40% - Accent2 5 2 3 13 2" xfId="13401" xr:uid="{00000000-0005-0000-0000-000055340000}"/>
    <cellStyle name="40% - Accent2 5 2 3 14" xfId="13402" xr:uid="{00000000-0005-0000-0000-000056340000}"/>
    <cellStyle name="40% - Accent2 5 2 3 2" xfId="13403" xr:uid="{00000000-0005-0000-0000-000057340000}"/>
    <cellStyle name="40% - Accent2 5 2 3 2 2" xfId="13404" xr:uid="{00000000-0005-0000-0000-000058340000}"/>
    <cellStyle name="40% - Accent2 5 2 3 2 2 2" xfId="13405" xr:uid="{00000000-0005-0000-0000-000059340000}"/>
    <cellStyle name="40% - Accent2 5 2 3 2 2 2 2" xfId="13406" xr:uid="{00000000-0005-0000-0000-00005A340000}"/>
    <cellStyle name="40% - Accent2 5 2 3 2 2 2 2 2" xfId="13407" xr:uid="{00000000-0005-0000-0000-00005B340000}"/>
    <cellStyle name="40% - Accent2 5 2 3 2 2 2 3" xfId="13408" xr:uid="{00000000-0005-0000-0000-00005C340000}"/>
    <cellStyle name="40% - Accent2 5 2 3 2 2 3" xfId="13409" xr:uid="{00000000-0005-0000-0000-00005D340000}"/>
    <cellStyle name="40% - Accent2 5 2 3 2 2 3 2" xfId="13410" xr:uid="{00000000-0005-0000-0000-00005E340000}"/>
    <cellStyle name="40% - Accent2 5 2 3 2 2 4" xfId="13411" xr:uid="{00000000-0005-0000-0000-00005F340000}"/>
    <cellStyle name="40% - Accent2 5 2 3 2 3" xfId="13412" xr:uid="{00000000-0005-0000-0000-000060340000}"/>
    <cellStyle name="40% - Accent2 5 2 3 2 3 2" xfId="13413" xr:uid="{00000000-0005-0000-0000-000061340000}"/>
    <cellStyle name="40% - Accent2 5 2 3 2 3 2 2" xfId="13414" xr:uid="{00000000-0005-0000-0000-000062340000}"/>
    <cellStyle name="40% - Accent2 5 2 3 2 3 3" xfId="13415" xr:uid="{00000000-0005-0000-0000-000063340000}"/>
    <cellStyle name="40% - Accent2 5 2 3 2 4" xfId="13416" xr:uid="{00000000-0005-0000-0000-000064340000}"/>
    <cellStyle name="40% - Accent2 5 2 3 2 4 2" xfId="13417" xr:uid="{00000000-0005-0000-0000-000065340000}"/>
    <cellStyle name="40% - Accent2 5 2 3 2 4 2 2" xfId="13418" xr:uid="{00000000-0005-0000-0000-000066340000}"/>
    <cellStyle name="40% - Accent2 5 2 3 2 4 3" xfId="13419" xr:uid="{00000000-0005-0000-0000-000067340000}"/>
    <cellStyle name="40% - Accent2 5 2 3 2 5" xfId="13420" xr:uid="{00000000-0005-0000-0000-000068340000}"/>
    <cellStyle name="40% - Accent2 5 2 3 2 5 2" xfId="13421" xr:uid="{00000000-0005-0000-0000-000069340000}"/>
    <cellStyle name="40% - Accent2 5 2 3 2 5 2 2" xfId="13422" xr:uid="{00000000-0005-0000-0000-00006A340000}"/>
    <cellStyle name="40% - Accent2 5 2 3 2 5 3" xfId="13423" xr:uid="{00000000-0005-0000-0000-00006B340000}"/>
    <cellStyle name="40% - Accent2 5 2 3 2 6" xfId="13424" xr:uid="{00000000-0005-0000-0000-00006C340000}"/>
    <cellStyle name="40% - Accent2 5 2 3 2 6 2" xfId="13425" xr:uid="{00000000-0005-0000-0000-00006D340000}"/>
    <cellStyle name="40% - Accent2 5 2 3 2 6 2 2" xfId="13426" xr:uid="{00000000-0005-0000-0000-00006E340000}"/>
    <cellStyle name="40% - Accent2 5 2 3 2 6 3" xfId="13427" xr:uid="{00000000-0005-0000-0000-00006F340000}"/>
    <cellStyle name="40% - Accent2 5 2 3 2 7" xfId="13428" xr:uid="{00000000-0005-0000-0000-000070340000}"/>
    <cellStyle name="40% - Accent2 5 2 3 2 7 2" xfId="13429" xr:uid="{00000000-0005-0000-0000-000071340000}"/>
    <cellStyle name="40% - Accent2 5 2 3 2 8" xfId="13430" xr:uid="{00000000-0005-0000-0000-000072340000}"/>
    <cellStyle name="40% - Accent2 5 2 3 3" xfId="13431" xr:uid="{00000000-0005-0000-0000-000073340000}"/>
    <cellStyle name="40% - Accent2 5 2 3 3 2" xfId="13432" xr:uid="{00000000-0005-0000-0000-000074340000}"/>
    <cellStyle name="40% - Accent2 5 2 3 3 2 2" xfId="13433" xr:uid="{00000000-0005-0000-0000-000075340000}"/>
    <cellStyle name="40% - Accent2 5 2 3 3 2 2 2" xfId="13434" xr:uid="{00000000-0005-0000-0000-000076340000}"/>
    <cellStyle name="40% - Accent2 5 2 3 3 2 2 2 2" xfId="13435" xr:uid="{00000000-0005-0000-0000-000077340000}"/>
    <cellStyle name="40% - Accent2 5 2 3 3 2 2 3" xfId="13436" xr:uid="{00000000-0005-0000-0000-000078340000}"/>
    <cellStyle name="40% - Accent2 5 2 3 3 2 3" xfId="13437" xr:uid="{00000000-0005-0000-0000-000079340000}"/>
    <cellStyle name="40% - Accent2 5 2 3 3 2 3 2" xfId="13438" xr:uid="{00000000-0005-0000-0000-00007A340000}"/>
    <cellStyle name="40% - Accent2 5 2 3 3 2 4" xfId="13439" xr:uid="{00000000-0005-0000-0000-00007B340000}"/>
    <cellStyle name="40% - Accent2 5 2 3 3 3" xfId="13440" xr:uid="{00000000-0005-0000-0000-00007C340000}"/>
    <cellStyle name="40% - Accent2 5 2 3 3 3 2" xfId="13441" xr:uid="{00000000-0005-0000-0000-00007D340000}"/>
    <cellStyle name="40% - Accent2 5 2 3 3 3 2 2" xfId="13442" xr:uid="{00000000-0005-0000-0000-00007E340000}"/>
    <cellStyle name="40% - Accent2 5 2 3 3 3 3" xfId="13443" xr:uid="{00000000-0005-0000-0000-00007F340000}"/>
    <cellStyle name="40% - Accent2 5 2 3 3 4" xfId="13444" xr:uid="{00000000-0005-0000-0000-000080340000}"/>
    <cellStyle name="40% - Accent2 5 2 3 3 4 2" xfId="13445" xr:uid="{00000000-0005-0000-0000-000081340000}"/>
    <cellStyle name="40% - Accent2 5 2 3 3 4 2 2" xfId="13446" xr:uid="{00000000-0005-0000-0000-000082340000}"/>
    <cellStyle name="40% - Accent2 5 2 3 3 4 3" xfId="13447" xr:uid="{00000000-0005-0000-0000-000083340000}"/>
    <cellStyle name="40% - Accent2 5 2 3 3 5" xfId="13448" xr:uid="{00000000-0005-0000-0000-000084340000}"/>
    <cellStyle name="40% - Accent2 5 2 3 3 5 2" xfId="13449" xr:uid="{00000000-0005-0000-0000-000085340000}"/>
    <cellStyle name="40% - Accent2 5 2 3 3 5 2 2" xfId="13450" xr:uid="{00000000-0005-0000-0000-000086340000}"/>
    <cellStyle name="40% - Accent2 5 2 3 3 5 3" xfId="13451" xr:uid="{00000000-0005-0000-0000-000087340000}"/>
    <cellStyle name="40% - Accent2 5 2 3 3 6" xfId="13452" xr:uid="{00000000-0005-0000-0000-000088340000}"/>
    <cellStyle name="40% - Accent2 5 2 3 3 6 2" xfId="13453" xr:uid="{00000000-0005-0000-0000-000089340000}"/>
    <cellStyle name="40% - Accent2 5 2 3 3 6 2 2" xfId="13454" xr:uid="{00000000-0005-0000-0000-00008A340000}"/>
    <cellStyle name="40% - Accent2 5 2 3 3 6 3" xfId="13455" xr:uid="{00000000-0005-0000-0000-00008B340000}"/>
    <cellStyle name="40% - Accent2 5 2 3 3 7" xfId="13456" xr:uid="{00000000-0005-0000-0000-00008C340000}"/>
    <cellStyle name="40% - Accent2 5 2 3 3 7 2" xfId="13457" xr:uid="{00000000-0005-0000-0000-00008D340000}"/>
    <cellStyle name="40% - Accent2 5 2 3 3 8" xfId="13458" xr:uid="{00000000-0005-0000-0000-00008E340000}"/>
    <cellStyle name="40% - Accent2 5 2 3 4" xfId="13459" xr:uid="{00000000-0005-0000-0000-00008F340000}"/>
    <cellStyle name="40% - Accent2 5 2 3 4 2" xfId="13460" xr:uid="{00000000-0005-0000-0000-000090340000}"/>
    <cellStyle name="40% - Accent2 5 2 3 4 2 2" xfId="13461" xr:uid="{00000000-0005-0000-0000-000091340000}"/>
    <cellStyle name="40% - Accent2 5 2 3 4 2 2 2" xfId="13462" xr:uid="{00000000-0005-0000-0000-000092340000}"/>
    <cellStyle name="40% - Accent2 5 2 3 4 2 2 2 2" xfId="13463" xr:uid="{00000000-0005-0000-0000-000093340000}"/>
    <cellStyle name="40% - Accent2 5 2 3 4 2 2 3" xfId="13464" xr:uid="{00000000-0005-0000-0000-000094340000}"/>
    <cellStyle name="40% - Accent2 5 2 3 4 2 3" xfId="13465" xr:uid="{00000000-0005-0000-0000-000095340000}"/>
    <cellStyle name="40% - Accent2 5 2 3 4 2 3 2" xfId="13466" xr:uid="{00000000-0005-0000-0000-000096340000}"/>
    <cellStyle name="40% - Accent2 5 2 3 4 2 4" xfId="13467" xr:uid="{00000000-0005-0000-0000-000097340000}"/>
    <cellStyle name="40% - Accent2 5 2 3 4 3" xfId="13468" xr:uid="{00000000-0005-0000-0000-000098340000}"/>
    <cellStyle name="40% - Accent2 5 2 3 4 3 2" xfId="13469" xr:uid="{00000000-0005-0000-0000-000099340000}"/>
    <cellStyle name="40% - Accent2 5 2 3 4 3 2 2" xfId="13470" xr:uid="{00000000-0005-0000-0000-00009A340000}"/>
    <cellStyle name="40% - Accent2 5 2 3 4 3 3" xfId="13471" xr:uid="{00000000-0005-0000-0000-00009B340000}"/>
    <cellStyle name="40% - Accent2 5 2 3 4 4" xfId="13472" xr:uid="{00000000-0005-0000-0000-00009C340000}"/>
    <cellStyle name="40% - Accent2 5 2 3 4 4 2" xfId="13473" xr:uid="{00000000-0005-0000-0000-00009D340000}"/>
    <cellStyle name="40% - Accent2 5 2 3 4 4 2 2" xfId="13474" xr:uid="{00000000-0005-0000-0000-00009E340000}"/>
    <cellStyle name="40% - Accent2 5 2 3 4 4 3" xfId="13475" xr:uid="{00000000-0005-0000-0000-00009F340000}"/>
    <cellStyle name="40% - Accent2 5 2 3 4 5" xfId="13476" xr:uid="{00000000-0005-0000-0000-0000A0340000}"/>
    <cellStyle name="40% - Accent2 5 2 3 4 5 2" xfId="13477" xr:uid="{00000000-0005-0000-0000-0000A1340000}"/>
    <cellStyle name="40% - Accent2 5 2 3 4 5 2 2" xfId="13478" xr:uid="{00000000-0005-0000-0000-0000A2340000}"/>
    <cellStyle name="40% - Accent2 5 2 3 4 5 3" xfId="13479" xr:uid="{00000000-0005-0000-0000-0000A3340000}"/>
    <cellStyle name="40% - Accent2 5 2 3 4 6" xfId="13480" xr:uid="{00000000-0005-0000-0000-0000A4340000}"/>
    <cellStyle name="40% - Accent2 5 2 3 4 6 2" xfId="13481" xr:uid="{00000000-0005-0000-0000-0000A5340000}"/>
    <cellStyle name="40% - Accent2 5 2 3 4 6 2 2" xfId="13482" xr:uid="{00000000-0005-0000-0000-0000A6340000}"/>
    <cellStyle name="40% - Accent2 5 2 3 4 6 3" xfId="13483" xr:uid="{00000000-0005-0000-0000-0000A7340000}"/>
    <cellStyle name="40% - Accent2 5 2 3 4 7" xfId="13484" xr:uid="{00000000-0005-0000-0000-0000A8340000}"/>
    <cellStyle name="40% - Accent2 5 2 3 4 7 2" xfId="13485" xr:uid="{00000000-0005-0000-0000-0000A9340000}"/>
    <cellStyle name="40% - Accent2 5 2 3 4 8" xfId="13486" xr:uid="{00000000-0005-0000-0000-0000AA340000}"/>
    <cellStyle name="40% - Accent2 5 2 3 5" xfId="13487" xr:uid="{00000000-0005-0000-0000-0000AB340000}"/>
    <cellStyle name="40% - Accent2 5 2 3 5 2" xfId="13488" xr:uid="{00000000-0005-0000-0000-0000AC340000}"/>
    <cellStyle name="40% - Accent2 5 2 3 5 2 2" xfId="13489" xr:uid="{00000000-0005-0000-0000-0000AD340000}"/>
    <cellStyle name="40% - Accent2 5 2 3 5 2 2 2" xfId="13490" xr:uid="{00000000-0005-0000-0000-0000AE340000}"/>
    <cellStyle name="40% - Accent2 5 2 3 5 2 2 2 2" xfId="13491" xr:uid="{00000000-0005-0000-0000-0000AF340000}"/>
    <cellStyle name="40% - Accent2 5 2 3 5 2 2 3" xfId="13492" xr:uid="{00000000-0005-0000-0000-0000B0340000}"/>
    <cellStyle name="40% - Accent2 5 2 3 5 2 3" xfId="13493" xr:uid="{00000000-0005-0000-0000-0000B1340000}"/>
    <cellStyle name="40% - Accent2 5 2 3 5 2 3 2" xfId="13494" xr:uid="{00000000-0005-0000-0000-0000B2340000}"/>
    <cellStyle name="40% - Accent2 5 2 3 5 2 4" xfId="13495" xr:uid="{00000000-0005-0000-0000-0000B3340000}"/>
    <cellStyle name="40% - Accent2 5 2 3 5 3" xfId="13496" xr:uid="{00000000-0005-0000-0000-0000B4340000}"/>
    <cellStyle name="40% - Accent2 5 2 3 5 3 2" xfId="13497" xr:uid="{00000000-0005-0000-0000-0000B5340000}"/>
    <cellStyle name="40% - Accent2 5 2 3 5 3 2 2" xfId="13498" xr:uid="{00000000-0005-0000-0000-0000B6340000}"/>
    <cellStyle name="40% - Accent2 5 2 3 5 3 3" xfId="13499" xr:uid="{00000000-0005-0000-0000-0000B7340000}"/>
    <cellStyle name="40% - Accent2 5 2 3 5 4" xfId="13500" xr:uid="{00000000-0005-0000-0000-0000B8340000}"/>
    <cellStyle name="40% - Accent2 5 2 3 5 4 2" xfId="13501" xr:uid="{00000000-0005-0000-0000-0000B9340000}"/>
    <cellStyle name="40% - Accent2 5 2 3 5 5" xfId="13502" xr:uid="{00000000-0005-0000-0000-0000BA340000}"/>
    <cellStyle name="40% - Accent2 5 2 3 6" xfId="13503" xr:uid="{00000000-0005-0000-0000-0000BB340000}"/>
    <cellStyle name="40% - Accent2 5 2 3 6 2" xfId="13504" xr:uid="{00000000-0005-0000-0000-0000BC340000}"/>
    <cellStyle name="40% - Accent2 5 2 3 6 2 2" xfId="13505" xr:uid="{00000000-0005-0000-0000-0000BD340000}"/>
    <cellStyle name="40% - Accent2 5 2 3 6 2 2 2" xfId="13506" xr:uid="{00000000-0005-0000-0000-0000BE340000}"/>
    <cellStyle name="40% - Accent2 5 2 3 6 2 2 2 2" xfId="13507" xr:uid="{00000000-0005-0000-0000-0000BF340000}"/>
    <cellStyle name="40% - Accent2 5 2 3 6 2 2 3" xfId="13508" xr:uid="{00000000-0005-0000-0000-0000C0340000}"/>
    <cellStyle name="40% - Accent2 5 2 3 6 2 3" xfId="13509" xr:uid="{00000000-0005-0000-0000-0000C1340000}"/>
    <cellStyle name="40% - Accent2 5 2 3 6 2 3 2" xfId="13510" xr:uid="{00000000-0005-0000-0000-0000C2340000}"/>
    <cellStyle name="40% - Accent2 5 2 3 6 2 4" xfId="13511" xr:uid="{00000000-0005-0000-0000-0000C3340000}"/>
    <cellStyle name="40% - Accent2 5 2 3 6 3" xfId="13512" xr:uid="{00000000-0005-0000-0000-0000C4340000}"/>
    <cellStyle name="40% - Accent2 5 2 3 6 3 2" xfId="13513" xr:uid="{00000000-0005-0000-0000-0000C5340000}"/>
    <cellStyle name="40% - Accent2 5 2 3 6 3 2 2" xfId="13514" xr:uid="{00000000-0005-0000-0000-0000C6340000}"/>
    <cellStyle name="40% - Accent2 5 2 3 6 3 3" xfId="13515" xr:uid="{00000000-0005-0000-0000-0000C7340000}"/>
    <cellStyle name="40% - Accent2 5 2 3 6 4" xfId="13516" xr:uid="{00000000-0005-0000-0000-0000C8340000}"/>
    <cellStyle name="40% - Accent2 5 2 3 6 4 2" xfId="13517" xr:uid="{00000000-0005-0000-0000-0000C9340000}"/>
    <cellStyle name="40% - Accent2 5 2 3 6 5" xfId="13518" xr:uid="{00000000-0005-0000-0000-0000CA340000}"/>
    <cellStyle name="40% - Accent2 5 2 3 7" xfId="13519" xr:uid="{00000000-0005-0000-0000-0000CB340000}"/>
    <cellStyle name="40% - Accent2 5 2 3 7 2" xfId="13520" xr:uid="{00000000-0005-0000-0000-0000CC340000}"/>
    <cellStyle name="40% - Accent2 5 2 3 7 2 2" xfId="13521" xr:uid="{00000000-0005-0000-0000-0000CD340000}"/>
    <cellStyle name="40% - Accent2 5 2 3 7 2 2 2" xfId="13522" xr:uid="{00000000-0005-0000-0000-0000CE340000}"/>
    <cellStyle name="40% - Accent2 5 2 3 7 2 3" xfId="13523" xr:uid="{00000000-0005-0000-0000-0000CF340000}"/>
    <cellStyle name="40% - Accent2 5 2 3 7 3" xfId="13524" xr:uid="{00000000-0005-0000-0000-0000D0340000}"/>
    <cellStyle name="40% - Accent2 5 2 3 7 3 2" xfId="13525" xr:uid="{00000000-0005-0000-0000-0000D1340000}"/>
    <cellStyle name="40% - Accent2 5 2 3 7 4" xfId="13526" xr:uid="{00000000-0005-0000-0000-0000D2340000}"/>
    <cellStyle name="40% - Accent2 5 2 3 8" xfId="13527" xr:uid="{00000000-0005-0000-0000-0000D3340000}"/>
    <cellStyle name="40% - Accent2 5 2 3 8 2" xfId="13528" xr:uid="{00000000-0005-0000-0000-0000D4340000}"/>
    <cellStyle name="40% - Accent2 5 2 3 8 2 2" xfId="13529" xr:uid="{00000000-0005-0000-0000-0000D5340000}"/>
    <cellStyle name="40% - Accent2 5 2 3 8 2 2 2" xfId="13530" xr:uid="{00000000-0005-0000-0000-0000D6340000}"/>
    <cellStyle name="40% - Accent2 5 2 3 8 2 3" xfId="13531" xr:uid="{00000000-0005-0000-0000-0000D7340000}"/>
    <cellStyle name="40% - Accent2 5 2 3 8 3" xfId="13532" xr:uid="{00000000-0005-0000-0000-0000D8340000}"/>
    <cellStyle name="40% - Accent2 5 2 3 8 3 2" xfId="13533" xr:uid="{00000000-0005-0000-0000-0000D9340000}"/>
    <cellStyle name="40% - Accent2 5 2 3 8 4" xfId="13534" xr:uid="{00000000-0005-0000-0000-0000DA340000}"/>
    <cellStyle name="40% - Accent2 5 2 3 9" xfId="13535" xr:uid="{00000000-0005-0000-0000-0000DB340000}"/>
    <cellStyle name="40% - Accent2 5 2 3 9 2" xfId="13536" xr:uid="{00000000-0005-0000-0000-0000DC340000}"/>
    <cellStyle name="40% - Accent2 5 2 3 9 2 2" xfId="13537" xr:uid="{00000000-0005-0000-0000-0000DD340000}"/>
    <cellStyle name="40% - Accent2 5 2 3 9 3" xfId="13538" xr:uid="{00000000-0005-0000-0000-0000DE340000}"/>
    <cellStyle name="40% - Accent2 5 2 4" xfId="13539" xr:uid="{00000000-0005-0000-0000-0000DF340000}"/>
    <cellStyle name="40% - Accent2 5 2 4 10" xfId="13540" xr:uid="{00000000-0005-0000-0000-0000E0340000}"/>
    <cellStyle name="40% - Accent2 5 2 4 10 2" xfId="13541" xr:uid="{00000000-0005-0000-0000-0000E1340000}"/>
    <cellStyle name="40% - Accent2 5 2 4 10 2 2" xfId="13542" xr:uid="{00000000-0005-0000-0000-0000E2340000}"/>
    <cellStyle name="40% - Accent2 5 2 4 10 3" xfId="13543" xr:uid="{00000000-0005-0000-0000-0000E3340000}"/>
    <cellStyle name="40% - Accent2 5 2 4 11" xfId="13544" xr:uid="{00000000-0005-0000-0000-0000E4340000}"/>
    <cellStyle name="40% - Accent2 5 2 4 11 2" xfId="13545" xr:uid="{00000000-0005-0000-0000-0000E5340000}"/>
    <cellStyle name="40% - Accent2 5 2 4 11 2 2" xfId="13546" xr:uid="{00000000-0005-0000-0000-0000E6340000}"/>
    <cellStyle name="40% - Accent2 5 2 4 11 3" xfId="13547" xr:uid="{00000000-0005-0000-0000-0000E7340000}"/>
    <cellStyle name="40% - Accent2 5 2 4 12" xfId="13548" xr:uid="{00000000-0005-0000-0000-0000E8340000}"/>
    <cellStyle name="40% - Accent2 5 2 4 12 2" xfId="13549" xr:uid="{00000000-0005-0000-0000-0000E9340000}"/>
    <cellStyle name="40% - Accent2 5 2 4 12 2 2" xfId="13550" xr:uid="{00000000-0005-0000-0000-0000EA340000}"/>
    <cellStyle name="40% - Accent2 5 2 4 12 3" xfId="13551" xr:uid="{00000000-0005-0000-0000-0000EB340000}"/>
    <cellStyle name="40% - Accent2 5 2 4 13" xfId="13552" xr:uid="{00000000-0005-0000-0000-0000EC340000}"/>
    <cellStyle name="40% - Accent2 5 2 4 13 2" xfId="13553" xr:uid="{00000000-0005-0000-0000-0000ED340000}"/>
    <cellStyle name="40% - Accent2 5 2 4 14" xfId="13554" xr:uid="{00000000-0005-0000-0000-0000EE340000}"/>
    <cellStyle name="40% - Accent2 5 2 4 2" xfId="13555" xr:uid="{00000000-0005-0000-0000-0000EF340000}"/>
    <cellStyle name="40% - Accent2 5 2 4 2 2" xfId="13556" xr:uid="{00000000-0005-0000-0000-0000F0340000}"/>
    <cellStyle name="40% - Accent2 5 2 4 2 2 2" xfId="13557" xr:uid="{00000000-0005-0000-0000-0000F1340000}"/>
    <cellStyle name="40% - Accent2 5 2 4 2 2 2 2" xfId="13558" xr:uid="{00000000-0005-0000-0000-0000F2340000}"/>
    <cellStyle name="40% - Accent2 5 2 4 2 2 2 2 2" xfId="13559" xr:uid="{00000000-0005-0000-0000-0000F3340000}"/>
    <cellStyle name="40% - Accent2 5 2 4 2 2 2 3" xfId="13560" xr:uid="{00000000-0005-0000-0000-0000F4340000}"/>
    <cellStyle name="40% - Accent2 5 2 4 2 2 3" xfId="13561" xr:uid="{00000000-0005-0000-0000-0000F5340000}"/>
    <cellStyle name="40% - Accent2 5 2 4 2 2 3 2" xfId="13562" xr:uid="{00000000-0005-0000-0000-0000F6340000}"/>
    <cellStyle name="40% - Accent2 5 2 4 2 2 4" xfId="13563" xr:uid="{00000000-0005-0000-0000-0000F7340000}"/>
    <cellStyle name="40% - Accent2 5 2 4 2 3" xfId="13564" xr:uid="{00000000-0005-0000-0000-0000F8340000}"/>
    <cellStyle name="40% - Accent2 5 2 4 2 3 2" xfId="13565" xr:uid="{00000000-0005-0000-0000-0000F9340000}"/>
    <cellStyle name="40% - Accent2 5 2 4 2 3 2 2" xfId="13566" xr:uid="{00000000-0005-0000-0000-0000FA340000}"/>
    <cellStyle name="40% - Accent2 5 2 4 2 3 3" xfId="13567" xr:uid="{00000000-0005-0000-0000-0000FB340000}"/>
    <cellStyle name="40% - Accent2 5 2 4 2 4" xfId="13568" xr:uid="{00000000-0005-0000-0000-0000FC340000}"/>
    <cellStyle name="40% - Accent2 5 2 4 2 4 2" xfId="13569" xr:uid="{00000000-0005-0000-0000-0000FD340000}"/>
    <cellStyle name="40% - Accent2 5 2 4 2 4 2 2" xfId="13570" xr:uid="{00000000-0005-0000-0000-0000FE340000}"/>
    <cellStyle name="40% - Accent2 5 2 4 2 4 3" xfId="13571" xr:uid="{00000000-0005-0000-0000-0000FF340000}"/>
    <cellStyle name="40% - Accent2 5 2 4 2 5" xfId="13572" xr:uid="{00000000-0005-0000-0000-000000350000}"/>
    <cellStyle name="40% - Accent2 5 2 4 2 5 2" xfId="13573" xr:uid="{00000000-0005-0000-0000-000001350000}"/>
    <cellStyle name="40% - Accent2 5 2 4 2 5 2 2" xfId="13574" xr:uid="{00000000-0005-0000-0000-000002350000}"/>
    <cellStyle name="40% - Accent2 5 2 4 2 5 3" xfId="13575" xr:uid="{00000000-0005-0000-0000-000003350000}"/>
    <cellStyle name="40% - Accent2 5 2 4 2 6" xfId="13576" xr:uid="{00000000-0005-0000-0000-000004350000}"/>
    <cellStyle name="40% - Accent2 5 2 4 2 6 2" xfId="13577" xr:uid="{00000000-0005-0000-0000-000005350000}"/>
    <cellStyle name="40% - Accent2 5 2 4 2 6 2 2" xfId="13578" xr:uid="{00000000-0005-0000-0000-000006350000}"/>
    <cellStyle name="40% - Accent2 5 2 4 2 6 3" xfId="13579" xr:uid="{00000000-0005-0000-0000-000007350000}"/>
    <cellStyle name="40% - Accent2 5 2 4 2 7" xfId="13580" xr:uid="{00000000-0005-0000-0000-000008350000}"/>
    <cellStyle name="40% - Accent2 5 2 4 2 7 2" xfId="13581" xr:uid="{00000000-0005-0000-0000-000009350000}"/>
    <cellStyle name="40% - Accent2 5 2 4 2 8" xfId="13582" xr:uid="{00000000-0005-0000-0000-00000A350000}"/>
    <cellStyle name="40% - Accent2 5 2 4 3" xfId="13583" xr:uid="{00000000-0005-0000-0000-00000B350000}"/>
    <cellStyle name="40% - Accent2 5 2 4 3 2" xfId="13584" xr:uid="{00000000-0005-0000-0000-00000C350000}"/>
    <cellStyle name="40% - Accent2 5 2 4 3 2 2" xfId="13585" xr:uid="{00000000-0005-0000-0000-00000D350000}"/>
    <cellStyle name="40% - Accent2 5 2 4 3 2 2 2" xfId="13586" xr:uid="{00000000-0005-0000-0000-00000E350000}"/>
    <cellStyle name="40% - Accent2 5 2 4 3 2 2 2 2" xfId="13587" xr:uid="{00000000-0005-0000-0000-00000F350000}"/>
    <cellStyle name="40% - Accent2 5 2 4 3 2 2 3" xfId="13588" xr:uid="{00000000-0005-0000-0000-000010350000}"/>
    <cellStyle name="40% - Accent2 5 2 4 3 2 3" xfId="13589" xr:uid="{00000000-0005-0000-0000-000011350000}"/>
    <cellStyle name="40% - Accent2 5 2 4 3 2 3 2" xfId="13590" xr:uid="{00000000-0005-0000-0000-000012350000}"/>
    <cellStyle name="40% - Accent2 5 2 4 3 2 4" xfId="13591" xr:uid="{00000000-0005-0000-0000-000013350000}"/>
    <cellStyle name="40% - Accent2 5 2 4 3 3" xfId="13592" xr:uid="{00000000-0005-0000-0000-000014350000}"/>
    <cellStyle name="40% - Accent2 5 2 4 3 3 2" xfId="13593" xr:uid="{00000000-0005-0000-0000-000015350000}"/>
    <cellStyle name="40% - Accent2 5 2 4 3 3 2 2" xfId="13594" xr:uid="{00000000-0005-0000-0000-000016350000}"/>
    <cellStyle name="40% - Accent2 5 2 4 3 3 3" xfId="13595" xr:uid="{00000000-0005-0000-0000-000017350000}"/>
    <cellStyle name="40% - Accent2 5 2 4 3 4" xfId="13596" xr:uid="{00000000-0005-0000-0000-000018350000}"/>
    <cellStyle name="40% - Accent2 5 2 4 3 4 2" xfId="13597" xr:uid="{00000000-0005-0000-0000-000019350000}"/>
    <cellStyle name="40% - Accent2 5 2 4 3 4 2 2" xfId="13598" xr:uid="{00000000-0005-0000-0000-00001A350000}"/>
    <cellStyle name="40% - Accent2 5 2 4 3 4 3" xfId="13599" xr:uid="{00000000-0005-0000-0000-00001B350000}"/>
    <cellStyle name="40% - Accent2 5 2 4 3 5" xfId="13600" xr:uid="{00000000-0005-0000-0000-00001C350000}"/>
    <cellStyle name="40% - Accent2 5 2 4 3 5 2" xfId="13601" xr:uid="{00000000-0005-0000-0000-00001D350000}"/>
    <cellStyle name="40% - Accent2 5 2 4 3 5 2 2" xfId="13602" xr:uid="{00000000-0005-0000-0000-00001E350000}"/>
    <cellStyle name="40% - Accent2 5 2 4 3 5 3" xfId="13603" xr:uid="{00000000-0005-0000-0000-00001F350000}"/>
    <cellStyle name="40% - Accent2 5 2 4 3 6" xfId="13604" xr:uid="{00000000-0005-0000-0000-000020350000}"/>
    <cellStyle name="40% - Accent2 5 2 4 3 6 2" xfId="13605" xr:uid="{00000000-0005-0000-0000-000021350000}"/>
    <cellStyle name="40% - Accent2 5 2 4 3 6 2 2" xfId="13606" xr:uid="{00000000-0005-0000-0000-000022350000}"/>
    <cellStyle name="40% - Accent2 5 2 4 3 6 3" xfId="13607" xr:uid="{00000000-0005-0000-0000-000023350000}"/>
    <cellStyle name="40% - Accent2 5 2 4 3 7" xfId="13608" xr:uid="{00000000-0005-0000-0000-000024350000}"/>
    <cellStyle name="40% - Accent2 5 2 4 3 7 2" xfId="13609" xr:uid="{00000000-0005-0000-0000-000025350000}"/>
    <cellStyle name="40% - Accent2 5 2 4 3 8" xfId="13610" xr:uid="{00000000-0005-0000-0000-000026350000}"/>
    <cellStyle name="40% - Accent2 5 2 4 4" xfId="13611" xr:uid="{00000000-0005-0000-0000-000027350000}"/>
    <cellStyle name="40% - Accent2 5 2 4 4 2" xfId="13612" xr:uid="{00000000-0005-0000-0000-000028350000}"/>
    <cellStyle name="40% - Accent2 5 2 4 4 2 2" xfId="13613" xr:uid="{00000000-0005-0000-0000-000029350000}"/>
    <cellStyle name="40% - Accent2 5 2 4 4 2 2 2" xfId="13614" xr:uid="{00000000-0005-0000-0000-00002A350000}"/>
    <cellStyle name="40% - Accent2 5 2 4 4 2 2 2 2" xfId="13615" xr:uid="{00000000-0005-0000-0000-00002B350000}"/>
    <cellStyle name="40% - Accent2 5 2 4 4 2 2 3" xfId="13616" xr:uid="{00000000-0005-0000-0000-00002C350000}"/>
    <cellStyle name="40% - Accent2 5 2 4 4 2 3" xfId="13617" xr:uid="{00000000-0005-0000-0000-00002D350000}"/>
    <cellStyle name="40% - Accent2 5 2 4 4 2 3 2" xfId="13618" xr:uid="{00000000-0005-0000-0000-00002E350000}"/>
    <cellStyle name="40% - Accent2 5 2 4 4 2 4" xfId="13619" xr:uid="{00000000-0005-0000-0000-00002F350000}"/>
    <cellStyle name="40% - Accent2 5 2 4 4 3" xfId="13620" xr:uid="{00000000-0005-0000-0000-000030350000}"/>
    <cellStyle name="40% - Accent2 5 2 4 4 3 2" xfId="13621" xr:uid="{00000000-0005-0000-0000-000031350000}"/>
    <cellStyle name="40% - Accent2 5 2 4 4 3 2 2" xfId="13622" xr:uid="{00000000-0005-0000-0000-000032350000}"/>
    <cellStyle name="40% - Accent2 5 2 4 4 3 3" xfId="13623" xr:uid="{00000000-0005-0000-0000-000033350000}"/>
    <cellStyle name="40% - Accent2 5 2 4 4 4" xfId="13624" xr:uid="{00000000-0005-0000-0000-000034350000}"/>
    <cellStyle name="40% - Accent2 5 2 4 4 4 2" xfId="13625" xr:uid="{00000000-0005-0000-0000-000035350000}"/>
    <cellStyle name="40% - Accent2 5 2 4 4 4 2 2" xfId="13626" xr:uid="{00000000-0005-0000-0000-000036350000}"/>
    <cellStyle name="40% - Accent2 5 2 4 4 4 3" xfId="13627" xr:uid="{00000000-0005-0000-0000-000037350000}"/>
    <cellStyle name="40% - Accent2 5 2 4 4 5" xfId="13628" xr:uid="{00000000-0005-0000-0000-000038350000}"/>
    <cellStyle name="40% - Accent2 5 2 4 4 5 2" xfId="13629" xr:uid="{00000000-0005-0000-0000-000039350000}"/>
    <cellStyle name="40% - Accent2 5 2 4 4 5 2 2" xfId="13630" xr:uid="{00000000-0005-0000-0000-00003A350000}"/>
    <cellStyle name="40% - Accent2 5 2 4 4 5 3" xfId="13631" xr:uid="{00000000-0005-0000-0000-00003B350000}"/>
    <cellStyle name="40% - Accent2 5 2 4 4 6" xfId="13632" xr:uid="{00000000-0005-0000-0000-00003C350000}"/>
    <cellStyle name="40% - Accent2 5 2 4 4 6 2" xfId="13633" xr:uid="{00000000-0005-0000-0000-00003D350000}"/>
    <cellStyle name="40% - Accent2 5 2 4 4 6 2 2" xfId="13634" xr:uid="{00000000-0005-0000-0000-00003E350000}"/>
    <cellStyle name="40% - Accent2 5 2 4 4 6 3" xfId="13635" xr:uid="{00000000-0005-0000-0000-00003F350000}"/>
    <cellStyle name="40% - Accent2 5 2 4 4 7" xfId="13636" xr:uid="{00000000-0005-0000-0000-000040350000}"/>
    <cellStyle name="40% - Accent2 5 2 4 4 7 2" xfId="13637" xr:uid="{00000000-0005-0000-0000-000041350000}"/>
    <cellStyle name="40% - Accent2 5 2 4 4 8" xfId="13638" xr:uid="{00000000-0005-0000-0000-000042350000}"/>
    <cellStyle name="40% - Accent2 5 2 4 5" xfId="13639" xr:uid="{00000000-0005-0000-0000-000043350000}"/>
    <cellStyle name="40% - Accent2 5 2 4 5 2" xfId="13640" xr:uid="{00000000-0005-0000-0000-000044350000}"/>
    <cellStyle name="40% - Accent2 5 2 4 5 2 2" xfId="13641" xr:uid="{00000000-0005-0000-0000-000045350000}"/>
    <cellStyle name="40% - Accent2 5 2 4 5 2 2 2" xfId="13642" xr:uid="{00000000-0005-0000-0000-000046350000}"/>
    <cellStyle name="40% - Accent2 5 2 4 5 2 2 2 2" xfId="13643" xr:uid="{00000000-0005-0000-0000-000047350000}"/>
    <cellStyle name="40% - Accent2 5 2 4 5 2 2 3" xfId="13644" xr:uid="{00000000-0005-0000-0000-000048350000}"/>
    <cellStyle name="40% - Accent2 5 2 4 5 2 3" xfId="13645" xr:uid="{00000000-0005-0000-0000-000049350000}"/>
    <cellStyle name="40% - Accent2 5 2 4 5 2 3 2" xfId="13646" xr:uid="{00000000-0005-0000-0000-00004A350000}"/>
    <cellStyle name="40% - Accent2 5 2 4 5 2 4" xfId="13647" xr:uid="{00000000-0005-0000-0000-00004B350000}"/>
    <cellStyle name="40% - Accent2 5 2 4 5 3" xfId="13648" xr:uid="{00000000-0005-0000-0000-00004C350000}"/>
    <cellStyle name="40% - Accent2 5 2 4 5 3 2" xfId="13649" xr:uid="{00000000-0005-0000-0000-00004D350000}"/>
    <cellStyle name="40% - Accent2 5 2 4 5 3 2 2" xfId="13650" xr:uid="{00000000-0005-0000-0000-00004E350000}"/>
    <cellStyle name="40% - Accent2 5 2 4 5 3 3" xfId="13651" xr:uid="{00000000-0005-0000-0000-00004F350000}"/>
    <cellStyle name="40% - Accent2 5 2 4 5 4" xfId="13652" xr:uid="{00000000-0005-0000-0000-000050350000}"/>
    <cellStyle name="40% - Accent2 5 2 4 5 4 2" xfId="13653" xr:uid="{00000000-0005-0000-0000-000051350000}"/>
    <cellStyle name="40% - Accent2 5 2 4 5 5" xfId="13654" xr:uid="{00000000-0005-0000-0000-000052350000}"/>
    <cellStyle name="40% - Accent2 5 2 4 6" xfId="13655" xr:uid="{00000000-0005-0000-0000-000053350000}"/>
    <cellStyle name="40% - Accent2 5 2 4 6 2" xfId="13656" xr:uid="{00000000-0005-0000-0000-000054350000}"/>
    <cellStyle name="40% - Accent2 5 2 4 6 2 2" xfId="13657" xr:uid="{00000000-0005-0000-0000-000055350000}"/>
    <cellStyle name="40% - Accent2 5 2 4 6 2 2 2" xfId="13658" xr:uid="{00000000-0005-0000-0000-000056350000}"/>
    <cellStyle name="40% - Accent2 5 2 4 6 2 2 2 2" xfId="13659" xr:uid="{00000000-0005-0000-0000-000057350000}"/>
    <cellStyle name="40% - Accent2 5 2 4 6 2 2 3" xfId="13660" xr:uid="{00000000-0005-0000-0000-000058350000}"/>
    <cellStyle name="40% - Accent2 5 2 4 6 2 3" xfId="13661" xr:uid="{00000000-0005-0000-0000-000059350000}"/>
    <cellStyle name="40% - Accent2 5 2 4 6 2 3 2" xfId="13662" xr:uid="{00000000-0005-0000-0000-00005A350000}"/>
    <cellStyle name="40% - Accent2 5 2 4 6 2 4" xfId="13663" xr:uid="{00000000-0005-0000-0000-00005B350000}"/>
    <cellStyle name="40% - Accent2 5 2 4 6 3" xfId="13664" xr:uid="{00000000-0005-0000-0000-00005C350000}"/>
    <cellStyle name="40% - Accent2 5 2 4 6 3 2" xfId="13665" xr:uid="{00000000-0005-0000-0000-00005D350000}"/>
    <cellStyle name="40% - Accent2 5 2 4 6 3 2 2" xfId="13666" xr:uid="{00000000-0005-0000-0000-00005E350000}"/>
    <cellStyle name="40% - Accent2 5 2 4 6 3 3" xfId="13667" xr:uid="{00000000-0005-0000-0000-00005F350000}"/>
    <cellStyle name="40% - Accent2 5 2 4 6 4" xfId="13668" xr:uid="{00000000-0005-0000-0000-000060350000}"/>
    <cellStyle name="40% - Accent2 5 2 4 6 4 2" xfId="13669" xr:uid="{00000000-0005-0000-0000-000061350000}"/>
    <cellStyle name="40% - Accent2 5 2 4 6 5" xfId="13670" xr:uid="{00000000-0005-0000-0000-000062350000}"/>
    <cellStyle name="40% - Accent2 5 2 4 7" xfId="13671" xr:uid="{00000000-0005-0000-0000-000063350000}"/>
    <cellStyle name="40% - Accent2 5 2 4 7 2" xfId="13672" xr:uid="{00000000-0005-0000-0000-000064350000}"/>
    <cellStyle name="40% - Accent2 5 2 4 7 2 2" xfId="13673" xr:uid="{00000000-0005-0000-0000-000065350000}"/>
    <cellStyle name="40% - Accent2 5 2 4 7 2 2 2" xfId="13674" xr:uid="{00000000-0005-0000-0000-000066350000}"/>
    <cellStyle name="40% - Accent2 5 2 4 7 2 3" xfId="13675" xr:uid="{00000000-0005-0000-0000-000067350000}"/>
    <cellStyle name="40% - Accent2 5 2 4 7 3" xfId="13676" xr:uid="{00000000-0005-0000-0000-000068350000}"/>
    <cellStyle name="40% - Accent2 5 2 4 7 3 2" xfId="13677" xr:uid="{00000000-0005-0000-0000-000069350000}"/>
    <cellStyle name="40% - Accent2 5 2 4 7 4" xfId="13678" xr:uid="{00000000-0005-0000-0000-00006A350000}"/>
    <cellStyle name="40% - Accent2 5 2 4 8" xfId="13679" xr:uid="{00000000-0005-0000-0000-00006B350000}"/>
    <cellStyle name="40% - Accent2 5 2 4 8 2" xfId="13680" xr:uid="{00000000-0005-0000-0000-00006C350000}"/>
    <cellStyle name="40% - Accent2 5 2 4 8 2 2" xfId="13681" xr:uid="{00000000-0005-0000-0000-00006D350000}"/>
    <cellStyle name="40% - Accent2 5 2 4 8 2 2 2" xfId="13682" xr:uid="{00000000-0005-0000-0000-00006E350000}"/>
    <cellStyle name="40% - Accent2 5 2 4 8 2 3" xfId="13683" xr:uid="{00000000-0005-0000-0000-00006F350000}"/>
    <cellStyle name="40% - Accent2 5 2 4 8 3" xfId="13684" xr:uid="{00000000-0005-0000-0000-000070350000}"/>
    <cellStyle name="40% - Accent2 5 2 4 8 3 2" xfId="13685" xr:uid="{00000000-0005-0000-0000-000071350000}"/>
    <cellStyle name="40% - Accent2 5 2 4 8 4" xfId="13686" xr:uid="{00000000-0005-0000-0000-000072350000}"/>
    <cellStyle name="40% - Accent2 5 2 4 9" xfId="13687" xr:uid="{00000000-0005-0000-0000-000073350000}"/>
    <cellStyle name="40% - Accent2 5 2 4 9 2" xfId="13688" xr:uid="{00000000-0005-0000-0000-000074350000}"/>
    <cellStyle name="40% - Accent2 5 2 4 9 2 2" xfId="13689" xr:uid="{00000000-0005-0000-0000-000075350000}"/>
    <cellStyle name="40% - Accent2 5 2 4 9 3" xfId="13690" xr:uid="{00000000-0005-0000-0000-000076350000}"/>
    <cellStyle name="40% - Accent2 5 2 5" xfId="13691" xr:uid="{00000000-0005-0000-0000-000077350000}"/>
    <cellStyle name="40% - Accent2 5 2 5 10" xfId="13692" xr:uid="{00000000-0005-0000-0000-000078350000}"/>
    <cellStyle name="40% - Accent2 5 2 5 10 2" xfId="13693" xr:uid="{00000000-0005-0000-0000-000079350000}"/>
    <cellStyle name="40% - Accent2 5 2 5 10 2 2" xfId="13694" xr:uid="{00000000-0005-0000-0000-00007A350000}"/>
    <cellStyle name="40% - Accent2 5 2 5 10 3" xfId="13695" xr:uid="{00000000-0005-0000-0000-00007B350000}"/>
    <cellStyle name="40% - Accent2 5 2 5 11" xfId="13696" xr:uid="{00000000-0005-0000-0000-00007C350000}"/>
    <cellStyle name="40% - Accent2 5 2 5 11 2" xfId="13697" xr:uid="{00000000-0005-0000-0000-00007D350000}"/>
    <cellStyle name="40% - Accent2 5 2 5 11 2 2" xfId="13698" xr:uid="{00000000-0005-0000-0000-00007E350000}"/>
    <cellStyle name="40% - Accent2 5 2 5 11 3" xfId="13699" xr:uid="{00000000-0005-0000-0000-00007F350000}"/>
    <cellStyle name="40% - Accent2 5 2 5 12" xfId="13700" xr:uid="{00000000-0005-0000-0000-000080350000}"/>
    <cellStyle name="40% - Accent2 5 2 5 12 2" xfId="13701" xr:uid="{00000000-0005-0000-0000-000081350000}"/>
    <cellStyle name="40% - Accent2 5 2 5 12 2 2" xfId="13702" xr:uid="{00000000-0005-0000-0000-000082350000}"/>
    <cellStyle name="40% - Accent2 5 2 5 12 3" xfId="13703" xr:uid="{00000000-0005-0000-0000-000083350000}"/>
    <cellStyle name="40% - Accent2 5 2 5 13" xfId="13704" xr:uid="{00000000-0005-0000-0000-000084350000}"/>
    <cellStyle name="40% - Accent2 5 2 5 13 2" xfId="13705" xr:uid="{00000000-0005-0000-0000-000085350000}"/>
    <cellStyle name="40% - Accent2 5 2 5 14" xfId="13706" xr:uid="{00000000-0005-0000-0000-000086350000}"/>
    <cellStyle name="40% - Accent2 5 2 5 2" xfId="13707" xr:uid="{00000000-0005-0000-0000-000087350000}"/>
    <cellStyle name="40% - Accent2 5 2 5 2 2" xfId="13708" xr:uid="{00000000-0005-0000-0000-000088350000}"/>
    <cellStyle name="40% - Accent2 5 2 5 2 2 2" xfId="13709" xr:uid="{00000000-0005-0000-0000-000089350000}"/>
    <cellStyle name="40% - Accent2 5 2 5 2 2 2 2" xfId="13710" xr:uid="{00000000-0005-0000-0000-00008A350000}"/>
    <cellStyle name="40% - Accent2 5 2 5 2 2 2 2 2" xfId="13711" xr:uid="{00000000-0005-0000-0000-00008B350000}"/>
    <cellStyle name="40% - Accent2 5 2 5 2 2 2 3" xfId="13712" xr:uid="{00000000-0005-0000-0000-00008C350000}"/>
    <cellStyle name="40% - Accent2 5 2 5 2 2 3" xfId="13713" xr:uid="{00000000-0005-0000-0000-00008D350000}"/>
    <cellStyle name="40% - Accent2 5 2 5 2 2 3 2" xfId="13714" xr:uid="{00000000-0005-0000-0000-00008E350000}"/>
    <cellStyle name="40% - Accent2 5 2 5 2 2 4" xfId="13715" xr:uid="{00000000-0005-0000-0000-00008F350000}"/>
    <cellStyle name="40% - Accent2 5 2 5 2 3" xfId="13716" xr:uid="{00000000-0005-0000-0000-000090350000}"/>
    <cellStyle name="40% - Accent2 5 2 5 2 3 2" xfId="13717" xr:uid="{00000000-0005-0000-0000-000091350000}"/>
    <cellStyle name="40% - Accent2 5 2 5 2 3 2 2" xfId="13718" xr:uid="{00000000-0005-0000-0000-000092350000}"/>
    <cellStyle name="40% - Accent2 5 2 5 2 3 3" xfId="13719" xr:uid="{00000000-0005-0000-0000-000093350000}"/>
    <cellStyle name="40% - Accent2 5 2 5 2 4" xfId="13720" xr:uid="{00000000-0005-0000-0000-000094350000}"/>
    <cellStyle name="40% - Accent2 5 2 5 2 4 2" xfId="13721" xr:uid="{00000000-0005-0000-0000-000095350000}"/>
    <cellStyle name="40% - Accent2 5 2 5 2 4 2 2" xfId="13722" xr:uid="{00000000-0005-0000-0000-000096350000}"/>
    <cellStyle name="40% - Accent2 5 2 5 2 4 3" xfId="13723" xr:uid="{00000000-0005-0000-0000-000097350000}"/>
    <cellStyle name="40% - Accent2 5 2 5 2 5" xfId="13724" xr:uid="{00000000-0005-0000-0000-000098350000}"/>
    <cellStyle name="40% - Accent2 5 2 5 2 5 2" xfId="13725" xr:uid="{00000000-0005-0000-0000-000099350000}"/>
    <cellStyle name="40% - Accent2 5 2 5 2 5 2 2" xfId="13726" xr:uid="{00000000-0005-0000-0000-00009A350000}"/>
    <cellStyle name="40% - Accent2 5 2 5 2 5 3" xfId="13727" xr:uid="{00000000-0005-0000-0000-00009B350000}"/>
    <cellStyle name="40% - Accent2 5 2 5 2 6" xfId="13728" xr:uid="{00000000-0005-0000-0000-00009C350000}"/>
    <cellStyle name="40% - Accent2 5 2 5 2 6 2" xfId="13729" xr:uid="{00000000-0005-0000-0000-00009D350000}"/>
    <cellStyle name="40% - Accent2 5 2 5 2 6 2 2" xfId="13730" xr:uid="{00000000-0005-0000-0000-00009E350000}"/>
    <cellStyle name="40% - Accent2 5 2 5 2 6 3" xfId="13731" xr:uid="{00000000-0005-0000-0000-00009F350000}"/>
    <cellStyle name="40% - Accent2 5 2 5 2 7" xfId="13732" xr:uid="{00000000-0005-0000-0000-0000A0350000}"/>
    <cellStyle name="40% - Accent2 5 2 5 2 7 2" xfId="13733" xr:uid="{00000000-0005-0000-0000-0000A1350000}"/>
    <cellStyle name="40% - Accent2 5 2 5 2 8" xfId="13734" xr:uid="{00000000-0005-0000-0000-0000A2350000}"/>
    <cellStyle name="40% - Accent2 5 2 5 3" xfId="13735" xr:uid="{00000000-0005-0000-0000-0000A3350000}"/>
    <cellStyle name="40% - Accent2 5 2 5 3 2" xfId="13736" xr:uid="{00000000-0005-0000-0000-0000A4350000}"/>
    <cellStyle name="40% - Accent2 5 2 5 3 2 2" xfId="13737" xr:uid="{00000000-0005-0000-0000-0000A5350000}"/>
    <cellStyle name="40% - Accent2 5 2 5 3 2 2 2" xfId="13738" xr:uid="{00000000-0005-0000-0000-0000A6350000}"/>
    <cellStyle name="40% - Accent2 5 2 5 3 2 2 2 2" xfId="13739" xr:uid="{00000000-0005-0000-0000-0000A7350000}"/>
    <cellStyle name="40% - Accent2 5 2 5 3 2 2 3" xfId="13740" xr:uid="{00000000-0005-0000-0000-0000A8350000}"/>
    <cellStyle name="40% - Accent2 5 2 5 3 2 3" xfId="13741" xr:uid="{00000000-0005-0000-0000-0000A9350000}"/>
    <cellStyle name="40% - Accent2 5 2 5 3 2 3 2" xfId="13742" xr:uid="{00000000-0005-0000-0000-0000AA350000}"/>
    <cellStyle name="40% - Accent2 5 2 5 3 2 4" xfId="13743" xr:uid="{00000000-0005-0000-0000-0000AB350000}"/>
    <cellStyle name="40% - Accent2 5 2 5 3 3" xfId="13744" xr:uid="{00000000-0005-0000-0000-0000AC350000}"/>
    <cellStyle name="40% - Accent2 5 2 5 3 3 2" xfId="13745" xr:uid="{00000000-0005-0000-0000-0000AD350000}"/>
    <cellStyle name="40% - Accent2 5 2 5 3 3 2 2" xfId="13746" xr:uid="{00000000-0005-0000-0000-0000AE350000}"/>
    <cellStyle name="40% - Accent2 5 2 5 3 3 3" xfId="13747" xr:uid="{00000000-0005-0000-0000-0000AF350000}"/>
    <cellStyle name="40% - Accent2 5 2 5 3 4" xfId="13748" xr:uid="{00000000-0005-0000-0000-0000B0350000}"/>
    <cellStyle name="40% - Accent2 5 2 5 3 4 2" xfId="13749" xr:uid="{00000000-0005-0000-0000-0000B1350000}"/>
    <cellStyle name="40% - Accent2 5 2 5 3 4 2 2" xfId="13750" xr:uid="{00000000-0005-0000-0000-0000B2350000}"/>
    <cellStyle name="40% - Accent2 5 2 5 3 4 3" xfId="13751" xr:uid="{00000000-0005-0000-0000-0000B3350000}"/>
    <cellStyle name="40% - Accent2 5 2 5 3 5" xfId="13752" xr:uid="{00000000-0005-0000-0000-0000B4350000}"/>
    <cellStyle name="40% - Accent2 5 2 5 3 5 2" xfId="13753" xr:uid="{00000000-0005-0000-0000-0000B5350000}"/>
    <cellStyle name="40% - Accent2 5 2 5 3 5 2 2" xfId="13754" xr:uid="{00000000-0005-0000-0000-0000B6350000}"/>
    <cellStyle name="40% - Accent2 5 2 5 3 5 3" xfId="13755" xr:uid="{00000000-0005-0000-0000-0000B7350000}"/>
    <cellStyle name="40% - Accent2 5 2 5 3 6" xfId="13756" xr:uid="{00000000-0005-0000-0000-0000B8350000}"/>
    <cellStyle name="40% - Accent2 5 2 5 3 6 2" xfId="13757" xr:uid="{00000000-0005-0000-0000-0000B9350000}"/>
    <cellStyle name="40% - Accent2 5 2 5 3 6 2 2" xfId="13758" xr:uid="{00000000-0005-0000-0000-0000BA350000}"/>
    <cellStyle name="40% - Accent2 5 2 5 3 6 3" xfId="13759" xr:uid="{00000000-0005-0000-0000-0000BB350000}"/>
    <cellStyle name="40% - Accent2 5 2 5 3 7" xfId="13760" xr:uid="{00000000-0005-0000-0000-0000BC350000}"/>
    <cellStyle name="40% - Accent2 5 2 5 3 7 2" xfId="13761" xr:uid="{00000000-0005-0000-0000-0000BD350000}"/>
    <cellStyle name="40% - Accent2 5 2 5 3 8" xfId="13762" xr:uid="{00000000-0005-0000-0000-0000BE350000}"/>
    <cellStyle name="40% - Accent2 5 2 5 4" xfId="13763" xr:uid="{00000000-0005-0000-0000-0000BF350000}"/>
    <cellStyle name="40% - Accent2 5 2 5 4 2" xfId="13764" xr:uid="{00000000-0005-0000-0000-0000C0350000}"/>
    <cellStyle name="40% - Accent2 5 2 5 4 2 2" xfId="13765" xr:uid="{00000000-0005-0000-0000-0000C1350000}"/>
    <cellStyle name="40% - Accent2 5 2 5 4 2 2 2" xfId="13766" xr:uid="{00000000-0005-0000-0000-0000C2350000}"/>
    <cellStyle name="40% - Accent2 5 2 5 4 2 2 2 2" xfId="13767" xr:uid="{00000000-0005-0000-0000-0000C3350000}"/>
    <cellStyle name="40% - Accent2 5 2 5 4 2 2 3" xfId="13768" xr:uid="{00000000-0005-0000-0000-0000C4350000}"/>
    <cellStyle name="40% - Accent2 5 2 5 4 2 3" xfId="13769" xr:uid="{00000000-0005-0000-0000-0000C5350000}"/>
    <cellStyle name="40% - Accent2 5 2 5 4 2 3 2" xfId="13770" xr:uid="{00000000-0005-0000-0000-0000C6350000}"/>
    <cellStyle name="40% - Accent2 5 2 5 4 2 4" xfId="13771" xr:uid="{00000000-0005-0000-0000-0000C7350000}"/>
    <cellStyle name="40% - Accent2 5 2 5 4 3" xfId="13772" xr:uid="{00000000-0005-0000-0000-0000C8350000}"/>
    <cellStyle name="40% - Accent2 5 2 5 4 3 2" xfId="13773" xr:uid="{00000000-0005-0000-0000-0000C9350000}"/>
    <cellStyle name="40% - Accent2 5 2 5 4 3 2 2" xfId="13774" xr:uid="{00000000-0005-0000-0000-0000CA350000}"/>
    <cellStyle name="40% - Accent2 5 2 5 4 3 3" xfId="13775" xr:uid="{00000000-0005-0000-0000-0000CB350000}"/>
    <cellStyle name="40% - Accent2 5 2 5 4 4" xfId="13776" xr:uid="{00000000-0005-0000-0000-0000CC350000}"/>
    <cellStyle name="40% - Accent2 5 2 5 4 4 2" xfId="13777" xr:uid="{00000000-0005-0000-0000-0000CD350000}"/>
    <cellStyle name="40% - Accent2 5 2 5 4 4 2 2" xfId="13778" xr:uid="{00000000-0005-0000-0000-0000CE350000}"/>
    <cellStyle name="40% - Accent2 5 2 5 4 4 3" xfId="13779" xr:uid="{00000000-0005-0000-0000-0000CF350000}"/>
    <cellStyle name="40% - Accent2 5 2 5 4 5" xfId="13780" xr:uid="{00000000-0005-0000-0000-0000D0350000}"/>
    <cellStyle name="40% - Accent2 5 2 5 4 5 2" xfId="13781" xr:uid="{00000000-0005-0000-0000-0000D1350000}"/>
    <cellStyle name="40% - Accent2 5 2 5 4 5 2 2" xfId="13782" xr:uid="{00000000-0005-0000-0000-0000D2350000}"/>
    <cellStyle name="40% - Accent2 5 2 5 4 5 3" xfId="13783" xr:uid="{00000000-0005-0000-0000-0000D3350000}"/>
    <cellStyle name="40% - Accent2 5 2 5 4 6" xfId="13784" xr:uid="{00000000-0005-0000-0000-0000D4350000}"/>
    <cellStyle name="40% - Accent2 5 2 5 4 6 2" xfId="13785" xr:uid="{00000000-0005-0000-0000-0000D5350000}"/>
    <cellStyle name="40% - Accent2 5 2 5 4 6 2 2" xfId="13786" xr:uid="{00000000-0005-0000-0000-0000D6350000}"/>
    <cellStyle name="40% - Accent2 5 2 5 4 6 3" xfId="13787" xr:uid="{00000000-0005-0000-0000-0000D7350000}"/>
    <cellStyle name="40% - Accent2 5 2 5 4 7" xfId="13788" xr:uid="{00000000-0005-0000-0000-0000D8350000}"/>
    <cellStyle name="40% - Accent2 5 2 5 4 7 2" xfId="13789" xr:uid="{00000000-0005-0000-0000-0000D9350000}"/>
    <cellStyle name="40% - Accent2 5 2 5 4 8" xfId="13790" xr:uid="{00000000-0005-0000-0000-0000DA350000}"/>
    <cellStyle name="40% - Accent2 5 2 5 5" xfId="13791" xr:uid="{00000000-0005-0000-0000-0000DB350000}"/>
    <cellStyle name="40% - Accent2 5 2 5 5 2" xfId="13792" xr:uid="{00000000-0005-0000-0000-0000DC350000}"/>
    <cellStyle name="40% - Accent2 5 2 5 5 2 2" xfId="13793" xr:uid="{00000000-0005-0000-0000-0000DD350000}"/>
    <cellStyle name="40% - Accent2 5 2 5 5 2 2 2" xfId="13794" xr:uid="{00000000-0005-0000-0000-0000DE350000}"/>
    <cellStyle name="40% - Accent2 5 2 5 5 2 2 2 2" xfId="13795" xr:uid="{00000000-0005-0000-0000-0000DF350000}"/>
    <cellStyle name="40% - Accent2 5 2 5 5 2 2 3" xfId="13796" xr:uid="{00000000-0005-0000-0000-0000E0350000}"/>
    <cellStyle name="40% - Accent2 5 2 5 5 2 3" xfId="13797" xr:uid="{00000000-0005-0000-0000-0000E1350000}"/>
    <cellStyle name="40% - Accent2 5 2 5 5 2 3 2" xfId="13798" xr:uid="{00000000-0005-0000-0000-0000E2350000}"/>
    <cellStyle name="40% - Accent2 5 2 5 5 2 4" xfId="13799" xr:uid="{00000000-0005-0000-0000-0000E3350000}"/>
    <cellStyle name="40% - Accent2 5 2 5 5 3" xfId="13800" xr:uid="{00000000-0005-0000-0000-0000E4350000}"/>
    <cellStyle name="40% - Accent2 5 2 5 5 3 2" xfId="13801" xr:uid="{00000000-0005-0000-0000-0000E5350000}"/>
    <cellStyle name="40% - Accent2 5 2 5 5 3 2 2" xfId="13802" xr:uid="{00000000-0005-0000-0000-0000E6350000}"/>
    <cellStyle name="40% - Accent2 5 2 5 5 3 3" xfId="13803" xr:uid="{00000000-0005-0000-0000-0000E7350000}"/>
    <cellStyle name="40% - Accent2 5 2 5 5 4" xfId="13804" xr:uid="{00000000-0005-0000-0000-0000E8350000}"/>
    <cellStyle name="40% - Accent2 5 2 5 5 4 2" xfId="13805" xr:uid="{00000000-0005-0000-0000-0000E9350000}"/>
    <cellStyle name="40% - Accent2 5 2 5 5 5" xfId="13806" xr:uid="{00000000-0005-0000-0000-0000EA350000}"/>
    <cellStyle name="40% - Accent2 5 2 5 6" xfId="13807" xr:uid="{00000000-0005-0000-0000-0000EB350000}"/>
    <cellStyle name="40% - Accent2 5 2 5 6 2" xfId="13808" xr:uid="{00000000-0005-0000-0000-0000EC350000}"/>
    <cellStyle name="40% - Accent2 5 2 5 6 2 2" xfId="13809" xr:uid="{00000000-0005-0000-0000-0000ED350000}"/>
    <cellStyle name="40% - Accent2 5 2 5 6 2 2 2" xfId="13810" xr:uid="{00000000-0005-0000-0000-0000EE350000}"/>
    <cellStyle name="40% - Accent2 5 2 5 6 2 2 2 2" xfId="13811" xr:uid="{00000000-0005-0000-0000-0000EF350000}"/>
    <cellStyle name="40% - Accent2 5 2 5 6 2 2 3" xfId="13812" xr:uid="{00000000-0005-0000-0000-0000F0350000}"/>
    <cellStyle name="40% - Accent2 5 2 5 6 2 3" xfId="13813" xr:uid="{00000000-0005-0000-0000-0000F1350000}"/>
    <cellStyle name="40% - Accent2 5 2 5 6 2 3 2" xfId="13814" xr:uid="{00000000-0005-0000-0000-0000F2350000}"/>
    <cellStyle name="40% - Accent2 5 2 5 6 2 4" xfId="13815" xr:uid="{00000000-0005-0000-0000-0000F3350000}"/>
    <cellStyle name="40% - Accent2 5 2 5 6 3" xfId="13816" xr:uid="{00000000-0005-0000-0000-0000F4350000}"/>
    <cellStyle name="40% - Accent2 5 2 5 6 3 2" xfId="13817" xr:uid="{00000000-0005-0000-0000-0000F5350000}"/>
    <cellStyle name="40% - Accent2 5 2 5 6 3 2 2" xfId="13818" xr:uid="{00000000-0005-0000-0000-0000F6350000}"/>
    <cellStyle name="40% - Accent2 5 2 5 6 3 3" xfId="13819" xr:uid="{00000000-0005-0000-0000-0000F7350000}"/>
    <cellStyle name="40% - Accent2 5 2 5 6 4" xfId="13820" xr:uid="{00000000-0005-0000-0000-0000F8350000}"/>
    <cellStyle name="40% - Accent2 5 2 5 6 4 2" xfId="13821" xr:uid="{00000000-0005-0000-0000-0000F9350000}"/>
    <cellStyle name="40% - Accent2 5 2 5 6 5" xfId="13822" xr:uid="{00000000-0005-0000-0000-0000FA350000}"/>
    <cellStyle name="40% - Accent2 5 2 5 7" xfId="13823" xr:uid="{00000000-0005-0000-0000-0000FB350000}"/>
    <cellStyle name="40% - Accent2 5 2 5 7 2" xfId="13824" xr:uid="{00000000-0005-0000-0000-0000FC350000}"/>
    <cellStyle name="40% - Accent2 5 2 5 7 2 2" xfId="13825" xr:uid="{00000000-0005-0000-0000-0000FD350000}"/>
    <cellStyle name="40% - Accent2 5 2 5 7 2 2 2" xfId="13826" xr:uid="{00000000-0005-0000-0000-0000FE350000}"/>
    <cellStyle name="40% - Accent2 5 2 5 7 2 3" xfId="13827" xr:uid="{00000000-0005-0000-0000-0000FF350000}"/>
    <cellStyle name="40% - Accent2 5 2 5 7 3" xfId="13828" xr:uid="{00000000-0005-0000-0000-000000360000}"/>
    <cellStyle name="40% - Accent2 5 2 5 7 3 2" xfId="13829" xr:uid="{00000000-0005-0000-0000-000001360000}"/>
    <cellStyle name="40% - Accent2 5 2 5 7 4" xfId="13830" xr:uid="{00000000-0005-0000-0000-000002360000}"/>
    <cellStyle name="40% - Accent2 5 2 5 8" xfId="13831" xr:uid="{00000000-0005-0000-0000-000003360000}"/>
    <cellStyle name="40% - Accent2 5 2 5 8 2" xfId="13832" xr:uid="{00000000-0005-0000-0000-000004360000}"/>
    <cellStyle name="40% - Accent2 5 2 5 8 2 2" xfId="13833" xr:uid="{00000000-0005-0000-0000-000005360000}"/>
    <cellStyle name="40% - Accent2 5 2 5 8 2 2 2" xfId="13834" xr:uid="{00000000-0005-0000-0000-000006360000}"/>
    <cellStyle name="40% - Accent2 5 2 5 8 2 3" xfId="13835" xr:uid="{00000000-0005-0000-0000-000007360000}"/>
    <cellStyle name="40% - Accent2 5 2 5 8 3" xfId="13836" xr:uid="{00000000-0005-0000-0000-000008360000}"/>
    <cellStyle name="40% - Accent2 5 2 5 8 3 2" xfId="13837" xr:uid="{00000000-0005-0000-0000-000009360000}"/>
    <cellStyle name="40% - Accent2 5 2 5 8 4" xfId="13838" xr:uid="{00000000-0005-0000-0000-00000A360000}"/>
    <cellStyle name="40% - Accent2 5 2 5 9" xfId="13839" xr:uid="{00000000-0005-0000-0000-00000B360000}"/>
    <cellStyle name="40% - Accent2 5 2 5 9 2" xfId="13840" xr:uid="{00000000-0005-0000-0000-00000C360000}"/>
    <cellStyle name="40% - Accent2 5 2 5 9 2 2" xfId="13841" xr:uid="{00000000-0005-0000-0000-00000D360000}"/>
    <cellStyle name="40% - Accent2 5 2 5 9 3" xfId="13842" xr:uid="{00000000-0005-0000-0000-00000E360000}"/>
    <cellStyle name="40% - Accent2 5 2 6" xfId="13843" xr:uid="{00000000-0005-0000-0000-00000F360000}"/>
    <cellStyle name="40% - Accent2 5 2 6 10" xfId="13844" xr:uid="{00000000-0005-0000-0000-000010360000}"/>
    <cellStyle name="40% - Accent2 5 2 6 10 2" xfId="13845" xr:uid="{00000000-0005-0000-0000-000011360000}"/>
    <cellStyle name="40% - Accent2 5 2 6 10 2 2" xfId="13846" xr:uid="{00000000-0005-0000-0000-000012360000}"/>
    <cellStyle name="40% - Accent2 5 2 6 10 3" xfId="13847" xr:uid="{00000000-0005-0000-0000-000013360000}"/>
    <cellStyle name="40% - Accent2 5 2 6 11" xfId="13848" xr:uid="{00000000-0005-0000-0000-000014360000}"/>
    <cellStyle name="40% - Accent2 5 2 6 11 2" xfId="13849" xr:uid="{00000000-0005-0000-0000-000015360000}"/>
    <cellStyle name="40% - Accent2 5 2 6 11 2 2" xfId="13850" xr:uid="{00000000-0005-0000-0000-000016360000}"/>
    <cellStyle name="40% - Accent2 5 2 6 11 3" xfId="13851" xr:uid="{00000000-0005-0000-0000-000017360000}"/>
    <cellStyle name="40% - Accent2 5 2 6 12" xfId="13852" xr:uid="{00000000-0005-0000-0000-000018360000}"/>
    <cellStyle name="40% - Accent2 5 2 6 12 2" xfId="13853" xr:uid="{00000000-0005-0000-0000-000019360000}"/>
    <cellStyle name="40% - Accent2 5 2 6 12 2 2" xfId="13854" xr:uid="{00000000-0005-0000-0000-00001A360000}"/>
    <cellStyle name="40% - Accent2 5 2 6 12 3" xfId="13855" xr:uid="{00000000-0005-0000-0000-00001B360000}"/>
    <cellStyle name="40% - Accent2 5 2 6 13" xfId="13856" xr:uid="{00000000-0005-0000-0000-00001C360000}"/>
    <cellStyle name="40% - Accent2 5 2 6 13 2" xfId="13857" xr:uid="{00000000-0005-0000-0000-00001D360000}"/>
    <cellStyle name="40% - Accent2 5 2 6 14" xfId="13858" xr:uid="{00000000-0005-0000-0000-00001E360000}"/>
    <cellStyle name="40% - Accent2 5 2 6 2" xfId="13859" xr:uid="{00000000-0005-0000-0000-00001F360000}"/>
    <cellStyle name="40% - Accent2 5 2 6 2 2" xfId="13860" xr:uid="{00000000-0005-0000-0000-000020360000}"/>
    <cellStyle name="40% - Accent2 5 2 6 2 2 2" xfId="13861" xr:uid="{00000000-0005-0000-0000-000021360000}"/>
    <cellStyle name="40% - Accent2 5 2 6 2 2 2 2" xfId="13862" xr:uid="{00000000-0005-0000-0000-000022360000}"/>
    <cellStyle name="40% - Accent2 5 2 6 2 2 2 2 2" xfId="13863" xr:uid="{00000000-0005-0000-0000-000023360000}"/>
    <cellStyle name="40% - Accent2 5 2 6 2 2 2 3" xfId="13864" xr:uid="{00000000-0005-0000-0000-000024360000}"/>
    <cellStyle name="40% - Accent2 5 2 6 2 2 3" xfId="13865" xr:uid="{00000000-0005-0000-0000-000025360000}"/>
    <cellStyle name="40% - Accent2 5 2 6 2 2 3 2" xfId="13866" xr:uid="{00000000-0005-0000-0000-000026360000}"/>
    <cellStyle name="40% - Accent2 5 2 6 2 2 4" xfId="13867" xr:uid="{00000000-0005-0000-0000-000027360000}"/>
    <cellStyle name="40% - Accent2 5 2 6 2 3" xfId="13868" xr:uid="{00000000-0005-0000-0000-000028360000}"/>
    <cellStyle name="40% - Accent2 5 2 6 2 3 2" xfId="13869" xr:uid="{00000000-0005-0000-0000-000029360000}"/>
    <cellStyle name="40% - Accent2 5 2 6 2 3 2 2" xfId="13870" xr:uid="{00000000-0005-0000-0000-00002A360000}"/>
    <cellStyle name="40% - Accent2 5 2 6 2 3 3" xfId="13871" xr:uid="{00000000-0005-0000-0000-00002B360000}"/>
    <cellStyle name="40% - Accent2 5 2 6 2 4" xfId="13872" xr:uid="{00000000-0005-0000-0000-00002C360000}"/>
    <cellStyle name="40% - Accent2 5 2 6 2 4 2" xfId="13873" xr:uid="{00000000-0005-0000-0000-00002D360000}"/>
    <cellStyle name="40% - Accent2 5 2 6 2 4 2 2" xfId="13874" xr:uid="{00000000-0005-0000-0000-00002E360000}"/>
    <cellStyle name="40% - Accent2 5 2 6 2 4 3" xfId="13875" xr:uid="{00000000-0005-0000-0000-00002F360000}"/>
    <cellStyle name="40% - Accent2 5 2 6 2 5" xfId="13876" xr:uid="{00000000-0005-0000-0000-000030360000}"/>
    <cellStyle name="40% - Accent2 5 2 6 2 5 2" xfId="13877" xr:uid="{00000000-0005-0000-0000-000031360000}"/>
    <cellStyle name="40% - Accent2 5 2 6 2 5 2 2" xfId="13878" xr:uid="{00000000-0005-0000-0000-000032360000}"/>
    <cellStyle name="40% - Accent2 5 2 6 2 5 3" xfId="13879" xr:uid="{00000000-0005-0000-0000-000033360000}"/>
    <cellStyle name="40% - Accent2 5 2 6 2 6" xfId="13880" xr:uid="{00000000-0005-0000-0000-000034360000}"/>
    <cellStyle name="40% - Accent2 5 2 6 2 6 2" xfId="13881" xr:uid="{00000000-0005-0000-0000-000035360000}"/>
    <cellStyle name="40% - Accent2 5 2 6 2 6 2 2" xfId="13882" xr:uid="{00000000-0005-0000-0000-000036360000}"/>
    <cellStyle name="40% - Accent2 5 2 6 2 6 3" xfId="13883" xr:uid="{00000000-0005-0000-0000-000037360000}"/>
    <cellStyle name="40% - Accent2 5 2 6 2 7" xfId="13884" xr:uid="{00000000-0005-0000-0000-000038360000}"/>
    <cellStyle name="40% - Accent2 5 2 6 2 7 2" xfId="13885" xr:uid="{00000000-0005-0000-0000-000039360000}"/>
    <cellStyle name="40% - Accent2 5 2 6 2 8" xfId="13886" xr:uid="{00000000-0005-0000-0000-00003A360000}"/>
    <cellStyle name="40% - Accent2 5 2 6 3" xfId="13887" xr:uid="{00000000-0005-0000-0000-00003B360000}"/>
    <cellStyle name="40% - Accent2 5 2 6 3 2" xfId="13888" xr:uid="{00000000-0005-0000-0000-00003C360000}"/>
    <cellStyle name="40% - Accent2 5 2 6 3 2 2" xfId="13889" xr:uid="{00000000-0005-0000-0000-00003D360000}"/>
    <cellStyle name="40% - Accent2 5 2 6 3 2 2 2" xfId="13890" xr:uid="{00000000-0005-0000-0000-00003E360000}"/>
    <cellStyle name="40% - Accent2 5 2 6 3 2 2 2 2" xfId="13891" xr:uid="{00000000-0005-0000-0000-00003F360000}"/>
    <cellStyle name="40% - Accent2 5 2 6 3 2 2 3" xfId="13892" xr:uid="{00000000-0005-0000-0000-000040360000}"/>
    <cellStyle name="40% - Accent2 5 2 6 3 2 3" xfId="13893" xr:uid="{00000000-0005-0000-0000-000041360000}"/>
    <cellStyle name="40% - Accent2 5 2 6 3 2 3 2" xfId="13894" xr:uid="{00000000-0005-0000-0000-000042360000}"/>
    <cellStyle name="40% - Accent2 5 2 6 3 2 4" xfId="13895" xr:uid="{00000000-0005-0000-0000-000043360000}"/>
    <cellStyle name="40% - Accent2 5 2 6 3 3" xfId="13896" xr:uid="{00000000-0005-0000-0000-000044360000}"/>
    <cellStyle name="40% - Accent2 5 2 6 3 3 2" xfId="13897" xr:uid="{00000000-0005-0000-0000-000045360000}"/>
    <cellStyle name="40% - Accent2 5 2 6 3 3 2 2" xfId="13898" xr:uid="{00000000-0005-0000-0000-000046360000}"/>
    <cellStyle name="40% - Accent2 5 2 6 3 3 3" xfId="13899" xr:uid="{00000000-0005-0000-0000-000047360000}"/>
    <cellStyle name="40% - Accent2 5 2 6 3 4" xfId="13900" xr:uid="{00000000-0005-0000-0000-000048360000}"/>
    <cellStyle name="40% - Accent2 5 2 6 3 4 2" xfId="13901" xr:uid="{00000000-0005-0000-0000-000049360000}"/>
    <cellStyle name="40% - Accent2 5 2 6 3 4 2 2" xfId="13902" xr:uid="{00000000-0005-0000-0000-00004A360000}"/>
    <cellStyle name="40% - Accent2 5 2 6 3 4 3" xfId="13903" xr:uid="{00000000-0005-0000-0000-00004B360000}"/>
    <cellStyle name="40% - Accent2 5 2 6 3 5" xfId="13904" xr:uid="{00000000-0005-0000-0000-00004C360000}"/>
    <cellStyle name="40% - Accent2 5 2 6 3 5 2" xfId="13905" xr:uid="{00000000-0005-0000-0000-00004D360000}"/>
    <cellStyle name="40% - Accent2 5 2 6 3 5 2 2" xfId="13906" xr:uid="{00000000-0005-0000-0000-00004E360000}"/>
    <cellStyle name="40% - Accent2 5 2 6 3 5 3" xfId="13907" xr:uid="{00000000-0005-0000-0000-00004F360000}"/>
    <cellStyle name="40% - Accent2 5 2 6 3 6" xfId="13908" xr:uid="{00000000-0005-0000-0000-000050360000}"/>
    <cellStyle name="40% - Accent2 5 2 6 3 6 2" xfId="13909" xr:uid="{00000000-0005-0000-0000-000051360000}"/>
    <cellStyle name="40% - Accent2 5 2 6 3 6 2 2" xfId="13910" xr:uid="{00000000-0005-0000-0000-000052360000}"/>
    <cellStyle name="40% - Accent2 5 2 6 3 6 3" xfId="13911" xr:uid="{00000000-0005-0000-0000-000053360000}"/>
    <cellStyle name="40% - Accent2 5 2 6 3 7" xfId="13912" xr:uid="{00000000-0005-0000-0000-000054360000}"/>
    <cellStyle name="40% - Accent2 5 2 6 3 7 2" xfId="13913" xr:uid="{00000000-0005-0000-0000-000055360000}"/>
    <cellStyle name="40% - Accent2 5 2 6 3 8" xfId="13914" xr:uid="{00000000-0005-0000-0000-000056360000}"/>
    <cellStyle name="40% - Accent2 5 2 6 4" xfId="13915" xr:uid="{00000000-0005-0000-0000-000057360000}"/>
    <cellStyle name="40% - Accent2 5 2 6 4 2" xfId="13916" xr:uid="{00000000-0005-0000-0000-000058360000}"/>
    <cellStyle name="40% - Accent2 5 2 6 4 2 2" xfId="13917" xr:uid="{00000000-0005-0000-0000-000059360000}"/>
    <cellStyle name="40% - Accent2 5 2 6 4 2 2 2" xfId="13918" xr:uid="{00000000-0005-0000-0000-00005A360000}"/>
    <cellStyle name="40% - Accent2 5 2 6 4 2 2 2 2" xfId="13919" xr:uid="{00000000-0005-0000-0000-00005B360000}"/>
    <cellStyle name="40% - Accent2 5 2 6 4 2 2 3" xfId="13920" xr:uid="{00000000-0005-0000-0000-00005C360000}"/>
    <cellStyle name="40% - Accent2 5 2 6 4 2 3" xfId="13921" xr:uid="{00000000-0005-0000-0000-00005D360000}"/>
    <cellStyle name="40% - Accent2 5 2 6 4 2 3 2" xfId="13922" xr:uid="{00000000-0005-0000-0000-00005E360000}"/>
    <cellStyle name="40% - Accent2 5 2 6 4 2 4" xfId="13923" xr:uid="{00000000-0005-0000-0000-00005F360000}"/>
    <cellStyle name="40% - Accent2 5 2 6 4 3" xfId="13924" xr:uid="{00000000-0005-0000-0000-000060360000}"/>
    <cellStyle name="40% - Accent2 5 2 6 4 3 2" xfId="13925" xr:uid="{00000000-0005-0000-0000-000061360000}"/>
    <cellStyle name="40% - Accent2 5 2 6 4 3 2 2" xfId="13926" xr:uid="{00000000-0005-0000-0000-000062360000}"/>
    <cellStyle name="40% - Accent2 5 2 6 4 3 3" xfId="13927" xr:uid="{00000000-0005-0000-0000-000063360000}"/>
    <cellStyle name="40% - Accent2 5 2 6 4 4" xfId="13928" xr:uid="{00000000-0005-0000-0000-000064360000}"/>
    <cellStyle name="40% - Accent2 5 2 6 4 4 2" xfId="13929" xr:uid="{00000000-0005-0000-0000-000065360000}"/>
    <cellStyle name="40% - Accent2 5 2 6 4 4 2 2" xfId="13930" xr:uid="{00000000-0005-0000-0000-000066360000}"/>
    <cellStyle name="40% - Accent2 5 2 6 4 4 3" xfId="13931" xr:uid="{00000000-0005-0000-0000-000067360000}"/>
    <cellStyle name="40% - Accent2 5 2 6 4 5" xfId="13932" xr:uid="{00000000-0005-0000-0000-000068360000}"/>
    <cellStyle name="40% - Accent2 5 2 6 4 5 2" xfId="13933" xr:uid="{00000000-0005-0000-0000-000069360000}"/>
    <cellStyle name="40% - Accent2 5 2 6 4 5 2 2" xfId="13934" xr:uid="{00000000-0005-0000-0000-00006A360000}"/>
    <cellStyle name="40% - Accent2 5 2 6 4 5 3" xfId="13935" xr:uid="{00000000-0005-0000-0000-00006B360000}"/>
    <cellStyle name="40% - Accent2 5 2 6 4 6" xfId="13936" xr:uid="{00000000-0005-0000-0000-00006C360000}"/>
    <cellStyle name="40% - Accent2 5 2 6 4 6 2" xfId="13937" xr:uid="{00000000-0005-0000-0000-00006D360000}"/>
    <cellStyle name="40% - Accent2 5 2 6 4 6 2 2" xfId="13938" xr:uid="{00000000-0005-0000-0000-00006E360000}"/>
    <cellStyle name="40% - Accent2 5 2 6 4 6 3" xfId="13939" xr:uid="{00000000-0005-0000-0000-00006F360000}"/>
    <cellStyle name="40% - Accent2 5 2 6 4 7" xfId="13940" xr:uid="{00000000-0005-0000-0000-000070360000}"/>
    <cellStyle name="40% - Accent2 5 2 6 4 7 2" xfId="13941" xr:uid="{00000000-0005-0000-0000-000071360000}"/>
    <cellStyle name="40% - Accent2 5 2 6 4 8" xfId="13942" xr:uid="{00000000-0005-0000-0000-000072360000}"/>
    <cellStyle name="40% - Accent2 5 2 6 5" xfId="13943" xr:uid="{00000000-0005-0000-0000-000073360000}"/>
    <cellStyle name="40% - Accent2 5 2 6 5 2" xfId="13944" xr:uid="{00000000-0005-0000-0000-000074360000}"/>
    <cellStyle name="40% - Accent2 5 2 6 5 2 2" xfId="13945" xr:uid="{00000000-0005-0000-0000-000075360000}"/>
    <cellStyle name="40% - Accent2 5 2 6 5 2 2 2" xfId="13946" xr:uid="{00000000-0005-0000-0000-000076360000}"/>
    <cellStyle name="40% - Accent2 5 2 6 5 2 2 2 2" xfId="13947" xr:uid="{00000000-0005-0000-0000-000077360000}"/>
    <cellStyle name="40% - Accent2 5 2 6 5 2 2 3" xfId="13948" xr:uid="{00000000-0005-0000-0000-000078360000}"/>
    <cellStyle name="40% - Accent2 5 2 6 5 2 3" xfId="13949" xr:uid="{00000000-0005-0000-0000-000079360000}"/>
    <cellStyle name="40% - Accent2 5 2 6 5 2 3 2" xfId="13950" xr:uid="{00000000-0005-0000-0000-00007A360000}"/>
    <cellStyle name="40% - Accent2 5 2 6 5 2 4" xfId="13951" xr:uid="{00000000-0005-0000-0000-00007B360000}"/>
    <cellStyle name="40% - Accent2 5 2 6 5 3" xfId="13952" xr:uid="{00000000-0005-0000-0000-00007C360000}"/>
    <cellStyle name="40% - Accent2 5 2 6 5 3 2" xfId="13953" xr:uid="{00000000-0005-0000-0000-00007D360000}"/>
    <cellStyle name="40% - Accent2 5 2 6 5 3 2 2" xfId="13954" xr:uid="{00000000-0005-0000-0000-00007E360000}"/>
    <cellStyle name="40% - Accent2 5 2 6 5 3 3" xfId="13955" xr:uid="{00000000-0005-0000-0000-00007F360000}"/>
    <cellStyle name="40% - Accent2 5 2 6 5 4" xfId="13956" xr:uid="{00000000-0005-0000-0000-000080360000}"/>
    <cellStyle name="40% - Accent2 5 2 6 5 4 2" xfId="13957" xr:uid="{00000000-0005-0000-0000-000081360000}"/>
    <cellStyle name="40% - Accent2 5 2 6 5 5" xfId="13958" xr:uid="{00000000-0005-0000-0000-000082360000}"/>
    <cellStyle name="40% - Accent2 5 2 6 6" xfId="13959" xr:uid="{00000000-0005-0000-0000-000083360000}"/>
    <cellStyle name="40% - Accent2 5 2 6 6 2" xfId="13960" xr:uid="{00000000-0005-0000-0000-000084360000}"/>
    <cellStyle name="40% - Accent2 5 2 6 6 2 2" xfId="13961" xr:uid="{00000000-0005-0000-0000-000085360000}"/>
    <cellStyle name="40% - Accent2 5 2 6 6 2 2 2" xfId="13962" xr:uid="{00000000-0005-0000-0000-000086360000}"/>
    <cellStyle name="40% - Accent2 5 2 6 6 2 2 2 2" xfId="13963" xr:uid="{00000000-0005-0000-0000-000087360000}"/>
    <cellStyle name="40% - Accent2 5 2 6 6 2 2 3" xfId="13964" xr:uid="{00000000-0005-0000-0000-000088360000}"/>
    <cellStyle name="40% - Accent2 5 2 6 6 2 3" xfId="13965" xr:uid="{00000000-0005-0000-0000-000089360000}"/>
    <cellStyle name="40% - Accent2 5 2 6 6 2 3 2" xfId="13966" xr:uid="{00000000-0005-0000-0000-00008A360000}"/>
    <cellStyle name="40% - Accent2 5 2 6 6 2 4" xfId="13967" xr:uid="{00000000-0005-0000-0000-00008B360000}"/>
    <cellStyle name="40% - Accent2 5 2 6 6 3" xfId="13968" xr:uid="{00000000-0005-0000-0000-00008C360000}"/>
    <cellStyle name="40% - Accent2 5 2 6 6 3 2" xfId="13969" xr:uid="{00000000-0005-0000-0000-00008D360000}"/>
    <cellStyle name="40% - Accent2 5 2 6 6 3 2 2" xfId="13970" xr:uid="{00000000-0005-0000-0000-00008E360000}"/>
    <cellStyle name="40% - Accent2 5 2 6 6 3 3" xfId="13971" xr:uid="{00000000-0005-0000-0000-00008F360000}"/>
    <cellStyle name="40% - Accent2 5 2 6 6 4" xfId="13972" xr:uid="{00000000-0005-0000-0000-000090360000}"/>
    <cellStyle name="40% - Accent2 5 2 6 6 4 2" xfId="13973" xr:uid="{00000000-0005-0000-0000-000091360000}"/>
    <cellStyle name="40% - Accent2 5 2 6 6 5" xfId="13974" xr:uid="{00000000-0005-0000-0000-000092360000}"/>
    <cellStyle name="40% - Accent2 5 2 6 7" xfId="13975" xr:uid="{00000000-0005-0000-0000-000093360000}"/>
    <cellStyle name="40% - Accent2 5 2 6 7 2" xfId="13976" xr:uid="{00000000-0005-0000-0000-000094360000}"/>
    <cellStyle name="40% - Accent2 5 2 6 7 2 2" xfId="13977" xr:uid="{00000000-0005-0000-0000-000095360000}"/>
    <cellStyle name="40% - Accent2 5 2 6 7 2 2 2" xfId="13978" xr:uid="{00000000-0005-0000-0000-000096360000}"/>
    <cellStyle name="40% - Accent2 5 2 6 7 2 3" xfId="13979" xr:uid="{00000000-0005-0000-0000-000097360000}"/>
    <cellStyle name="40% - Accent2 5 2 6 7 3" xfId="13980" xr:uid="{00000000-0005-0000-0000-000098360000}"/>
    <cellStyle name="40% - Accent2 5 2 6 7 3 2" xfId="13981" xr:uid="{00000000-0005-0000-0000-000099360000}"/>
    <cellStyle name="40% - Accent2 5 2 6 7 4" xfId="13982" xr:uid="{00000000-0005-0000-0000-00009A360000}"/>
    <cellStyle name="40% - Accent2 5 2 6 8" xfId="13983" xr:uid="{00000000-0005-0000-0000-00009B360000}"/>
    <cellStyle name="40% - Accent2 5 2 6 8 2" xfId="13984" xr:uid="{00000000-0005-0000-0000-00009C360000}"/>
    <cellStyle name="40% - Accent2 5 2 6 8 2 2" xfId="13985" xr:uid="{00000000-0005-0000-0000-00009D360000}"/>
    <cellStyle name="40% - Accent2 5 2 6 8 2 2 2" xfId="13986" xr:uid="{00000000-0005-0000-0000-00009E360000}"/>
    <cellStyle name="40% - Accent2 5 2 6 8 2 3" xfId="13987" xr:uid="{00000000-0005-0000-0000-00009F360000}"/>
    <cellStyle name="40% - Accent2 5 2 6 8 3" xfId="13988" xr:uid="{00000000-0005-0000-0000-0000A0360000}"/>
    <cellStyle name="40% - Accent2 5 2 6 8 3 2" xfId="13989" xr:uid="{00000000-0005-0000-0000-0000A1360000}"/>
    <cellStyle name="40% - Accent2 5 2 6 8 4" xfId="13990" xr:uid="{00000000-0005-0000-0000-0000A2360000}"/>
    <cellStyle name="40% - Accent2 5 2 6 9" xfId="13991" xr:uid="{00000000-0005-0000-0000-0000A3360000}"/>
    <cellStyle name="40% - Accent2 5 2 6 9 2" xfId="13992" xr:uid="{00000000-0005-0000-0000-0000A4360000}"/>
    <cellStyle name="40% - Accent2 5 2 6 9 2 2" xfId="13993" xr:uid="{00000000-0005-0000-0000-0000A5360000}"/>
    <cellStyle name="40% - Accent2 5 2 6 9 3" xfId="13994" xr:uid="{00000000-0005-0000-0000-0000A6360000}"/>
    <cellStyle name="40% - Accent2 5 2 7" xfId="13995" xr:uid="{00000000-0005-0000-0000-0000A7360000}"/>
    <cellStyle name="40% - Accent2 5 2 7 2" xfId="13996" xr:uid="{00000000-0005-0000-0000-0000A8360000}"/>
    <cellStyle name="40% - Accent2 5 2 7 2 2" xfId="13997" xr:uid="{00000000-0005-0000-0000-0000A9360000}"/>
    <cellStyle name="40% - Accent2 5 2 7 2 2 2" xfId="13998" xr:uid="{00000000-0005-0000-0000-0000AA360000}"/>
    <cellStyle name="40% - Accent2 5 2 7 2 2 2 2" xfId="13999" xr:uid="{00000000-0005-0000-0000-0000AB360000}"/>
    <cellStyle name="40% - Accent2 5 2 7 2 2 3" xfId="14000" xr:uid="{00000000-0005-0000-0000-0000AC360000}"/>
    <cellStyle name="40% - Accent2 5 2 7 2 3" xfId="14001" xr:uid="{00000000-0005-0000-0000-0000AD360000}"/>
    <cellStyle name="40% - Accent2 5 2 7 2 3 2" xfId="14002" xr:uid="{00000000-0005-0000-0000-0000AE360000}"/>
    <cellStyle name="40% - Accent2 5 2 7 2 4" xfId="14003" xr:uid="{00000000-0005-0000-0000-0000AF360000}"/>
    <cellStyle name="40% - Accent2 5 2 7 3" xfId="14004" xr:uid="{00000000-0005-0000-0000-0000B0360000}"/>
    <cellStyle name="40% - Accent2 5 2 7 3 2" xfId="14005" xr:uid="{00000000-0005-0000-0000-0000B1360000}"/>
    <cellStyle name="40% - Accent2 5 2 7 3 2 2" xfId="14006" xr:uid="{00000000-0005-0000-0000-0000B2360000}"/>
    <cellStyle name="40% - Accent2 5 2 7 3 3" xfId="14007" xr:uid="{00000000-0005-0000-0000-0000B3360000}"/>
    <cellStyle name="40% - Accent2 5 2 7 4" xfId="14008" xr:uid="{00000000-0005-0000-0000-0000B4360000}"/>
    <cellStyle name="40% - Accent2 5 2 7 4 2" xfId="14009" xr:uid="{00000000-0005-0000-0000-0000B5360000}"/>
    <cellStyle name="40% - Accent2 5 2 7 4 2 2" xfId="14010" xr:uid="{00000000-0005-0000-0000-0000B6360000}"/>
    <cellStyle name="40% - Accent2 5 2 7 4 3" xfId="14011" xr:uid="{00000000-0005-0000-0000-0000B7360000}"/>
    <cellStyle name="40% - Accent2 5 2 7 5" xfId="14012" xr:uid="{00000000-0005-0000-0000-0000B8360000}"/>
    <cellStyle name="40% - Accent2 5 2 7 5 2" xfId="14013" xr:uid="{00000000-0005-0000-0000-0000B9360000}"/>
    <cellStyle name="40% - Accent2 5 2 7 5 2 2" xfId="14014" xr:uid="{00000000-0005-0000-0000-0000BA360000}"/>
    <cellStyle name="40% - Accent2 5 2 7 5 3" xfId="14015" xr:uid="{00000000-0005-0000-0000-0000BB360000}"/>
    <cellStyle name="40% - Accent2 5 2 7 6" xfId="14016" xr:uid="{00000000-0005-0000-0000-0000BC360000}"/>
    <cellStyle name="40% - Accent2 5 2 7 6 2" xfId="14017" xr:uid="{00000000-0005-0000-0000-0000BD360000}"/>
    <cellStyle name="40% - Accent2 5 2 7 6 2 2" xfId="14018" xr:uid="{00000000-0005-0000-0000-0000BE360000}"/>
    <cellStyle name="40% - Accent2 5 2 7 6 3" xfId="14019" xr:uid="{00000000-0005-0000-0000-0000BF360000}"/>
    <cellStyle name="40% - Accent2 5 2 7 7" xfId="14020" xr:uid="{00000000-0005-0000-0000-0000C0360000}"/>
    <cellStyle name="40% - Accent2 5 2 7 7 2" xfId="14021" xr:uid="{00000000-0005-0000-0000-0000C1360000}"/>
    <cellStyle name="40% - Accent2 5 2 7 8" xfId="14022" xr:uid="{00000000-0005-0000-0000-0000C2360000}"/>
    <cellStyle name="40% - Accent2 5 2 8" xfId="14023" xr:uid="{00000000-0005-0000-0000-0000C3360000}"/>
    <cellStyle name="40% - Accent2 5 2 8 2" xfId="14024" xr:uid="{00000000-0005-0000-0000-0000C4360000}"/>
    <cellStyle name="40% - Accent2 5 2 8 2 2" xfId="14025" xr:uid="{00000000-0005-0000-0000-0000C5360000}"/>
    <cellStyle name="40% - Accent2 5 2 8 2 2 2" xfId="14026" xr:uid="{00000000-0005-0000-0000-0000C6360000}"/>
    <cellStyle name="40% - Accent2 5 2 8 2 2 2 2" xfId="14027" xr:uid="{00000000-0005-0000-0000-0000C7360000}"/>
    <cellStyle name="40% - Accent2 5 2 8 2 2 3" xfId="14028" xr:uid="{00000000-0005-0000-0000-0000C8360000}"/>
    <cellStyle name="40% - Accent2 5 2 8 2 3" xfId="14029" xr:uid="{00000000-0005-0000-0000-0000C9360000}"/>
    <cellStyle name="40% - Accent2 5 2 8 2 3 2" xfId="14030" xr:uid="{00000000-0005-0000-0000-0000CA360000}"/>
    <cellStyle name="40% - Accent2 5 2 8 2 4" xfId="14031" xr:uid="{00000000-0005-0000-0000-0000CB360000}"/>
    <cellStyle name="40% - Accent2 5 2 8 3" xfId="14032" xr:uid="{00000000-0005-0000-0000-0000CC360000}"/>
    <cellStyle name="40% - Accent2 5 2 8 3 2" xfId="14033" xr:uid="{00000000-0005-0000-0000-0000CD360000}"/>
    <cellStyle name="40% - Accent2 5 2 8 3 2 2" xfId="14034" xr:uid="{00000000-0005-0000-0000-0000CE360000}"/>
    <cellStyle name="40% - Accent2 5 2 8 3 3" xfId="14035" xr:uid="{00000000-0005-0000-0000-0000CF360000}"/>
    <cellStyle name="40% - Accent2 5 2 8 4" xfId="14036" xr:uid="{00000000-0005-0000-0000-0000D0360000}"/>
    <cellStyle name="40% - Accent2 5 2 8 4 2" xfId="14037" xr:uid="{00000000-0005-0000-0000-0000D1360000}"/>
    <cellStyle name="40% - Accent2 5 2 8 4 2 2" xfId="14038" xr:uid="{00000000-0005-0000-0000-0000D2360000}"/>
    <cellStyle name="40% - Accent2 5 2 8 4 3" xfId="14039" xr:uid="{00000000-0005-0000-0000-0000D3360000}"/>
    <cellStyle name="40% - Accent2 5 2 8 5" xfId="14040" xr:uid="{00000000-0005-0000-0000-0000D4360000}"/>
    <cellStyle name="40% - Accent2 5 2 8 5 2" xfId="14041" xr:uid="{00000000-0005-0000-0000-0000D5360000}"/>
    <cellStyle name="40% - Accent2 5 2 8 5 2 2" xfId="14042" xr:uid="{00000000-0005-0000-0000-0000D6360000}"/>
    <cellStyle name="40% - Accent2 5 2 8 5 3" xfId="14043" xr:uid="{00000000-0005-0000-0000-0000D7360000}"/>
    <cellStyle name="40% - Accent2 5 2 8 6" xfId="14044" xr:uid="{00000000-0005-0000-0000-0000D8360000}"/>
    <cellStyle name="40% - Accent2 5 2 8 6 2" xfId="14045" xr:uid="{00000000-0005-0000-0000-0000D9360000}"/>
    <cellStyle name="40% - Accent2 5 2 8 6 2 2" xfId="14046" xr:uid="{00000000-0005-0000-0000-0000DA360000}"/>
    <cellStyle name="40% - Accent2 5 2 8 6 3" xfId="14047" xr:uid="{00000000-0005-0000-0000-0000DB360000}"/>
    <cellStyle name="40% - Accent2 5 2 8 7" xfId="14048" xr:uid="{00000000-0005-0000-0000-0000DC360000}"/>
    <cellStyle name="40% - Accent2 5 2 8 7 2" xfId="14049" xr:uid="{00000000-0005-0000-0000-0000DD360000}"/>
    <cellStyle name="40% - Accent2 5 2 8 8" xfId="14050" xr:uid="{00000000-0005-0000-0000-0000DE360000}"/>
    <cellStyle name="40% - Accent2 5 2 9" xfId="14051" xr:uid="{00000000-0005-0000-0000-0000DF360000}"/>
    <cellStyle name="40% - Accent2 5 2 9 2" xfId="14052" xr:uid="{00000000-0005-0000-0000-0000E0360000}"/>
    <cellStyle name="40% - Accent2 5 2 9 2 2" xfId="14053" xr:uid="{00000000-0005-0000-0000-0000E1360000}"/>
    <cellStyle name="40% - Accent2 5 2 9 2 2 2" xfId="14054" xr:uid="{00000000-0005-0000-0000-0000E2360000}"/>
    <cellStyle name="40% - Accent2 5 2 9 2 2 2 2" xfId="14055" xr:uid="{00000000-0005-0000-0000-0000E3360000}"/>
    <cellStyle name="40% - Accent2 5 2 9 2 2 3" xfId="14056" xr:uid="{00000000-0005-0000-0000-0000E4360000}"/>
    <cellStyle name="40% - Accent2 5 2 9 2 3" xfId="14057" xr:uid="{00000000-0005-0000-0000-0000E5360000}"/>
    <cellStyle name="40% - Accent2 5 2 9 2 3 2" xfId="14058" xr:uid="{00000000-0005-0000-0000-0000E6360000}"/>
    <cellStyle name="40% - Accent2 5 2 9 2 4" xfId="14059" xr:uid="{00000000-0005-0000-0000-0000E7360000}"/>
    <cellStyle name="40% - Accent2 5 2 9 3" xfId="14060" xr:uid="{00000000-0005-0000-0000-0000E8360000}"/>
    <cellStyle name="40% - Accent2 5 2 9 3 2" xfId="14061" xr:uid="{00000000-0005-0000-0000-0000E9360000}"/>
    <cellStyle name="40% - Accent2 5 2 9 3 2 2" xfId="14062" xr:uid="{00000000-0005-0000-0000-0000EA360000}"/>
    <cellStyle name="40% - Accent2 5 2 9 3 3" xfId="14063" xr:uid="{00000000-0005-0000-0000-0000EB360000}"/>
    <cellStyle name="40% - Accent2 5 2 9 4" xfId="14064" xr:uid="{00000000-0005-0000-0000-0000EC360000}"/>
    <cellStyle name="40% - Accent2 5 2 9 4 2" xfId="14065" xr:uid="{00000000-0005-0000-0000-0000ED360000}"/>
    <cellStyle name="40% - Accent2 5 2 9 4 2 2" xfId="14066" xr:uid="{00000000-0005-0000-0000-0000EE360000}"/>
    <cellStyle name="40% - Accent2 5 2 9 4 3" xfId="14067" xr:uid="{00000000-0005-0000-0000-0000EF360000}"/>
    <cellStyle name="40% - Accent2 5 2 9 5" xfId="14068" xr:uid="{00000000-0005-0000-0000-0000F0360000}"/>
    <cellStyle name="40% - Accent2 5 2 9 5 2" xfId="14069" xr:uid="{00000000-0005-0000-0000-0000F1360000}"/>
    <cellStyle name="40% - Accent2 5 2 9 5 2 2" xfId="14070" xr:uid="{00000000-0005-0000-0000-0000F2360000}"/>
    <cellStyle name="40% - Accent2 5 2 9 5 3" xfId="14071" xr:uid="{00000000-0005-0000-0000-0000F3360000}"/>
    <cellStyle name="40% - Accent2 5 2 9 6" xfId="14072" xr:uid="{00000000-0005-0000-0000-0000F4360000}"/>
    <cellStyle name="40% - Accent2 5 2 9 6 2" xfId="14073" xr:uid="{00000000-0005-0000-0000-0000F5360000}"/>
    <cellStyle name="40% - Accent2 5 2 9 6 2 2" xfId="14074" xr:uid="{00000000-0005-0000-0000-0000F6360000}"/>
    <cellStyle name="40% - Accent2 5 2 9 6 3" xfId="14075" xr:uid="{00000000-0005-0000-0000-0000F7360000}"/>
    <cellStyle name="40% - Accent2 5 2 9 7" xfId="14076" xr:uid="{00000000-0005-0000-0000-0000F8360000}"/>
    <cellStyle name="40% - Accent2 5 2 9 7 2" xfId="14077" xr:uid="{00000000-0005-0000-0000-0000F9360000}"/>
    <cellStyle name="40% - Accent2 5 2 9 8" xfId="14078" xr:uid="{00000000-0005-0000-0000-0000FA360000}"/>
    <cellStyle name="40% - Accent2 5 20" xfId="14079" xr:uid="{00000000-0005-0000-0000-0000FB360000}"/>
    <cellStyle name="40% - Accent2 5 20 2" xfId="14080" xr:uid="{00000000-0005-0000-0000-0000FC360000}"/>
    <cellStyle name="40% - Accent2 5 21" xfId="14081" xr:uid="{00000000-0005-0000-0000-0000FD360000}"/>
    <cellStyle name="40% - Accent2 5 3" xfId="14082" xr:uid="{00000000-0005-0000-0000-0000FE360000}"/>
    <cellStyle name="40% - Accent2 5 3 10" xfId="14083" xr:uid="{00000000-0005-0000-0000-0000FF360000}"/>
    <cellStyle name="40% - Accent2 5 3 10 2" xfId="14084" xr:uid="{00000000-0005-0000-0000-000000370000}"/>
    <cellStyle name="40% - Accent2 5 3 10 2 2" xfId="14085" xr:uid="{00000000-0005-0000-0000-000001370000}"/>
    <cellStyle name="40% - Accent2 5 3 10 3" xfId="14086" xr:uid="{00000000-0005-0000-0000-000002370000}"/>
    <cellStyle name="40% - Accent2 5 3 11" xfId="14087" xr:uid="{00000000-0005-0000-0000-000003370000}"/>
    <cellStyle name="40% - Accent2 5 3 11 2" xfId="14088" xr:uid="{00000000-0005-0000-0000-000004370000}"/>
    <cellStyle name="40% - Accent2 5 3 11 2 2" xfId="14089" xr:uid="{00000000-0005-0000-0000-000005370000}"/>
    <cellStyle name="40% - Accent2 5 3 11 3" xfId="14090" xr:uid="{00000000-0005-0000-0000-000006370000}"/>
    <cellStyle name="40% - Accent2 5 3 12" xfId="14091" xr:uid="{00000000-0005-0000-0000-000007370000}"/>
    <cellStyle name="40% - Accent2 5 3 12 2" xfId="14092" xr:uid="{00000000-0005-0000-0000-000008370000}"/>
    <cellStyle name="40% - Accent2 5 3 12 2 2" xfId="14093" xr:uid="{00000000-0005-0000-0000-000009370000}"/>
    <cellStyle name="40% - Accent2 5 3 12 3" xfId="14094" xr:uid="{00000000-0005-0000-0000-00000A370000}"/>
    <cellStyle name="40% - Accent2 5 3 13" xfId="14095" xr:uid="{00000000-0005-0000-0000-00000B370000}"/>
    <cellStyle name="40% - Accent2 5 3 13 2" xfId="14096" xr:uid="{00000000-0005-0000-0000-00000C370000}"/>
    <cellStyle name="40% - Accent2 5 3 14" xfId="14097" xr:uid="{00000000-0005-0000-0000-00000D370000}"/>
    <cellStyle name="40% - Accent2 5 3 2" xfId="14098" xr:uid="{00000000-0005-0000-0000-00000E370000}"/>
    <cellStyle name="40% - Accent2 5 3 2 2" xfId="14099" xr:uid="{00000000-0005-0000-0000-00000F370000}"/>
    <cellStyle name="40% - Accent2 5 3 2 2 2" xfId="14100" xr:uid="{00000000-0005-0000-0000-000010370000}"/>
    <cellStyle name="40% - Accent2 5 3 2 2 2 2" xfId="14101" xr:uid="{00000000-0005-0000-0000-000011370000}"/>
    <cellStyle name="40% - Accent2 5 3 2 2 2 2 2" xfId="14102" xr:uid="{00000000-0005-0000-0000-000012370000}"/>
    <cellStyle name="40% - Accent2 5 3 2 2 2 3" xfId="14103" xr:uid="{00000000-0005-0000-0000-000013370000}"/>
    <cellStyle name="40% - Accent2 5 3 2 2 3" xfId="14104" xr:uid="{00000000-0005-0000-0000-000014370000}"/>
    <cellStyle name="40% - Accent2 5 3 2 2 3 2" xfId="14105" xr:uid="{00000000-0005-0000-0000-000015370000}"/>
    <cellStyle name="40% - Accent2 5 3 2 2 4" xfId="14106" xr:uid="{00000000-0005-0000-0000-000016370000}"/>
    <cellStyle name="40% - Accent2 5 3 2 3" xfId="14107" xr:uid="{00000000-0005-0000-0000-000017370000}"/>
    <cellStyle name="40% - Accent2 5 3 2 3 2" xfId="14108" xr:uid="{00000000-0005-0000-0000-000018370000}"/>
    <cellStyle name="40% - Accent2 5 3 2 3 2 2" xfId="14109" xr:uid="{00000000-0005-0000-0000-000019370000}"/>
    <cellStyle name="40% - Accent2 5 3 2 3 3" xfId="14110" xr:uid="{00000000-0005-0000-0000-00001A370000}"/>
    <cellStyle name="40% - Accent2 5 3 2 4" xfId="14111" xr:uid="{00000000-0005-0000-0000-00001B370000}"/>
    <cellStyle name="40% - Accent2 5 3 2 4 2" xfId="14112" xr:uid="{00000000-0005-0000-0000-00001C370000}"/>
    <cellStyle name="40% - Accent2 5 3 2 4 2 2" xfId="14113" xr:uid="{00000000-0005-0000-0000-00001D370000}"/>
    <cellStyle name="40% - Accent2 5 3 2 4 3" xfId="14114" xr:uid="{00000000-0005-0000-0000-00001E370000}"/>
    <cellStyle name="40% - Accent2 5 3 2 5" xfId="14115" xr:uid="{00000000-0005-0000-0000-00001F370000}"/>
    <cellStyle name="40% - Accent2 5 3 2 5 2" xfId="14116" xr:uid="{00000000-0005-0000-0000-000020370000}"/>
    <cellStyle name="40% - Accent2 5 3 2 5 2 2" xfId="14117" xr:uid="{00000000-0005-0000-0000-000021370000}"/>
    <cellStyle name="40% - Accent2 5 3 2 5 3" xfId="14118" xr:uid="{00000000-0005-0000-0000-000022370000}"/>
    <cellStyle name="40% - Accent2 5 3 2 6" xfId="14119" xr:uid="{00000000-0005-0000-0000-000023370000}"/>
    <cellStyle name="40% - Accent2 5 3 2 6 2" xfId="14120" xr:uid="{00000000-0005-0000-0000-000024370000}"/>
    <cellStyle name="40% - Accent2 5 3 2 6 2 2" xfId="14121" xr:uid="{00000000-0005-0000-0000-000025370000}"/>
    <cellStyle name="40% - Accent2 5 3 2 6 3" xfId="14122" xr:uid="{00000000-0005-0000-0000-000026370000}"/>
    <cellStyle name="40% - Accent2 5 3 2 7" xfId="14123" xr:uid="{00000000-0005-0000-0000-000027370000}"/>
    <cellStyle name="40% - Accent2 5 3 2 7 2" xfId="14124" xr:uid="{00000000-0005-0000-0000-000028370000}"/>
    <cellStyle name="40% - Accent2 5 3 2 8" xfId="14125" xr:uid="{00000000-0005-0000-0000-000029370000}"/>
    <cellStyle name="40% - Accent2 5 3 3" xfId="14126" xr:uid="{00000000-0005-0000-0000-00002A370000}"/>
    <cellStyle name="40% - Accent2 5 3 3 2" xfId="14127" xr:uid="{00000000-0005-0000-0000-00002B370000}"/>
    <cellStyle name="40% - Accent2 5 3 3 2 2" xfId="14128" xr:uid="{00000000-0005-0000-0000-00002C370000}"/>
    <cellStyle name="40% - Accent2 5 3 3 2 2 2" xfId="14129" xr:uid="{00000000-0005-0000-0000-00002D370000}"/>
    <cellStyle name="40% - Accent2 5 3 3 2 2 2 2" xfId="14130" xr:uid="{00000000-0005-0000-0000-00002E370000}"/>
    <cellStyle name="40% - Accent2 5 3 3 2 2 3" xfId="14131" xr:uid="{00000000-0005-0000-0000-00002F370000}"/>
    <cellStyle name="40% - Accent2 5 3 3 2 3" xfId="14132" xr:uid="{00000000-0005-0000-0000-000030370000}"/>
    <cellStyle name="40% - Accent2 5 3 3 2 3 2" xfId="14133" xr:uid="{00000000-0005-0000-0000-000031370000}"/>
    <cellStyle name="40% - Accent2 5 3 3 2 4" xfId="14134" xr:uid="{00000000-0005-0000-0000-000032370000}"/>
    <cellStyle name="40% - Accent2 5 3 3 3" xfId="14135" xr:uid="{00000000-0005-0000-0000-000033370000}"/>
    <cellStyle name="40% - Accent2 5 3 3 3 2" xfId="14136" xr:uid="{00000000-0005-0000-0000-000034370000}"/>
    <cellStyle name="40% - Accent2 5 3 3 3 2 2" xfId="14137" xr:uid="{00000000-0005-0000-0000-000035370000}"/>
    <cellStyle name="40% - Accent2 5 3 3 3 3" xfId="14138" xr:uid="{00000000-0005-0000-0000-000036370000}"/>
    <cellStyle name="40% - Accent2 5 3 3 4" xfId="14139" xr:uid="{00000000-0005-0000-0000-000037370000}"/>
    <cellStyle name="40% - Accent2 5 3 3 4 2" xfId="14140" xr:uid="{00000000-0005-0000-0000-000038370000}"/>
    <cellStyle name="40% - Accent2 5 3 3 4 2 2" xfId="14141" xr:uid="{00000000-0005-0000-0000-000039370000}"/>
    <cellStyle name="40% - Accent2 5 3 3 4 3" xfId="14142" xr:uid="{00000000-0005-0000-0000-00003A370000}"/>
    <cellStyle name="40% - Accent2 5 3 3 5" xfId="14143" xr:uid="{00000000-0005-0000-0000-00003B370000}"/>
    <cellStyle name="40% - Accent2 5 3 3 5 2" xfId="14144" xr:uid="{00000000-0005-0000-0000-00003C370000}"/>
    <cellStyle name="40% - Accent2 5 3 3 5 2 2" xfId="14145" xr:uid="{00000000-0005-0000-0000-00003D370000}"/>
    <cellStyle name="40% - Accent2 5 3 3 5 3" xfId="14146" xr:uid="{00000000-0005-0000-0000-00003E370000}"/>
    <cellStyle name="40% - Accent2 5 3 3 6" xfId="14147" xr:uid="{00000000-0005-0000-0000-00003F370000}"/>
    <cellStyle name="40% - Accent2 5 3 3 6 2" xfId="14148" xr:uid="{00000000-0005-0000-0000-000040370000}"/>
    <cellStyle name="40% - Accent2 5 3 3 6 2 2" xfId="14149" xr:uid="{00000000-0005-0000-0000-000041370000}"/>
    <cellStyle name="40% - Accent2 5 3 3 6 3" xfId="14150" xr:uid="{00000000-0005-0000-0000-000042370000}"/>
    <cellStyle name="40% - Accent2 5 3 3 7" xfId="14151" xr:uid="{00000000-0005-0000-0000-000043370000}"/>
    <cellStyle name="40% - Accent2 5 3 3 7 2" xfId="14152" xr:uid="{00000000-0005-0000-0000-000044370000}"/>
    <cellStyle name="40% - Accent2 5 3 3 8" xfId="14153" xr:uid="{00000000-0005-0000-0000-000045370000}"/>
    <cellStyle name="40% - Accent2 5 3 4" xfId="14154" xr:uid="{00000000-0005-0000-0000-000046370000}"/>
    <cellStyle name="40% - Accent2 5 3 4 2" xfId="14155" xr:uid="{00000000-0005-0000-0000-000047370000}"/>
    <cellStyle name="40% - Accent2 5 3 4 2 2" xfId="14156" xr:uid="{00000000-0005-0000-0000-000048370000}"/>
    <cellStyle name="40% - Accent2 5 3 4 2 2 2" xfId="14157" xr:uid="{00000000-0005-0000-0000-000049370000}"/>
    <cellStyle name="40% - Accent2 5 3 4 2 2 2 2" xfId="14158" xr:uid="{00000000-0005-0000-0000-00004A370000}"/>
    <cellStyle name="40% - Accent2 5 3 4 2 2 3" xfId="14159" xr:uid="{00000000-0005-0000-0000-00004B370000}"/>
    <cellStyle name="40% - Accent2 5 3 4 2 3" xfId="14160" xr:uid="{00000000-0005-0000-0000-00004C370000}"/>
    <cellStyle name="40% - Accent2 5 3 4 2 3 2" xfId="14161" xr:uid="{00000000-0005-0000-0000-00004D370000}"/>
    <cellStyle name="40% - Accent2 5 3 4 2 4" xfId="14162" xr:uid="{00000000-0005-0000-0000-00004E370000}"/>
    <cellStyle name="40% - Accent2 5 3 4 3" xfId="14163" xr:uid="{00000000-0005-0000-0000-00004F370000}"/>
    <cellStyle name="40% - Accent2 5 3 4 3 2" xfId="14164" xr:uid="{00000000-0005-0000-0000-000050370000}"/>
    <cellStyle name="40% - Accent2 5 3 4 3 2 2" xfId="14165" xr:uid="{00000000-0005-0000-0000-000051370000}"/>
    <cellStyle name="40% - Accent2 5 3 4 3 3" xfId="14166" xr:uid="{00000000-0005-0000-0000-000052370000}"/>
    <cellStyle name="40% - Accent2 5 3 4 4" xfId="14167" xr:uid="{00000000-0005-0000-0000-000053370000}"/>
    <cellStyle name="40% - Accent2 5 3 4 4 2" xfId="14168" xr:uid="{00000000-0005-0000-0000-000054370000}"/>
    <cellStyle name="40% - Accent2 5 3 4 4 2 2" xfId="14169" xr:uid="{00000000-0005-0000-0000-000055370000}"/>
    <cellStyle name="40% - Accent2 5 3 4 4 3" xfId="14170" xr:uid="{00000000-0005-0000-0000-000056370000}"/>
    <cellStyle name="40% - Accent2 5 3 4 5" xfId="14171" xr:uid="{00000000-0005-0000-0000-000057370000}"/>
    <cellStyle name="40% - Accent2 5 3 4 5 2" xfId="14172" xr:uid="{00000000-0005-0000-0000-000058370000}"/>
    <cellStyle name="40% - Accent2 5 3 4 5 2 2" xfId="14173" xr:uid="{00000000-0005-0000-0000-000059370000}"/>
    <cellStyle name="40% - Accent2 5 3 4 5 3" xfId="14174" xr:uid="{00000000-0005-0000-0000-00005A370000}"/>
    <cellStyle name="40% - Accent2 5 3 4 6" xfId="14175" xr:uid="{00000000-0005-0000-0000-00005B370000}"/>
    <cellStyle name="40% - Accent2 5 3 4 6 2" xfId="14176" xr:uid="{00000000-0005-0000-0000-00005C370000}"/>
    <cellStyle name="40% - Accent2 5 3 4 6 2 2" xfId="14177" xr:uid="{00000000-0005-0000-0000-00005D370000}"/>
    <cellStyle name="40% - Accent2 5 3 4 6 3" xfId="14178" xr:uid="{00000000-0005-0000-0000-00005E370000}"/>
    <cellStyle name="40% - Accent2 5 3 4 7" xfId="14179" xr:uid="{00000000-0005-0000-0000-00005F370000}"/>
    <cellStyle name="40% - Accent2 5 3 4 7 2" xfId="14180" xr:uid="{00000000-0005-0000-0000-000060370000}"/>
    <cellStyle name="40% - Accent2 5 3 4 8" xfId="14181" xr:uid="{00000000-0005-0000-0000-000061370000}"/>
    <cellStyle name="40% - Accent2 5 3 5" xfId="14182" xr:uid="{00000000-0005-0000-0000-000062370000}"/>
    <cellStyle name="40% - Accent2 5 3 5 2" xfId="14183" xr:uid="{00000000-0005-0000-0000-000063370000}"/>
    <cellStyle name="40% - Accent2 5 3 5 2 2" xfId="14184" xr:uid="{00000000-0005-0000-0000-000064370000}"/>
    <cellStyle name="40% - Accent2 5 3 5 2 2 2" xfId="14185" xr:uid="{00000000-0005-0000-0000-000065370000}"/>
    <cellStyle name="40% - Accent2 5 3 5 2 2 2 2" xfId="14186" xr:uid="{00000000-0005-0000-0000-000066370000}"/>
    <cellStyle name="40% - Accent2 5 3 5 2 2 3" xfId="14187" xr:uid="{00000000-0005-0000-0000-000067370000}"/>
    <cellStyle name="40% - Accent2 5 3 5 2 3" xfId="14188" xr:uid="{00000000-0005-0000-0000-000068370000}"/>
    <cellStyle name="40% - Accent2 5 3 5 2 3 2" xfId="14189" xr:uid="{00000000-0005-0000-0000-000069370000}"/>
    <cellStyle name="40% - Accent2 5 3 5 2 4" xfId="14190" xr:uid="{00000000-0005-0000-0000-00006A370000}"/>
    <cellStyle name="40% - Accent2 5 3 5 3" xfId="14191" xr:uid="{00000000-0005-0000-0000-00006B370000}"/>
    <cellStyle name="40% - Accent2 5 3 5 3 2" xfId="14192" xr:uid="{00000000-0005-0000-0000-00006C370000}"/>
    <cellStyle name="40% - Accent2 5 3 5 3 2 2" xfId="14193" xr:uid="{00000000-0005-0000-0000-00006D370000}"/>
    <cellStyle name="40% - Accent2 5 3 5 3 3" xfId="14194" xr:uid="{00000000-0005-0000-0000-00006E370000}"/>
    <cellStyle name="40% - Accent2 5 3 5 4" xfId="14195" xr:uid="{00000000-0005-0000-0000-00006F370000}"/>
    <cellStyle name="40% - Accent2 5 3 5 4 2" xfId="14196" xr:uid="{00000000-0005-0000-0000-000070370000}"/>
    <cellStyle name="40% - Accent2 5 3 5 5" xfId="14197" xr:uid="{00000000-0005-0000-0000-000071370000}"/>
    <cellStyle name="40% - Accent2 5 3 6" xfId="14198" xr:uid="{00000000-0005-0000-0000-000072370000}"/>
    <cellStyle name="40% - Accent2 5 3 6 2" xfId="14199" xr:uid="{00000000-0005-0000-0000-000073370000}"/>
    <cellStyle name="40% - Accent2 5 3 6 2 2" xfId="14200" xr:uid="{00000000-0005-0000-0000-000074370000}"/>
    <cellStyle name="40% - Accent2 5 3 6 2 2 2" xfId="14201" xr:uid="{00000000-0005-0000-0000-000075370000}"/>
    <cellStyle name="40% - Accent2 5 3 6 2 2 2 2" xfId="14202" xr:uid="{00000000-0005-0000-0000-000076370000}"/>
    <cellStyle name="40% - Accent2 5 3 6 2 2 3" xfId="14203" xr:uid="{00000000-0005-0000-0000-000077370000}"/>
    <cellStyle name="40% - Accent2 5 3 6 2 3" xfId="14204" xr:uid="{00000000-0005-0000-0000-000078370000}"/>
    <cellStyle name="40% - Accent2 5 3 6 2 3 2" xfId="14205" xr:uid="{00000000-0005-0000-0000-000079370000}"/>
    <cellStyle name="40% - Accent2 5 3 6 2 4" xfId="14206" xr:uid="{00000000-0005-0000-0000-00007A370000}"/>
    <cellStyle name="40% - Accent2 5 3 6 3" xfId="14207" xr:uid="{00000000-0005-0000-0000-00007B370000}"/>
    <cellStyle name="40% - Accent2 5 3 6 3 2" xfId="14208" xr:uid="{00000000-0005-0000-0000-00007C370000}"/>
    <cellStyle name="40% - Accent2 5 3 6 3 2 2" xfId="14209" xr:uid="{00000000-0005-0000-0000-00007D370000}"/>
    <cellStyle name="40% - Accent2 5 3 6 3 3" xfId="14210" xr:uid="{00000000-0005-0000-0000-00007E370000}"/>
    <cellStyle name="40% - Accent2 5 3 6 4" xfId="14211" xr:uid="{00000000-0005-0000-0000-00007F370000}"/>
    <cellStyle name="40% - Accent2 5 3 6 4 2" xfId="14212" xr:uid="{00000000-0005-0000-0000-000080370000}"/>
    <cellStyle name="40% - Accent2 5 3 6 5" xfId="14213" xr:uid="{00000000-0005-0000-0000-000081370000}"/>
    <cellStyle name="40% - Accent2 5 3 7" xfId="14214" xr:uid="{00000000-0005-0000-0000-000082370000}"/>
    <cellStyle name="40% - Accent2 5 3 7 2" xfId="14215" xr:uid="{00000000-0005-0000-0000-000083370000}"/>
    <cellStyle name="40% - Accent2 5 3 7 2 2" xfId="14216" xr:uid="{00000000-0005-0000-0000-000084370000}"/>
    <cellStyle name="40% - Accent2 5 3 7 2 2 2" xfId="14217" xr:uid="{00000000-0005-0000-0000-000085370000}"/>
    <cellStyle name="40% - Accent2 5 3 7 2 3" xfId="14218" xr:uid="{00000000-0005-0000-0000-000086370000}"/>
    <cellStyle name="40% - Accent2 5 3 7 3" xfId="14219" xr:uid="{00000000-0005-0000-0000-000087370000}"/>
    <cellStyle name="40% - Accent2 5 3 7 3 2" xfId="14220" xr:uid="{00000000-0005-0000-0000-000088370000}"/>
    <cellStyle name="40% - Accent2 5 3 7 4" xfId="14221" xr:uid="{00000000-0005-0000-0000-000089370000}"/>
    <cellStyle name="40% - Accent2 5 3 8" xfId="14222" xr:uid="{00000000-0005-0000-0000-00008A370000}"/>
    <cellStyle name="40% - Accent2 5 3 8 2" xfId="14223" xr:uid="{00000000-0005-0000-0000-00008B370000}"/>
    <cellStyle name="40% - Accent2 5 3 8 2 2" xfId="14224" xr:uid="{00000000-0005-0000-0000-00008C370000}"/>
    <cellStyle name="40% - Accent2 5 3 8 2 2 2" xfId="14225" xr:uid="{00000000-0005-0000-0000-00008D370000}"/>
    <cellStyle name="40% - Accent2 5 3 8 2 3" xfId="14226" xr:uid="{00000000-0005-0000-0000-00008E370000}"/>
    <cellStyle name="40% - Accent2 5 3 8 3" xfId="14227" xr:uid="{00000000-0005-0000-0000-00008F370000}"/>
    <cellStyle name="40% - Accent2 5 3 8 3 2" xfId="14228" xr:uid="{00000000-0005-0000-0000-000090370000}"/>
    <cellStyle name="40% - Accent2 5 3 8 4" xfId="14229" xr:uid="{00000000-0005-0000-0000-000091370000}"/>
    <cellStyle name="40% - Accent2 5 3 9" xfId="14230" xr:uid="{00000000-0005-0000-0000-000092370000}"/>
    <cellStyle name="40% - Accent2 5 3 9 2" xfId="14231" xr:uid="{00000000-0005-0000-0000-000093370000}"/>
    <cellStyle name="40% - Accent2 5 3 9 2 2" xfId="14232" xr:uid="{00000000-0005-0000-0000-000094370000}"/>
    <cellStyle name="40% - Accent2 5 3 9 3" xfId="14233" xr:uid="{00000000-0005-0000-0000-000095370000}"/>
    <cellStyle name="40% - Accent2 5 4" xfId="14234" xr:uid="{00000000-0005-0000-0000-000096370000}"/>
    <cellStyle name="40% - Accent2 5 4 10" xfId="14235" xr:uid="{00000000-0005-0000-0000-000097370000}"/>
    <cellStyle name="40% - Accent2 5 4 10 2" xfId="14236" xr:uid="{00000000-0005-0000-0000-000098370000}"/>
    <cellStyle name="40% - Accent2 5 4 10 2 2" xfId="14237" xr:uid="{00000000-0005-0000-0000-000099370000}"/>
    <cellStyle name="40% - Accent2 5 4 10 3" xfId="14238" xr:uid="{00000000-0005-0000-0000-00009A370000}"/>
    <cellStyle name="40% - Accent2 5 4 11" xfId="14239" xr:uid="{00000000-0005-0000-0000-00009B370000}"/>
    <cellStyle name="40% - Accent2 5 4 11 2" xfId="14240" xr:uid="{00000000-0005-0000-0000-00009C370000}"/>
    <cellStyle name="40% - Accent2 5 4 11 2 2" xfId="14241" xr:uid="{00000000-0005-0000-0000-00009D370000}"/>
    <cellStyle name="40% - Accent2 5 4 11 3" xfId="14242" xr:uid="{00000000-0005-0000-0000-00009E370000}"/>
    <cellStyle name="40% - Accent2 5 4 12" xfId="14243" xr:uid="{00000000-0005-0000-0000-00009F370000}"/>
    <cellStyle name="40% - Accent2 5 4 12 2" xfId="14244" xr:uid="{00000000-0005-0000-0000-0000A0370000}"/>
    <cellStyle name="40% - Accent2 5 4 12 2 2" xfId="14245" xr:uid="{00000000-0005-0000-0000-0000A1370000}"/>
    <cellStyle name="40% - Accent2 5 4 12 3" xfId="14246" xr:uid="{00000000-0005-0000-0000-0000A2370000}"/>
    <cellStyle name="40% - Accent2 5 4 13" xfId="14247" xr:uid="{00000000-0005-0000-0000-0000A3370000}"/>
    <cellStyle name="40% - Accent2 5 4 13 2" xfId="14248" xr:uid="{00000000-0005-0000-0000-0000A4370000}"/>
    <cellStyle name="40% - Accent2 5 4 14" xfId="14249" xr:uid="{00000000-0005-0000-0000-0000A5370000}"/>
    <cellStyle name="40% - Accent2 5 4 2" xfId="14250" xr:uid="{00000000-0005-0000-0000-0000A6370000}"/>
    <cellStyle name="40% - Accent2 5 4 2 2" xfId="14251" xr:uid="{00000000-0005-0000-0000-0000A7370000}"/>
    <cellStyle name="40% - Accent2 5 4 2 2 2" xfId="14252" xr:uid="{00000000-0005-0000-0000-0000A8370000}"/>
    <cellStyle name="40% - Accent2 5 4 2 2 2 2" xfId="14253" xr:uid="{00000000-0005-0000-0000-0000A9370000}"/>
    <cellStyle name="40% - Accent2 5 4 2 2 2 2 2" xfId="14254" xr:uid="{00000000-0005-0000-0000-0000AA370000}"/>
    <cellStyle name="40% - Accent2 5 4 2 2 2 3" xfId="14255" xr:uid="{00000000-0005-0000-0000-0000AB370000}"/>
    <cellStyle name="40% - Accent2 5 4 2 2 3" xfId="14256" xr:uid="{00000000-0005-0000-0000-0000AC370000}"/>
    <cellStyle name="40% - Accent2 5 4 2 2 3 2" xfId="14257" xr:uid="{00000000-0005-0000-0000-0000AD370000}"/>
    <cellStyle name="40% - Accent2 5 4 2 2 4" xfId="14258" xr:uid="{00000000-0005-0000-0000-0000AE370000}"/>
    <cellStyle name="40% - Accent2 5 4 2 3" xfId="14259" xr:uid="{00000000-0005-0000-0000-0000AF370000}"/>
    <cellStyle name="40% - Accent2 5 4 2 3 2" xfId="14260" xr:uid="{00000000-0005-0000-0000-0000B0370000}"/>
    <cellStyle name="40% - Accent2 5 4 2 3 2 2" xfId="14261" xr:uid="{00000000-0005-0000-0000-0000B1370000}"/>
    <cellStyle name="40% - Accent2 5 4 2 3 3" xfId="14262" xr:uid="{00000000-0005-0000-0000-0000B2370000}"/>
    <cellStyle name="40% - Accent2 5 4 2 4" xfId="14263" xr:uid="{00000000-0005-0000-0000-0000B3370000}"/>
    <cellStyle name="40% - Accent2 5 4 2 4 2" xfId="14264" xr:uid="{00000000-0005-0000-0000-0000B4370000}"/>
    <cellStyle name="40% - Accent2 5 4 2 4 2 2" xfId="14265" xr:uid="{00000000-0005-0000-0000-0000B5370000}"/>
    <cellStyle name="40% - Accent2 5 4 2 4 3" xfId="14266" xr:uid="{00000000-0005-0000-0000-0000B6370000}"/>
    <cellStyle name="40% - Accent2 5 4 2 5" xfId="14267" xr:uid="{00000000-0005-0000-0000-0000B7370000}"/>
    <cellStyle name="40% - Accent2 5 4 2 5 2" xfId="14268" xr:uid="{00000000-0005-0000-0000-0000B8370000}"/>
    <cellStyle name="40% - Accent2 5 4 2 5 2 2" xfId="14269" xr:uid="{00000000-0005-0000-0000-0000B9370000}"/>
    <cellStyle name="40% - Accent2 5 4 2 5 3" xfId="14270" xr:uid="{00000000-0005-0000-0000-0000BA370000}"/>
    <cellStyle name="40% - Accent2 5 4 2 6" xfId="14271" xr:uid="{00000000-0005-0000-0000-0000BB370000}"/>
    <cellStyle name="40% - Accent2 5 4 2 6 2" xfId="14272" xr:uid="{00000000-0005-0000-0000-0000BC370000}"/>
    <cellStyle name="40% - Accent2 5 4 2 6 2 2" xfId="14273" xr:uid="{00000000-0005-0000-0000-0000BD370000}"/>
    <cellStyle name="40% - Accent2 5 4 2 6 3" xfId="14274" xr:uid="{00000000-0005-0000-0000-0000BE370000}"/>
    <cellStyle name="40% - Accent2 5 4 2 7" xfId="14275" xr:uid="{00000000-0005-0000-0000-0000BF370000}"/>
    <cellStyle name="40% - Accent2 5 4 2 7 2" xfId="14276" xr:uid="{00000000-0005-0000-0000-0000C0370000}"/>
    <cellStyle name="40% - Accent2 5 4 2 8" xfId="14277" xr:uid="{00000000-0005-0000-0000-0000C1370000}"/>
    <cellStyle name="40% - Accent2 5 4 3" xfId="14278" xr:uid="{00000000-0005-0000-0000-0000C2370000}"/>
    <cellStyle name="40% - Accent2 5 4 3 2" xfId="14279" xr:uid="{00000000-0005-0000-0000-0000C3370000}"/>
    <cellStyle name="40% - Accent2 5 4 3 2 2" xfId="14280" xr:uid="{00000000-0005-0000-0000-0000C4370000}"/>
    <cellStyle name="40% - Accent2 5 4 3 2 2 2" xfId="14281" xr:uid="{00000000-0005-0000-0000-0000C5370000}"/>
    <cellStyle name="40% - Accent2 5 4 3 2 2 2 2" xfId="14282" xr:uid="{00000000-0005-0000-0000-0000C6370000}"/>
    <cellStyle name="40% - Accent2 5 4 3 2 2 3" xfId="14283" xr:uid="{00000000-0005-0000-0000-0000C7370000}"/>
    <cellStyle name="40% - Accent2 5 4 3 2 3" xfId="14284" xr:uid="{00000000-0005-0000-0000-0000C8370000}"/>
    <cellStyle name="40% - Accent2 5 4 3 2 3 2" xfId="14285" xr:uid="{00000000-0005-0000-0000-0000C9370000}"/>
    <cellStyle name="40% - Accent2 5 4 3 2 4" xfId="14286" xr:uid="{00000000-0005-0000-0000-0000CA370000}"/>
    <cellStyle name="40% - Accent2 5 4 3 3" xfId="14287" xr:uid="{00000000-0005-0000-0000-0000CB370000}"/>
    <cellStyle name="40% - Accent2 5 4 3 3 2" xfId="14288" xr:uid="{00000000-0005-0000-0000-0000CC370000}"/>
    <cellStyle name="40% - Accent2 5 4 3 3 2 2" xfId="14289" xr:uid="{00000000-0005-0000-0000-0000CD370000}"/>
    <cellStyle name="40% - Accent2 5 4 3 3 3" xfId="14290" xr:uid="{00000000-0005-0000-0000-0000CE370000}"/>
    <cellStyle name="40% - Accent2 5 4 3 4" xfId="14291" xr:uid="{00000000-0005-0000-0000-0000CF370000}"/>
    <cellStyle name="40% - Accent2 5 4 3 4 2" xfId="14292" xr:uid="{00000000-0005-0000-0000-0000D0370000}"/>
    <cellStyle name="40% - Accent2 5 4 3 4 2 2" xfId="14293" xr:uid="{00000000-0005-0000-0000-0000D1370000}"/>
    <cellStyle name="40% - Accent2 5 4 3 4 3" xfId="14294" xr:uid="{00000000-0005-0000-0000-0000D2370000}"/>
    <cellStyle name="40% - Accent2 5 4 3 5" xfId="14295" xr:uid="{00000000-0005-0000-0000-0000D3370000}"/>
    <cellStyle name="40% - Accent2 5 4 3 5 2" xfId="14296" xr:uid="{00000000-0005-0000-0000-0000D4370000}"/>
    <cellStyle name="40% - Accent2 5 4 3 5 2 2" xfId="14297" xr:uid="{00000000-0005-0000-0000-0000D5370000}"/>
    <cellStyle name="40% - Accent2 5 4 3 5 3" xfId="14298" xr:uid="{00000000-0005-0000-0000-0000D6370000}"/>
    <cellStyle name="40% - Accent2 5 4 3 6" xfId="14299" xr:uid="{00000000-0005-0000-0000-0000D7370000}"/>
    <cellStyle name="40% - Accent2 5 4 3 6 2" xfId="14300" xr:uid="{00000000-0005-0000-0000-0000D8370000}"/>
    <cellStyle name="40% - Accent2 5 4 3 6 2 2" xfId="14301" xr:uid="{00000000-0005-0000-0000-0000D9370000}"/>
    <cellStyle name="40% - Accent2 5 4 3 6 3" xfId="14302" xr:uid="{00000000-0005-0000-0000-0000DA370000}"/>
    <cellStyle name="40% - Accent2 5 4 3 7" xfId="14303" xr:uid="{00000000-0005-0000-0000-0000DB370000}"/>
    <cellStyle name="40% - Accent2 5 4 3 7 2" xfId="14304" xr:uid="{00000000-0005-0000-0000-0000DC370000}"/>
    <cellStyle name="40% - Accent2 5 4 3 8" xfId="14305" xr:uid="{00000000-0005-0000-0000-0000DD370000}"/>
    <cellStyle name="40% - Accent2 5 4 4" xfId="14306" xr:uid="{00000000-0005-0000-0000-0000DE370000}"/>
    <cellStyle name="40% - Accent2 5 4 4 2" xfId="14307" xr:uid="{00000000-0005-0000-0000-0000DF370000}"/>
    <cellStyle name="40% - Accent2 5 4 4 2 2" xfId="14308" xr:uid="{00000000-0005-0000-0000-0000E0370000}"/>
    <cellStyle name="40% - Accent2 5 4 4 2 2 2" xfId="14309" xr:uid="{00000000-0005-0000-0000-0000E1370000}"/>
    <cellStyle name="40% - Accent2 5 4 4 2 2 2 2" xfId="14310" xr:uid="{00000000-0005-0000-0000-0000E2370000}"/>
    <cellStyle name="40% - Accent2 5 4 4 2 2 3" xfId="14311" xr:uid="{00000000-0005-0000-0000-0000E3370000}"/>
    <cellStyle name="40% - Accent2 5 4 4 2 3" xfId="14312" xr:uid="{00000000-0005-0000-0000-0000E4370000}"/>
    <cellStyle name="40% - Accent2 5 4 4 2 3 2" xfId="14313" xr:uid="{00000000-0005-0000-0000-0000E5370000}"/>
    <cellStyle name="40% - Accent2 5 4 4 2 4" xfId="14314" xr:uid="{00000000-0005-0000-0000-0000E6370000}"/>
    <cellStyle name="40% - Accent2 5 4 4 3" xfId="14315" xr:uid="{00000000-0005-0000-0000-0000E7370000}"/>
    <cellStyle name="40% - Accent2 5 4 4 3 2" xfId="14316" xr:uid="{00000000-0005-0000-0000-0000E8370000}"/>
    <cellStyle name="40% - Accent2 5 4 4 3 2 2" xfId="14317" xr:uid="{00000000-0005-0000-0000-0000E9370000}"/>
    <cellStyle name="40% - Accent2 5 4 4 3 3" xfId="14318" xr:uid="{00000000-0005-0000-0000-0000EA370000}"/>
    <cellStyle name="40% - Accent2 5 4 4 4" xfId="14319" xr:uid="{00000000-0005-0000-0000-0000EB370000}"/>
    <cellStyle name="40% - Accent2 5 4 4 4 2" xfId="14320" xr:uid="{00000000-0005-0000-0000-0000EC370000}"/>
    <cellStyle name="40% - Accent2 5 4 4 4 2 2" xfId="14321" xr:uid="{00000000-0005-0000-0000-0000ED370000}"/>
    <cellStyle name="40% - Accent2 5 4 4 4 3" xfId="14322" xr:uid="{00000000-0005-0000-0000-0000EE370000}"/>
    <cellStyle name="40% - Accent2 5 4 4 5" xfId="14323" xr:uid="{00000000-0005-0000-0000-0000EF370000}"/>
    <cellStyle name="40% - Accent2 5 4 4 5 2" xfId="14324" xr:uid="{00000000-0005-0000-0000-0000F0370000}"/>
    <cellStyle name="40% - Accent2 5 4 4 5 2 2" xfId="14325" xr:uid="{00000000-0005-0000-0000-0000F1370000}"/>
    <cellStyle name="40% - Accent2 5 4 4 5 3" xfId="14326" xr:uid="{00000000-0005-0000-0000-0000F2370000}"/>
    <cellStyle name="40% - Accent2 5 4 4 6" xfId="14327" xr:uid="{00000000-0005-0000-0000-0000F3370000}"/>
    <cellStyle name="40% - Accent2 5 4 4 6 2" xfId="14328" xr:uid="{00000000-0005-0000-0000-0000F4370000}"/>
    <cellStyle name="40% - Accent2 5 4 4 6 2 2" xfId="14329" xr:uid="{00000000-0005-0000-0000-0000F5370000}"/>
    <cellStyle name="40% - Accent2 5 4 4 6 3" xfId="14330" xr:uid="{00000000-0005-0000-0000-0000F6370000}"/>
    <cellStyle name="40% - Accent2 5 4 4 7" xfId="14331" xr:uid="{00000000-0005-0000-0000-0000F7370000}"/>
    <cellStyle name="40% - Accent2 5 4 4 7 2" xfId="14332" xr:uid="{00000000-0005-0000-0000-0000F8370000}"/>
    <cellStyle name="40% - Accent2 5 4 4 8" xfId="14333" xr:uid="{00000000-0005-0000-0000-0000F9370000}"/>
    <cellStyle name="40% - Accent2 5 4 5" xfId="14334" xr:uid="{00000000-0005-0000-0000-0000FA370000}"/>
    <cellStyle name="40% - Accent2 5 4 5 2" xfId="14335" xr:uid="{00000000-0005-0000-0000-0000FB370000}"/>
    <cellStyle name="40% - Accent2 5 4 5 2 2" xfId="14336" xr:uid="{00000000-0005-0000-0000-0000FC370000}"/>
    <cellStyle name="40% - Accent2 5 4 5 2 2 2" xfId="14337" xr:uid="{00000000-0005-0000-0000-0000FD370000}"/>
    <cellStyle name="40% - Accent2 5 4 5 2 2 2 2" xfId="14338" xr:uid="{00000000-0005-0000-0000-0000FE370000}"/>
    <cellStyle name="40% - Accent2 5 4 5 2 2 3" xfId="14339" xr:uid="{00000000-0005-0000-0000-0000FF370000}"/>
    <cellStyle name="40% - Accent2 5 4 5 2 3" xfId="14340" xr:uid="{00000000-0005-0000-0000-000000380000}"/>
    <cellStyle name="40% - Accent2 5 4 5 2 3 2" xfId="14341" xr:uid="{00000000-0005-0000-0000-000001380000}"/>
    <cellStyle name="40% - Accent2 5 4 5 2 4" xfId="14342" xr:uid="{00000000-0005-0000-0000-000002380000}"/>
    <cellStyle name="40% - Accent2 5 4 5 3" xfId="14343" xr:uid="{00000000-0005-0000-0000-000003380000}"/>
    <cellStyle name="40% - Accent2 5 4 5 3 2" xfId="14344" xr:uid="{00000000-0005-0000-0000-000004380000}"/>
    <cellStyle name="40% - Accent2 5 4 5 3 2 2" xfId="14345" xr:uid="{00000000-0005-0000-0000-000005380000}"/>
    <cellStyle name="40% - Accent2 5 4 5 3 3" xfId="14346" xr:uid="{00000000-0005-0000-0000-000006380000}"/>
    <cellStyle name="40% - Accent2 5 4 5 4" xfId="14347" xr:uid="{00000000-0005-0000-0000-000007380000}"/>
    <cellStyle name="40% - Accent2 5 4 5 4 2" xfId="14348" xr:uid="{00000000-0005-0000-0000-000008380000}"/>
    <cellStyle name="40% - Accent2 5 4 5 5" xfId="14349" xr:uid="{00000000-0005-0000-0000-000009380000}"/>
    <cellStyle name="40% - Accent2 5 4 6" xfId="14350" xr:uid="{00000000-0005-0000-0000-00000A380000}"/>
    <cellStyle name="40% - Accent2 5 4 6 2" xfId="14351" xr:uid="{00000000-0005-0000-0000-00000B380000}"/>
    <cellStyle name="40% - Accent2 5 4 6 2 2" xfId="14352" xr:uid="{00000000-0005-0000-0000-00000C380000}"/>
    <cellStyle name="40% - Accent2 5 4 6 2 2 2" xfId="14353" xr:uid="{00000000-0005-0000-0000-00000D380000}"/>
    <cellStyle name="40% - Accent2 5 4 6 2 2 2 2" xfId="14354" xr:uid="{00000000-0005-0000-0000-00000E380000}"/>
    <cellStyle name="40% - Accent2 5 4 6 2 2 3" xfId="14355" xr:uid="{00000000-0005-0000-0000-00000F380000}"/>
    <cellStyle name="40% - Accent2 5 4 6 2 3" xfId="14356" xr:uid="{00000000-0005-0000-0000-000010380000}"/>
    <cellStyle name="40% - Accent2 5 4 6 2 3 2" xfId="14357" xr:uid="{00000000-0005-0000-0000-000011380000}"/>
    <cellStyle name="40% - Accent2 5 4 6 2 4" xfId="14358" xr:uid="{00000000-0005-0000-0000-000012380000}"/>
    <cellStyle name="40% - Accent2 5 4 6 3" xfId="14359" xr:uid="{00000000-0005-0000-0000-000013380000}"/>
    <cellStyle name="40% - Accent2 5 4 6 3 2" xfId="14360" xr:uid="{00000000-0005-0000-0000-000014380000}"/>
    <cellStyle name="40% - Accent2 5 4 6 3 2 2" xfId="14361" xr:uid="{00000000-0005-0000-0000-000015380000}"/>
    <cellStyle name="40% - Accent2 5 4 6 3 3" xfId="14362" xr:uid="{00000000-0005-0000-0000-000016380000}"/>
    <cellStyle name="40% - Accent2 5 4 6 4" xfId="14363" xr:uid="{00000000-0005-0000-0000-000017380000}"/>
    <cellStyle name="40% - Accent2 5 4 6 4 2" xfId="14364" xr:uid="{00000000-0005-0000-0000-000018380000}"/>
    <cellStyle name="40% - Accent2 5 4 6 5" xfId="14365" xr:uid="{00000000-0005-0000-0000-000019380000}"/>
    <cellStyle name="40% - Accent2 5 4 7" xfId="14366" xr:uid="{00000000-0005-0000-0000-00001A380000}"/>
    <cellStyle name="40% - Accent2 5 4 7 2" xfId="14367" xr:uid="{00000000-0005-0000-0000-00001B380000}"/>
    <cellStyle name="40% - Accent2 5 4 7 2 2" xfId="14368" xr:uid="{00000000-0005-0000-0000-00001C380000}"/>
    <cellStyle name="40% - Accent2 5 4 7 2 2 2" xfId="14369" xr:uid="{00000000-0005-0000-0000-00001D380000}"/>
    <cellStyle name="40% - Accent2 5 4 7 2 3" xfId="14370" xr:uid="{00000000-0005-0000-0000-00001E380000}"/>
    <cellStyle name="40% - Accent2 5 4 7 3" xfId="14371" xr:uid="{00000000-0005-0000-0000-00001F380000}"/>
    <cellStyle name="40% - Accent2 5 4 7 3 2" xfId="14372" xr:uid="{00000000-0005-0000-0000-000020380000}"/>
    <cellStyle name="40% - Accent2 5 4 7 4" xfId="14373" xr:uid="{00000000-0005-0000-0000-000021380000}"/>
    <cellStyle name="40% - Accent2 5 4 8" xfId="14374" xr:uid="{00000000-0005-0000-0000-000022380000}"/>
    <cellStyle name="40% - Accent2 5 4 8 2" xfId="14375" xr:uid="{00000000-0005-0000-0000-000023380000}"/>
    <cellStyle name="40% - Accent2 5 4 8 2 2" xfId="14376" xr:uid="{00000000-0005-0000-0000-000024380000}"/>
    <cellStyle name="40% - Accent2 5 4 8 2 2 2" xfId="14377" xr:uid="{00000000-0005-0000-0000-000025380000}"/>
    <cellStyle name="40% - Accent2 5 4 8 2 3" xfId="14378" xr:uid="{00000000-0005-0000-0000-000026380000}"/>
    <cellStyle name="40% - Accent2 5 4 8 3" xfId="14379" xr:uid="{00000000-0005-0000-0000-000027380000}"/>
    <cellStyle name="40% - Accent2 5 4 8 3 2" xfId="14380" xr:uid="{00000000-0005-0000-0000-000028380000}"/>
    <cellStyle name="40% - Accent2 5 4 8 4" xfId="14381" xr:uid="{00000000-0005-0000-0000-000029380000}"/>
    <cellStyle name="40% - Accent2 5 4 9" xfId="14382" xr:uid="{00000000-0005-0000-0000-00002A380000}"/>
    <cellStyle name="40% - Accent2 5 4 9 2" xfId="14383" xr:uid="{00000000-0005-0000-0000-00002B380000}"/>
    <cellStyle name="40% - Accent2 5 4 9 2 2" xfId="14384" xr:uid="{00000000-0005-0000-0000-00002C380000}"/>
    <cellStyle name="40% - Accent2 5 4 9 3" xfId="14385" xr:uid="{00000000-0005-0000-0000-00002D380000}"/>
    <cellStyle name="40% - Accent2 5 5" xfId="14386" xr:uid="{00000000-0005-0000-0000-00002E380000}"/>
    <cellStyle name="40% - Accent2 5 5 10" xfId="14387" xr:uid="{00000000-0005-0000-0000-00002F380000}"/>
    <cellStyle name="40% - Accent2 5 5 10 2" xfId="14388" xr:uid="{00000000-0005-0000-0000-000030380000}"/>
    <cellStyle name="40% - Accent2 5 5 10 2 2" xfId="14389" xr:uid="{00000000-0005-0000-0000-000031380000}"/>
    <cellStyle name="40% - Accent2 5 5 10 3" xfId="14390" xr:uid="{00000000-0005-0000-0000-000032380000}"/>
    <cellStyle name="40% - Accent2 5 5 11" xfId="14391" xr:uid="{00000000-0005-0000-0000-000033380000}"/>
    <cellStyle name="40% - Accent2 5 5 11 2" xfId="14392" xr:uid="{00000000-0005-0000-0000-000034380000}"/>
    <cellStyle name="40% - Accent2 5 5 11 2 2" xfId="14393" xr:uid="{00000000-0005-0000-0000-000035380000}"/>
    <cellStyle name="40% - Accent2 5 5 11 3" xfId="14394" xr:uid="{00000000-0005-0000-0000-000036380000}"/>
    <cellStyle name="40% - Accent2 5 5 12" xfId="14395" xr:uid="{00000000-0005-0000-0000-000037380000}"/>
    <cellStyle name="40% - Accent2 5 5 12 2" xfId="14396" xr:uid="{00000000-0005-0000-0000-000038380000}"/>
    <cellStyle name="40% - Accent2 5 5 12 2 2" xfId="14397" xr:uid="{00000000-0005-0000-0000-000039380000}"/>
    <cellStyle name="40% - Accent2 5 5 12 3" xfId="14398" xr:uid="{00000000-0005-0000-0000-00003A380000}"/>
    <cellStyle name="40% - Accent2 5 5 13" xfId="14399" xr:uid="{00000000-0005-0000-0000-00003B380000}"/>
    <cellStyle name="40% - Accent2 5 5 13 2" xfId="14400" xr:uid="{00000000-0005-0000-0000-00003C380000}"/>
    <cellStyle name="40% - Accent2 5 5 14" xfId="14401" xr:uid="{00000000-0005-0000-0000-00003D380000}"/>
    <cellStyle name="40% - Accent2 5 5 2" xfId="14402" xr:uid="{00000000-0005-0000-0000-00003E380000}"/>
    <cellStyle name="40% - Accent2 5 5 2 2" xfId="14403" xr:uid="{00000000-0005-0000-0000-00003F380000}"/>
    <cellStyle name="40% - Accent2 5 5 2 2 2" xfId="14404" xr:uid="{00000000-0005-0000-0000-000040380000}"/>
    <cellStyle name="40% - Accent2 5 5 2 2 2 2" xfId="14405" xr:uid="{00000000-0005-0000-0000-000041380000}"/>
    <cellStyle name="40% - Accent2 5 5 2 2 2 2 2" xfId="14406" xr:uid="{00000000-0005-0000-0000-000042380000}"/>
    <cellStyle name="40% - Accent2 5 5 2 2 2 3" xfId="14407" xr:uid="{00000000-0005-0000-0000-000043380000}"/>
    <cellStyle name="40% - Accent2 5 5 2 2 3" xfId="14408" xr:uid="{00000000-0005-0000-0000-000044380000}"/>
    <cellStyle name="40% - Accent2 5 5 2 2 3 2" xfId="14409" xr:uid="{00000000-0005-0000-0000-000045380000}"/>
    <cellStyle name="40% - Accent2 5 5 2 2 4" xfId="14410" xr:uid="{00000000-0005-0000-0000-000046380000}"/>
    <cellStyle name="40% - Accent2 5 5 2 3" xfId="14411" xr:uid="{00000000-0005-0000-0000-000047380000}"/>
    <cellStyle name="40% - Accent2 5 5 2 3 2" xfId="14412" xr:uid="{00000000-0005-0000-0000-000048380000}"/>
    <cellStyle name="40% - Accent2 5 5 2 3 2 2" xfId="14413" xr:uid="{00000000-0005-0000-0000-000049380000}"/>
    <cellStyle name="40% - Accent2 5 5 2 3 3" xfId="14414" xr:uid="{00000000-0005-0000-0000-00004A380000}"/>
    <cellStyle name="40% - Accent2 5 5 2 4" xfId="14415" xr:uid="{00000000-0005-0000-0000-00004B380000}"/>
    <cellStyle name="40% - Accent2 5 5 2 4 2" xfId="14416" xr:uid="{00000000-0005-0000-0000-00004C380000}"/>
    <cellStyle name="40% - Accent2 5 5 2 4 2 2" xfId="14417" xr:uid="{00000000-0005-0000-0000-00004D380000}"/>
    <cellStyle name="40% - Accent2 5 5 2 4 3" xfId="14418" xr:uid="{00000000-0005-0000-0000-00004E380000}"/>
    <cellStyle name="40% - Accent2 5 5 2 5" xfId="14419" xr:uid="{00000000-0005-0000-0000-00004F380000}"/>
    <cellStyle name="40% - Accent2 5 5 2 5 2" xfId="14420" xr:uid="{00000000-0005-0000-0000-000050380000}"/>
    <cellStyle name="40% - Accent2 5 5 2 5 2 2" xfId="14421" xr:uid="{00000000-0005-0000-0000-000051380000}"/>
    <cellStyle name="40% - Accent2 5 5 2 5 3" xfId="14422" xr:uid="{00000000-0005-0000-0000-000052380000}"/>
    <cellStyle name="40% - Accent2 5 5 2 6" xfId="14423" xr:uid="{00000000-0005-0000-0000-000053380000}"/>
    <cellStyle name="40% - Accent2 5 5 2 6 2" xfId="14424" xr:uid="{00000000-0005-0000-0000-000054380000}"/>
    <cellStyle name="40% - Accent2 5 5 2 6 2 2" xfId="14425" xr:uid="{00000000-0005-0000-0000-000055380000}"/>
    <cellStyle name="40% - Accent2 5 5 2 6 3" xfId="14426" xr:uid="{00000000-0005-0000-0000-000056380000}"/>
    <cellStyle name="40% - Accent2 5 5 2 7" xfId="14427" xr:uid="{00000000-0005-0000-0000-000057380000}"/>
    <cellStyle name="40% - Accent2 5 5 2 7 2" xfId="14428" xr:uid="{00000000-0005-0000-0000-000058380000}"/>
    <cellStyle name="40% - Accent2 5 5 2 8" xfId="14429" xr:uid="{00000000-0005-0000-0000-000059380000}"/>
    <cellStyle name="40% - Accent2 5 5 3" xfId="14430" xr:uid="{00000000-0005-0000-0000-00005A380000}"/>
    <cellStyle name="40% - Accent2 5 5 3 2" xfId="14431" xr:uid="{00000000-0005-0000-0000-00005B380000}"/>
    <cellStyle name="40% - Accent2 5 5 3 2 2" xfId="14432" xr:uid="{00000000-0005-0000-0000-00005C380000}"/>
    <cellStyle name="40% - Accent2 5 5 3 2 2 2" xfId="14433" xr:uid="{00000000-0005-0000-0000-00005D380000}"/>
    <cellStyle name="40% - Accent2 5 5 3 2 2 2 2" xfId="14434" xr:uid="{00000000-0005-0000-0000-00005E380000}"/>
    <cellStyle name="40% - Accent2 5 5 3 2 2 3" xfId="14435" xr:uid="{00000000-0005-0000-0000-00005F380000}"/>
    <cellStyle name="40% - Accent2 5 5 3 2 3" xfId="14436" xr:uid="{00000000-0005-0000-0000-000060380000}"/>
    <cellStyle name="40% - Accent2 5 5 3 2 3 2" xfId="14437" xr:uid="{00000000-0005-0000-0000-000061380000}"/>
    <cellStyle name="40% - Accent2 5 5 3 2 4" xfId="14438" xr:uid="{00000000-0005-0000-0000-000062380000}"/>
    <cellStyle name="40% - Accent2 5 5 3 3" xfId="14439" xr:uid="{00000000-0005-0000-0000-000063380000}"/>
    <cellStyle name="40% - Accent2 5 5 3 3 2" xfId="14440" xr:uid="{00000000-0005-0000-0000-000064380000}"/>
    <cellStyle name="40% - Accent2 5 5 3 3 2 2" xfId="14441" xr:uid="{00000000-0005-0000-0000-000065380000}"/>
    <cellStyle name="40% - Accent2 5 5 3 3 3" xfId="14442" xr:uid="{00000000-0005-0000-0000-000066380000}"/>
    <cellStyle name="40% - Accent2 5 5 3 4" xfId="14443" xr:uid="{00000000-0005-0000-0000-000067380000}"/>
    <cellStyle name="40% - Accent2 5 5 3 4 2" xfId="14444" xr:uid="{00000000-0005-0000-0000-000068380000}"/>
    <cellStyle name="40% - Accent2 5 5 3 4 2 2" xfId="14445" xr:uid="{00000000-0005-0000-0000-000069380000}"/>
    <cellStyle name="40% - Accent2 5 5 3 4 3" xfId="14446" xr:uid="{00000000-0005-0000-0000-00006A380000}"/>
    <cellStyle name="40% - Accent2 5 5 3 5" xfId="14447" xr:uid="{00000000-0005-0000-0000-00006B380000}"/>
    <cellStyle name="40% - Accent2 5 5 3 5 2" xfId="14448" xr:uid="{00000000-0005-0000-0000-00006C380000}"/>
    <cellStyle name="40% - Accent2 5 5 3 5 2 2" xfId="14449" xr:uid="{00000000-0005-0000-0000-00006D380000}"/>
    <cellStyle name="40% - Accent2 5 5 3 5 3" xfId="14450" xr:uid="{00000000-0005-0000-0000-00006E380000}"/>
    <cellStyle name="40% - Accent2 5 5 3 6" xfId="14451" xr:uid="{00000000-0005-0000-0000-00006F380000}"/>
    <cellStyle name="40% - Accent2 5 5 3 6 2" xfId="14452" xr:uid="{00000000-0005-0000-0000-000070380000}"/>
    <cellStyle name="40% - Accent2 5 5 3 6 2 2" xfId="14453" xr:uid="{00000000-0005-0000-0000-000071380000}"/>
    <cellStyle name="40% - Accent2 5 5 3 6 3" xfId="14454" xr:uid="{00000000-0005-0000-0000-000072380000}"/>
    <cellStyle name="40% - Accent2 5 5 3 7" xfId="14455" xr:uid="{00000000-0005-0000-0000-000073380000}"/>
    <cellStyle name="40% - Accent2 5 5 3 7 2" xfId="14456" xr:uid="{00000000-0005-0000-0000-000074380000}"/>
    <cellStyle name="40% - Accent2 5 5 3 8" xfId="14457" xr:uid="{00000000-0005-0000-0000-000075380000}"/>
    <cellStyle name="40% - Accent2 5 5 4" xfId="14458" xr:uid="{00000000-0005-0000-0000-000076380000}"/>
    <cellStyle name="40% - Accent2 5 5 4 2" xfId="14459" xr:uid="{00000000-0005-0000-0000-000077380000}"/>
    <cellStyle name="40% - Accent2 5 5 4 2 2" xfId="14460" xr:uid="{00000000-0005-0000-0000-000078380000}"/>
    <cellStyle name="40% - Accent2 5 5 4 2 2 2" xfId="14461" xr:uid="{00000000-0005-0000-0000-000079380000}"/>
    <cellStyle name="40% - Accent2 5 5 4 2 2 2 2" xfId="14462" xr:uid="{00000000-0005-0000-0000-00007A380000}"/>
    <cellStyle name="40% - Accent2 5 5 4 2 2 3" xfId="14463" xr:uid="{00000000-0005-0000-0000-00007B380000}"/>
    <cellStyle name="40% - Accent2 5 5 4 2 3" xfId="14464" xr:uid="{00000000-0005-0000-0000-00007C380000}"/>
    <cellStyle name="40% - Accent2 5 5 4 2 3 2" xfId="14465" xr:uid="{00000000-0005-0000-0000-00007D380000}"/>
    <cellStyle name="40% - Accent2 5 5 4 2 4" xfId="14466" xr:uid="{00000000-0005-0000-0000-00007E380000}"/>
    <cellStyle name="40% - Accent2 5 5 4 3" xfId="14467" xr:uid="{00000000-0005-0000-0000-00007F380000}"/>
    <cellStyle name="40% - Accent2 5 5 4 3 2" xfId="14468" xr:uid="{00000000-0005-0000-0000-000080380000}"/>
    <cellStyle name="40% - Accent2 5 5 4 3 2 2" xfId="14469" xr:uid="{00000000-0005-0000-0000-000081380000}"/>
    <cellStyle name="40% - Accent2 5 5 4 3 3" xfId="14470" xr:uid="{00000000-0005-0000-0000-000082380000}"/>
    <cellStyle name="40% - Accent2 5 5 4 4" xfId="14471" xr:uid="{00000000-0005-0000-0000-000083380000}"/>
    <cellStyle name="40% - Accent2 5 5 4 4 2" xfId="14472" xr:uid="{00000000-0005-0000-0000-000084380000}"/>
    <cellStyle name="40% - Accent2 5 5 4 4 2 2" xfId="14473" xr:uid="{00000000-0005-0000-0000-000085380000}"/>
    <cellStyle name="40% - Accent2 5 5 4 4 3" xfId="14474" xr:uid="{00000000-0005-0000-0000-000086380000}"/>
    <cellStyle name="40% - Accent2 5 5 4 5" xfId="14475" xr:uid="{00000000-0005-0000-0000-000087380000}"/>
    <cellStyle name="40% - Accent2 5 5 4 5 2" xfId="14476" xr:uid="{00000000-0005-0000-0000-000088380000}"/>
    <cellStyle name="40% - Accent2 5 5 4 5 2 2" xfId="14477" xr:uid="{00000000-0005-0000-0000-000089380000}"/>
    <cellStyle name="40% - Accent2 5 5 4 5 3" xfId="14478" xr:uid="{00000000-0005-0000-0000-00008A380000}"/>
    <cellStyle name="40% - Accent2 5 5 4 6" xfId="14479" xr:uid="{00000000-0005-0000-0000-00008B380000}"/>
    <cellStyle name="40% - Accent2 5 5 4 6 2" xfId="14480" xr:uid="{00000000-0005-0000-0000-00008C380000}"/>
    <cellStyle name="40% - Accent2 5 5 4 6 2 2" xfId="14481" xr:uid="{00000000-0005-0000-0000-00008D380000}"/>
    <cellStyle name="40% - Accent2 5 5 4 6 3" xfId="14482" xr:uid="{00000000-0005-0000-0000-00008E380000}"/>
    <cellStyle name="40% - Accent2 5 5 4 7" xfId="14483" xr:uid="{00000000-0005-0000-0000-00008F380000}"/>
    <cellStyle name="40% - Accent2 5 5 4 7 2" xfId="14484" xr:uid="{00000000-0005-0000-0000-000090380000}"/>
    <cellStyle name="40% - Accent2 5 5 4 8" xfId="14485" xr:uid="{00000000-0005-0000-0000-000091380000}"/>
    <cellStyle name="40% - Accent2 5 5 5" xfId="14486" xr:uid="{00000000-0005-0000-0000-000092380000}"/>
    <cellStyle name="40% - Accent2 5 5 5 2" xfId="14487" xr:uid="{00000000-0005-0000-0000-000093380000}"/>
    <cellStyle name="40% - Accent2 5 5 5 2 2" xfId="14488" xr:uid="{00000000-0005-0000-0000-000094380000}"/>
    <cellStyle name="40% - Accent2 5 5 5 2 2 2" xfId="14489" xr:uid="{00000000-0005-0000-0000-000095380000}"/>
    <cellStyle name="40% - Accent2 5 5 5 2 2 2 2" xfId="14490" xr:uid="{00000000-0005-0000-0000-000096380000}"/>
    <cellStyle name="40% - Accent2 5 5 5 2 2 3" xfId="14491" xr:uid="{00000000-0005-0000-0000-000097380000}"/>
    <cellStyle name="40% - Accent2 5 5 5 2 3" xfId="14492" xr:uid="{00000000-0005-0000-0000-000098380000}"/>
    <cellStyle name="40% - Accent2 5 5 5 2 3 2" xfId="14493" xr:uid="{00000000-0005-0000-0000-000099380000}"/>
    <cellStyle name="40% - Accent2 5 5 5 2 4" xfId="14494" xr:uid="{00000000-0005-0000-0000-00009A380000}"/>
    <cellStyle name="40% - Accent2 5 5 5 3" xfId="14495" xr:uid="{00000000-0005-0000-0000-00009B380000}"/>
    <cellStyle name="40% - Accent2 5 5 5 3 2" xfId="14496" xr:uid="{00000000-0005-0000-0000-00009C380000}"/>
    <cellStyle name="40% - Accent2 5 5 5 3 2 2" xfId="14497" xr:uid="{00000000-0005-0000-0000-00009D380000}"/>
    <cellStyle name="40% - Accent2 5 5 5 3 3" xfId="14498" xr:uid="{00000000-0005-0000-0000-00009E380000}"/>
    <cellStyle name="40% - Accent2 5 5 5 4" xfId="14499" xr:uid="{00000000-0005-0000-0000-00009F380000}"/>
    <cellStyle name="40% - Accent2 5 5 5 4 2" xfId="14500" xr:uid="{00000000-0005-0000-0000-0000A0380000}"/>
    <cellStyle name="40% - Accent2 5 5 5 5" xfId="14501" xr:uid="{00000000-0005-0000-0000-0000A1380000}"/>
    <cellStyle name="40% - Accent2 5 5 6" xfId="14502" xr:uid="{00000000-0005-0000-0000-0000A2380000}"/>
    <cellStyle name="40% - Accent2 5 5 6 2" xfId="14503" xr:uid="{00000000-0005-0000-0000-0000A3380000}"/>
    <cellStyle name="40% - Accent2 5 5 6 2 2" xfId="14504" xr:uid="{00000000-0005-0000-0000-0000A4380000}"/>
    <cellStyle name="40% - Accent2 5 5 6 2 2 2" xfId="14505" xr:uid="{00000000-0005-0000-0000-0000A5380000}"/>
    <cellStyle name="40% - Accent2 5 5 6 2 2 2 2" xfId="14506" xr:uid="{00000000-0005-0000-0000-0000A6380000}"/>
    <cellStyle name="40% - Accent2 5 5 6 2 2 3" xfId="14507" xr:uid="{00000000-0005-0000-0000-0000A7380000}"/>
    <cellStyle name="40% - Accent2 5 5 6 2 3" xfId="14508" xr:uid="{00000000-0005-0000-0000-0000A8380000}"/>
    <cellStyle name="40% - Accent2 5 5 6 2 3 2" xfId="14509" xr:uid="{00000000-0005-0000-0000-0000A9380000}"/>
    <cellStyle name="40% - Accent2 5 5 6 2 4" xfId="14510" xr:uid="{00000000-0005-0000-0000-0000AA380000}"/>
    <cellStyle name="40% - Accent2 5 5 6 3" xfId="14511" xr:uid="{00000000-0005-0000-0000-0000AB380000}"/>
    <cellStyle name="40% - Accent2 5 5 6 3 2" xfId="14512" xr:uid="{00000000-0005-0000-0000-0000AC380000}"/>
    <cellStyle name="40% - Accent2 5 5 6 3 2 2" xfId="14513" xr:uid="{00000000-0005-0000-0000-0000AD380000}"/>
    <cellStyle name="40% - Accent2 5 5 6 3 3" xfId="14514" xr:uid="{00000000-0005-0000-0000-0000AE380000}"/>
    <cellStyle name="40% - Accent2 5 5 6 4" xfId="14515" xr:uid="{00000000-0005-0000-0000-0000AF380000}"/>
    <cellStyle name="40% - Accent2 5 5 6 4 2" xfId="14516" xr:uid="{00000000-0005-0000-0000-0000B0380000}"/>
    <cellStyle name="40% - Accent2 5 5 6 5" xfId="14517" xr:uid="{00000000-0005-0000-0000-0000B1380000}"/>
    <cellStyle name="40% - Accent2 5 5 7" xfId="14518" xr:uid="{00000000-0005-0000-0000-0000B2380000}"/>
    <cellStyle name="40% - Accent2 5 5 7 2" xfId="14519" xr:uid="{00000000-0005-0000-0000-0000B3380000}"/>
    <cellStyle name="40% - Accent2 5 5 7 2 2" xfId="14520" xr:uid="{00000000-0005-0000-0000-0000B4380000}"/>
    <cellStyle name="40% - Accent2 5 5 7 2 2 2" xfId="14521" xr:uid="{00000000-0005-0000-0000-0000B5380000}"/>
    <cellStyle name="40% - Accent2 5 5 7 2 3" xfId="14522" xr:uid="{00000000-0005-0000-0000-0000B6380000}"/>
    <cellStyle name="40% - Accent2 5 5 7 3" xfId="14523" xr:uid="{00000000-0005-0000-0000-0000B7380000}"/>
    <cellStyle name="40% - Accent2 5 5 7 3 2" xfId="14524" xr:uid="{00000000-0005-0000-0000-0000B8380000}"/>
    <cellStyle name="40% - Accent2 5 5 7 4" xfId="14525" xr:uid="{00000000-0005-0000-0000-0000B9380000}"/>
    <cellStyle name="40% - Accent2 5 5 8" xfId="14526" xr:uid="{00000000-0005-0000-0000-0000BA380000}"/>
    <cellStyle name="40% - Accent2 5 5 8 2" xfId="14527" xr:uid="{00000000-0005-0000-0000-0000BB380000}"/>
    <cellStyle name="40% - Accent2 5 5 8 2 2" xfId="14528" xr:uid="{00000000-0005-0000-0000-0000BC380000}"/>
    <cellStyle name="40% - Accent2 5 5 8 2 2 2" xfId="14529" xr:uid="{00000000-0005-0000-0000-0000BD380000}"/>
    <cellStyle name="40% - Accent2 5 5 8 2 3" xfId="14530" xr:uid="{00000000-0005-0000-0000-0000BE380000}"/>
    <cellStyle name="40% - Accent2 5 5 8 3" xfId="14531" xr:uid="{00000000-0005-0000-0000-0000BF380000}"/>
    <cellStyle name="40% - Accent2 5 5 8 3 2" xfId="14532" xr:uid="{00000000-0005-0000-0000-0000C0380000}"/>
    <cellStyle name="40% - Accent2 5 5 8 4" xfId="14533" xr:uid="{00000000-0005-0000-0000-0000C1380000}"/>
    <cellStyle name="40% - Accent2 5 5 9" xfId="14534" xr:uid="{00000000-0005-0000-0000-0000C2380000}"/>
    <cellStyle name="40% - Accent2 5 5 9 2" xfId="14535" xr:uid="{00000000-0005-0000-0000-0000C3380000}"/>
    <cellStyle name="40% - Accent2 5 5 9 2 2" xfId="14536" xr:uid="{00000000-0005-0000-0000-0000C4380000}"/>
    <cellStyle name="40% - Accent2 5 5 9 3" xfId="14537" xr:uid="{00000000-0005-0000-0000-0000C5380000}"/>
    <cellStyle name="40% - Accent2 5 6" xfId="14538" xr:uid="{00000000-0005-0000-0000-0000C6380000}"/>
    <cellStyle name="40% - Accent2 5 6 10" xfId="14539" xr:uid="{00000000-0005-0000-0000-0000C7380000}"/>
    <cellStyle name="40% - Accent2 5 6 10 2" xfId="14540" xr:uid="{00000000-0005-0000-0000-0000C8380000}"/>
    <cellStyle name="40% - Accent2 5 6 10 2 2" xfId="14541" xr:uid="{00000000-0005-0000-0000-0000C9380000}"/>
    <cellStyle name="40% - Accent2 5 6 10 3" xfId="14542" xr:uid="{00000000-0005-0000-0000-0000CA380000}"/>
    <cellStyle name="40% - Accent2 5 6 11" xfId="14543" xr:uid="{00000000-0005-0000-0000-0000CB380000}"/>
    <cellStyle name="40% - Accent2 5 6 11 2" xfId="14544" xr:uid="{00000000-0005-0000-0000-0000CC380000}"/>
    <cellStyle name="40% - Accent2 5 6 11 2 2" xfId="14545" xr:uid="{00000000-0005-0000-0000-0000CD380000}"/>
    <cellStyle name="40% - Accent2 5 6 11 3" xfId="14546" xr:uid="{00000000-0005-0000-0000-0000CE380000}"/>
    <cellStyle name="40% - Accent2 5 6 12" xfId="14547" xr:uid="{00000000-0005-0000-0000-0000CF380000}"/>
    <cellStyle name="40% - Accent2 5 6 12 2" xfId="14548" xr:uid="{00000000-0005-0000-0000-0000D0380000}"/>
    <cellStyle name="40% - Accent2 5 6 12 2 2" xfId="14549" xr:uid="{00000000-0005-0000-0000-0000D1380000}"/>
    <cellStyle name="40% - Accent2 5 6 12 3" xfId="14550" xr:uid="{00000000-0005-0000-0000-0000D2380000}"/>
    <cellStyle name="40% - Accent2 5 6 13" xfId="14551" xr:uid="{00000000-0005-0000-0000-0000D3380000}"/>
    <cellStyle name="40% - Accent2 5 6 13 2" xfId="14552" xr:uid="{00000000-0005-0000-0000-0000D4380000}"/>
    <cellStyle name="40% - Accent2 5 6 14" xfId="14553" xr:uid="{00000000-0005-0000-0000-0000D5380000}"/>
    <cellStyle name="40% - Accent2 5 6 2" xfId="14554" xr:uid="{00000000-0005-0000-0000-0000D6380000}"/>
    <cellStyle name="40% - Accent2 5 6 2 2" xfId="14555" xr:uid="{00000000-0005-0000-0000-0000D7380000}"/>
    <cellStyle name="40% - Accent2 5 6 2 2 2" xfId="14556" xr:uid="{00000000-0005-0000-0000-0000D8380000}"/>
    <cellStyle name="40% - Accent2 5 6 2 2 2 2" xfId="14557" xr:uid="{00000000-0005-0000-0000-0000D9380000}"/>
    <cellStyle name="40% - Accent2 5 6 2 2 2 2 2" xfId="14558" xr:uid="{00000000-0005-0000-0000-0000DA380000}"/>
    <cellStyle name="40% - Accent2 5 6 2 2 2 3" xfId="14559" xr:uid="{00000000-0005-0000-0000-0000DB380000}"/>
    <cellStyle name="40% - Accent2 5 6 2 2 3" xfId="14560" xr:uid="{00000000-0005-0000-0000-0000DC380000}"/>
    <cellStyle name="40% - Accent2 5 6 2 2 3 2" xfId="14561" xr:uid="{00000000-0005-0000-0000-0000DD380000}"/>
    <cellStyle name="40% - Accent2 5 6 2 2 4" xfId="14562" xr:uid="{00000000-0005-0000-0000-0000DE380000}"/>
    <cellStyle name="40% - Accent2 5 6 2 3" xfId="14563" xr:uid="{00000000-0005-0000-0000-0000DF380000}"/>
    <cellStyle name="40% - Accent2 5 6 2 3 2" xfId="14564" xr:uid="{00000000-0005-0000-0000-0000E0380000}"/>
    <cellStyle name="40% - Accent2 5 6 2 3 2 2" xfId="14565" xr:uid="{00000000-0005-0000-0000-0000E1380000}"/>
    <cellStyle name="40% - Accent2 5 6 2 3 3" xfId="14566" xr:uid="{00000000-0005-0000-0000-0000E2380000}"/>
    <cellStyle name="40% - Accent2 5 6 2 4" xfId="14567" xr:uid="{00000000-0005-0000-0000-0000E3380000}"/>
    <cellStyle name="40% - Accent2 5 6 2 4 2" xfId="14568" xr:uid="{00000000-0005-0000-0000-0000E4380000}"/>
    <cellStyle name="40% - Accent2 5 6 2 4 2 2" xfId="14569" xr:uid="{00000000-0005-0000-0000-0000E5380000}"/>
    <cellStyle name="40% - Accent2 5 6 2 4 3" xfId="14570" xr:uid="{00000000-0005-0000-0000-0000E6380000}"/>
    <cellStyle name="40% - Accent2 5 6 2 5" xfId="14571" xr:uid="{00000000-0005-0000-0000-0000E7380000}"/>
    <cellStyle name="40% - Accent2 5 6 2 5 2" xfId="14572" xr:uid="{00000000-0005-0000-0000-0000E8380000}"/>
    <cellStyle name="40% - Accent2 5 6 2 5 2 2" xfId="14573" xr:uid="{00000000-0005-0000-0000-0000E9380000}"/>
    <cellStyle name="40% - Accent2 5 6 2 5 3" xfId="14574" xr:uid="{00000000-0005-0000-0000-0000EA380000}"/>
    <cellStyle name="40% - Accent2 5 6 2 6" xfId="14575" xr:uid="{00000000-0005-0000-0000-0000EB380000}"/>
    <cellStyle name="40% - Accent2 5 6 2 6 2" xfId="14576" xr:uid="{00000000-0005-0000-0000-0000EC380000}"/>
    <cellStyle name="40% - Accent2 5 6 2 6 2 2" xfId="14577" xr:uid="{00000000-0005-0000-0000-0000ED380000}"/>
    <cellStyle name="40% - Accent2 5 6 2 6 3" xfId="14578" xr:uid="{00000000-0005-0000-0000-0000EE380000}"/>
    <cellStyle name="40% - Accent2 5 6 2 7" xfId="14579" xr:uid="{00000000-0005-0000-0000-0000EF380000}"/>
    <cellStyle name="40% - Accent2 5 6 2 7 2" xfId="14580" xr:uid="{00000000-0005-0000-0000-0000F0380000}"/>
    <cellStyle name="40% - Accent2 5 6 2 8" xfId="14581" xr:uid="{00000000-0005-0000-0000-0000F1380000}"/>
    <cellStyle name="40% - Accent2 5 6 3" xfId="14582" xr:uid="{00000000-0005-0000-0000-0000F2380000}"/>
    <cellStyle name="40% - Accent2 5 6 3 2" xfId="14583" xr:uid="{00000000-0005-0000-0000-0000F3380000}"/>
    <cellStyle name="40% - Accent2 5 6 3 2 2" xfId="14584" xr:uid="{00000000-0005-0000-0000-0000F4380000}"/>
    <cellStyle name="40% - Accent2 5 6 3 2 2 2" xfId="14585" xr:uid="{00000000-0005-0000-0000-0000F5380000}"/>
    <cellStyle name="40% - Accent2 5 6 3 2 2 2 2" xfId="14586" xr:uid="{00000000-0005-0000-0000-0000F6380000}"/>
    <cellStyle name="40% - Accent2 5 6 3 2 2 3" xfId="14587" xr:uid="{00000000-0005-0000-0000-0000F7380000}"/>
    <cellStyle name="40% - Accent2 5 6 3 2 3" xfId="14588" xr:uid="{00000000-0005-0000-0000-0000F8380000}"/>
    <cellStyle name="40% - Accent2 5 6 3 2 3 2" xfId="14589" xr:uid="{00000000-0005-0000-0000-0000F9380000}"/>
    <cellStyle name="40% - Accent2 5 6 3 2 4" xfId="14590" xr:uid="{00000000-0005-0000-0000-0000FA380000}"/>
    <cellStyle name="40% - Accent2 5 6 3 3" xfId="14591" xr:uid="{00000000-0005-0000-0000-0000FB380000}"/>
    <cellStyle name="40% - Accent2 5 6 3 3 2" xfId="14592" xr:uid="{00000000-0005-0000-0000-0000FC380000}"/>
    <cellStyle name="40% - Accent2 5 6 3 3 2 2" xfId="14593" xr:uid="{00000000-0005-0000-0000-0000FD380000}"/>
    <cellStyle name="40% - Accent2 5 6 3 3 3" xfId="14594" xr:uid="{00000000-0005-0000-0000-0000FE380000}"/>
    <cellStyle name="40% - Accent2 5 6 3 4" xfId="14595" xr:uid="{00000000-0005-0000-0000-0000FF380000}"/>
    <cellStyle name="40% - Accent2 5 6 3 4 2" xfId="14596" xr:uid="{00000000-0005-0000-0000-000000390000}"/>
    <cellStyle name="40% - Accent2 5 6 3 4 2 2" xfId="14597" xr:uid="{00000000-0005-0000-0000-000001390000}"/>
    <cellStyle name="40% - Accent2 5 6 3 4 3" xfId="14598" xr:uid="{00000000-0005-0000-0000-000002390000}"/>
    <cellStyle name="40% - Accent2 5 6 3 5" xfId="14599" xr:uid="{00000000-0005-0000-0000-000003390000}"/>
    <cellStyle name="40% - Accent2 5 6 3 5 2" xfId="14600" xr:uid="{00000000-0005-0000-0000-000004390000}"/>
    <cellStyle name="40% - Accent2 5 6 3 5 2 2" xfId="14601" xr:uid="{00000000-0005-0000-0000-000005390000}"/>
    <cellStyle name="40% - Accent2 5 6 3 5 3" xfId="14602" xr:uid="{00000000-0005-0000-0000-000006390000}"/>
    <cellStyle name="40% - Accent2 5 6 3 6" xfId="14603" xr:uid="{00000000-0005-0000-0000-000007390000}"/>
    <cellStyle name="40% - Accent2 5 6 3 6 2" xfId="14604" xr:uid="{00000000-0005-0000-0000-000008390000}"/>
    <cellStyle name="40% - Accent2 5 6 3 6 2 2" xfId="14605" xr:uid="{00000000-0005-0000-0000-000009390000}"/>
    <cellStyle name="40% - Accent2 5 6 3 6 3" xfId="14606" xr:uid="{00000000-0005-0000-0000-00000A390000}"/>
    <cellStyle name="40% - Accent2 5 6 3 7" xfId="14607" xr:uid="{00000000-0005-0000-0000-00000B390000}"/>
    <cellStyle name="40% - Accent2 5 6 3 7 2" xfId="14608" xr:uid="{00000000-0005-0000-0000-00000C390000}"/>
    <cellStyle name="40% - Accent2 5 6 3 8" xfId="14609" xr:uid="{00000000-0005-0000-0000-00000D390000}"/>
    <cellStyle name="40% - Accent2 5 6 4" xfId="14610" xr:uid="{00000000-0005-0000-0000-00000E390000}"/>
    <cellStyle name="40% - Accent2 5 6 4 2" xfId="14611" xr:uid="{00000000-0005-0000-0000-00000F390000}"/>
    <cellStyle name="40% - Accent2 5 6 4 2 2" xfId="14612" xr:uid="{00000000-0005-0000-0000-000010390000}"/>
    <cellStyle name="40% - Accent2 5 6 4 2 2 2" xfId="14613" xr:uid="{00000000-0005-0000-0000-000011390000}"/>
    <cellStyle name="40% - Accent2 5 6 4 2 2 2 2" xfId="14614" xr:uid="{00000000-0005-0000-0000-000012390000}"/>
    <cellStyle name="40% - Accent2 5 6 4 2 2 3" xfId="14615" xr:uid="{00000000-0005-0000-0000-000013390000}"/>
    <cellStyle name="40% - Accent2 5 6 4 2 3" xfId="14616" xr:uid="{00000000-0005-0000-0000-000014390000}"/>
    <cellStyle name="40% - Accent2 5 6 4 2 3 2" xfId="14617" xr:uid="{00000000-0005-0000-0000-000015390000}"/>
    <cellStyle name="40% - Accent2 5 6 4 2 4" xfId="14618" xr:uid="{00000000-0005-0000-0000-000016390000}"/>
    <cellStyle name="40% - Accent2 5 6 4 3" xfId="14619" xr:uid="{00000000-0005-0000-0000-000017390000}"/>
    <cellStyle name="40% - Accent2 5 6 4 3 2" xfId="14620" xr:uid="{00000000-0005-0000-0000-000018390000}"/>
    <cellStyle name="40% - Accent2 5 6 4 3 2 2" xfId="14621" xr:uid="{00000000-0005-0000-0000-000019390000}"/>
    <cellStyle name="40% - Accent2 5 6 4 3 3" xfId="14622" xr:uid="{00000000-0005-0000-0000-00001A390000}"/>
    <cellStyle name="40% - Accent2 5 6 4 4" xfId="14623" xr:uid="{00000000-0005-0000-0000-00001B390000}"/>
    <cellStyle name="40% - Accent2 5 6 4 4 2" xfId="14624" xr:uid="{00000000-0005-0000-0000-00001C390000}"/>
    <cellStyle name="40% - Accent2 5 6 4 4 2 2" xfId="14625" xr:uid="{00000000-0005-0000-0000-00001D390000}"/>
    <cellStyle name="40% - Accent2 5 6 4 4 3" xfId="14626" xr:uid="{00000000-0005-0000-0000-00001E390000}"/>
    <cellStyle name="40% - Accent2 5 6 4 5" xfId="14627" xr:uid="{00000000-0005-0000-0000-00001F390000}"/>
    <cellStyle name="40% - Accent2 5 6 4 5 2" xfId="14628" xr:uid="{00000000-0005-0000-0000-000020390000}"/>
    <cellStyle name="40% - Accent2 5 6 4 5 2 2" xfId="14629" xr:uid="{00000000-0005-0000-0000-000021390000}"/>
    <cellStyle name="40% - Accent2 5 6 4 5 3" xfId="14630" xr:uid="{00000000-0005-0000-0000-000022390000}"/>
    <cellStyle name="40% - Accent2 5 6 4 6" xfId="14631" xr:uid="{00000000-0005-0000-0000-000023390000}"/>
    <cellStyle name="40% - Accent2 5 6 4 6 2" xfId="14632" xr:uid="{00000000-0005-0000-0000-000024390000}"/>
    <cellStyle name="40% - Accent2 5 6 4 6 2 2" xfId="14633" xr:uid="{00000000-0005-0000-0000-000025390000}"/>
    <cellStyle name="40% - Accent2 5 6 4 6 3" xfId="14634" xr:uid="{00000000-0005-0000-0000-000026390000}"/>
    <cellStyle name="40% - Accent2 5 6 4 7" xfId="14635" xr:uid="{00000000-0005-0000-0000-000027390000}"/>
    <cellStyle name="40% - Accent2 5 6 4 7 2" xfId="14636" xr:uid="{00000000-0005-0000-0000-000028390000}"/>
    <cellStyle name="40% - Accent2 5 6 4 8" xfId="14637" xr:uid="{00000000-0005-0000-0000-000029390000}"/>
    <cellStyle name="40% - Accent2 5 6 5" xfId="14638" xr:uid="{00000000-0005-0000-0000-00002A390000}"/>
    <cellStyle name="40% - Accent2 5 6 5 2" xfId="14639" xr:uid="{00000000-0005-0000-0000-00002B390000}"/>
    <cellStyle name="40% - Accent2 5 6 5 2 2" xfId="14640" xr:uid="{00000000-0005-0000-0000-00002C390000}"/>
    <cellStyle name="40% - Accent2 5 6 5 2 2 2" xfId="14641" xr:uid="{00000000-0005-0000-0000-00002D390000}"/>
    <cellStyle name="40% - Accent2 5 6 5 2 2 2 2" xfId="14642" xr:uid="{00000000-0005-0000-0000-00002E390000}"/>
    <cellStyle name="40% - Accent2 5 6 5 2 2 3" xfId="14643" xr:uid="{00000000-0005-0000-0000-00002F390000}"/>
    <cellStyle name="40% - Accent2 5 6 5 2 3" xfId="14644" xr:uid="{00000000-0005-0000-0000-000030390000}"/>
    <cellStyle name="40% - Accent2 5 6 5 2 3 2" xfId="14645" xr:uid="{00000000-0005-0000-0000-000031390000}"/>
    <cellStyle name="40% - Accent2 5 6 5 2 4" xfId="14646" xr:uid="{00000000-0005-0000-0000-000032390000}"/>
    <cellStyle name="40% - Accent2 5 6 5 3" xfId="14647" xr:uid="{00000000-0005-0000-0000-000033390000}"/>
    <cellStyle name="40% - Accent2 5 6 5 3 2" xfId="14648" xr:uid="{00000000-0005-0000-0000-000034390000}"/>
    <cellStyle name="40% - Accent2 5 6 5 3 2 2" xfId="14649" xr:uid="{00000000-0005-0000-0000-000035390000}"/>
    <cellStyle name="40% - Accent2 5 6 5 3 3" xfId="14650" xr:uid="{00000000-0005-0000-0000-000036390000}"/>
    <cellStyle name="40% - Accent2 5 6 5 4" xfId="14651" xr:uid="{00000000-0005-0000-0000-000037390000}"/>
    <cellStyle name="40% - Accent2 5 6 5 4 2" xfId="14652" xr:uid="{00000000-0005-0000-0000-000038390000}"/>
    <cellStyle name="40% - Accent2 5 6 5 5" xfId="14653" xr:uid="{00000000-0005-0000-0000-000039390000}"/>
    <cellStyle name="40% - Accent2 5 6 6" xfId="14654" xr:uid="{00000000-0005-0000-0000-00003A390000}"/>
    <cellStyle name="40% - Accent2 5 6 6 2" xfId="14655" xr:uid="{00000000-0005-0000-0000-00003B390000}"/>
    <cellStyle name="40% - Accent2 5 6 6 2 2" xfId="14656" xr:uid="{00000000-0005-0000-0000-00003C390000}"/>
    <cellStyle name="40% - Accent2 5 6 6 2 2 2" xfId="14657" xr:uid="{00000000-0005-0000-0000-00003D390000}"/>
    <cellStyle name="40% - Accent2 5 6 6 2 2 2 2" xfId="14658" xr:uid="{00000000-0005-0000-0000-00003E390000}"/>
    <cellStyle name="40% - Accent2 5 6 6 2 2 3" xfId="14659" xr:uid="{00000000-0005-0000-0000-00003F390000}"/>
    <cellStyle name="40% - Accent2 5 6 6 2 3" xfId="14660" xr:uid="{00000000-0005-0000-0000-000040390000}"/>
    <cellStyle name="40% - Accent2 5 6 6 2 3 2" xfId="14661" xr:uid="{00000000-0005-0000-0000-000041390000}"/>
    <cellStyle name="40% - Accent2 5 6 6 2 4" xfId="14662" xr:uid="{00000000-0005-0000-0000-000042390000}"/>
    <cellStyle name="40% - Accent2 5 6 6 3" xfId="14663" xr:uid="{00000000-0005-0000-0000-000043390000}"/>
    <cellStyle name="40% - Accent2 5 6 6 3 2" xfId="14664" xr:uid="{00000000-0005-0000-0000-000044390000}"/>
    <cellStyle name="40% - Accent2 5 6 6 3 2 2" xfId="14665" xr:uid="{00000000-0005-0000-0000-000045390000}"/>
    <cellStyle name="40% - Accent2 5 6 6 3 3" xfId="14666" xr:uid="{00000000-0005-0000-0000-000046390000}"/>
    <cellStyle name="40% - Accent2 5 6 6 4" xfId="14667" xr:uid="{00000000-0005-0000-0000-000047390000}"/>
    <cellStyle name="40% - Accent2 5 6 6 4 2" xfId="14668" xr:uid="{00000000-0005-0000-0000-000048390000}"/>
    <cellStyle name="40% - Accent2 5 6 6 5" xfId="14669" xr:uid="{00000000-0005-0000-0000-000049390000}"/>
    <cellStyle name="40% - Accent2 5 6 7" xfId="14670" xr:uid="{00000000-0005-0000-0000-00004A390000}"/>
    <cellStyle name="40% - Accent2 5 6 7 2" xfId="14671" xr:uid="{00000000-0005-0000-0000-00004B390000}"/>
    <cellStyle name="40% - Accent2 5 6 7 2 2" xfId="14672" xr:uid="{00000000-0005-0000-0000-00004C390000}"/>
    <cellStyle name="40% - Accent2 5 6 7 2 2 2" xfId="14673" xr:uid="{00000000-0005-0000-0000-00004D390000}"/>
    <cellStyle name="40% - Accent2 5 6 7 2 3" xfId="14674" xr:uid="{00000000-0005-0000-0000-00004E390000}"/>
    <cellStyle name="40% - Accent2 5 6 7 3" xfId="14675" xr:uid="{00000000-0005-0000-0000-00004F390000}"/>
    <cellStyle name="40% - Accent2 5 6 7 3 2" xfId="14676" xr:uid="{00000000-0005-0000-0000-000050390000}"/>
    <cellStyle name="40% - Accent2 5 6 7 4" xfId="14677" xr:uid="{00000000-0005-0000-0000-000051390000}"/>
    <cellStyle name="40% - Accent2 5 6 8" xfId="14678" xr:uid="{00000000-0005-0000-0000-000052390000}"/>
    <cellStyle name="40% - Accent2 5 6 8 2" xfId="14679" xr:uid="{00000000-0005-0000-0000-000053390000}"/>
    <cellStyle name="40% - Accent2 5 6 8 2 2" xfId="14680" xr:uid="{00000000-0005-0000-0000-000054390000}"/>
    <cellStyle name="40% - Accent2 5 6 8 2 2 2" xfId="14681" xr:uid="{00000000-0005-0000-0000-000055390000}"/>
    <cellStyle name="40% - Accent2 5 6 8 2 3" xfId="14682" xr:uid="{00000000-0005-0000-0000-000056390000}"/>
    <cellStyle name="40% - Accent2 5 6 8 3" xfId="14683" xr:uid="{00000000-0005-0000-0000-000057390000}"/>
    <cellStyle name="40% - Accent2 5 6 8 3 2" xfId="14684" xr:uid="{00000000-0005-0000-0000-000058390000}"/>
    <cellStyle name="40% - Accent2 5 6 8 4" xfId="14685" xr:uid="{00000000-0005-0000-0000-000059390000}"/>
    <cellStyle name="40% - Accent2 5 6 9" xfId="14686" xr:uid="{00000000-0005-0000-0000-00005A390000}"/>
    <cellStyle name="40% - Accent2 5 6 9 2" xfId="14687" xr:uid="{00000000-0005-0000-0000-00005B390000}"/>
    <cellStyle name="40% - Accent2 5 6 9 2 2" xfId="14688" xr:uid="{00000000-0005-0000-0000-00005C390000}"/>
    <cellStyle name="40% - Accent2 5 6 9 3" xfId="14689" xr:uid="{00000000-0005-0000-0000-00005D390000}"/>
    <cellStyle name="40% - Accent2 5 7" xfId="14690" xr:uid="{00000000-0005-0000-0000-00005E390000}"/>
    <cellStyle name="40% - Accent2 5 7 10" xfId="14691" xr:uid="{00000000-0005-0000-0000-00005F390000}"/>
    <cellStyle name="40% - Accent2 5 7 10 2" xfId="14692" xr:uid="{00000000-0005-0000-0000-000060390000}"/>
    <cellStyle name="40% - Accent2 5 7 10 2 2" xfId="14693" xr:uid="{00000000-0005-0000-0000-000061390000}"/>
    <cellStyle name="40% - Accent2 5 7 10 3" xfId="14694" xr:uid="{00000000-0005-0000-0000-000062390000}"/>
    <cellStyle name="40% - Accent2 5 7 11" xfId="14695" xr:uid="{00000000-0005-0000-0000-000063390000}"/>
    <cellStyle name="40% - Accent2 5 7 11 2" xfId="14696" xr:uid="{00000000-0005-0000-0000-000064390000}"/>
    <cellStyle name="40% - Accent2 5 7 11 2 2" xfId="14697" xr:uid="{00000000-0005-0000-0000-000065390000}"/>
    <cellStyle name="40% - Accent2 5 7 11 3" xfId="14698" xr:uid="{00000000-0005-0000-0000-000066390000}"/>
    <cellStyle name="40% - Accent2 5 7 12" xfId="14699" xr:uid="{00000000-0005-0000-0000-000067390000}"/>
    <cellStyle name="40% - Accent2 5 7 12 2" xfId="14700" xr:uid="{00000000-0005-0000-0000-000068390000}"/>
    <cellStyle name="40% - Accent2 5 7 12 2 2" xfId="14701" xr:uid="{00000000-0005-0000-0000-000069390000}"/>
    <cellStyle name="40% - Accent2 5 7 12 3" xfId="14702" xr:uid="{00000000-0005-0000-0000-00006A390000}"/>
    <cellStyle name="40% - Accent2 5 7 13" xfId="14703" xr:uid="{00000000-0005-0000-0000-00006B390000}"/>
    <cellStyle name="40% - Accent2 5 7 13 2" xfId="14704" xr:uid="{00000000-0005-0000-0000-00006C390000}"/>
    <cellStyle name="40% - Accent2 5 7 14" xfId="14705" xr:uid="{00000000-0005-0000-0000-00006D390000}"/>
    <cellStyle name="40% - Accent2 5 7 2" xfId="14706" xr:uid="{00000000-0005-0000-0000-00006E390000}"/>
    <cellStyle name="40% - Accent2 5 7 2 2" xfId="14707" xr:uid="{00000000-0005-0000-0000-00006F390000}"/>
    <cellStyle name="40% - Accent2 5 7 2 2 2" xfId="14708" xr:uid="{00000000-0005-0000-0000-000070390000}"/>
    <cellStyle name="40% - Accent2 5 7 2 2 2 2" xfId="14709" xr:uid="{00000000-0005-0000-0000-000071390000}"/>
    <cellStyle name="40% - Accent2 5 7 2 2 2 2 2" xfId="14710" xr:uid="{00000000-0005-0000-0000-000072390000}"/>
    <cellStyle name="40% - Accent2 5 7 2 2 2 3" xfId="14711" xr:uid="{00000000-0005-0000-0000-000073390000}"/>
    <cellStyle name="40% - Accent2 5 7 2 2 3" xfId="14712" xr:uid="{00000000-0005-0000-0000-000074390000}"/>
    <cellStyle name="40% - Accent2 5 7 2 2 3 2" xfId="14713" xr:uid="{00000000-0005-0000-0000-000075390000}"/>
    <cellStyle name="40% - Accent2 5 7 2 2 4" xfId="14714" xr:uid="{00000000-0005-0000-0000-000076390000}"/>
    <cellStyle name="40% - Accent2 5 7 2 3" xfId="14715" xr:uid="{00000000-0005-0000-0000-000077390000}"/>
    <cellStyle name="40% - Accent2 5 7 2 3 2" xfId="14716" xr:uid="{00000000-0005-0000-0000-000078390000}"/>
    <cellStyle name="40% - Accent2 5 7 2 3 2 2" xfId="14717" xr:uid="{00000000-0005-0000-0000-000079390000}"/>
    <cellStyle name="40% - Accent2 5 7 2 3 3" xfId="14718" xr:uid="{00000000-0005-0000-0000-00007A390000}"/>
    <cellStyle name="40% - Accent2 5 7 2 4" xfId="14719" xr:uid="{00000000-0005-0000-0000-00007B390000}"/>
    <cellStyle name="40% - Accent2 5 7 2 4 2" xfId="14720" xr:uid="{00000000-0005-0000-0000-00007C390000}"/>
    <cellStyle name="40% - Accent2 5 7 2 4 2 2" xfId="14721" xr:uid="{00000000-0005-0000-0000-00007D390000}"/>
    <cellStyle name="40% - Accent2 5 7 2 4 3" xfId="14722" xr:uid="{00000000-0005-0000-0000-00007E390000}"/>
    <cellStyle name="40% - Accent2 5 7 2 5" xfId="14723" xr:uid="{00000000-0005-0000-0000-00007F390000}"/>
    <cellStyle name="40% - Accent2 5 7 2 5 2" xfId="14724" xr:uid="{00000000-0005-0000-0000-000080390000}"/>
    <cellStyle name="40% - Accent2 5 7 2 5 2 2" xfId="14725" xr:uid="{00000000-0005-0000-0000-000081390000}"/>
    <cellStyle name="40% - Accent2 5 7 2 5 3" xfId="14726" xr:uid="{00000000-0005-0000-0000-000082390000}"/>
    <cellStyle name="40% - Accent2 5 7 2 6" xfId="14727" xr:uid="{00000000-0005-0000-0000-000083390000}"/>
    <cellStyle name="40% - Accent2 5 7 2 6 2" xfId="14728" xr:uid="{00000000-0005-0000-0000-000084390000}"/>
    <cellStyle name="40% - Accent2 5 7 2 6 2 2" xfId="14729" xr:uid="{00000000-0005-0000-0000-000085390000}"/>
    <cellStyle name="40% - Accent2 5 7 2 6 3" xfId="14730" xr:uid="{00000000-0005-0000-0000-000086390000}"/>
    <cellStyle name="40% - Accent2 5 7 2 7" xfId="14731" xr:uid="{00000000-0005-0000-0000-000087390000}"/>
    <cellStyle name="40% - Accent2 5 7 2 7 2" xfId="14732" xr:uid="{00000000-0005-0000-0000-000088390000}"/>
    <cellStyle name="40% - Accent2 5 7 2 8" xfId="14733" xr:uid="{00000000-0005-0000-0000-000089390000}"/>
    <cellStyle name="40% - Accent2 5 7 3" xfId="14734" xr:uid="{00000000-0005-0000-0000-00008A390000}"/>
    <cellStyle name="40% - Accent2 5 7 3 2" xfId="14735" xr:uid="{00000000-0005-0000-0000-00008B390000}"/>
    <cellStyle name="40% - Accent2 5 7 3 2 2" xfId="14736" xr:uid="{00000000-0005-0000-0000-00008C390000}"/>
    <cellStyle name="40% - Accent2 5 7 3 2 2 2" xfId="14737" xr:uid="{00000000-0005-0000-0000-00008D390000}"/>
    <cellStyle name="40% - Accent2 5 7 3 2 2 2 2" xfId="14738" xr:uid="{00000000-0005-0000-0000-00008E390000}"/>
    <cellStyle name="40% - Accent2 5 7 3 2 2 3" xfId="14739" xr:uid="{00000000-0005-0000-0000-00008F390000}"/>
    <cellStyle name="40% - Accent2 5 7 3 2 3" xfId="14740" xr:uid="{00000000-0005-0000-0000-000090390000}"/>
    <cellStyle name="40% - Accent2 5 7 3 2 3 2" xfId="14741" xr:uid="{00000000-0005-0000-0000-000091390000}"/>
    <cellStyle name="40% - Accent2 5 7 3 2 4" xfId="14742" xr:uid="{00000000-0005-0000-0000-000092390000}"/>
    <cellStyle name="40% - Accent2 5 7 3 3" xfId="14743" xr:uid="{00000000-0005-0000-0000-000093390000}"/>
    <cellStyle name="40% - Accent2 5 7 3 3 2" xfId="14744" xr:uid="{00000000-0005-0000-0000-000094390000}"/>
    <cellStyle name="40% - Accent2 5 7 3 3 2 2" xfId="14745" xr:uid="{00000000-0005-0000-0000-000095390000}"/>
    <cellStyle name="40% - Accent2 5 7 3 3 3" xfId="14746" xr:uid="{00000000-0005-0000-0000-000096390000}"/>
    <cellStyle name="40% - Accent2 5 7 3 4" xfId="14747" xr:uid="{00000000-0005-0000-0000-000097390000}"/>
    <cellStyle name="40% - Accent2 5 7 3 4 2" xfId="14748" xr:uid="{00000000-0005-0000-0000-000098390000}"/>
    <cellStyle name="40% - Accent2 5 7 3 4 2 2" xfId="14749" xr:uid="{00000000-0005-0000-0000-000099390000}"/>
    <cellStyle name="40% - Accent2 5 7 3 4 3" xfId="14750" xr:uid="{00000000-0005-0000-0000-00009A390000}"/>
    <cellStyle name="40% - Accent2 5 7 3 5" xfId="14751" xr:uid="{00000000-0005-0000-0000-00009B390000}"/>
    <cellStyle name="40% - Accent2 5 7 3 5 2" xfId="14752" xr:uid="{00000000-0005-0000-0000-00009C390000}"/>
    <cellStyle name="40% - Accent2 5 7 3 5 2 2" xfId="14753" xr:uid="{00000000-0005-0000-0000-00009D390000}"/>
    <cellStyle name="40% - Accent2 5 7 3 5 3" xfId="14754" xr:uid="{00000000-0005-0000-0000-00009E390000}"/>
    <cellStyle name="40% - Accent2 5 7 3 6" xfId="14755" xr:uid="{00000000-0005-0000-0000-00009F390000}"/>
    <cellStyle name="40% - Accent2 5 7 3 6 2" xfId="14756" xr:uid="{00000000-0005-0000-0000-0000A0390000}"/>
    <cellStyle name="40% - Accent2 5 7 3 6 2 2" xfId="14757" xr:uid="{00000000-0005-0000-0000-0000A1390000}"/>
    <cellStyle name="40% - Accent2 5 7 3 6 3" xfId="14758" xr:uid="{00000000-0005-0000-0000-0000A2390000}"/>
    <cellStyle name="40% - Accent2 5 7 3 7" xfId="14759" xr:uid="{00000000-0005-0000-0000-0000A3390000}"/>
    <cellStyle name="40% - Accent2 5 7 3 7 2" xfId="14760" xr:uid="{00000000-0005-0000-0000-0000A4390000}"/>
    <cellStyle name="40% - Accent2 5 7 3 8" xfId="14761" xr:uid="{00000000-0005-0000-0000-0000A5390000}"/>
    <cellStyle name="40% - Accent2 5 7 4" xfId="14762" xr:uid="{00000000-0005-0000-0000-0000A6390000}"/>
    <cellStyle name="40% - Accent2 5 7 4 2" xfId="14763" xr:uid="{00000000-0005-0000-0000-0000A7390000}"/>
    <cellStyle name="40% - Accent2 5 7 4 2 2" xfId="14764" xr:uid="{00000000-0005-0000-0000-0000A8390000}"/>
    <cellStyle name="40% - Accent2 5 7 4 2 2 2" xfId="14765" xr:uid="{00000000-0005-0000-0000-0000A9390000}"/>
    <cellStyle name="40% - Accent2 5 7 4 2 2 2 2" xfId="14766" xr:uid="{00000000-0005-0000-0000-0000AA390000}"/>
    <cellStyle name="40% - Accent2 5 7 4 2 2 3" xfId="14767" xr:uid="{00000000-0005-0000-0000-0000AB390000}"/>
    <cellStyle name="40% - Accent2 5 7 4 2 3" xfId="14768" xr:uid="{00000000-0005-0000-0000-0000AC390000}"/>
    <cellStyle name="40% - Accent2 5 7 4 2 3 2" xfId="14769" xr:uid="{00000000-0005-0000-0000-0000AD390000}"/>
    <cellStyle name="40% - Accent2 5 7 4 2 4" xfId="14770" xr:uid="{00000000-0005-0000-0000-0000AE390000}"/>
    <cellStyle name="40% - Accent2 5 7 4 3" xfId="14771" xr:uid="{00000000-0005-0000-0000-0000AF390000}"/>
    <cellStyle name="40% - Accent2 5 7 4 3 2" xfId="14772" xr:uid="{00000000-0005-0000-0000-0000B0390000}"/>
    <cellStyle name="40% - Accent2 5 7 4 3 2 2" xfId="14773" xr:uid="{00000000-0005-0000-0000-0000B1390000}"/>
    <cellStyle name="40% - Accent2 5 7 4 3 3" xfId="14774" xr:uid="{00000000-0005-0000-0000-0000B2390000}"/>
    <cellStyle name="40% - Accent2 5 7 4 4" xfId="14775" xr:uid="{00000000-0005-0000-0000-0000B3390000}"/>
    <cellStyle name="40% - Accent2 5 7 4 4 2" xfId="14776" xr:uid="{00000000-0005-0000-0000-0000B4390000}"/>
    <cellStyle name="40% - Accent2 5 7 4 4 2 2" xfId="14777" xr:uid="{00000000-0005-0000-0000-0000B5390000}"/>
    <cellStyle name="40% - Accent2 5 7 4 4 3" xfId="14778" xr:uid="{00000000-0005-0000-0000-0000B6390000}"/>
    <cellStyle name="40% - Accent2 5 7 4 5" xfId="14779" xr:uid="{00000000-0005-0000-0000-0000B7390000}"/>
    <cellStyle name="40% - Accent2 5 7 4 5 2" xfId="14780" xr:uid="{00000000-0005-0000-0000-0000B8390000}"/>
    <cellStyle name="40% - Accent2 5 7 4 5 2 2" xfId="14781" xr:uid="{00000000-0005-0000-0000-0000B9390000}"/>
    <cellStyle name="40% - Accent2 5 7 4 5 3" xfId="14782" xr:uid="{00000000-0005-0000-0000-0000BA390000}"/>
    <cellStyle name="40% - Accent2 5 7 4 6" xfId="14783" xr:uid="{00000000-0005-0000-0000-0000BB390000}"/>
    <cellStyle name="40% - Accent2 5 7 4 6 2" xfId="14784" xr:uid="{00000000-0005-0000-0000-0000BC390000}"/>
    <cellStyle name="40% - Accent2 5 7 4 6 2 2" xfId="14785" xr:uid="{00000000-0005-0000-0000-0000BD390000}"/>
    <cellStyle name="40% - Accent2 5 7 4 6 3" xfId="14786" xr:uid="{00000000-0005-0000-0000-0000BE390000}"/>
    <cellStyle name="40% - Accent2 5 7 4 7" xfId="14787" xr:uid="{00000000-0005-0000-0000-0000BF390000}"/>
    <cellStyle name="40% - Accent2 5 7 4 7 2" xfId="14788" xr:uid="{00000000-0005-0000-0000-0000C0390000}"/>
    <cellStyle name="40% - Accent2 5 7 4 8" xfId="14789" xr:uid="{00000000-0005-0000-0000-0000C1390000}"/>
    <cellStyle name="40% - Accent2 5 7 5" xfId="14790" xr:uid="{00000000-0005-0000-0000-0000C2390000}"/>
    <cellStyle name="40% - Accent2 5 7 5 2" xfId="14791" xr:uid="{00000000-0005-0000-0000-0000C3390000}"/>
    <cellStyle name="40% - Accent2 5 7 5 2 2" xfId="14792" xr:uid="{00000000-0005-0000-0000-0000C4390000}"/>
    <cellStyle name="40% - Accent2 5 7 5 2 2 2" xfId="14793" xr:uid="{00000000-0005-0000-0000-0000C5390000}"/>
    <cellStyle name="40% - Accent2 5 7 5 2 2 2 2" xfId="14794" xr:uid="{00000000-0005-0000-0000-0000C6390000}"/>
    <cellStyle name="40% - Accent2 5 7 5 2 2 3" xfId="14795" xr:uid="{00000000-0005-0000-0000-0000C7390000}"/>
    <cellStyle name="40% - Accent2 5 7 5 2 3" xfId="14796" xr:uid="{00000000-0005-0000-0000-0000C8390000}"/>
    <cellStyle name="40% - Accent2 5 7 5 2 3 2" xfId="14797" xr:uid="{00000000-0005-0000-0000-0000C9390000}"/>
    <cellStyle name="40% - Accent2 5 7 5 2 4" xfId="14798" xr:uid="{00000000-0005-0000-0000-0000CA390000}"/>
    <cellStyle name="40% - Accent2 5 7 5 3" xfId="14799" xr:uid="{00000000-0005-0000-0000-0000CB390000}"/>
    <cellStyle name="40% - Accent2 5 7 5 3 2" xfId="14800" xr:uid="{00000000-0005-0000-0000-0000CC390000}"/>
    <cellStyle name="40% - Accent2 5 7 5 3 2 2" xfId="14801" xr:uid="{00000000-0005-0000-0000-0000CD390000}"/>
    <cellStyle name="40% - Accent2 5 7 5 3 3" xfId="14802" xr:uid="{00000000-0005-0000-0000-0000CE390000}"/>
    <cellStyle name="40% - Accent2 5 7 5 4" xfId="14803" xr:uid="{00000000-0005-0000-0000-0000CF390000}"/>
    <cellStyle name="40% - Accent2 5 7 5 4 2" xfId="14804" xr:uid="{00000000-0005-0000-0000-0000D0390000}"/>
    <cellStyle name="40% - Accent2 5 7 5 5" xfId="14805" xr:uid="{00000000-0005-0000-0000-0000D1390000}"/>
    <cellStyle name="40% - Accent2 5 7 6" xfId="14806" xr:uid="{00000000-0005-0000-0000-0000D2390000}"/>
    <cellStyle name="40% - Accent2 5 7 6 2" xfId="14807" xr:uid="{00000000-0005-0000-0000-0000D3390000}"/>
    <cellStyle name="40% - Accent2 5 7 6 2 2" xfId="14808" xr:uid="{00000000-0005-0000-0000-0000D4390000}"/>
    <cellStyle name="40% - Accent2 5 7 6 2 2 2" xfId="14809" xr:uid="{00000000-0005-0000-0000-0000D5390000}"/>
    <cellStyle name="40% - Accent2 5 7 6 2 2 2 2" xfId="14810" xr:uid="{00000000-0005-0000-0000-0000D6390000}"/>
    <cellStyle name="40% - Accent2 5 7 6 2 2 3" xfId="14811" xr:uid="{00000000-0005-0000-0000-0000D7390000}"/>
    <cellStyle name="40% - Accent2 5 7 6 2 3" xfId="14812" xr:uid="{00000000-0005-0000-0000-0000D8390000}"/>
    <cellStyle name="40% - Accent2 5 7 6 2 3 2" xfId="14813" xr:uid="{00000000-0005-0000-0000-0000D9390000}"/>
    <cellStyle name="40% - Accent2 5 7 6 2 4" xfId="14814" xr:uid="{00000000-0005-0000-0000-0000DA390000}"/>
    <cellStyle name="40% - Accent2 5 7 6 3" xfId="14815" xr:uid="{00000000-0005-0000-0000-0000DB390000}"/>
    <cellStyle name="40% - Accent2 5 7 6 3 2" xfId="14816" xr:uid="{00000000-0005-0000-0000-0000DC390000}"/>
    <cellStyle name="40% - Accent2 5 7 6 3 2 2" xfId="14817" xr:uid="{00000000-0005-0000-0000-0000DD390000}"/>
    <cellStyle name="40% - Accent2 5 7 6 3 3" xfId="14818" xr:uid="{00000000-0005-0000-0000-0000DE390000}"/>
    <cellStyle name="40% - Accent2 5 7 6 4" xfId="14819" xr:uid="{00000000-0005-0000-0000-0000DF390000}"/>
    <cellStyle name="40% - Accent2 5 7 6 4 2" xfId="14820" xr:uid="{00000000-0005-0000-0000-0000E0390000}"/>
    <cellStyle name="40% - Accent2 5 7 6 5" xfId="14821" xr:uid="{00000000-0005-0000-0000-0000E1390000}"/>
    <cellStyle name="40% - Accent2 5 7 7" xfId="14822" xr:uid="{00000000-0005-0000-0000-0000E2390000}"/>
    <cellStyle name="40% - Accent2 5 7 7 2" xfId="14823" xr:uid="{00000000-0005-0000-0000-0000E3390000}"/>
    <cellStyle name="40% - Accent2 5 7 7 2 2" xfId="14824" xr:uid="{00000000-0005-0000-0000-0000E4390000}"/>
    <cellStyle name="40% - Accent2 5 7 7 2 2 2" xfId="14825" xr:uid="{00000000-0005-0000-0000-0000E5390000}"/>
    <cellStyle name="40% - Accent2 5 7 7 2 3" xfId="14826" xr:uid="{00000000-0005-0000-0000-0000E6390000}"/>
    <cellStyle name="40% - Accent2 5 7 7 3" xfId="14827" xr:uid="{00000000-0005-0000-0000-0000E7390000}"/>
    <cellStyle name="40% - Accent2 5 7 7 3 2" xfId="14828" xr:uid="{00000000-0005-0000-0000-0000E8390000}"/>
    <cellStyle name="40% - Accent2 5 7 7 4" xfId="14829" xr:uid="{00000000-0005-0000-0000-0000E9390000}"/>
    <cellStyle name="40% - Accent2 5 7 8" xfId="14830" xr:uid="{00000000-0005-0000-0000-0000EA390000}"/>
    <cellStyle name="40% - Accent2 5 7 8 2" xfId="14831" xr:uid="{00000000-0005-0000-0000-0000EB390000}"/>
    <cellStyle name="40% - Accent2 5 7 8 2 2" xfId="14832" xr:uid="{00000000-0005-0000-0000-0000EC390000}"/>
    <cellStyle name="40% - Accent2 5 7 8 2 2 2" xfId="14833" xr:uid="{00000000-0005-0000-0000-0000ED390000}"/>
    <cellStyle name="40% - Accent2 5 7 8 2 3" xfId="14834" xr:uid="{00000000-0005-0000-0000-0000EE390000}"/>
    <cellStyle name="40% - Accent2 5 7 8 3" xfId="14835" xr:uid="{00000000-0005-0000-0000-0000EF390000}"/>
    <cellStyle name="40% - Accent2 5 7 8 3 2" xfId="14836" xr:uid="{00000000-0005-0000-0000-0000F0390000}"/>
    <cellStyle name="40% - Accent2 5 7 8 4" xfId="14837" xr:uid="{00000000-0005-0000-0000-0000F1390000}"/>
    <cellStyle name="40% - Accent2 5 7 9" xfId="14838" xr:uid="{00000000-0005-0000-0000-0000F2390000}"/>
    <cellStyle name="40% - Accent2 5 7 9 2" xfId="14839" xr:uid="{00000000-0005-0000-0000-0000F3390000}"/>
    <cellStyle name="40% - Accent2 5 7 9 2 2" xfId="14840" xr:uid="{00000000-0005-0000-0000-0000F4390000}"/>
    <cellStyle name="40% - Accent2 5 7 9 3" xfId="14841" xr:uid="{00000000-0005-0000-0000-0000F5390000}"/>
    <cellStyle name="40% - Accent2 5 8" xfId="14842" xr:uid="{00000000-0005-0000-0000-0000F6390000}"/>
    <cellStyle name="40% - Accent2 5 8 2" xfId="14843" xr:uid="{00000000-0005-0000-0000-0000F7390000}"/>
    <cellStyle name="40% - Accent2 5 8 2 2" xfId="14844" xr:uid="{00000000-0005-0000-0000-0000F8390000}"/>
    <cellStyle name="40% - Accent2 5 8 2 2 2" xfId="14845" xr:uid="{00000000-0005-0000-0000-0000F9390000}"/>
    <cellStyle name="40% - Accent2 5 8 2 2 2 2" xfId="14846" xr:uid="{00000000-0005-0000-0000-0000FA390000}"/>
    <cellStyle name="40% - Accent2 5 8 2 2 3" xfId="14847" xr:uid="{00000000-0005-0000-0000-0000FB390000}"/>
    <cellStyle name="40% - Accent2 5 8 2 3" xfId="14848" xr:uid="{00000000-0005-0000-0000-0000FC390000}"/>
    <cellStyle name="40% - Accent2 5 8 2 3 2" xfId="14849" xr:uid="{00000000-0005-0000-0000-0000FD390000}"/>
    <cellStyle name="40% - Accent2 5 8 2 4" xfId="14850" xr:uid="{00000000-0005-0000-0000-0000FE390000}"/>
    <cellStyle name="40% - Accent2 5 8 3" xfId="14851" xr:uid="{00000000-0005-0000-0000-0000FF390000}"/>
    <cellStyle name="40% - Accent2 5 8 3 2" xfId="14852" xr:uid="{00000000-0005-0000-0000-0000003A0000}"/>
    <cellStyle name="40% - Accent2 5 8 3 2 2" xfId="14853" xr:uid="{00000000-0005-0000-0000-0000013A0000}"/>
    <cellStyle name="40% - Accent2 5 8 3 3" xfId="14854" xr:uid="{00000000-0005-0000-0000-0000023A0000}"/>
    <cellStyle name="40% - Accent2 5 8 4" xfId="14855" xr:uid="{00000000-0005-0000-0000-0000033A0000}"/>
    <cellStyle name="40% - Accent2 5 8 4 2" xfId="14856" xr:uid="{00000000-0005-0000-0000-0000043A0000}"/>
    <cellStyle name="40% - Accent2 5 8 4 2 2" xfId="14857" xr:uid="{00000000-0005-0000-0000-0000053A0000}"/>
    <cellStyle name="40% - Accent2 5 8 4 3" xfId="14858" xr:uid="{00000000-0005-0000-0000-0000063A0000}"/>
    <cellStyle name="40% - Accent2 5 8 5" xfId="14859" xr:uid="{00000000-0005-0000-0000-0000073A0000}"/>
    <cellStyle name="40% - Accent2 5 8 5 2" xfId="14860" xr:uid="{00000000-0005-0000-0000-0000083A0000}"/>
    <cellStyle name="40% - Accent2 5 8 5 2 2" xfId="14861" xr:uid="{00000000-0005-0000-0000-0000093A0000}"/>
    <cellStyle name="40% - Accent2 5 8 5 3" xfId="14862" xr:uid="{00000000-0005-0000-0000-00000A3A0000}"/>
    <cellStyle name="40% - Accent2 5 8 6" xfId="14863" xr:uid="{00000000-0005-0000-0000-00000B3A0000}"/>
    <cellStyle name="40% - Accent2 5 8 6 2" xfId="14864" xr:uid="{00000000-0005-0000-0000-00000C3A0000}"/>
    <cellStyle name="40% - Accent2 5 8 6 2 2" xfId="14865" xr:uid="{00000000-0005-0000-0000-00000D3A0000}"/>
    <cellStyle name="40% - Accent2 5 8 6 3" xfId="14866" xr:uid="{00000000-0005-0000-0000-00000E3A0000}"/>
    <cellStyle name="40% - Accent2 5 8 7" xfId="14867" xr:uid="{00000000-0005-0000-0000-00000F3A0000}"/>
    <cellStyle name="40% - Accent2 5 8 7 2" xfId="14868" xr:uid="{00000000-0005-0000-0000-0000103A0000}"/>
    <cellStyle name="40% - Accent2 5 8 8" xfId="14869" xr:uid="{00000000-0005-0000-0000-0000113A0000}"/>
    <cellStyle name="40% - Accent2 5 9" xfId="14870" xr:uid="{00000000-0005-0000-0000-0000123A0000}"/>
    <cellStyle name="40% - Accent2 5 9 2" xfId="14871" xr:uid="{00000000-0005-0000-0000-0000133A0000}"/>
    <cellStyle name="40% - Accent2 5 9 2 2" xfId="14872" xr:uid="{00000000-0005-0000-0000-0000143A0000}"/>
    <cellStyle name="40% - Accent2 5 9 2 2 2" xfId="14873" xr:uid="{00000000-0005-0000-0000-0000153A0000}"/>
    <cellStyle name="40% - Accent2 5 9 2 2 2 2" xfId="14874" xr:uid="{00000000-0005-0000-0000-0000163A0000}"/>
    <cellStyle name="40% - Accent2 5 9 2 2 3" xfId="14875" xr:uid="{00000000-0005-0000-0000-0000173A0000}"/>
    <cellStyle name="40% - Accent2 5 9 2 3" xfId="14876" xr:uid="{00000000-0005-0000-0000-0000183A0000}"/>
    <cellStyle name="40% - Accent2 5 9 2 3 2" xfId="14877" xr:uid="{00000000-0005-0000-0000-0000193A0000}"/>
    <cellStyle name="40% - Accent2 5 9 2 4" xfId="14878" xr:uid="{00000000-0005-0000-0000-00001A3A0000}"/>
    <cellStyle name="40% - Accent2 5 9 3" xfId="14879" xr:uid="{00000000-0005-0000-0000-00001B3A0000}"/>
    <cellStyle name="40% - Accent2 5 9 3 2" xfId="14880" xr:uid="{00000000-0005-0000-0000-00001C3A0000}"/>
    <cellStyle name="40% - Accent2 5 9 3 2 2" xfId="14881" xr:uid="{00000000-0005-0000-0000-00001D3A0000}"/>
    <cellStyle name="40% - Accent2 5 9 3 3" xfId="14882" xr:uid="{00000000-0005-0000-0000-00001E3A0000}"/>
    <cellStyle name="40% - Accent2 5 9 4" xfId="14883" xr:uid="{00000000-0005-0000-0000-00001F3A0000}"/>
    <cellStyle name="40% - Accent2 5 9 4 2" xfId="14884" xr:uid="{00000000-0005-0000-0000-0000203A0000}"/>
    <cellStyle name="40% - Accent2 5 9 4 2 2" xfId="14885" xr:uid="{00000000-0005-0000-0000-0000213A0000}"/>
    <cellStyle name="40% - Accent2 5 9 4 3" xfId="14886" xr:uid="{00000000-0005-0000-0000-0000223A0000}"/>
    <cellStyle name="40% - Accent2 5 9 5" xfId="14887" xr:uid="{00000000-0005-0000-0000-0000233A0000}"/>
    <cellStyle name="40% - Accent2 5 9 5 2" xfId="14888" xr:uid="{00000000-0005-0000-0000-0000243A0000}"/>
    <cellStyle name="40% - Accent2 5 9 5 2 2" xfId="14889" xr:uid="{00000000-0005-0000-0000-0000253A0000}"/>
    <cellStyle name="40% - Accent2 5 9 5 3" xfId="14890" xr:uid="{00000000-0005-0000-0000-0000263A0000}"/>
    <cellStyle name="40% - Accent2 5 9 6" xfId="14891" xr:uid="{00000000-0005-0000-0000-0000273A0000}"/>
    <cellStyle name="40% - Accent2 5 9 6 2" xfId="14892" xr:uid="{00000000-0005-0000-0000-0000283A0000}"/>
    <cellStyle name="40% - Accent2 5 9 6 2 2" xfId="14893" xr:uid="{00000000-0005-0000-0000-0000293A0000}"/>
    <cellStyle name="40% - Accent2 5 9 6 3" xfId="14894" xr:uid="{00000000-0005-0000-0000-00002A3A0000}"/>
    <cellStyle name="40% - Accent2 5 9 7" xfId="14895" xr:uid="{00000000-0005-0000-0000-00002B3A0000}"/>
    <cellStyle name="40% - Accent2 5 9 7 2" xfId="14896" xr:uid="{00000000-0005-0000-0000-00002C3A0000}"/>
    <cellStyle name="40% - Accent2 5 9 8" xfId="14897" xr:uid="{00000000-0005-0000-0000-00002D3A0000}"/>
    <cellStyle name="40% - Accent2 6" xfId="14898" xr:uid="{00000000-0005-0000-0000-00002E3A0000}"/>
    <cellStyle name="40% - Accent3 2" xfId="14899" xr:uid="{00000000-0005-0000-0000-00002F3A0000}"/>
    <cellStyle name="40% - Accent3 3" xfId="14900" xr:uid="{00000000-0005-0000-0000-0000303A0000}"/>
    <cellStyle name="40% - Accent3 4" xfId="14901" xr:uid="{00000000-0005-0000-0000-0000313A0000}"/>
    <cellStyle name="40% - Accent3 5" xfId="14902" xr:uid="{00000000-0005-0000-0000-0000323A0000}"/>
    <cellStyle name="40% - Accent3 5 10" xfId="14903" xr:uid="{00000000-0005-0000-0000-0000333A0000}"/>
    <cellStyle name="40% - Accent3 5 10 2" xfId="14904" xr:uid="{00000000-0005-0000-0000-0000343A0000}"/>
    <cellStyle name="40% - Accent3 5 10 2 2" xfId="14905" xr:uid="{00000000-0005-0000-0000-0000353A0000}"/>
    <cellStyle name="40% - Accent3 5 10 2 2 2" xfId="14906" xr:uid="{00000000-0005-0000-0000-0000363A0000}"/>
    <cellStyle name="40% - Accent3 5 10 2 2 2 2" xfId="14907" xr:uid="{00000000-0005-0000-0000-0000373A0000}"/>
    <cellStyle name="40% - Accent3 5 10 2 2 3" xfId="14908" xr:uid="{00000000-0005-0000-0000-0000383A0000}"/>
    <cellStyle name="40% - Accent3 5 10 2 3" xfId="14909" xr:uid="{00000000-0005-0000-0000-0000393A0000}"/>
    <cellStyle name="40% - Accent3 5 10 2 3 2" xfId="14910" xr:uid="{00000000-0005-0000-0000-00003A3A0000}"/>
    <cellStyle name="40% - Accent3 5 10 2 4" xfId="14911" xr:uid="{00000000-0005-0000-0000-00003B3A0000}"/>
    <cellStyle name="40% - Accent3 5 10 3" xfId="14912" xr:uid="{00000000-0005-0000-0000-00003C3A0000}"/>
    <cellStyle name="40% - Accent3 5 10 3 2" xfId="14913" xr:uid="{00000000-0005-0000-0000-00003D3A0000}"/>
    <cellStyle name="40% - Accent3 5 10 3 2 2" xfId="14914" xr:uid="{00000000-0005-0000-0000-00003E3A0000}"/>
    <cellStyle name="40% - Accent3 5 10 3 3" xfId="14915" xr:uid="{00000000-0005-0000-0000-00003F3A0000}"/>
    <cellStyle name="40% - Accent3 5 10 4" xfId="14916" xr:uid="{00000000-0005-0000-0000-0000403A0000}"/>
    <cellStyle name="40% - Accent3 5 10 4 2" xfId="14917" xr:uid="{00000000-0005-0000-0000-0000413A0000}"/>
    <cellStyle name="40% - Accent3 5 10 4 2 2" xfId="14918" xr:uid="{00000000-0005-0000-0000-0000423A0000}"/>
    <cellStyle name="40% - Accent3 5 10 4 3" xfId="14919" xr:uid="{00000000-0005-0000-0000-0000433A0000}"/>
    <cellStyle name="40% - Accent3 5 10 5" xfId="14920" xr:uid="{00000000-0005-0000-0000-0000443A0000}"/>
    <cellStyle name="40% - Accent3 5 10 5 2" xfId="14921" xr:uid="{00000000-0005-0000-0000-0000453A0000}"/>
    <cellStyle name="40% - Accent3 5 10 5 2 2" xfId="14922" xr:uid="{00000000-0005-0000-0000-0000463A0000}"/>
    <cellStyle name="40% - Accent3 5 10 5 3" xfId="14923" xr:uid="{00000000-0005-0000-0000-0000473A0000}"/>
    <cellStyle name="40% - Accent3 5 10 6" xfId="14924" xr:uid="{00000000-0005-0000-0000-0000483A0000}"/>
    <cellStyle name="40% - Accent3 5 10 6 2" xfId="14925" xr:uid="{00000000-0005-0000-0000-0000493A0000}"/>
    <cellStyle name="40% - Accent3 5 10 6 2 2" xfId="14926" xr:uid="{00000000-0005-0000-0000-00004A3A0000}"/>
    <cellStyle name="40% - Accent3 5 10 6 3" xfId="14927" xr:uid="{00000000-0005-0000-0000-00004B3A0000}"/>
    <cellStyle name="40% - Accent3 5 10 7" xfId="14928" xr:uid="{00000000-0005-0000-0000-00004C3A0000}"/>
    <cellStyle name="40% - Accent3 5 10 7 2" xfId="14929" xr:uid="{00000000-0005-0000-0000-00004D3A0000}"/>
    <cellStyle name="40% - Accent3 5 10 8" xfId="14930" xr:uid="{00000000-0005-0000-0000-00004E3A0000}"/>
    <cellStyle name="40% - Accent3 5 11" xfId="14931" xr:uid="{00000000-0005-0000-0000-00004F3A0000}"/>
    <cellStyle name="40% - Accent3 5 11 2" xfId="14932" xr:uid="{00000000-0005-0000-0000-0000503A0000}"/>
    <cellStyle name="40% - Accent3 5 11 2 2" xfId="14933" xr:uid="{00000000-0005-0000-0000-0000513A0000}"/>
    <cellStyle name="40% - Accent3 5 11 2 2 2" xfId="14934" xr:uid="{00000000-0005-0000-0000-0000523A0000}"/>
    <cellStyle name="40% - Accent3 5 11 2 2 2 2" xfId="14935" xr:uid="{00000000-0005-0000-0000-0000533A0000}"/>
    <cellStyle name="40% - Accent3 5 11 2 2 3" xfId="14936" xr:uid="{00000000-0005-0000-0000-0000543A0000}"/>
    <cellStyle name="40% - Accent3 5 11 2 3" xfId="14937" xr:uid="{00000000-0005-0000-0000-0000553A0000}"/>
    <cellStyle name="40% - Accent3 5 11 2 3 2" xfId="14938" xr:uid="{00000000-0005-0000-0000-0000563A0000}"/>
    <cellStyle name="40% - Accent3 5 11 2 4" xfId="14939" xr:uid="{00000000-0005-0000-0000-0000573A0000}"/>
    <cellStyle name="40% - Accent3 5 11 3" xfId="14940" xr:uid="{00000000-0005-0000-0000-0000583A0000}"/>
    <cellStyle name="40% - Accent3 5 11 3 2" xfId="14941" xr:uid="{00000000-0005-0000-0000-0000593A0000}"/>
    <cellStyle name="40% - Accent3 5 11 3 2 2" xfId="14942" xr:uid="{00000000-0005-0000-0000-00005A3A0000}"/>
    <cellStyle name="40% - Accent3 5 11 3 3" xfId="14943" xr:uid="{00000000-0005-0000-0000-00005B3A0000}"/>
    <cellStyle name="40% - Accent3 5 11 4" xfId="14944" xr:uid="{00000000-0005-0000-0000-00005C3A0000}"/>
    <cellStyle name="40% - Accent3 5 11 4 2" xfId="14945" xr:uid="{00000000-0005-0000-0000-00005D3A0000}"/>
    <cellStyle name="40% - Accent3 5 11 5" xfId="14946" xr:uid="{00000000-0005-0000-0000-00005E3A0000}"/>
    <cellStyle name="40% - Accent3 5 12" xfId="14947" xr:uid="{00000000-0005-0000-0000-00005F3A0000}"/>
    <cellStyle name="40% - Accent3 5 12 2" xfId="14948" xr:uid="{00000000-0005-0000-0000-0000603A0000}"/>
    <cellStyle name="40% - Accent3 5 12 2 2" xfId="14949" xr:uid="{00000000-0005-0000-0000-0000613A0000}"/>
    <cellStyle name="40% - Accent3 5 12 2 2 2" xfId="14950" xr:uid="{00000000-0005-0000-0000-0000623A0000}"/>
    <cellStyle name="40% - Accent3 5 12 2 2 2 2" xfId="14951" xr:uid="{00000000-0005-0000-0000-0000633A0000}"/>
    <cellStyle name="40% - Accent3 5 12 2 2 3" xfId="14952" xr:uid="{00000000-0005-0000-0000-0000643A0000}"/>
    <cellStyle name="40% - Accent3 5 12 2 3" xfId="14953" xr:uid="{00000000-0005-0000-0000-0000653A0000}"/>
    <cellStyle name="40% - Accent3 5 12 2 3 2" xfId="14954" xr:uid="{00000000-0005-0000-0000-0000663A0000}"/>
    <cellStyle name="40% - Accent3 5 12 2 4" xfId="14955" xr:uid="{00000000-0005-0000-0000-0000673A0000}"/>
    <cellStyle name="40% - Accent3 5 12 3" xfId="14956" xr:uid="{00000000-0005-0000-0000-0000683A0000}"/>
    <cellStyle name="40% - Accent3 5 12 3 2" xfId="14957" xr:uid="{00000000-0005-0000-0000-0000693A0000}"/>
    <cellStyle name="40% - Accent3 5 12 3 2 2" xfId="14958" xr:uid="{00000000-0005-0000-0000-00006A3A0000}"/>
    <cellStyle name="40% - Accent3 5 12 3 3" xfId="14959" xr:uid="{00000000-0005-0000-0000-00006B3A0000}"/>
    <cellStyle name="40% - Accent3 5 12 4" xfId="14960" xr:uid="{00000000-0005-0000-0000-00006C3A0000}"/>
    <cellStyle name="40% - Accent3 5 12 4 2" xfId="14961" xr:uid="{00000000-0005-0000-0000-00006D3A0000}"/>
    <cellStyle name="40% - Accent3 5 12 5" xfId="14962" xr:uid="{00000000-0005-0000-0000-00006E3A0000}"/>
    <cellStyle name="40% - Accent3 5 13" xfId="14963" xr:uid="{00000000-0005-0000-0000-00006F3A0000}"/>
    <cellStyle name="40% - Accent3 5 13 2" xfId="14964" xr:uid="{00000000-0005-0000-0000-0000703A0000}"/>
    <cellStyle name="40% - Accent3 5 13 2 2" xfId="14965" xr:uid="{00000000-0005-0000-0000-0000713A0000}"/>
    <cellStyle name="40% - Accent3 5 13 2 2 2" xfId="14966" xr:uid="{00000000-0005-0000-0000-0000723A0000}"/>
    <cellStyle name="40% - Accent3 5 13 2 2 2 2" xfId="14967" xr:uid="{00000000-0005-0000-0000-0000733A0000}"/>
    <cellStyle name="40% - Accent3 5 13 2 2 3" xfId="14968" xr:uid="{00000000-0005-0000-0000-0000743A0000}"/>
    <cellStyle name="40% - Accent3 5 13 2 3" xfId="14969" xr:uid="{00000000-0005-0000-0000-0000753A0000}"/>
    <cellStyle name="40% - Accent3 5 13 2 3 2" xfId="14970" xr:uid="{00000000-0005-0000-0000-0000763A0000}"/>
    <cellStyle name="40% - Accent3 5 13 2 4" xfId="14971" xr:uid="{00000000-0005-0000-0000-0000773A0000}"/>
    <cellStyle name="40% - Accent3 5 13 3" xfId="14972" xr:uid="{00000000-0005-0000-0000-0000783A0000}"/>
    <cellStyle name="40% - Accent3 5 13 3 2" xfId="14973" xr:uid="{00000000-0005-0000-0000-0000793A0000}"/>
    <cellStyle name="40% - Accent3 5 13 3 2 2" xfId="14974" xr:uid="{00000000-0005-0000-0000-00007A3A0000}"/>
    <cellStyle name="40% - Accent3 5 13 3 3" xfId="14975" xr:uid="{00000000-0005-0000-0000-00007B3A0000}"/>
    <cellStyle name="40% - Accent3 5 13 4" xfId="14976" xr:uid="{00000000-0005-0000-0000-00007C3A0000}"/>
    <cellStyle name="40% - Accent3 5 13 4 2" xfId="14977" xr:uid="{00000000-0005-0000-0000-00007D3A0000}"/>
    <cellStyle name="40% - Accent3 5 13 5" xfId="14978" xr:uid="{00000000-0005-0000-0000-00007E3A0000}"/>
    <cellStyle name="40% - Accent3 5 14" xfId="14979" xr:uid="{00000000-0005-0000-0000-00007F3A0000}"/>
    <cellStyle name="40% - Accent3 5 14 2" xfId="14980" xr:uid="{00000000-0005-0000-0000-0000803A0000}"/>
    <cellStyle name="40% - Accent3 5 14 2 2" xfId="14981" xr:uid="{00000000-0005-0000-0000-0000813A0000}"/>
    <cellStyle name="40% - Accent3 5 14 2 2 2" xfId="14982" xr:uid="{00000000-0005-0000-0000-0000823A0000}"/>
    <cellStyle name="40% - Accent3 5 14 2 3" xfId="14983" xr:uid="{00000000-0005-0000-0000-0000833A0000}"/>
    <cellStyle name="40% - Accent3 5 14 3" xfId="14984" xr:uid="{00000000-0005-0000-0000-0000843A0000}"/>
    <cellStyle name="40% - Accent3 5 14 3 2" xfId="14985" xr:uid="{00000000-0005-0000-0000-0000853A0000}"/>
    <cellStyle name="40% - Accent3 5 14 4" xfId="14986" xr:uid="{00000000-0005-0000-0000-0000863A0000}"/>
    <cellStyle name="40% - Accent3 5 15" xfId="14987" xr:uid="{00000000-0005-0000-0000-0000873A0000}"/>
    <cellStyle name="40% - Accent3 5 15 2" xfId="14988" xr:uid="{00000000-0005-0000-0000-0000883A0000}"/>
    <cellStyle name="40% - Accent3 5 15 2 2" xfId="14989" xr:uid="{00000000-0005-0000-0000-0000893A0000}"/>
    <cellStyle name="40% - Accent3 5 15 2 2 2" xfId="14990" xr:uid="{00000000-0005-0000-0000-00008A3A0000}"/>
    <cellStyle name="40% - Accent3 5 15 2 3" xfId="14991" xr:uid="{00000000-0005-0000-0000-00008B3A0000}"/>
    <cellStyle name="40% - Accent3 5 15 3" xfId="14992" xr:uid="{00000000-0005-0000-0000-00008C3A0000}"/>
    <cellStyle name="40% - Accent3 5 15 3 2" xfId="14993" xr:uid="{00000000-0005-0000-0000-00008D3A0000}"/>
    <cellStyle name="40% - Accent3 5 15 4" xfId="14994" xr:uid="{00000000-0005-0000-0000-00008E3A0000}"/>
    <cellStyle name="40% - Accent3 5 16" xfId="14995" xr:uid="{00000000-0005-0000-0000-00008F3A0000}"/>
    <cellStyle name="40% - Accent3 5 16 2" xfId="14996" xr:uid="{00000000-0005-0000-0000-0000903A0000}"/>
    <cellStyle name="40% - Accent3 5 16 2 2" xfId="14997" xr:uid="{00000000-0005-0000-0000-0000913A0000}"/>
    <cellStyle name="40% - Accent3 5 16 3" xfId="14998" xr:uid="{00000000-0005-0000-0000-0000923A0000}"/>
    <cellStyle name="40% - Accent3 5 17" xfId="14999" xr:uid="{00000000-0005-0000-0000-0000933A0000}"/>
    <cellStyle name="40% - Accent3 5 17 2" xfId="15000" xr:uid="{00000000-0005-0000-0000-0000943A0000}"/>
    <cellStyle name="40% - Accent3 5 17 2 2" xfId="15001" xr:uid="{00000000-0005-0000-0000-0000953A0000}"/>
    <cellStyle name="40% - Accent3 5 17 3" xfId="15002" xr:uid="{00000000-0005-0000-0000-0000963A0000}"/>
    <cellStyle name="40% - Accent3 5 18" xfId="15003" xr:uid="{00000000-0005-0000-0000-0000973A0000}"/>
    <cellStyle name="40% - Accent3 5 18 2" xfId="15004" xr:uid="{00000000-0005-0000-0000-0000983A0000}"/>
    <cellStyle name="40% - Accent3 5 18 2 2" xfId="15005" xr:uid="{00000000-0005-0000-0000-0000993A0000}"/>
    <cellStyle name="40% - Accent3 5 18 3" xfId="15006" xr:uid="{00000000-0005-0000-0000-00009A3A0000}"/>
    <cellStyle name="40% - Accent3 5 19" xfId="15007" xr:uid="{00000000-0005-0000-0000-00009B3A0000}"/>
    <cellStyle name="40% - Accent3 5 19 2" xfId="15008" xr:uid="{00000000-0005-0000-0000-00009C3A0000}"/>
    <cellStyle name="40% - Accent3 5 19 2 2" xfId="15009" xr:uid="{00000000-0005-0000-0000-00009D3A0000}"/>
    <cellStyle name="40% - Accent3 5 19 3" xfId="15010" xr:uid="{00000000-0005-0000-0000-00009E3A0000}"/>
    <cellStyle name="40% - Accent3 5 2" xfId="15011" xr:uid="{00000000-0005-0000-0000-00009F3A0000}"/>
    <cellStyle name="40% - Accent3 5 2 10" xfId="15012" xr:uid="{00000000-0005-0000-0000-0000A03A0000}"/>
    <cellStyle name="40% - Accent3 5 2 10 2" xfId="15013" xr:uid="{00000000-0005-0000-0000-0000A13A0000}"/>
    <cellStyle name="40% - Accent3 5 2 10 2 2" xfId="15014" xr:uid="{00000000-0005-0000-0000-0000A23A0000}"/>
    <cellStyle name="40% - Accent3 5 2 10 2 2 2" xfId="15015" xr:uid="{00000000-0005-0000-0000-0000A33A0000}"/>
    <cellStyle name="40% - Accent3 5 2 10 2 2 2 2" xfId="15016" xr:uid="{00000000-0005-0000-0000-0000A43A0000}"/>
    <cellStyle name="40% - Accent3 5 2 10 2 2 3" xfId="15017" xr:uid="{00000000-0005-0000-0000-0000A53A0000}"/>
    <cellStyle name="40% - Accent3 5 2 10 2 3" xfId="15018" xr:uid="{00000000-0005-0000-0000-0000A63A0000}"/>
    <cellStyle name="40% - Accent3 5 2 10 2 3 2" xfId="15019" xr:uid="{00000000-0005-0000-0000-0000A73A0000}"/>
    <cellStyle name="40% - Accent3 5 2 10 2 4" xfId="15020" xr:uid="{00000000-0005-0000-0000-0000A83A0000}"/>
    <cellStyle name="40% - Accent3 5 2 10 3" xfId="15021" xr:uid="{00000000-0005-0000-0000-0000A93A0000}"/>
    <cellStyle name="40% - Accent3 5 2 10 3 2" xfId="15022" xr:uid="{00000000-0005-0000-0000-0000AA3A0000}"/>
    <cellStyle name="40% - Accent3 5 2 10 3 2 2" xfId="15023" xr:uid="{00000000-0005-0000-0000-0000AB3A0000}"/>
    <cellStyle name="40% - Accent3 5 2 10 3 3" xfId="15024" xr:uid="{00000000-0005-0000-0000-0000AC3A0000}"/>
    <cellStyle name="40% - Accent3 5 2 10 4" xfId="15025" xr:uid="{00000000-0005-0000-0000-0000AD3A0000}"/>
    <cellStyle name="40% - Accent3 5 2 10 4 2" xfId="15026" xr:uid="{00000000-0005-0000-0000-0000AE3A0000}"/>
    <cellStyle name="40% - Accent3 5 2 10 5" xfId="15027" xr:uid="{00000000-0005-0000-0000-0000AF3A0000}"/>
    <cellStyle name="40% - Accent3 5 2 11" xfId="15028" xr:uid="{00000000-0005-0000-0000-0000B03A0000}"/>
    <cellStyle name="40% - Accent3 5 2 11 2" xfId="15029" xr:uid="{00000000-0005-0000-0000-0000B13A0000}"/>
    <cellStyle name="40% - Accent3 5 2 11 2 2" xfId="15030" xr:uid="{00000000-0005-0000-0000-0000B23A0000}"/>
    <cellStyle name="40% - Accent3 5 2 11 2 2 2" xfId="15031" xr:uid="{00000000-0005-0000-0000-0000B33A0000}"/>
    <cellStyle name="40% - Accent3 5 2 11 2 2 2 2" xfId="15032" xr:uid="{00000000-0005-0000-0000-0000B43A0000}"/>
    <cellStyle name="40% - Accent3 5 2 11 2 2 3" xfId="15033" xr:uid="{00000000-0005-0000-0000-0000B53A0000}"/>
    <cellStyle name="40% - Accent3 5 2 11 2 3" xfId="15034" xr:uid="{00000000-0005-0000-0000-0000B63A0000}"/>
    <cellStyle name="40% - Accent3 5 2 11 2 3 2" xfId="15035" xr:uid="{00000000-0005-0000-0000-0000B73A0000}"/>
    <cellStyle name="40% - Accent3 5 2 11 2 4" xfId="15036" xr:uid="{00000000-0005-0000-0000-0000B83A0000}"/>
    <cellStyle name="40% - Accent3 5 2 11 3" xfId="15037" xr:uid="{00000000-0005-0000-0000-0000B93A0000}"/>
    <cellStyle name="40% - Accent3 5 2 11 3 2" xfId="15038" xr:uid="{00000000-0005-0000-0000-0000BA3A0000}"/>
    <cellStyle name="40% - Accent3 5 2 11 3 2 2" xfId="15039" xr:uid="{00000000-0005-0000-0000-0000BB3A0000}"/>
    <cellStyle name="40% - Accent3 5 2 11 3 3" xfId="15040" xr:uid="{00000000-0005-0000-0000-0000BC3A0000}"/>
    <cellStyle name="40% - Accent3 5 2 11 4" xfId="15041" xr:uid="{00000000-0005-0000-0000-0000BD3A0000}"/>
    <cellStyle name="40% - Accent3 5 2 11 4 2" xfId="15042" xr:uid="{00000000-0005-0000-0000-0000BE3A0000}"/>
    <cellStyle name="40% - Accent3 5 2 11 5" xfId="15043" xr:uid="{00000000-0005-0000-0000-0000BF3A0000}"/>
    <cellStyle name="40% - Accent3 5 2 12" xfId="15044" xr:uid="{00000000-0005-0000-0000-0000C03A0000}"/>
    <cellStyle name="40% - Accent3 5 2 12 2" xfId="15045" xr:uid="{00000000-0005-0000-0000-0000C13A0000}"/>
    <cellStyle name="40% - Accent3 5 2 12 2 2" xfId="15046" xr:uid="{00000000-0005-0000-0000-0000C23A0000}"/>
    <cellStyle name="40% - Accent3 5 2 12 2 2 2" xfId="15047" xr:uid="{00000000-0005-0000-0000-0000C33A0000}"/>
    <cellStyle name="40% - Accent3 5 2 12 2 2 2 2" xfId="15048" xr:uid="{00000000-0005-0000-0000-0000C43A0000}"/>
    <cellStyle name="40% - Accent3 5 2 12 2 2 3" xfId="15049" xr:uid="{00000000-0005-0000-0000-0000C53A0000}"/>
    <cellStyle name="40% - Accent3 5 2 12 2 3" xfId="15050" xr:uid="{00000000-0005-0000-0000-0000C63A0000}"/>
    <cellStyle name="40% - Accent3 5 2 12 2 3 2" xfId="15051" xr:uid="{00000000-0005-0000-0000-0000C73A0000}"/>
    <cellStyle name="40% - Accent3 5 2 12 2 4" xfId="15052" xr:uid="{00000000-0005-0000-0000-0000C83A0000}"/>
    <cellStyle name="40% - Accent3 5 2 12 3" xfId="15053" xr:uid="{00000000-0005-0000-0000-0000C93A0000}"/>
    <cellStyle name="40% - Accent3 5 2 12 3 2" xfId="15054" xr:uid="{00000000-0005-0000-0000-0000CA3A0000}"/>
    <cellStyle name="40% - Accent3 5 2 12 3 2 2" xfId="15055" xr:uid="{00000000-0005-0000-0000-0000CB3A0000}"/>
    <cellStyle name="40% - Accent3 5 2 12 3 3" xfId="15056" xr:uid="{00000000-0005-0000-0000-0000CC3A0000}"/>
    <cellStyle name="40% - Accent3 5 2 12 4" xfId="15057" xr:uid="{00000000-0005-0000-0000-0000CD3A0000}"/>
    <cellStyle name="40% - Accent3 5 2 12 4 2" xfId="15058" xr:uid="{00000000-0005-0000-0000-0000CE3A0000}"/>
    <cellStyle name="40% - Accent3 5 2 12 5" xfId="15059" xr:uid="{00000000-0005-0000-0000-0000CF3A0000}"/>
    <cellStyle name="40% - Accent3 5 2 13" xfId="15060" xr:uid="{00000000-0005-0000-0000-0000D03A0000}"/>
    <cellStyle name="40% - Accent3 5 2 13 2" xfId="15061" xr:uid="{00000000-0005-0000-0000-0000D13A0000}"/>
    <cellStyle name="40% - Accent3 5 2 13 2 2" xfId="15062" xr:uid="{00000000-0005-0000-0000-0000D23A0000}"/>
    <cellStyle name="40% - Accent3 5 2 13 2 2 2" xfId="15063" xr:uid="{00000000-0005-0000-0000-0000D33A0000}"/>
    <cellStyle name="40% - Accent3 5 2 13 2 3" xfId="15064" xr:uid="{00000000-0005-0000-0000-0000D43A0000}"/>
    <cellStyle name="40% - Accent3 5 2 13 3" xfId="15065" xr:uid="{00000000-0005-0000-0000-0000D53A0000}"/>
    <cellStyle name="40% - Accent3 5 2 13 3 2" xfId="15066" xr:uid="{00000000-0005-0000-0000-0000D63A0000}"/>
    <cellStyle name="40% - Accent3 5 2 13 4" xfId="15067" xr:uid="{00000000-0005-0000-0000-0000D73A0000}"/>
    <cellStyle name="40% - Accent3 5 2 14" xfId="15068" xr:uid="{00000000-0005-0000-0000-0000D83A0000}"/>
    <cellStyle name="40% - Accent3 5 2 14 2" xfId="15069" xr:uid="{00000000-0005-0000-0000-0000D93A0000}"/>
    <cellStyle name="40% - Accent3 5 2 14 2 2" xfId="15070" xr:uid="{00000000-0005-0000-0000-0000DA3A0000}"/>
    <cellStyle name="40% - Accent3 5 2 14 2 2 2" xfId="15071" xr:uid="{00000000-0005-0000-0000-0000DB3A0000}"/>
    <cellStyle name="40% - Accent3 5 2 14 2 3" xfId="15072" xr:uid="{00000000-0005-0000-0000-0000DC3A0000}"/>
    <cellStyle name="40% - Accent3 5 2 14 3" xfId="15073" xr:uid="{00000000-0005-0000-0000-0000DD3A0000}"/>
    <cellStyle name="40% - Accent3 5 2 14 3 2" xfId="15074" xr:uid="{00000000-0005-0000-0000-0000DE3A0000}"/>
    <cellStyle name="40% - Accent3 5 2 14 4" xfId="15075" xr:uid="{00000000-0005-0000-0000-0000DF3A0000}"/>
    <cellStyle name="40% - Accent3 5 2 15" xfId="15076" xr:uid="{00000000-0005-0000-0000-0000E03A0000}"/>
    <cellStyle name="40% - Accent3 5 2 15 2" xfId="15077" xr:uid="{00000000-0005-0000-0000-0000E13A0000}"/>
    <cellStyle name="40% - Accent3 5 2 15 2 2" xfId="15078" xr:uid="{00000000-0005-0000-0000-0000E23A0000}"/>
    <cellStyle name="40% - Accent3 5 2 15 3" xfId="15079" xr:uid="{00000000-0005-0000-0000-0000E33A0000}"/>
    <cellStyle name="40% - Accent3 5 2 16" xfId="15080" xr:uid="{00000000-0005-0000-0000-0000E43A0000}"/>
    <cellStyle name="40% - Accent3 5 2 16 2" xfId="15081" xr:uid="{00000000-0005-0000-0000-0000E53A0000}"/>
    <cellStyle name="40% - Accent3 5 2 16 2 2" xfId="15082" xr:uid="{00000000-0005-0000-0000-0000E63A0000}"/>
    <cellStyle name="40% - Accent3 5 2 16 3" xfId="15083" xr:uid="{00000000-0005-0000-0000-0000E73A0000}"/>
    <cellStyle name="40% - Accent3 5 2 17" xfId="15084" xr:uid="{00000000-0005-0000-0000-0000E83A0000}"/>
    <cellStyle name="40% - Accent3 5 2 17 2" xfId="15085" xr:uid="{00000000-0005-0000-0000-0000E93A0000}"/>
    <cellStyle name="40% - Accent3 5 2 17 2 2" xfId="15086" xr:uid="{00000000-0005-0000-0000-0000EA3A0000}"/>
    <cellStyle name="40% - Accent3 5 2 17 3" xfId="15087" xr:uid="{00000000-0005-0000-0000-0000EB3A0000}"/>
    <cellStyle name="40% - Accent3 5 2 18" xfId="15088" xr:uid="{00000000-0005-0000-0000-0000EC3A0000}"/>
    <cellStyle name="40% - Accent3 5 2 18 2" xfId="15089" xr:uid="{00000000-0005-0000-0000-0000ED3A0000}"/>
    <cellStyle name="40% - Accent3 5 2 18 2 2" xfId="15090" xr:uid="{00000000-0005-0000-0000-0000EE3A0000}"/>
    <cellStyle name="40% - Accent3 5 2 18 3" xfId="15091" xr:uid="{00000000-0005-0000-0000-0000EF3A0000}"/>
    <cellStyle name="40% - Accent3 5 2 19" xfId="15092" xr:uid="{00000000-0005-0000-0000-0000F03A0000}"/>
    <cellStyle name="40% - Accent3 5 2 19 2" xfId="15093" xr:uid="{00000000-0005-0000-0000-0000F13A0000}"/>
    <cellStyle name="40% - Accent3 5 2 2" xfId="15094" xr:uid="{00000000-0005-0000-0000-0000F23A0000}"/>
    <cellStyle name="40% - Accent3 5 2 2 10" xfId="15095" xr:uid="{00000000-0005-0000-0000-0000F33A0000}"/>
    <cellStyle name="40% - Accent3 5 2 2 10 2" xfId="15096" xr:uid="{00000000-0005-0000-0000-0000F43A0000}"/>
    <cellStyle name="40% - Accent3 5 2 2 10 2 2" xfId="15097" xr:uid="{00000000-0005-0000-0000-0000F53A0000}"/>
    <cellStyle name="40% - Accent3 5 2 2 10 3" xfId="15098" xr:uid="{00000000-0005-0000-0000-0000F63A0000}"/>
    <cellStyle name="40% - Accent3 5 2 2 11" xfId="15099" xr:uid="{00000000-0005-0000-0000-0000F73A0000}"/>
    <cellStyle name="40% - Accent3 5 2 2 11 2" xfId="15100" xr:uid="{00000000-0005-0000-0000-0000F83A0000}"/>
    <cellStyle name="40% - Accent3 5 2 2 11 2 2" xfId="15101" xr:uid="{00000000-0005-0000-0000-0000F93A0000}"/>
    <cellStyle name="40% - Accent3 5 2 2 11 3" xfId="15102" xr:uid="{00000000-0005-0000-0000-0000FA3A0000}"/>
    <cellStyle name="40% - Accent3 5 2 2 12" xfId="15103" xr:uid="{00000000-0005-0000-0000-0000FB3A0000}"/>
    <cellStyle name="40% - Accent3 5 2 2 12 2" xfId="15104" xr:uid="{00000000-0005-0000-0000-0000FC3A0000}"/>
    <cellStyle name="40% - Accent3 5 2 2 12 2 2" xfId="15105" xr:uid="{00000000-0005-0000-0000-0000FD3A0000}"/>
    <cellStyle name="40% - Accent3 5 2 2 12 3" xfId="15106" xr:uid="{00000000-0005-0000-0000-0000FE3A0000}"/>
    <cellStyle name="40% - Accent3 5 2 2 13" xfId="15107" xr:uid="{00000000-0005-0000-0000-0000FF3A0000}"/>
    <cellStyle name="40% - Accent3 5 2 2 13 2" xfId="15108" xr:uid="{00000000-0005-0000-0000-0000003B0000}"/>
    <cellStyle name="40% - Accent3 5 2 2 14" xfId="15109" xr:uid="{00000000-0005-0000-0000-0000013B0000}"/>
    <cellStyle name="40% - Accent3 5 2 2 2" xfId="15110" xr:uid="{00000000-0005-0000-0000-0000023B0000}"/>
    <cellStyle name="40% - Accent3 5 2 2 2 2" xfId="15111" xr:uid="{00000000-0005-0000-0000-0000033B0000}"/>
    <cellStyle name="40% - Accent3 5 2 2 2 2 2" xfId="15112" xr:uid="{00000000-0005-0000-0000-0000043B0000}"/>
    <cellStyle name="40% - Accent3 5 2 2 2 2 2 2" xfId="15113" xr:uid="{00000000-0005-0000-0000-0000053B0000}"/>
    <cellStyle name="40% - Accent3 5 2 2 2 2 2 2 2" xfId="15114" xr:uid="{00000000-0005-0000-0000-0000063B0000}"/>
    <cellStyle name="40% - Accent3 5 2 2 2 2 2 3" xfId="15115" xr:uid="{00000000-0005-0000-0000-0000073B0000}"/>
    <cellStyle name="40% - Accent3 5 2 2 2 2 3" xfId="15116" xr:uid="{00000000-0005-0000-0000-0000083B0000}"/>
    <cellStyle name="40% - Accent3 5 2 2 2 2 3 2" xfId="15117" xr:uid="{00000000-0005-0000-0000-0000093B0000}"/>
    <cellStyle name="40% - Accent3 5 2 2 2 2 4" xfId="15118" xr:uid="{00000000-0005-0000-0000-00000A3B0000}"/>
    <cellStyle name="40% - Accent3 5 2 2 2 3" xfId="15119" xr:uid="{00000000-0005-0000-0000-00000B3B0000}"/>
    <cellStyle name="40% - Accent3 5 2 2 2 3 2" xfId="15120" xr:uid="{00000000-0005-0000-0000-00000C3B0000}"/>
    <cellStyle name="40% - Accent3 5 2 2 2 3 2 2" xfId="15121" xr:uid="{00000000-0005-0000-0000-00000D3B0000}"/>
    <cellStyle name="40% - Accent3 5 2 2 2 3 3" xfId="15122" xr:uid="{00000000-0005-0000-0000-00000E3B0000}"/>
    <cellStyle name="40% - Accent3 5 2 2 2 4" xfId="15123" xr:uid="{00000000-0005-0000-0000-00000F3B0000}"/>
    <cellStyle name="40% - Accent3 5 2 2 2 4 2" xfId="15124" xr:uid="{00000000-0005-0000-0000-0000103B0000}"/>
    <cellStyle name="40% - Accent3 5 2 2 2 4 2 2" xfId="15125" xr:uid="{00000000-0005-0000-0000-0000113B0000}"/>
    <cellStyle name="40% - Accent3 5 2 2 2 4 3" xfId="15126" xr:uid="{00000000-0005-0000-0000-0000123B0000}"/>
    <cellStyle name="40% - Accent3 5 2 2 2 5" xfId="15127" xr:uid="{00000000-0005-0000-0000-0000133B0000}"/>
    <cellStyle name="40% - Accent3 5 2 2 2 5 2" xfId="15128" xr:uid="{00000000-0005-0000-0000-0000143B0000}"/>
    <cellStyle name="40% - Accent3 5 2 2 2 5 2 2" xfId="15129" xr:uid="{00000000-0005-0000-0000-0000153B0000}"/>
    <cellStyle name="40% - Accent3 5 2 2 2 5 3" xfId="15130" xr:uid="{00000000-0005-0000-0000-0000163B0000}"/>
    <cellStyle name="40% - Accent3 5 2 2 2 6" xfId="15131" xr:uid="{00000000-0005-0000-0000-0000173B0000}"/>
    <cellStyle name="40% - Accent3 5 2 2 2 6 2" xfId="15132" xr:uid="{00000000-0005-0000-0000-0000183B0000}"/>
    <cellStyle name="40% - Accent3 5 2 2 2 6 2 2" xfId="15133" xr:uid="{00000000-0005-0000-0000-0000193B0000}"/>
    <cellStyle name="40% - Accent3 5 2 2 2 6 3" xfId="15134" xr:uid="{00000000-0005-0000-0000-00001A3B0000}"/>
    <cellStyle name="40% - Accent3 5 2 2 2 7" xfId="15135" xr:uid="{00000000-0005-0000-0000-00001B3B0000}"/>
    <cellStyle name="40% - Accent3 5 2 2 2 7 2" xfId="15136" xr:uid="{00000000-0005-0000-0000-00001C3B0000}"/>
    <cellStyle name="40% - Accent3 5 2 2 2 8" xfId="15137" xr:uid="{00000000-0005-0000-0000-00001D3B0000}"/>
    <cellStyle name="40% - Accent3 5 2 2 3" xfId="15138" xr:uid="{00000000-0005-0000-0000-00001E3B0000}"/>
    <cellStyle name="40% - Accent3 5 2 2 3 2" xfId="15139" xr:uid="{00000000-0005-0000-0000-00001F3B0000}"/>
    <cellStyle name="40% - Accent3 5 2 2 3 2 2" xfId="15140" xr:uid="{00000000-0005-0000-0000-0000203B0000}"/>
    <cellStyle name="40% - Accent3 5 2 2 3 2 2 2" xfId="15141" xr:uid="{00000000-0005-0000-0000-0000213B0000}"/>
    <cellStyle name="40% - Accent3 5 2 2 3 2 2 2 2" xfId="15142" xr:uid="{00000000-0005-0000-0000-0000223B0000}"/>
    <cellStyle name="40% - Accent3 5 2 2 3 2 2 3" xfId="15143" xr:uid="{00000000-0005-0000-0000-0000233B0000}"/>
    <cellStyle name="40% - Accent3 5 2 2 3 2 3" xfId="15144" xr:uid="{00000000-0005-0000-0000-0000243B0000}"/>
    <cellStyle name="40% - Accent3 5 2 2 3 2 3 2" xfId="15145" xr:uid="{00000000-0005-0000-0000-0000253B0000}"/>
    <cellStyle name="40% - Accent3 5 2 2 3 2 4" xfId="15146" xr:uid="{00000000-0005-0000-0000-0000263B0000}"/>
    <cellStyle name="40% - Accent3 5 2 2 3 3" xfId="15147" xr:uid="{00000000-0005-0000-0000-0000273B0000}"/>
    <cellStyle name="40% - Accent3 5 2 2 3 3 2" xfId="15148" xr:uid="{00000000-0005-0000-0000-0000283B0000}"/>
    <cellStyle name="40% - Accent3 5 2 2 3 3 2 2" xfId="15149" xr:uid="{00000000-0005-0000-0000-0000293B0000}"/>
    <cellStyle name="40% - Accent3 5 2 2 3 3 3" xfId="15150" xr:uid="{00000000-0005-0000-0000-00002A3B0000}"/>
    <cellStyle name="40% - Accent3 5 2 2 3 4" xfId="15151" xr:uid="{00000000-0005-0000-0000-00002B3B0000}"/>
    <cellStyle name="40% - Accent3 5 2 2 3 4 2" xfId="15152" xr:uid="{00000000-0005-0000-0000-00002C3B0000}"/>
    <cellStyle name="40% - Accent3 5 2 2 3 4 2 2" xfId="15153" xr:uid="{00000000-0005-0000-0000-00002D3B0000}"/>
    <cellStyle name="40% - Accent3 5 2 2 3 4 3" xfId="15154" xr:uid="{00000000-0005-0000-0000-00002E3B0000}"/>
    <cellStyle name="40% - Accent3 5 2 2 3 5" xfId="15155" xr:uid="{00000000-0005-0000-0000-00002F3B0000}"/>
    <cellStyle name="40% - Accent3 5 2 2 3 5 2" xfId="15156" xr:uid="{00000000-0005-0000-0000-0000303B0000}"/>
    <cellStyle name="40% - Accent3 5 2 2 3 5 2 2" xfId="15157" xr:uid="{00000000-0005-0000-0000-0000313B0000}"/>
    <cellStyle name="40% - Accent3 5 2 2 3 5 3" xfId="15158" xr:uid="{00000000-0005-0000-0000-0000323B0000}"/>
    <cellStyle name="40% - Accent3 5 2 2 3 6" xfId="15159" xr:uid="{00000000-0005-0000-0000-0000333B0000}"/>
    <cellStyle name="40% - Accent3 5 2 2 3 6 2" xfId="15160" xr:uid="{00000000-0005-0000-0000-0000343B0000}"/>
    <cellStyle name="40% - Accent3 5 2 2 3 6 2 2" xfId="15161" xr:uid="{00000000-0005-0000-0000-0000353B0000}"/>
    <cellStyle name="40% - Accent3 5 2 2 3 6 3" xfId="15162" xr:uid="{00000000-0005-0000-0000-0000363B0000}"/>
    <cellStyle name="40% - Accent3 5 2 2 3 7" xfId="15163" xr:uid="{00000000-0005-0000-0000-0000373B0000}"/>
    <cellStyle name="40% - Accent3 5 2 2 3 7 2" xfId="15164" xr:uid="{00000000-0005-0000-0000-0000383B0000}"/>
    <cellStyle name="40% - Accent3 5 2 2 3 8" xfId="15165" xr:uid="{00000000-0005-0000-0000-0000393B0000}"/>
    <cellStyle name="40% - Accent3 5 2 2 4" xfId="15166" xr:uid="{00000000-0005-0000-0000-00003A3B0000}"/>
    <cellStyle name="40% - Accent3 5 2 2 4 2" xfId="15167" xr:uid="{00000000-0005-0000-0000-00003B3B0000}"/>
    <cellStyle name="40% - Accent3 5 2 2 4 2 2" xfId="15168" xr:uid="{00000000-0005-0000-0000-00003C3B0000}"/>
    <cellStyle name="40% - Accent3 5 2 2 4 2 2 2" xfId="15169" xr:uid="{00000000-0005-0000-0000-00003D3B0000}"/>
    <cellStyle name="40% - Accent3 5 2 2 4 2 2 2 2" xfId="15170" xr:uid="{00000000-0005-0000-0000-00003E3B0000}"/>
    <cellStyle name="40% - Accent3 5 2 2 4 2 2 3" xfId="15171" xr:uid="{00000000-0005-0000-0000-00003F3B0000}"/>
    <cellStyle name="40% - Accent3 5 2 2 4 2 3" xfId="15172" xr:uid="{00000000-0005-0000-0000-0000403B0000}"/>
    <cellStyle name="40% - Accent3 5 2 2 4 2 3 2" xfId="15173" xr:uid="{00000000-0005-0000-0000-0000413B0000}"/>
    <cellStyle name="40% - Accent3 5 2 2 4 2 4" xfId="15174" xr:uid="{00000000-0005-0000-0000-0000423B0000}"/>
    <cellStyle name="40% - Accent3 5 2 2 4 3" xfId="15175" xr:uid="{00000000-0005-0000-0000-0000433B0000}"/>
    <cellStyle name="40% - Accent3 5 2 2 4 3 2" xfId="15176" xr:uid="{00000000-0005-0000-0000-0000443B0000}"/>
    <cellStyle name="40% - Accent3 5 2 2 4 3 2 2" xfId="15177" xr:uid="{00000000-0005-0000-0000-0000453B0000}"/>
    <cellStyle name="40% - Accent3 5 2 2 4 3 3" xfId="15178" xr:uid="{00000000-0005-0000-0000-0000463B0000}"/>
    <cellStyle name="40% - Accent3 5 2 2 4 4" xfId="15179" xr:uid="{00000000-0005-0000-0000-0000473B0000}"/>
    <cellStyle name="40% - Accent3 5 2 2 4 4 2" xfId="15180" xr:uid="{00000000-0005-0000-0000-0000483B0000}"/>
    <cellStyle name="40% - Accent3 5 2 2 4 4 2 2" xfId="15181" xr:uid="{00000000-0005-0000-0000-0000493B0000}"/>
    <cellStyle name="40% - Accent3 5 2 2 4 4 3" xfId="15182" xr:uid="{00000000-0005-0000-0000-00004A3B0000}"/>
    <cellStyle name="40% - Accent3 5 2 2 4 5" xfId="15183" xr:uid="{00000000-0005-0000-0000-00004B3B0000}"/>
    <cellStyle name="40% - Accent3 5 2 2 4 5 2" xfId="15184" xr:uid="{00000000-0005-0000-0000-00004C3B0000}"/>
    <cellStyle name="40% - Accent3 5 2 2 4 5 2 2" xfId="15185" xr:uid="{00000000-0005-0000-0000-00004D3B0000}"/>
    <cellStyle name="40% - Accent3 5 2 2 4 5 3" xfId="15186" xr:uid="{00000000-0005-0000-0000-00004E3B0000}"/>
    <cellStyle name="40% - Accent3 5 2 2 4 6" xfId="15187" xr:uid="{00000000-0005-0000-0000-00004F3B0000}"/>
    <cellStyle name="40% - Accent3 5 2 2 4 6 2" xfId="15188" xr:uid="{00000000-0005-0000-0000-0000503B0000}"/>
    <cellStyle name="40% - Accent3 5 2 2 4 6 2 2" xfId="15189" xr:uid="{00000000-0005-0000-0000-0000513B0000}"/>
    <cellStyle name="40% - Accent3 5 2 2 4 6 3" xfId="15190" xr:uid="{00000000-0005-0000-0000-0000523B0000}"/>
    <cellStyle name="40% - Accent3 5 2 2 4 7" xfId="15191" xr:uid="{00000000-0005-0000-0000-0000533B0000}"/>
    <cellStyle name="40% - Accent3 5 2 2 4 7 2" xfId="15192" xr:uid="{00000000-0005-0000-0000-0000543B0000}"/>
    <cellStyle name="40% - Accent3 5 2 2 4 8" xfId="15193" xr:uid="{00000000-0005-0000-0000-0000553B0000}"/>
    <cellStyle name="40% - Accent3 5 2 2 5" xfId="15194" xr:uid="{00000000-0005-0000-0000-0000563B0000}"/>
    <cellStyle name="40% - Accent3 5 2 2 5 2" xfId="15195" xr:uid="{00000000-0005-0000-0000-0000573B0000}"/>
    <cellStyle name="40% - Accent3 5 2 2 5 2 2" xfId="15196" xr:uid="{00000000-0005-0000-0000-0000583B0000}"/>
    <cellStyle name="40% - Accent3 5 2 2 5 2 2 2" xfId="15197" xr:uid="{00000000-0005-0000-0000-0000593B0000}"/>
    <cellStyle name="40% - Accent3 5 2 2 5 2 2 2 2" xfId="15198" xr:uid="{00000000-0005-0000-0000-00005A3B0000}"/>
    <cellStyle name="40% - Accent3 5 2 2 5 2 2 3" xfId="15199" xr:uid="{00000000-0005-0000-0000-00005B3B0000}"/>
    <cellStyle name="40% - Accent3 5 2 2 5 2 3" xfId="15200" xr:uid="{00000000-0005-0000-0000-00005C3B0000}"/>
    <cellStyle name="40% - Accent3 5 2 2 5 2 3 2" xfId="15201" xr:uid="{00000000-0005-0000-0000-00005D3B0000}"/>
    <cellStyle name="40% - Accent3 5 2 2 5 2 4" xfId="15202" xr:uid="{00000000-0005-0000-0000-00005E3B0000}"/>
    <cellStyle name="40% - Accent3 5 2 2 5 3" xfId="15203" xr:uid="{00000000-0005-0000-0000-00005F3B0000}"/>
    <cellStyle name="40% - Accent3 5 2 2 5 3 2" xfId="15204" xr:uid="{00000000-0005-0000-0000-0000603B0000}"/>
    <cellStyle name="40% - Accent3 5 2 2 5 3 2 2" xfId="15205" xr:uid="{00000000-0005-0000-0000-0000613B0000}"/>
    <cellStyle name="40% - Accent3 5 2 2 5 3 3" xfId="15206" xr:uid="{00000000-0005-0000-0000-0000623B0000}"/>
    <cellStyle name="40% - Accent3 5 2 2 5 4" xfId="15207" xr:uid="{00000000-0005-0000-0000-0000633B0000}"/>
    <cellStyle name="40% - Accent3 5 2 2 5 4 2" xfId="15208" xr:uid="{00000000-0005-0000-0000-0000643B0000}"/>
    <cellStyle name="40% - Accent3 5 2 2 5 5" xfId="15209" xr:uid="{00000000-0005-0000-0000-0000653B0000}"/>
    <cellStyle name="40% - Accent3 5 2 2 6" xfId="15210" xr:uid="{00000000-0005-0000-0000-0000663B0000}"/>
    <cellStyle name="40% - Accent3 5 2 2 6 2" xfId="15211" xr:uid="{00000000-0005-0000-0000-0000673B0000}"/>
    <cellStyle name="40% - Accent3 5 2 2 6 2 2" xfId="15212" xr:uid="{00000000-0005-0000-0000-0000683B0000}"/>
    <cellStyle name="40% - Accent3 5 2 2 6 2 2 2" xfId="15213" xr:uid="{00000000-0005-0000-0000-0000693B0000}"/>
    <cellStyle name="40% - Accent3 5 2 2 6 2 2 2 2" xfId="15214" xr:uid="{00000000-0005-0000-0000-00006A3B0000}"/>
    <cellStyle name="40% - Accent3 5 2 2 6 2 2 3" xfId="15215" xr:uid="{00000000-0005-0000-0000-00006B3B0000}"/>
    <cellStyle name="40% - Accent3 5 2 2 6 2 3" xfId="15216" xr:uid="{00000000-0005-0000-0000-00006C3B0000}"/>
    <cellStyle name="40% - Accent3 5 2 2 6 2 3 2" xfId="15217" xr:uid="{00000000-0005-0000-0000-00006D3B0000}"/>
    <cellStyle name="40% - Accent3 5 2 2 6 2 4" xfId="15218" xr:uid="{00000000-0005-0000-0000-00006E3B0000}"/>
    <cellStyle name="40% - Accent3 5 2 2 6 3" xfId="15219" xr:uid="{00000000-0005-0000-0000-00006F3B0000}"/>
    <cellStyle name="40% - Accent3 5 2 2 6 3 2" xfId="15220" xr:uid="{00000000-0005-0000-0000-0000703B0000}"/>
    <cellStyle name="40% - Accent3 5 2 2 6 3 2 2" xfId="15221" xr:uid="{00000000-0005-0000-0000-0000713B0000}"/>
    <cellStyle name="40% - Accent3 5 2 2 6 3 3" xfId="15222" xr:uid="{00000000-0005-0000-0000-0000723B0000}"/>
    <cellStyle name="40% - Accent3 5 2 2 6 4" xfId="15223" xr:uid="{00000000-0005-0000-0000-0000733B0000}"/>
    <cellStyle name="40% - Accent3 5 2 2 6 4 2" xfId="15224" xr:uid="{00000000-0005-0000-0000-0000743B0000}"/>
    <cellStyle name="40% - Accent3 5 2 2 6 5" xfId="15225" xr:uid="{00000000-0005-0000-0000-0000753B0000}"/>
    <cellStyle name="40% - Accent3 5 2 2 7" xfId="15226" xr:uid="{00000000-0005-0000-0000-0000763B0000}"/>
    <cellStyle name="40% - Accent3 5 2 2 7 2" xfId="15227" xr:uid="{00000000-0005-0000-0000-0000773B0000}"/>
    <cellStyle name="40% - Accent3 5 2 2 7 2 2" xfId="15228" xr:uid="{00000000-0005-0000-0000-0000783B0000}"/>
    <cellStyle name="40% - Accent3 5 2 2 7 2 2 2" xfId="15229" xr:uid="{00000000-0005-0000-0000-0000793B0000}"/>
    <cellStyle name="40% - Accent3 5 2 2 7 2 3" xfId="15230" xr:uid="{00000000-0005-0000-0000-00007A3B0000}"/>
    <cellStyle name="40% - Accent3 5 2 2 7 3" xfId="15231" xr:uid="{00000000-0005-0000-0000-00007B3B0000}"/>
    <cellStyle name="40% - Accent3 5 2 2 7 3 2" xfId="15232" xr:uid="{00000000-0005-0000-0000-00007C3B0000}"/>
    <cellStyle name="40% - Accent3 5 2 2 7 4" xfId="15233" xr:uid="{00000000-0005-0000-0000-00007D3B0000}"/>
    <cellStyle name="40% - Accent3 5 2 2 8" xfId="15234" xr:uid="{00000000-0005-0000-0000-00007E3B0000}"/>
    <cellStyle name="40% - Accent3 5 2 2 8 2" xfId="15235" xr:uid="{00000000-0005-0000-0000-00007F3B0000}"/>
    <cellStyle name="40% - Accent3 5 2 2 8 2 2" xfId="15236" xr:uid="{00000000-0005-0000-0000-0000803B0000}"/>
    <cellStyle name="40% - Accent3 5 2 2 8 2 2 2" xfId="15237" xr:uid="{00000000-0005-0000-0000-0000813B0000}"/>
    <cellStyle name="40% - Accent3 5 2 2 8 2 3" xfId="15238" xr:uid="{00000000-0005-0000-0000-0000823B0000}"/>
    <cellStyle name="40% - Accent3 5 2 2 8 3" xfId="15239" xr:uid="{00000000-0005-0000-0000-0000833B0000}"/>
    <cellStyle name="40% - Accent3 5 2 2 8 3 2" xfId="15240" xr:uid="{00000000-0005-0000-0000-0000843B0000}"/>
    <cellStyle name="40% - Accent3 5 2 2 8 4" xfId="15241" xr:uid="{00000000-0005-0000-0000-0000853B0000}"/>
    <cellStyle name="40% - Accent3 5 2 2 9" xfId="15242" xr:uid="{00000000-0005-0000-0000-0000863B0000}"/>
    <cellStyle name="40% - Accent3 5 2 2 9 2" xfId="15243" xr:uid="{00000000-0005-0000-0000-0000873B0000}"/>
    <cellStyle name="40% - Accent3 5 2 2 9 2 2" xfId="15244" xr:uid="{00000000-0005-0000-0000-0000883B0000}"/>
    <cellStyle name="40% - Accent3 5 2 2 9 3" xfId="15245" xr:uid="{00000000-0005-0000-0000-0000893B0000}"/>
    <cellStyle name="40% - Accent3 5 2 20" xfId="15246" xr:uid="{00000000-0005-0000-0000-00008A3B0000}"/>
    <cellStyle name="40% - Accent3 5 2 3" xfId="15247" xr:uid="{00000000-0005-0000-0000-00008B3B0000}"/>
    <cellStyle name="40% - Accent3 5 2 3 10" xfId="15248" xr:uid="{00000000-0005-0000-0000-00008C3B0000}"/>
    <cellStyle name="40% - Accent3 5 2 3 10 2" xfId="15249" xr:uid="{00000000-0005-0000-0000-00008D3B0000}"/>
    <cellStyle name="40% - Accent3 5 2 3 10 2 2" xfId="15250" xr:uid="{00000000-0005-0000-0000-00008E3B0000}"/>
    <cellStyle name="40% - Accent3 5 2 3 10 3" xfId="15251" xr:uid="{00000000-0005-0000-0000-00008F3B0000}"/>
    <cellStyle name="40% - Accent3 5 2 3 11" xfId="15252" xr:uid="{00000000-0005-0000-0000-0000903B0000}"/>
    <cellStyle name="40% - Accent3 5 2 3 11 2" xfId="15253" xr:uid="{00000000-0005-0000-0000-0000913B0000}"/>
    <cellStyle name="40% - Accent3 5 2 3 11 2 2" xfId="15254" xr:uid="{00000000-0005-0000-0000-0000923B0000}"/>
    <cellStyle name="40% - Accent3 5 2 3 11 3" xfId="15255" xr:uid="{00000000-0005-0000-0000-0000933B0000}"/>
    <cellStyle name="40% - Accent3 5 2 3 12" xfId="15256" xr:uid="{00000000-0005-0000-0000-0000943B0000}"/>
    <cellStyle name="40% - Accent3 5 2 3 12 2" xfId="15257" xr:uid="{00000000-0005-0000-0000-0000953B0000}"/>
    <cellStyle name="40% - Accent3 5 2 3 12 2 2" xfId="15258" xr:uid="{00000000-0005-0000-0000-0000963B0000}"/>
    <cellStyle name="40% - Accent3 5 2 3 12 3" xfId="15259" xr:uid="{00000000-0005-0000-0000-0000973B0000}"/>
    <cellStyle name="40% - Accent3 5 2 3 13" xfId="15260" xr:uid="{00000000-0005-0000-0000-0000983B0000}"/>
    <cellStyle name="40% - Accent3 5 2 3 13 2" xfId="15261" xr:uid="{00000000-0005-0000-0000-0000993B0000}"/>
    <cellStyle name="40% - Accent3 5 2 3 14" xfId="15262" xr:uid="{00000000-0005-0000-0000-00009A3B0000}"/>
    <cellStyle name="40% - Accent3 5 2 3 2" xfId="15263" xr:uid="{00000000-0005-0000-0000-00009B3B0000}"/>
    <cellStyle name="40% - Accent3 5 2 3 2 2" xfId="15264" xr:uid="{00000000-0005-0000-0000-00009C3B0000}"/>
    <cellStyle name="40% - Accent3 5 2 3 2 2 2" xfId="15265" xr:uid="{00000000-0005-0000-0000-00009D3B0000}"/>
    <cellStyle name="40% - Accent3 5 2 3 2 2 2 2" xfId="15266" xr:uid="{00000000-0005-0000-0000-00009E3B0000}"/>
    <cellStyle name="40% - Accent3 5 2 3 2 2 2 2 2" xfId="15267" xr:uid="{00000000-0005-0000-0000-00009F3B0000}"/>
    <cellStyle name="40% - Accent3 5 2 3 2 2 2 3" xfId="15268" xr:uid="{00000000-0005-0000-0000-0000A03B0000}"/>
    <cellStyle name="40% - Accent3 5 2 3 2 2 3" xfId="15269" xr:uid="{00000000-0005-0000-0000-0000A13B0000}"/>
    <cellStyle name="40% - Accent3 5 2 3 2 2 3 2" xfId="15270" xr:uid="{00000000-0005-0000-0000-0000A23B0000}"/>
    <cellStyle name="40% - Accent3 5 2 3 2 2 4" xfId="15271" xr:uid="{00000000-0005-0000-0000-0000A33B0000}"/>
    <cellStyle name="40% - Accent3 5 2 3 2 3" xfId="15272" xr:uid="{00000000-0005-0000-0000-0000A43B0000}"/>
    <cellStyle name="40% - Accent3 5 2 3 2 3 2" xfId="15273" xr:uid="{00000000-0005-0000-0000-0000A53B0000}"/>
    <cellStyle name="40% - Accent3 5 2 3 2 3 2 2" xfId="15274" xr:uid="{00000000-0005-0000-0000-0000A63B0000}"/>
    <cellStyle name="40% - Accent3 5 2 3 2 3 3" xfId="15275" xr:uid="{00000000-0005-0000-0000-0000A73B0000}"/>
    <cellStyle name="40% - Accent3 5 2 3 2 4" xfId="15276" xr:uid="{00000000-0005-0000-0000-0000A83B0000}"/>
    <cellStyle name="40% - Accent3 5 2 3 2 4 2" xfId="15277" xr:uid="{00000000-0005-0000-0000-0000A93B0000}"/>
    <cellStyle name="40% - Accent3 5 2 3 2 4 2 2" xfId="15278" xr:uid="{00000000-0005-0000-0000-0000AA3B0000}"/>
    <cellStyle name="40% - Accent3 5 2 3 2 4 3" xfId="15279" xr:uid="{00000000-0005-0000-0000-0000AB3B0000}"/>
    <cellStyle name="40% - Accent3 5 2 3 2 5" xfId="15280" xr:uid="{00000000-0005-0000-0000-0000AC3B0000}"/>
    <cellStyle name="40% - Accent3 5 2 3 2 5 2" xfId="15281" xr:uid="{00000000-0005-0000-0000-0000AD3B0000}"/>
    <cellStyle name="40% - Accent3 5 2 3 2 5 2 2" xfId="15282" xr:uid="{00000000-0005-0000-0000-0000AE3B0000}"/>
    <cellStyle name="40% - Accent3 5 2 3 2 5 3" xfId="15283" xr:uid="{00000000-0005-0000-0000-0000AF3B0000}"/>
    <cellStyle name="40% - Accent3 5 2 3 2 6" xfId="15284" xr:uid="{00000000-0005-0000-0000-0000B03B0000}"/>
    <cellStyle name="40% - Accent3 5 2 3 2 6 2" xfId="15285" xr:uid="{00000000-0005-0000-0000-0000B13B0000}"/>
    <cellStyle name="40% - Accent3 5 2 3 2 6 2 2" xfId="15286" xr:uid="{00000000-0005-0000-0000-0000B23B0000}"/>
    <cellStyle name="40% - Accent3 5 2 3 2 6 3" xfId="15287" xr:uid="{00000000-0005-0000-0000-0000B33B0000}"/>
    <cellStyle name="40% - Accent3 5 2 3 2 7" xfId="15288" xr:uid="{00000000-0005-0000-0000-0000B43B0000}"/>
    <cellStyle name="40% - Accent3 5 2 3 2 7 2" xfId="15289" xr:uid="{00000000-0005-0000-0000-0000B53B0000}"/>
    <cellStyle name="40% - Accent3 5 2 3 2 8" xfId="15290" xr:uid="{00000000-0005-0000-0000-0000B63B0000}"/>
    <cellStyle name="40% - Accent3 5 2 3 3" xfId="15291" xr:uid="{00000000-0005-0000-0000-0000B73B0000}"/>
    <cellStyle name="40% - Accent3 5 2 3 3 2" xfId="15292" xr:uid="{00000000-0005-0000-0000-0000B83B0000}"/>
    <cellStyle name="40% - Accent3 5 2 3 3 2 2" xfId="15293" xr:uid="{00000000-0005-0000-0000-0000B93B0000}"/>
    <cellStyle name="40% - Accent3 5 2 3 3 2 2 2" xfId="15294" xr:uid="{00000000-0005-0000-0000-0000BA3B0000}"/>
    <cellStyle name="40% - Accent3 5 2 3 3 2 2 2 2" xfId="15295" xr:uid="{00000000-0005-0000-0000-0000BB3B0000}"/>
    <cellStyle name="40% - Accent3 5 2 3 3 2 2 3" xfId="15296" xr:uid="{00000000-0005-0000-0000-0000BC3B0000}"/>
    <cellStyle name="40% - Accent3 5 2 3 3 2 3" xfId="15297" xr:uid="{00000000-0005-0000-0000-0000BD3B0000}"/>
    <cellStyle name="40% - Accent3 5 2 3 3 2 3 2" xfId="15298" xr:uid="{00000000-0005-0000-0000-0000BE3B0000}"/>
    <cellStyle name="40% - Accent3 5 2 3 3 2 4" xfId="15299" xr:uid="{00000000-0005-0000-0000-0000BF3B0000}"/>
    <cellStyle name="40% - Accent3 5 2 3 3 3" xfId="15300" xr:uid="{00000000-0005-0000-0000-0000C03B0000}"/>
    <cellStyle name="40% - Accent3 5 2 3 3 3 2" xfId="15301" xr:uid="{00000000-0005-0000-0000-0000C13B0000}"/>
    <cellStyle name="40% - Accent3 5 2 3 3 3 2 2" xfId="15302" xr:uid="{00000000-0005-0000-0000-0000C23B0000}"/>
    <cellStyle name="40% - Accent3 5 2 3 3 3 3" xfId="15303" xr:uid="{00000000-0005-0000-0000-0000C33B0000}"/>
    <cellStyle name="40% - Accent3 5 2 3 3 4" xfId="15304" xr:uid="{00000000-0005-0000-0000-0000C43B0000}"/>
    <cellStyle name="40% - Accent3 5 2 3 3 4 2" xfId="15305" xr:uid="{00000000-0005-0000-0000-0000C53B0000}"/>
    <cellStyle name="40% - Accent3 5 2 3 3 4 2 2" xfId="15306" xr:uid="{00000000-0005-0000-0000-0000C63B0000}"/>
    <cellStyle name="40% - Accent3 5 2 3 3 4 3" xfId="15307" xr:uid="{00000000-0005-0000-0000-0000C73B0000}"/>
    <cellStyle name="40% - Accent3 5 2 3 3 5" xfId="15308" xr:uid="{00000000-0005-0000-0000-0000C83B0000}"/>
    <cellStyle name="40% - Accent3 5 2 3 3 5 2" xfId="15309" xr:uid="{00000000-0005-0000-0000-0000C93B0000}"/>
    <cellStyle name="40% - Accent3 5 2 3 3 5 2 2" xfId="15310" xr:uid="{00000000-0005-0000-0000-0000CA3B0000}"/>
    <cellStyle name="40% - Accent3 5 2 3 3 5 3" xfId="15311" xr:uid="{00000000-0005-0000-0000-0000CB3B0000}"/>
    <cellStyle name="40% - Accent3 5 2 3 3 6" xfId="15312" xr:uid="{00000000-0005-0000-0000-0000CC3B0000}"/>
    <cellStyle name="40% - Accent3 5 2 3 3 6 2" xfId="15313" xr:uid="{00000000-0005-0000-0000-0000CD3B0000}"/>
    <cellStyle name="40% - Accent3 5 2 3 3 6 2 2" xfId="15314" xr:uid="{00000000-0005-0000-0000-0000CE3B0000}"/>
    <cellStyle name="40% - Accent3 5 2 3 3 6 3" xfId="15315" xr:uid="{00000000-0005-0000-0000-0000CF3B0000}"/>
    <cellStyle name="40% - Accent3 5 2 3 3 7" xfId="15316" xr:uid="{00000000-0005-0000-0000-0000D03B0000}"/>
    <cellStyle name="40% - Accent3 5 2 3 3 7 2" xfId="15317" xr:uid="{00000000-0005-0000-0000-0000D13B0000}"/>
    <cellStyle name="40% - Accent3 5 2 3 3 8" xfId="15318" xr:uid="{00000000-0005-0000-0000-0000D23B0000}"/>
    <cellStyle name="40% - Accent3 5 2 3 4" xfId="15319" xr:uid="{00000000-0005-0000-0000-0000D33B0000}"/>
    <cellStyle name="40% - Accent3 5 2 3 4 2" xfId="15320" xr:uid="{00000000-0005-0000-0000-0000D43B0000}"/>
    <cellStyle name="40% - Accent3 5 2 3 4 2 2" xfId="15321" xr:uid="{00000000-0005-0000-0000-0000D53B0000}"/>
    <cellStyle name="40% - Accent3 5 2 3 4 2 2 2" xfId="15322" xr:uid="{00000000-0005-0000-0000-0000D63B0000}"/>
    <cellStyle name="40% - Accent3 5 2 3 4 2 2 2 2" xfId="15323" xr:uid="{00000000-0005-0000-0000-0000D73B0000}"/>
    <cellStyle name="40% - Accent3 5 2 3 4 2 2 3" xfId="15324" xr:uid="{00000000-0005-0000-0000-0000D83B0000}"/>
    <cellStyle name="40% - Accent3 5 2 3 4 2 3" xfId="15325" xr:uid="{00000000-0005-0000-0000-0000D93B0000}"/>
    <cellStyle name="40% - Accent3 5 2 3 4 2 3 2" xfId="15326" xr:uid="{00000000-0005-0000-0000-0000DA3B0000}"/>
    <cellStyle name="40% - Accent3 5 2 3 4 2 4" xfId="15327" xr:uid="{00000000-0005-0000-0000-0000DB3B0000}"/>
    <cellStyle name="40% - Accent3 5 2 3 4 3" xfId="15328" xr:uid="{00000000-0005-0000-0000-0000DC3B0000}"/>
    <cellStyle name="40% - Accent3 5 2 3 4 3 2" xfId="15329" xr:uid="{00000000-0005-0000-0000-0000DD3B0000}"/>
    <cellStyle name="40% - Accent3 5 2 3 4 3 2 2" xfId="15330" xr:uid="{00000000-0005-0000-0000-0000DE3B0000}"/>
    <cellStyle name="40% - Accent3 5 2 3 4 3 3" xfId="15331" xr:uid="{00000000-0005-0000-0000-0000DF3B0000}"/>
    <cellStyle name="40% - Accent3 5 2 3 4 4" xfId="15332" xr:uid="{00000000-0005-0000-0000-0000E03B0000}"/>
    <cellStyle name="40% - Accent3 5 2 3 4 4 2" xfId="15333" xr:uid="{00000000-0005-0000-0000-0000E13B0000}"/>
    <cellStyle name="40% - Accent3 5 2 3 4 4 2 2" xfId="15334" xr:uid="{00000000-0005-0000-0000-0000E23B0000}"/>
    <cellStyle name="40% - Accent3 5 2 3 4 4 3" xfId="15335" xr:uid="{00000000-0005-0000-0000-0000E33B0000}"/>
    <cellStyle name="40% - Accent3 5 2 3 4 5" xfId="15336" xr:uid="{00000000-0005-0000-0000-0000E43B0000}"/>
    <cellStyle name="40% - Accent3 5 2 3 4 5 2" xfId="15337" xr:uid="{00000000-0005-0000-0000-0000E53B0000}"/>
    <cellStyle name="40% - Accent3 5 2 3 4 5 2 2" xfId="15338" xr:uid="{00000000-0005-0000-0000-0000E63B0000}"/>
    <cellStyle name="40% - Accent3 5 2 3 4 5 3" xfId="15339" xr:uid="{00000000-0005-0000-0000-0000E73B0000}"/>
    <cellStyle name="40% - Accent3 5 2 3 4 6" xfId="15340" xr:uid="{00000000-0005-0000-0000-0000E83B0000}"/>
    <cellStyle name="40% - Accent3 5 2 3 4 6 2" xfId="15341" xr:uid="{00000000-0005-0000-0000-0000E93B0000}"/>
    <cellStyle name="40% - Accent3 5 2 3 4 6 2 2" xfId="15342" xr:uid="{00000000-0005-0000-0000-0000EA3B0000}"/>
    <cellStyle name="40% - Accent3 5 2 3 4 6 3" xfId="15343" xr:uid="{00000000-0005-0000-0000-0000EB3B0000}"/>
    <cellStyle name="40% - Accent3 5 2 3 4 7" xfId="15344" xr:uid="{00000000-0005-0000-0000-0000EC3B0000}"/>
    <cellStyle name="40% - Accent3 5 2 3 4 7 2" xfId="15345" xr:uid="{00000000-0005-0000-0000-0000ED3B0000}"/>
    <cellStyle name="40% - Accent3 5 2 3 4 8" xfId="15346" xr:uid="{00000000-0005-0000-0000-0000EE3B0000}"/>
    <cellStyle name="40% - Accent3 5 2 3 5" xfId="15347" xr:uid="{00000000-0005-0000-0000-0000EF3B0000}"/>
    <cellStyle name="40% - Accent3 5 2 3 5 2" xfId="15348" xr:uid="{00000000-0005-0000-0000-0000F03B0000}"/>
    <cellStyle name="40% - Accent3 5 2 3 5 2 2" xfId="15349" xr:uid="{00000000-0005-0000-0000-0000F13B0000}"/>
    <cellStyle name="40% - Accent3 5 2 3 5 2 2 2" xfId="15350" xr:uid="{00000000-0005-0000-0000-0000F23B0000}"/>
    <cellStyle name="40% - Accent3 5 2 3 5 2 2 2 2" xfId="15351" xr:uid="{00000000-0005-0000-0000-0000F33B0000}"/>
    <cellStyle name="40% - Accent3 5 2 3 5 2 2 3" xfId="15352" xr:uid="{00000000-0005-0000-0000-0000F43B0000}"/>
    <cellStyle name="40% - Accent3 5 2 3 5 2 3" xfId="15353" xr:uid="{00000000-0005-0000-0000-0000F53B0000}"/>
    <cellStyle name="40% - Accent3 5 2 3 5 2 3 2" xfId="15354" xr:uid="{00000000-0005-0000-0000-0000F63B0000}"/>
    <cellStyle name="40% - Accent3 5 2 3 5 2 4" xfId="15355" xr:uid="{00000000-0005-0000-0000-0000F73B0000}"/>
    <cellStyle name="40% - Accent3 5 2 3 5 3" xfId="15356" xr:uid="{00000000-0005-0000-0000-0000F83B0000}"/>
    <cellStyle name="40% - Accent3 5 2 3 5 3 2" xfId="15357" xr:uid="{00000000-0005-0000-0000-0000F93B0000}"/>
    <cellStyle name="40% - Accent3 5 2 3 5 3 2 2" xfId="15358" xr:uid="{00000000-0005-0000-0000-0000FA3B0000}"/>
    <cellStyle name="40% - Accent3 5 2 3 5 3 3" xfId="15359" xr:uid="{00000000-0005-0000-0000-0000FB3B0000}"/>
    <cellStyle name="40% - Accent3 5 2 3 5 4" xfId="15360" xr:uid="{00000000-0005-0000-0000-0000FC3B0000}"/>
    <cellStyle name="40% - Accent3 5 2 3 5 4 2" xfId="15361" xr:uid="{00000000-0005-0000-0000-0000FD3B0000}"/>
    <cellStyle name="40% - Accent3 5 2 3 5 5" xfId="15362" xr:uid="{00000000-0005-0000-0000-0000FE3B0000}"/>
    <cellStyle name="40% - Accent3 5 2 3 6" xfId="15363" xr:uid="{00000000-0005-0000-0000-0000FF3B0000}"/>
    <cellStyle name="40% - Accent3 5 2 3 6 2" xfId="15364" xr:uid="{00000000-0005-0000-0000-0000003C0000}"/>
    <cellStyle name="40% - Accent3 5 2 3 6 2 2" xfId="15365" xr:uid="{00000000-0005-0000-0000-0000013C0000}"/>
    <cellStyle name="40% - Accent3 5 2 3 6 2 2 2" xfId="15366" xr:uid="{00000000-0005-0000-0000-0000023C0000}"/>
    <cellStyle name="40% - Accent3 5 2 3 6 2 2 2 2" xfId="15367" xr:uid="{00000000-0005-0000-0000-0000033C0000}"/>
    <cellStyle name="40% - Accent3 5 2 3 6 2 2 3" xfId="15368" xr:uid="{00000000-0005-0000-0000-0000043C0000}"/>
    <cellStyle name="40% - Accent3 5 2 3 6 2 3" xfId="15369" xr:uid="{00000000-0005-0000-0000-0000053C0000}"/>
    <cellStyle name="40% - Accent3 5 2 3 6 2 3 2" xfId="15370" xr:uid="{00000000-0005-0000-0000-0000063C0000}"/>
    <cellStyle name="40% - Accent3 5 2 3 6 2 4" xfId="15371" xr:uid="{00000000-0005-0000-0000-0000073C0000}"/>
    <cellStyle name="40% - Accent3 5 2 3 6 3" xfId="15372" xr:uid="{00000000-0005-0000-0000-0000083C0000}"/>
    <cellStyle name="40% - Accent3 5 2 3 6 3 2" xfId="15373" xr:uid="{00000000-0005-0000-0000-0000093C0000}"/>
    <cellStyle name="40% - Accent3 5 2 3 6 3 2 2" xfId="15374" xr:uid="{00000000-0005-0000-0000-00000A3C0000}"/>
    <cellStyle name="40% - Accent3 5 2 3 6 3 3" xfId="15375" xr:uid="{00000000-0005-0000-0000-00000B3C0000}"/>
    <cellStyle name="40% - Accent3 5 2 3 6 4" xfId="15376" xr:uid="{00000000-0005-0000-0000-00000C3C0000}"/>
    <cellStyle name="40% - Accent3 5 2 3 6 4 2" xfId="15377" xr:uid="{00000000-0005-0000-0000-00000D3C0000}"/>
    <cellStyle name="40% - Accent3 5 2 3 6 5" xfId="15378" xr:uid="{00000000-0005-0000-0000-00000E3C0000}"/>
    <cellStyle name="40% - Accent3 5 2 3 7" xfId="15379" xr:uid="{00000000-0005-0000-0000-00000F3C0000}"/>
    <cellStyle name="40% - Accent3 5 2 3 7 2" xfId="15380" xr:uid="{00000000-0005-0000-0000-0000103C0000}"/>
    <cellStyle name="40% - Accent3 5 2 3 7 2 2" xfId="15381" xr:uid="{00000000-0005-0000-0000-0000113C0000}"/>
    <cellStyle name="40% - Accent3 5 2 3 7 2 2 2" xfId="15382" xr:uid="{00000000-0005-0000-0000-0000123C0000}"/>
    <cellStyle name="40% - Accent3 5 2 3 7 2 3" xfId="15383" xr:uid="{00000000-0005-0000-0000-0000133C0000}"/>
    <cellStyle name="40% - Accent3 5 2 3 7 3" xfId="15384" xr:uid="{00000000-0005-0000-0000-0000143C0000}"/>
    <cellStyle name="40% - Accent3 5 2 3 7 3 2" xfId="15385" xr:uid="{00000000-0005-0000-0000-0000153C0000}"/>
    <cellStyle name="40% - Accent3 5 2 3 7 4" xfId="15386" xr:uid="{00000000-0005-0000-0000-0000163C0000}"/>
    <cellStyle name="40% - Accent3 5 2 3 8" xfId="15387" xr:uid="{00000000-0005-0000-0000-0000173C0000}"/>
    <cellStyle name="40% - Accent3 5 2 3 8 2" xfId="15388" xr:uid="{00000000-0005-0000-0000-0000183C0000}"/>
    <cellStyle name="40% - Accent3 5 2 3 8 2 2" xfId="15389" xr:uid="{00000000-0005-0000-0000-0000193C0000}"/>
    <cellStyle name="40% - Accent3 5 2 3 8 2 2 2" xfId="15390" xr:uid="{00000000-0005-0000-0000-00001A3C0000}"/>
    <cellStyle name="40% - Accent3 5 2 3 8 2 3" xfId="15391" xr:uid="{00000000-0005-0000-0000-00001B3C0000}"/>
    <cellStyle name="40% - Accent3 5 2 3 8 3" xfId="15392" xr:uid="{00000000-0005-0000-0000-00001C3C0000}"/>
    <cellStyle name="40% - Accent3 5 2 3 8 3 2" xfId="15393" xr:uid="{00000000-0005-0000-0000-00001D3C0000}"/>
    <cellStyle name="40% - Accent3 5 2 3 8 4" xfId="15394" xr:uid="{00000000-0005-0000-0000-00001E3C0000}"/>
    <cellStyle name="40% - Accent3 5 2 3 9" xfId="15395" xr:uid="{00000000-0005-0000-0000-00001F3C0000}"/>
    <cellStyle name="40% - Accent3 5 2 3 9 2" xfId="15396" xr:uid="{00000000-0005-0000-0000-0000203C0000}"/>
    <cellStyle name="40% - Accent3 5 2 3 9 2 2" xfId="15397" xr:uid="{00000000-0005-0000-0000-0000213C0000}"/>
    <cellStyle name="40% - Accent3 5 2 3 9 3" xfId="15398" xr:uid="{00000000-0005-0000-0000-0000223C0000}"/>
    <cellStyle name="40% - Accent3 5 2 4" xfId="15399" xr:uid="{00000000-0005-0000-0000-0000233C0000}"/>
    <cellStyle name="40% - Accent3 5 2 4 10" xfId="15400" xr:uid="{00000000-0005-0000-0000-0000243C0000}"/>
    <cellStyle name="40% - Accent3 5 2 4 10 2" xfId="15401" xr:uid="{00000000-0005-0000-0000-0000253C0000}"/>
    <cellStyle name="40% - Accent3 5 2 4 10 2 2" xfId="15402" xr:uid="{00000000-0005-0000-0000-0000263C0000}"/>
    <cellStyle name="40% - Accent3 5 2 4 10 3" xfId="15403" xr:uid="{00000000-0005-0000-0000-0000273C0000}"/>
    <cellStyle name="40% - Accent3 5 2 4 11" xfId="15404" xr:uid="{00000000-0005-0000-0000-0000283C0000}"/>
    <cellStyle name="40% - Accent3 5 2 4 11 2" xfId="15405" xr:uid="{00000000-0005-0000-0000-0000293C0000}"/>
    <cellStyle name="40% - Accent3 5 2 4 11 2 2" xfId="15406" xr:uid="{00000000-0005-0000-0000-00002A3C0000}"/>
    <cellStyle name="40% - Accent3 5 2 4 11 3" xfId="15407" xr:uid="{00000000-0005-0000-0000-00002B3C0000}"/>
    <cellStyle name="40% - Accent3 5 2 4 12" xfId="15408" xr:uid="{00000000-0005-0000-0000-00002C3C0000}"/>
    <cellStyle name="40% - Accent3 5 2 4 12 2" xfId="15409" xr:uid="{00000000-0005-0000-0000-00002D3C0000}"/>
    <cellStyle name="40% - Accent3 5 2 4 12 2 2" xfId="15410" xr:uid="{00000000-0005-0000-0000-00002E3C0000}"/>
    <cellStyle name="40% - Accent3 5 2 4 12 3" xfId="15411" xr:uid="{00000000-0005-0000-0000-00002F3C0000}"/>
    <cellStyle name="40% - Accent3 5 2 4 13" xfId="15412" xr:uid="{00000000-0005-0000-0000-0000303C0000}"/>
    <cellStyle name="40% - Accent3 5 2 4 13 2" xfId="15413" xr:uid="{00000000-0005-0000-0000-0000313C0000}"/>
    <cellStyle name="40% - Accent3 5 2 4 14" xfId="15414" xr:uid="{00000000-0005-0000-0000-0000323C0000}"/>
    <cellStyle name="40% - Accent3 5 2 4 2" xfId="15415" xr:uid="{00000000-0005-0000-0000-0000333C0000}"/>
    <cellStyle name="40% - Accent3 5 2 4 2 2" xfId="15416" xr:uid="{00000000-0005-0000-0000-0000343C0000}"/>
    <cellStyle name="40% - Accent3 5 2 4 2 2 2" xfId="15417" xr:uid="{00000000-0005-0000-0000-0000353C0000}"/>
    <cellStyle name="40% - Accent3 5 2 4 2 2 2 2" xfId="15418" xr:uid="{00000000-0005-0000-0000-0000363C0000}"/>
    <cellStyle name="40% - Accent3 5 2 4 2 2 2 2 2" xfId="15419" xr:uid="{00000000-0005-0000-0000-0000373C0000}"/>
    <cellStyle name="40% - Accent3 5 2 4 2 2 2 3" xfId="15420" xr:uid="{00000000-0005-0000-0000-0000383C0000}"/>
    <cellStyle name="40% - Accent3 5 2 4 2 2 3" xfId="15421" xr:uid="{00000000-0005-0000-0000-0000393C0000}"/>
    <cellStyle name="40% - Accent3 5 2 4 2 2 3 2" xfId="15422" xr:uid="{00000000-0005-0000-0000-00003A3C0000}"/>
    <cellStyle name="40% - Accent3 5 2 4 2 2 4" xfId="15423" xr:uid="{00000000-0005-0000-0000-00003B3C0000}"/>
    <cellStyle name="40% - Accent3 5 2 4 2 3" xfId="15424" xr:uid="{00000000-0005-0000-0000-00003C3C0000}"/>
    <cellStyle name="40% - Accent3 5 2 4 2 3 2" xfId="15425" xr:uid="{00000000-0005-0000-0000-00003D3C0000}"/>
    <cellStyle name="40% - Accent3 5 2 4 2 3 2 2" xfId="15426" xr:uid="{00000000-0005-0000-0000-00003E3C0000}"/>
    <cellStyle name="40% - Accent3 5 2 4 2 3 3" xfId="15427" xr:uid="{00000000-0005-0000-0000-00003F3C0000}"/>
    <cellStyle name="40% - Accent3 5 2 4 2 4" xfId="15428" xr:uid="{00000000-0005-0000-0000-0000403C0000}"/>
    <cellStyle name="40% - Accent3 5 2 4 2 4 2" xfId="15429" xr:uid="{00000000-0005-0000-0000-0000413C0000}"/>
    <cellStyle name="40% - Accent3 5 2 4 2 4 2 2" xfId="15430" xr:uid="{00000000-0005-0000-0000-0000423C0000}"/>
    <cellStyle name="40% - Accent3 5 2 4 2 4 3" xfId="15431" xr:uid="{00000000-0005-0000-0000-0000433C0000}"/>
    <cellStyle name="40% - Accent3 5 2 4 2 5" xfId="15432" xr:uid="{00000000-0005-0000-0000-0000443C0000}"/>
    <cellStyle name="40% - Accent3 5 2 4 2 5 2" xfId="15433" xr:uid="{00000000-0005-0000-0000-0000453C0000}"/>
    <cellStyle name="40% - Accent3 5 2 4 2 5 2 2" xfId="15434" xr:uid="{00000000-0005-0000-0000-0000463C0000}"/>
    <cellStyle name="40% - Accent3 5 2 4 2 5 3" xfId="15435" xr:uid="{00000000-0005-0000-0000-0000473C0000}"/>
    <cellStyle name="40% - Accent3 5 2 4 2 6" xfId="15436" xr:uid="{00000000-0005-0000-0000-0000483C0000}"/>
    <cellStyle name="40% - Accent3 5 2 4 2 6 2" xfId="15437" xr:uid="{00000000-0005-0000-0000-0000493C0000}"/>
    <cellStyle name="40% - Accent3 5 2 4 2 6 2 2" xfId="15438" xr:uid="{00000000-0005-0000-0000-00004A3C0000}"/>
    <cellStyle name="40% - Accent3 5 2 4 2 6 3" xfId="15439" xr:uid="{00000000-0005-0000-0000-00004B3C0000}"/>
    <cellStyle name="40% - Accent3 5 2 4 2 7" xfId="15440" xr:uid="{00000000-0005-0000-0000-00004C3C0000}"/>
    <cellStyle name="40% - Accent3 5 2 4 2 7 2" xfId="15441" xr:uid="{00000000-0005-0000-0000-00004D3C0000}"/>
    <cellStyle name="40% - Accent3 5 2 4 2 8" xfId="15442" xr:uid="{00000000-0005-0000-0000-00004E3C0000}"/>
    <cellStyle name="40% - Accent3 5 2 4 3" xfId="15443" xr:uid="{00000000-0005-0000-0000-00004F3C0000}"/>
    <cellStyle name="40% - Accent3 5 2 4 3 2" xfId="15444" xr:uid="{00000000-0005-0000-0000-0000503C0000}"/>
    <cellStyle name="40% - Accent3 5 2 4 3 2 2" xfId="15445" xr:uid="{00000000-0005-0000-0000-0000513C0000}"/>
    <cellStyle name="40% - Accent3 5 2 4 3 2 2 2" xfId="15446" xr:uid="{00000000-0005-0000-0000-0000523C0000}"/>
    <cellStyle name="40% - Accent3 5 2 4 3 2 2 2 2" xfId="15447" xr:uid="{00000000-0005-0000-0000-0000533C0000}"/>
    <cellStyle name="40% - Accent3 5 2 4 3 2 2 3" xfId="15448" xr:uid="{00000000-0005-0000-0000-0000543C0000}"/>
    <cellStyle name="40% - Accent3 5 2 4 3 2 3" xfId="15449" xr:uid="{00000000-0005-0000-0000-0000553C0000}"/>
    <cellStyle name="40% - Accent3 5 2 4 3 2 3 2" xfId="15450" xr:uid="{00000000-0005-0000-0000-0000563C0000}"/>
    <cellStyle name="40% - Accent3 5 2 4 3 2 4" xfId="15451" xr:uid="{00000000-0005-0000-0000-0000573C0000}"/>
    <cellStyle name="40% - Accent3 5 2 4 3 3" xfId="15452" xr:uid="{00000000-0005-0000-0000-0000583C0000}"/>
    <cellStyle name="40% - Accent3 5 2 4 3 3 2" xfId="15453" xr:uid="{00000000-0005-0000-0000-0000593C0000}"/>
    <cellStyle name="40% - Accent3 5 2 4 3 3 2 2" xfId="15454" xr:uid="{00000000-0005-0000-0000-00005A3C0000}"/>
    <cellStyle name="40% - Accent3 5 2 4 3 3 3" xfId="15455" xr:uid="{00000000-0005-0000-0000-00005B3C0000}"/>
    <cellStyle name="40% - Accent3 5 2 4 3 4" xfId="15456" xr:uid="{00000000-0005-0000-0000-00005C3C0000}"/>
    <cellStyle name="40% - Accent3 5 2 4 3 4 2" xfId="15457" xr:uid="{00000000-0005-0000-0000-00005D3C0000}"/>
    <cellStyle name="40% - Accent3 5 2 4 3 4 2 2" xfId="15458" xr:uid="{00000000-0005-0000-0000-00005E3C0000}"/>
    <cellStyle name="40% - Accent3 5 2 4 3 4 3" xfId="15459" xr:uid="{00000000-0005-0000-0000-00005F3C0000}"/>
    <cellStyle name="40% - Accent3 5 2 4 3 5" xfId="15460" xr:uid="{00000000-0005-0000-0000-0000603C0000}"/>
    <cellStyle name="40% - Accent3 5 2 4 3 5 2" xfId="15461" xr:uid="{00000000-0005-0000-0000-0000613C0000}"/>
    <cellStyle name="40% - Accent3 5 2 4 3 5 2 2" xfId="15462" xr:uid="{00000000-0005-0000-0000-0000623C0000}"/>
    <cellStyle name="40% - Accent3 5 2 4 3 5 3" xfId="15463" xr:uid="{00000000-0005-0000-0000-0000633C0000}"/>
    <cellStyle name="40% - Accent3 5 2 4 3 6" xfId="15464" xr:uid="{00000000-0005-0000-0000-0000643C0000}"/>
    <cellStyle name="40% - Accent3 5 2 4 3 6 2" xfId="15465" xr:uid="{00000000-0005-0000-0000-0000653C0000}"/>
    <cellStyle name="40% - Accent3 5 2 4 3 6 2 2" xfId="15466" xr:uid="{00000000-0005-0000-0000-0000663C0000}"/>
    <cellStyle name="40% - Accent3 5 2 4 3 6 3" xfId="15467" xr:uid="{00000000-0005-0000-0000-0000673C0000}"/>
    <cellStyle name="40% - Accent3 5 2 4 3 7" xfId="15468" xr:uid="{00000000-0005-0000-0000-0000683C0000}"/>
    <cellStyle name="40% - Accent3 5 2 4 3 7 2" xfId="15469" xr:uid="{00000000-0005-0000-0000-0000693C0000}"/>
    <cellStyle name="40% - Accent3 5 2 4 3 8" xfId="15470" xr:uid="{00000000-0005-0000-0000-00006A3C0000}"/>
    <cellStyle name="40% - Accent3 5 2 4 4" xfId="15471" xr:uid="{00000000-0005-0000-0000-00006B3C0000}"/>
    <cellStyle name="40% - Accent3 5 2 4 4 2" xfId="15472" xr:uid="{00000000-0005-0000-0000-00006C3C0000}"/>
    <cellStyle name="40% - Accent3 5 2 4 4 2 2" xfId="15473" xr:uid="{00000000-0005-0000-0000-00006D3C0000}"/>
    <cellStyle name="40% - Accent3 5 2 4 4 2 2 2" xfId="15474" xr:uid="{00000000-0005-0000-0000-00006E3C0000}"/>
    <cellStyle name="40% - Accent3 5 2 4 4 2 2 2 2" xfId="15475" xr:uid="{00000000-0005-0000-0000-00006F3C0000}"/>
    <cellStyle name="40% - Accent3 5 2 4 4 2 2 3" xfId="15476" xr:uid="{00000000-0005-0000-0000-0000703C0000}"/>
    <cellStyle name="40% - Accent3 5 2 4 4 2 3" xfId="15477" xr:uid="{00000000-0005-0000-0000-0000713C0000}"/>
    <cellStyle name="40% - Accent3 5 2 4 4 2 3 2" xfId="15478" xr:uid="{00000000-0005-0000-0000-0000723C0000}"/>
    <cellStyle name="40% - Accent3 5 2 4 4 2 4" xfId="15479" xr:uid="{00000000-0005-0000-0000-0000733C0000}"/>
    <cellStyle name="40% - Accent3 5 2 4 4 3" xfId="15480" xr:uid="{00000000-0005-0000-0000-0000743C0000}"/>
    <cellStyle name="40% - Accent3 5 2 4 4 3 2" xfId="15481" xr:uid="{00000000-0005-0000-0000-0000753C0000}"/>
    <cellStyle name="40% - Accent3 5 2 4 4 3 2 2" xfId="15482" xr:uid="{00000000-0005-0000-0000-0000763C0000}"/>
    <cellStyle name="40% - Accent3 5 2 4 4 3 3" xfId="15483" xr:uid="{00000000-0005-0000-0000-0000773C0000}"/>
    <cellStyle name="40% - Accent3 5 2 4 4 4" xfId="15484" xr:uid="{00000000-0005-0000-0000-0000783C0000}"/>
    <cellStyle name="40% - Accent3 5 2 4 4 4 2" xfId="15485" xr:uid="{00000000-0005-0000-0000-0000793C0000}"/>
    <cellStyle name="40% - Accent3 5 2 4 4 4 2 2" xfId="15486" xr:uid="{00000000-0005-0000-0000-00007A3C0000}"/>
    <cellStyle name="40% - Accent3 5 2 4 4 4 3" xfId="15487" xr:uid="{00000000-0005-0000-0000-00007B3C0000}"/>
    <cellStyle name="40% - Accent3 5 2 4 4 5" xfId="15488" xr:uid="{00000000-0005-0000-0000-00007C3C0000}"/>
    <cellStyle name="40% - Accent3 5 2 4 4 5 2" xfId="15489" xr:uid="{00000000-0005-0000-0000-00007D3C0000}"/>
    <cellStyle name="40% - Accent3 5 2 4 4 5 2 2" xfId="15490" xr:uid="{00000000-0005-0000-0000-00007E3C0000}"/>
    <cellStyle name="40% - Accent3 5 2 4 4 5 3" xfId="15491" xr:uid="{00000000-0005-0000-0000-00007F3C0000}"/>
    <cellStyle name="40% - Accent3 5 2 4 4 6" xfId="15492" xr:uid="{00000000-0005-0000-0000-0000803C0000}"/>
    <cellStyle name="40% - Accent3 5 2 4 4 6 2" xfId="15493" xr:uid="{00000000-0005-0000-0000-0000813C0000}"/>
    <cellStyle name="40% - Accent3 5 2 4 4 6 2 2" xfId="15494" xr:uid="{00000000-0005-0000-0000-0000823C0000}"/>
    <cellStyle name="40% - Accent3 5 2 4 4 6 3" xfId="15495" xr:uid="{00000000-0005-0000-0000-0000833C0000}"/>
    <cellStyle name="40% - Accent3 5 2 4 4 7" xfId="15496" xr:uid="{00000000-0005-0000-0000-0000843C0000}"/>
    <cellStyle name="40% - Accent3 5 2 4 4 7 2" xfId="15497" xr:uid="{00000000-0005-0000-0000-0000853C0000}"/>
    <cellStyle name="40% - Accent3 5 2 4 4 8" xfId="15498" xr:uid="{00000000-0005-0000-0000-0000863C0000}"/>
    <cellStyle name="40% - Accent3 5 2 4 5" xfId="15499" xr:uid="{00000000-0005-0000-0000-0000873C0000}"/>
    <cellStyle name="40% - Accent3 5 2 4 5 2" xfId="15500" xr:uid="{00000000-0005-0000-0000-0000883C0000}"/>
    <cellStyle name="40% - Accent3 5 2 4 5 2 2" xfId="15501" xr:uid="{00000000-0005-0000-0000-0000893C0000}"/>
    <cellStyle name="40% - Accent3 5 2 4 5 2 2 2" xfId="15502" xr:uid="{00000000-0005-0000-0000-00008A3C0000}"/>
    <cellStyle name="40% - Accent3 5 2 4 5 2 2 2 2" xfId="15503" xr:uid="{00000000-0005-0000-0000-00008B3C0000}"/>
    <cellStyle name="40% - Accent3 5 2 4 5 2 2 3" xfId="15504" xr:uid="{00000000-0005-0000-0000-00008C3C0000}"/>
    <cellStyle name="40% - Accent3 5 2 4 5 2 3" xfId="15505" xr:uid="{00000000-0005-0000-0000-00008D3C0000}"/>
    <cellStyle name="40% - Accent3 5 2 4 5 2 3 2" xfId="15506" xr:uid="{00000000-0005-0000-0000-00008E3C0000}"/>
    <cellStyle name="40% - Accent3 5 2 4 5 2 4" xfId="15507" xr:uid="{00000000-0005-0000-0000-00008F3C0000}"/>
    <cellStyle name="40% - Accent3 5 2 4 5 3" xfId="15508" xr:uid="{00000000-0005-0000-0000-0000903C0000}"/>
    <cellStyle name="40% - Accent3 5 2 4 5 3 2" xfId="15509" xr:uid="{00000000-0005-0000-0000-0000913C0000}"/>
    <cellStyle name="40% - Accent3 5 2 4 5 3 2 2" xfId="15510" xr:uid="{00000000-0005-0000-0000-0000923C0000}"/>
    <cellStyle name="40% - Accent3 5 2 4 5 3 3" xfId="15511" xr:uid="{00000000-0005-0000-0000-0000933C0000}"/>
    <cellStyle name="40% - Accent3 5 2 4 5 4" xfId="15512" xr:uid="{00000000-0005-0000-0000-0000943C0000}"/>
    <cellStyle name="40% - Accent3 5 2 4 5 4 2" xfId="15513" xr:uid="{00000000-0005-0000-0000-0000953C0000}"/>
    <cellStyle name="40% - Accent3 5 2 4 5 5" xfId="15514" xr:uid="{00000000-0005-0000-0000-0000963C0000}"/>
    <cellStyle name="40% - Accent3 5 2 4 6" xfId="15515" xr:uid="{00000000-0005-0000-0000-0000973C0000}"/>
    <cellStyle name="40% - Accent3 5 2 4 6 2" xfId="15516" xr:uid="{00000000-0005-0000-0000-0000983C0000}"/>
    <cellStyle name="40% - Accent3 5 2 4 6 2 2" xfId="15517" xr:uid="{00000000-0005-0000-0000-0000993C0000}"/>
    <cellStyle name="40% - Accent3 5 2 4 6 2 2 2" xfId="15518" xr:uid="{00000000-0005-0000-0000-00009A3C0000}"/>
    <cellStyle name="40% - Accent3 5 2 4 6 2 2 2 2" xfId="15519" xr:uid="{00000000-0005-0000-0000-00009B3C0000}"/>
    <cellStyle name="40% - Accent3 5 2 4 6 2 2 3" xfId="15520" xr:uid="{00000000-0005-0000-0000-00009C3C0000}"/>
    <cellStyle name="40% - Accent3 5 2 4 6 2 3" xfId="15521" xr:uid="{00000000-0005-0000-0000-00009D3C0000}"/>
    <cellStyle name="40% - Accent3 5 2 4 6 2 3 2" xfId="15522" xr:uid="{00000000-0005-0000-0000-00009E3C0000}"/>
    <cellStyle name="40% - Accent3 5 2 4 6 2 4" xfId="15523" xr:uid="{00000000-0005-0000-0000-00009F3C0000}"/>
    <cellStyle name="40% - Accent3 5 2 4 6 3" xfId="15524" xr:uid="{00000000-0005-0000-0000-0000A03C0000}"/>
    <cellStyle name="40% - Accent3 5 2 4 6 3 2" xfId="15525" xr:uid="{00000000-0005-0000-0000-0000A13C0000}"/>
    <cellStyle name="40% - Accent3 5 2 4 6 3 2 2" xfId="15526" xr:uid="{00000000-0005-0000-0000-0000A23C0000}"/>
    <cellStyle name="40% - Accent3 5 2 4 6 3 3" xfId="15527" xr:uid="{00000000-0005-0000-0000-0000A33C0000}"/>
    <cellStyle name="40% - Accent3 5 2 4 6 4" xfId="15528" xr:uid="{00000000-0005-0000-0000-0000A43C0000}"/>
    <cellStyle name="40% - Accent3 5 2 4 6 4 2" xfId="15529" xr:uid="{00000000-0005-0000-0000-0000A53C0000}"/>
    <cellStyle name="40% - Accent3 5 2 4 6 5" xfId="15530" xr:uid="{00000000-0005-0000-0000-0000A63C0000}"/>
    <cellStyle name="40% - Accent3 5 2 4 7" xfId="15531" xr:uid="{00000000-0005-0000-0000-0000A73C0000}"/>
    <cellStyle name="40% - Accent3 5 2 4 7 2" xfId="15532" xr:uid="{00000000-0005-0000-0000-0000A83C0000}"/>
    <cellStyle name="40% - Accent3 5 2 4 7 2 2" xfId="15533" xr:uid="{00000000-0005-0000-0000-0000A93C0000}"/>
    <cellStyle name="40% - Accent3 5 2 4 7 2 2 2" xfId="15534" xr:uid="{00000000-0005-0000-0000-0000AA3C0000}"/>
    <cellStyle name="40% - Accent3 5 2 4 7 2 3" xfId="15535" xr:uid="{00000000-0005-0000-0000-0000AB3C0000}"/>
    <cellStyle name="40% - Accent3 5 2 4 7 3" xfId="15536" xr:uid="{00000000-0005-0000-0000-0000AC3C0000}"/>
    <cellStyle name="40% - Accent3 5 2 4 7 3 2" xfId="15537" xr:uid="{00000000-0005-0000-0000-0000AD3C0000}"/>
    <cellStyle name="40% - Accent3 5 2 4 7 4" xfId="15538" xr:uid="{00000000-0005-0000-0000-0000AE3C0000}"/>
    <cellStyle name="40% - Accent3 5 2 4 8" xfId="15539" xr:uid="{00000000-0005-0000-0000-0000AF3C0000}"/>
    <cellStyle name="40% - Accent3 5 2 4 8 2" xfId="15540" xr:uid="{00000000-0005-0000-0000-0000B03C0000}"/>
    <cellStyle name="40% - Accent3 5 2 4 8 2 2" xfId="15541" xr:uid="{00000000-0005-0000-0000-0000B13C0000}"/>
    <cellStyle name="40% - Accent3 5 2 4 8 2 2 2" xfId="15542" xr:uid="{00000000-0005-0000-0000-0000B23C0000}"/>
    <cellStyle name="40% - Accent3 5 2 4 8 2 3" xfId="15543" xr:uid="{00000000-0005-0000-0000-0000B33C0000}"/>
    <cellStyle name="40% - Accent3 5 2 4 8 3" xfId="15544" xr:uid="{00000000-0005-0000-0000-0000B43C0000}"/>
    <cellStyle name="40% - Accent3 5 2 4 8 3 2" xfId="15545" xr:uid="{00000000-0005-0000-0000-0000B53C0000}"/>
    <cellStyle name="40% - Accent3 5 2 4 8 4" xfId="15546" xr:uid="{00000000-0005-0000-0000-0000B63C0000}"/>
    <cellStyle name="40% - Accent3 5 2 4 9" xfId="15547" xr:uid="{00000000-0005-0000-0000-0000B73C0000}"/>
    <cellStyle name="40% - Accent3 5 2 4 9 2" xfId="15548" xr:uid="{00000000-0005-0000-0000-0000B83C0000}"/>
    <cellStyle name="40% - Accent3 5 2 4 9 2 2" xfId="15549" xr:uid="{00000000-0005-0000-0000-0000B93C0000}"/>
    <cellStyle name="40% - Accent3 5 2 4 9 3" xfId="15550" xr:uid="{00000000-0005-0000-0000-0000BA3C0000}"/>
    <cellStyle name="40% - Accent3 5 2 5" xfId="15551" xr:uid="{00000000-0005-0000-0000-0000BB3C0000}"/>
    <cellStyle name="40% - Accent3 5 2 5 10" xfId="15552" xr:uid="{00000000-0005-0000-0000-0000BC3C0000}"/>
    <cellStyle name="40% - Accent3 5 2 5 10 2" xfId="15553" xr:uid="{00000000-0005-0000-0000-0000BD3C0000}"/>
    <cellStyle name="40% - Accent3 5 2 5 10 2 2" xfId="15554" xr:uid="{00000000-0005-0000-0000-0000BE3C0000}"/>
    <cellStyle name="40% - Accent3 5 2 5 10 3" xfId="15555" xr:uid="{00000000-0005-0000-0000-0000BF3C0000}"/>
    <cellStyle name="40% - Accent3 5 2 5 11" xfId="15556" xr:uid="{00000000-0005-0000-0000-0000C03C0000}"/>
    <cellStyle name="40% - Accent3 5 2 5 11 2" xfId="15557" xr:uid="{00000000-0005-0000-0000-0000C13C0000}"/>
    <cellStyle name="40% - Accent3 5 2 5 11 2 2" xfId="15558" xr:uid="{00000000-0005-0000-0000-0000C23C0000}"/>
    <cellStyle name="40% - Accent3 5 2 5 11 3" xfId="15559" xr:uid="{00000000-0005-0000-0000-0000C33C0000}"/>
    <cellStyle name="40% - Accent3 5 2 5 12" xfId="15560" xr:uid="{00000000-0005-0000-0000-0000C43C0000}"/>
    <cellStyle name="40% - Accent3 5 2 5 12 2" xfId="15561" xr:uid="{00000000-0005-0000-0000-0000C53C0000}"/>
    <cellStyle name="40% - Accent3 5 2 5 12 2 2" xfId="15562" xr:uid="{00000000-0005-0000-0000-0000C63C0000}"/>
    <cellStyle name="40% - Accent3 5 2 5 12 3" xfId="15563" xr:uid="{00000000-0005-0000-0000-0000C73C0000}"/>
    <cellStyle name="40% - Accent3 5 2 5 13" xfId="15564" xr:uid="{00000000-0005-0000-0000-0000C83C0000}"/>
    <cellStyle name="40% - Accent3 5 2 5 13 2" xfId="15565" xr:uid="{00000000-0005-0000-0000-0000C93C0000}"/>
    <cellStyle name="40% - Accent3 5 2 5 14" xfId="15566" xr:uid="{00000000-0005-0000-0000-0000CA3C0000}"/>
    <cellStyle name="40% - Accent3 5 2 5 2" xfId="15567" xr:uid="{00000000-0005-0000-0000-0000CB3C0000}"/>
    <cellStyle name="40% - Accent3 5 2 5 2 2" xfId="15568" xr:uid="{00000000-0005-0000-0000-0000CC3C0000}"/>
    <cellStyle name="40% - Accent3 5 2 5 2 2 2" xfId="15569" xr:uid="{00000000-0005-0000-0000-0000CD3C0000}"/>
    <cellStyle name="40% - Accent3 5 2 5 2 2 2 2" xfId="15570" xr:uid="{00000000-0005-0000-0000-0000CE3C0000}"/>
    <cellStyle name="40% - Accent3 5 2 5 2 2 2 2 2" xfId="15571" xr:uid="{00000000-0005-0000-0000-0000CF3C0000}"/>
    <cellStyle name="40% - Accent3 5 2 5 2 2 2 3" xfId="15572" xr:uid="{00000000-0005-0000-0000-0000D03C0000}"/>
    <cellStyle name="40% - Accent3 5 2 5 2 2 3" xfId="15573" xr:uid="{00000000-0005-0000-0000-0000D13C0000}"/>
    <cellStyle name="40% - Accent3 5 2 5 2 2 3 2" xfId="15574" xr:uid="{00000000-0005-0000-0000-0000D23C0000}"/>
    <cellStyle name="40% - Accent3 5 2 5 2 2 4" xfId="15575" xr:uid="{00000000-0005-0000-0000-0000D33C0000}"/>
    <cellStyle name="40% - Accent3 5 2 5 2 3" xfId="15576" xr:uid="{00000000-0005-0000-0000-0000D43C0000}"/>
    <cellStyle name="40% - Accent3 5 2 5 2 3 2" xfId="15577" xr:uid="{00000000-0005-0000-0000-0000D53C0000}"/>
    <cellStyle name="40% - Accent3 5 2 5 2 3 2 2" xfId="15578" xr:uid="{00000000-0005-0000-0000-0000D63C0000}"/>
    <cellStyle name="40% - Accent3 5 2 5 2 3 3" xfId="15579" xr:uid="{00000000-0005-0000-0000-0000D73C0000}"/>
    <cellStyle name="40% - Accent3 5 2 5 2 4" xfId="15580" xr:uid="{00000000-0005-0000-0000-0000D83C0000}"/>
    <cellStyle name="40% - Accent3 5 2 5 2 4 2" xfId="15581" xr:uid="{00000000-0005-0000-0000-0000D93C0000}"/>
    <cellStyle name="40% - Accent3 5 2 5 2 4 2 2" xfId="15582" xr:uid="{00000000-0005-0000-0000-0000DA3C0000}"/>
    <cellStyle name="40% - Accent3 5 2 5 2 4 3" xfId="15583" xr:uid="{00000000-0005-0000-0000-0000DB3C0000}"/>
    <cellStyle name="40% - Accent3 5 2 5 2 5" xfId="15584" xr:uid="{00000000-0005-0000-0000-0000DC3C0000}"/>
    <cellStyle name="40% - Accent3 5 2 5 2 5 2" xfId="15585" xr:uid="{00000000-0005-0000-0000-0000DD3C0000}"/>
    <cellStyle name="40% - Accent3 5 2 5 2 5 2 2" xfId="15586" xr:uid="{00000000-0005-0000-0000-0000DE3C0000}"/>
    <cellStyle name="40% - Accent3 5 2 5 2 5 3" xfId="15587" xr:uid="{00000000-0005-0000-0000-0000DF3C0000}"/>
    <cellStyle name="40% - Accent3 5 2 5 2 6" xfId="15588" xr:uid="{00000000-0005-0000-0000-0000E03C0000}"/>
    <cellStyle name="40% - Accent3 5 2 5 2 6 2" xfId="15589" xr:uid="{00000000-0005-0000-0000-0000E13C0000}"/>
    <cellStyle name="40% - Accent3 5 2 5 2 6 2 2" xfId="15590" xr:uid="{00000000-0005-0000-0000-0000E23C0000}"/>
    <cellStyle name="40% - Accent3 5 2 5 2 6 3" xfId="15591" xr:uid="{00000000-0005-0000-0000-0000E33C0000}"/>
    <cellStyle name="40% - Accent3 5 2 5 2 7" xfId="15592" xr:uid="{00000000-0005-0000-0000-0000E43C0000}"/>
    <cellStyle name="40% - Accent3 5 2 5 2 7 2" xfId="15593" xr:uid="{00000000-0005-0000-0000-0000E53C0000}"/>
    <cellStyle name="40% - Accent3 5 2 5 2 8" xfId="15594" xr:uid="{00000000-0005-0000-0000-0000E63C0000}"/>
    <cellStyle name="40% - Accent3 5 2 5 3" xfId="15595" xr:uid="{00000000-0005-0000-0000-0000E73C0000}"/>
    <cellStyle name="40% - Accent3 5 2 5 3 2" xfId="15596" xr:uid="{00000000-0005-0000-0000-0000E83C0000}"/>
    <cellStyle name="40% - Accent3 5 2 5 3 2 2" xfId="15597" xr:uid="{00000000-0005-0000-0000-0000E93C0000}"/>
    <cellStyle name="40% - Accent3 5 2 5 3 2 2 2" xfId="15598" xr:uid="{00000000-0005-0000-0000-0000EA3C0000}"/>
    <cellStyle name="40% - Accent3 5 2 5 3 2 2 2 2" xfId="15599" xr:uid="{00000000-0005-0000-0000-0000EB3C0000}"/>
    <cellStyle name="40% - Accent3 5 2 5 3 2 2 3" xfId="15600" xr:uid="{00000000-0005-0000-0000-0000EC3C0000}"/>
    <cellStyle name="40% - Accent3 5 2 5 3 2 3" xfId="15601" xr:uid="{00000000-0005-0000-0000-0000ED3C0000}"/>
    <cellStyle name="40% - Accent3 5 2 5 3 2 3 2" xfId="15602" xr:uid="{00000000-0005-0000-0000-0000EE3C0000}"/>
    <cellStyle name="40% - Accent3 5 2 5 3 2 4" xfId="15603" xr:uid="{00000000-0005-0000-0000-0000EF3C0000}"/>
    <cellStyle name="40% - Accent3 5 2 5 3 3" xfId="15604" xr:uid="{00000000-0005-0000-0000-0000F03C0000}"/>
    <cellStyle name="40% - Accent3 5 2 5 3 3 2" xfId="15605" xr:uid="{00000000-0005-0000-0000-0000F13C0000}"/>
    <cellStyle name="40% - Accent3 5 2 5 3 3 2 2" xfId="15606" xr:uid="{00000000-0005-0000-0000-0000F23C0000}"/>
    <cellStyle name="40% - Accent3 5 2 5 3 3 3" xfId="15607" xr:uid="{00000000-0005-0000-0000-0000F33C0000}"/>
    <cellStyle name="40% - Accent3 5 2 5 3 4" xfId="15608" xr:uid="{00000000-0005-0000-0000-0000F43C0000}"/>
    <cellStyle name="40% - Accent3 5 2 5 3 4 2" xfId="15609" xr:uid="{00000000-0005-0000-0000-0000F53C0000}"/>
    <cellStyle name="40% - Accent3 5 2 5 3 4 2 2" xfId="15610" xr:uid="{00000000-0005-0000-0000-0000F63C0000}"/>
    <cellStyle name="40% - Accent3 5 2 5 3 4 3" xfId="15611" xr:uid="{00000000-0005-0000-0000-0000F73C0000}"/>
    <cellStyle name="40% - Accent3 5 2 5 3 5" xfId="15612" xr:uid="{00000000-0005-0000-0000-0000F83C0000}"/>
    <cellStyle name="40% - Accent3 5 2 5 3 5 2" xfId="15613" xr:uid="{00000000-0005-0000-0000-0000F93C0000}"/>
    <cellStyle name="40% - Accent3 5 2 5 3 5 2 2" xfId="15614" xr:uid="{00000000-0005-0000-0000-0000FA3C0000}"/>
    <cellStyle name="40% - Accent3 5 2 5 3 5 3" xfId="15615" xr:uid="{00000000-0005-0000-0000-0000FB3C0000}"/>
    <cellStyle name="40% - Accent3 5 2 5 3 6" xfId="15616" xr:uid="{00000000-0005-0000-0000-0000FC3C0000}"/>
    <cellStyle name="40% - Accent3 5 2 5 3 6 2" xfId="15617" xr:uid="{00000000-0005-0000-0000-0000FD3C0000}"/>
    <cellStyle name="40% - Accent3 5 2 5 3 6 2 2" xfId="15618" xr:uid="{00000000-0005-0000-0000-0000FE3C0000}"/>
    <cellStyle name="40% - Accent3 5 2 5 3 6 3" xfId="15619" xr:uid="{00000000-0005-0000-0000-0000FF3C0000}"/>
    <cellStyle name="40% - Accent3 5 2 5 3 7" xfId="15620" xr:uid="{00000000-0005-0000-0000-0000003D0000}"/>
    <cellStyle name="40% - Accent3 5 2 5 3 7 2" xfId="15621" xr:uid="{00000000-0005-0000-0000-0000013D0000}"/>
    <cellStyle name="40% - Accent3 5 2 5 3 8" xfId="15622" xr:uid="{00000000-0005-0000-0000-0000023D0000}"/>
    <cellStyle name="40% - Accent3 5 2 5 4" xfId="15623" xr:uid="{00000000-0005-0000-0000-0000033D0000}"/>
    <cellStyle name="40% - Accent3 5 2 5 4 2" xfId="15624" xr:uid="{00000000-0005-0000-0000-0000043D0000}"/>
    <cellStyle name="40% - Accent3 5 2 5 4 2 2" xfId="15625" xr:uid="{00000000-0005-0000-0000-0000053D0000}"/>
    <cellStyle name="40% - Accent3 5 2 5 4 2 2 2" xfId="15626" xr:uid="{00000000-0005-0000-0000-0000063D0000}"/>
    <cellStyle name="40% - Accent3 5 2 5 4 2 2 2 2" xfId="15627" xr:uid="{00000000-0005-0000-0000-0000073D0000}"/>
    <cellStyle name="40% - Accent3 5 2 5 4 2 2 3" xfId="15628" xr:uid="{00000000-0005-0000-0000-0000083D0000}"/>
    <cellStyle name="40% - Accent3 5 2 5 4 2 3" xfId="15629" xr:uid="{00000000-0005-0000-0000-0000093D0000}"/>
    <cellStyle name="40% - Accent3 5 2 5 4 2 3 2" xfId="15630" xr:uid="{00000000-0005-0000-0000-00000A3D0000}"/>
    <cellStyle name="40% - Accent3 5 2 5 4 2 4" xfId="15631" xr:uid="{00000000-0005-0000-0000-00000B3D0000}"/>
    <cellStyle name="40% - Accent3 5 2 5 4 3" xfId="15632" xr:uid="{00000000-0005-0000-0000-00000C3D0000}"/>
    <cellStyle name="40% - Accent3 5 2 5 4 3 2" xfId="15633" xr:uid="{00000000-0005-0000-0000-00000D3D0000}"/>
    <cellStyle name="40% - Accent3 5 2 5 4 3 2 2" xfId="15634" xr:uid="{00000000-0005-0000-0000-00000E3D0000}"/>
    <cellStyle name="40% - Accent3 5 2 5 4 3 3" xfId="15635" xr:uid="{00000000-0005-0000-0000-00000F3D0000}"/>
    <cellStyle name="40% - Accent3 5 2 5 4 4" xfId="15636" xr:uid="{00000000-0005-0000-0000-0000103D0000}"/>
    <cellStyle name="40% - Accent3 5 2 5 4 4 2" xfId="15637" xr:uid="{00000000-0005-0000-0000-0000113D0000}"/>
    <cellStyle name="40% - Accent3 5 2 5 4 4 2 2" xfId="15638" xr:uid="{00000000-0005-0000-0000-0000123D0000}"/>
    <cellStyle name="40% - Accent3 5 2 5 4 4 3" xfId="15639" xr:uid="{00000000-0005-0000-0000-0000133D0000}"/>
    <cellStyle name="40% - Accent3 5 2 5 4 5" xfId="15640" xr:uid="{00000000-0005-0000-0000-0000143D0000}"/>
    <cellStyle name="40% - Accent3 5 2 5 4 5 2" xfId="15641" xr:uid="{00000000-0005-0000-0000-0000153D0000}"/>
    <cellStyle name="40% - Accent3 5 2 5 4 5 2 2" xfId="15642" xr:uid="{00000000-0005-0000-0000-0000163D0000}"/>
    <cellStyle name="40% - Accent3 5 2 5 4 5 3" xfId="15643" xr:uid="{00000000-0005-0000-0000-0000173D0000}"/>
    <cellStyle name="40% - Accent3 5 2 5 4 6" xfId="15644" xr:uid="{00000000-0005-0000-0000-0000183D0000}"/>
    <cellStyle name="40% - Accent3 5 2 5 4 6 2" xfId="15645" xr:uid="{00000000-0005-0000-0000-0000193D0000}"/>
    <cellStyle name="40% - Accent3 5 2 5 4 6 2 2" xfId="15646" xr:uid="{00000000-0005-0000-0000-00001A3D0000}"/>
    <cellStyle name="40% - Accent3 5 2 5 4 6 3" xfId="15647" xr:uid="{00000000-0005-0000-0000-00001B3D0000}"/>
    <cellStyle name="40% - Accent3 5 2 5 4 7" xfId="15648" xr:uid="{00000000-0005-0000-0000-00001C3D0000}"/>
    <cellStyle name="40% - Accent3 5 2 5 4 7 2" xfId="15649" xr:uid="{00000000-0005-0000-0000-00001D3D0000}"/>
    <cellStyle name="40% - Accent3 5 2 5 4 8" xfId="15650" xr:uid="{00000000-0005-0000-0000-00001E3D0000}"/>
    <cellStyle name="40% - Accent3 5 2 5 5" xfId="15651" xr:uid="{00000000-0005-0000-0000-00001F3D0000}"/>
    <cellStyle name="40% - Accent3 5 2 5 5 2" xfId="15652" xr:uid="{00000000-0005-0000-0000-0000203D0000}"/>
    <cellStyle name="40% - Accent3 5 2 5 5 2 2" xfId="15653" xr:uid="{00000000-0005-0000-0000-0000213D0000}"/>
    <cellStyle name="40% - Accent3 5 2 5 5 2 2 2" xfId="15654" xr:uid="{00000000-0005-0000-0000-0000223D0000}"/>
    <cellStyle name="40% - Accent3 5 2 5 5 2 2 2 2" xfId="15655" xr:uid="{00000000-0005-0000-0000-0000233D0000}"/>
    <cellStyle name="40% - Accent3 5 2 5 5 2 2 3" xfId="15656" xr:uid="{00000000-0005-0000-0000-0000243D0000}"/>
    <cellStyle name="40% - Accent3 5 2 5 5 2 3" xfId="15657" xr:uid="{00000000-0005-0000-0000-0000253D0000}"/>
    <cellStyle name="40% - Accent3 5 2 5 5 2 3 2" xfId="15658" xr:uid="{00000000-0005-0000-0000-0000263D0000}"/>
    <cellStyle name="40% - Accent3 5 2 5 5 2 4" xfId="15659" xr:uid="{00000000-0005-0000-0000-0000273D0000}"/>
    <cellStyle name="40% - Accent3 5 2 5 5 3" xfId="15660" xr:uid="{00000000-0005-0000-0000-0000283D0000}"/>
    <cellStyle name="40% - Accent3 5 2 5 5 3 2" xfId="15661" xr:uid="{00000000-0005-0000-0000-0000293D0000}"/>
    <cellStyle name="40% - Accent3 5 2 5 5 3 2 2" xfId="15662" xr:uid="{00000000-0005-0000-0000-00002A3D0000}"/>
    <cellStyle name="40% - Accent3 5 2 5 5 3 3" xfId="15663" xr:uid="{00000000-0005-0000-0000-00002B3D0000}"/>
    <cellStyle name="40% - Accent3 5 2 5 5 4" xfId="15664" xr:uid="{00000000-0005-0000-0000-00002C3D0000}"/>
    <cellStyle name="40% - Accent3 5 2 5 5 4 2" xfId="15665" xr:uid="{00000000-0005-0000-0000-00002D3D0000}"/>
    <cellStyle name="40% - Accent3 5 2 5 5 5" xfId="15666" xr:uid="{00000000-0005-0000-0000-00002E3D0000}"/>
    <cellStyle name="40% - Accent3 5 2 5 6" xfId="15667" xr:uid="{00000000-0005-0000-0000-00002F3D0000}"/>
    <cellStyle name="40% - Accent3 5 2 5 6 2" xfId="15668" xr:uid="{00000000-0005-0000-0000-0000303D0000}"/>
    <cellStyle name="40% - Accent3 5 2 5 6 2 2" xfId="15669" xr:uid="{00000000-0005-0000-0000-0000313D0000}"/>
    <cellStyle name="40% - Accent3 5 2 5 6 2 2 2" xfId="15670" xr:uid="{00000000-0005-0000-0000-0000323D0000}"/>
    <cellStyle name="40% - Accent3 5 2 5 6 2 2 2 2" xfId="15671" xr:uid="{00000000-0005-0000-0000-0000333D0000}"/>
    <cellStyle name="40% - Accent3 5 2 5 6 2 2 3" xfId="15672" xr:uid="{00000000-0005-0000-0000-0000343D0000}"/>
    <cellStyle name="40% - Accent3 5 2 5 6 2 3" xfId="15673" xr:uid="{00000000-0005-0000-0000-0000353D0000}"/>
    <cellStyle name="40% - Accent3 5 2 5 6 2 3 2" xfId="15674" xr:uid="{00000000-0005-0000-0000-0000363D0000}"/>
    <cellStyle name="40% - Accent3 5 2 5 6 2 4" xfId="15675" xr:uid="{00000000-0005-0000-0000-0000373D0000}"/>
    <cellStyle name="40% - Accent3 5 2 5 6 3" xfId="15676" xr:uid="{00000000-0005-0000-0000-0000383D0000}"/>
    <cellStyle name="40% - Accent3 5 2 5 6 3 2" xfId="15677" xr:uid="{00000000-0005-0000-0000-0000393D0000}"/>
    <cellStyle name="40% - Accent3 5 2 5 6 3 2 2" xfId="15678" xr:uid="{00000000-0005-0000-0000-00003A3D0000}"/>
    <cellStyle name="40% - Accent3 5 2 5 6 3 3" xfId="15679" xr:uid="{00000000-0005-0000-0000-00003B3D0000}"/>
    <cellStyle name="40% - Accent3 5 2 5 6 4" xfId="15680" xr:uid="{00000000-0005-0000-0000-00003C3D0000}"/>
    <cellStyle name="40% - Accent3 5 2 5 6 4 2" xfId="15681" xr:uid="{00000000-0005-0000-0000-00003D3D0000}"/>
    <cellStyle name="40% - Accent3 5 2 5 6 5" xfId="15682" xr:uid="{00000000-0005-0000-0000-00003E3D0000}"/>
    <cellStyle name="40% - Accent3 5 2 5 7" xfId="15683" xr:uid="{00000000-0005-0000-0000-00003F3D0000}"/>
    <cellStyle name="40% - Accent3 5 2 5 7 2" xfId="15684" xr:uid="{00000000-0005-0000-0000-0000403D0000}"/>
    <cellStyle name="40% - Accent3 5 2 5 7 2 2" xfId="15685" xr:uid="{00000000-0005-0000-0000-0000413D0000}"/>
    <cellStyle name="40% - Accent3 5 2 5 7 2 2 2" xfId="15686" xr:uid="{00000000-0005-0000-0000-0000423D0000}"/>
    <cellStyle name="40% - Accent3 5 2 5 7 2 3" xfId="15687" xr:uid="{00000000-0005-0000-0000-0000433D0000}"/>
    <cellStyle name="40% - Accent3 5 2 5 7 3" xfId="15688" xr:uid="{00000000-0005-0000-0000-0000443D0000}"/>
    <cellStyle name="40% - Accent3 5 2 5 7 3 2" xfId="15689" xr:uid="{00000000-0005-0000-0000-0000453D0000}"/>
    <cellStyle name="40% - Accent3 5 2 5 7 4" xfId="15690" xr:uid="{00000000-0005-0000-0000-0000463D0000}"/>
    <cellStyle name="40% - Accent3 5 2 5 8" xfId="15691" xr:uid="{00000000-0005-0000-0000-0000473D0000}"/>
    <cellStyle name="40% - Accent3 5 2 5 8 2" xfId="15692" xr:uid="{00000000-0005-0000-0000-0000483D0000}"/>
    <cellStyle name="40% - Accent3 5 2 5 8 2 2" xfId="15693" xr:uid="{00000000-0005-0000-0000-0000493D0000}"/>
    <cellStyle name="40% - Accent3 5 2 5 8 2 2 2" xfId="15694" xr:uid="{00000000-0005-0000-0000-00004A3D0000}"/>
    <cellStyle name="40% - Accent3 5 2 5 8 2 3" xfId="15695" xr:uid="{00000000-0005-0000-0000-00004B3D0000}"/>
    <cellStyle name="40% - Accent3 5 2 5 8 3" xfId="15696" xr:uid="{00000000-0005-0000-0000-00004C3D0000}"/>
    <cellStyle name="40% - Accent3 5 2 5 8 3 2" xfId="15697" xr:uid="{00000000-0005-0000-0000-00004D3D0000}"/>
    <cellStyle name="40% - Accent3 5 2 5 8 4" xfId="15698" xr:uid="{00000000-0005-0000-0000-00004E3D0000}"/>
    <cellStyle name="40% - Accent3 5 2 5 9" xfId="15699" xr:uid="{00000000-0005-0000-0000-00004F3D0000}"/>
    <cellStyle name="40% - Accent3 5 2 5 9 2" xfId="15700" xr:uid="{00000000-0005-0000-0000-0000503D0000}"/>
    <cellStyle name="40% - Accent3 5 2 5 9 2 2" xfId="15701" xr:uid="{00000000-0005-0000-0000-0000513D0000}"/>
    <cellStyle name="40% - Accent3 5 2 5 9 3" xfId="15702" xr:uid="{00000000-0005-0000-0000-0000523D0000}"/>
    <cellStyle name="40% - Accent3 5 2 6" xfId="15703" xr:uid="{00000000-0005-0000-0000-0000533D0000}"/>
    <cellStyle name="40% - Accent3 5 2 6 10" xfId="15704" xr:uid="{00000000-0005-0000-0000-0000543D0000}"/>
    <cellStyle name="40% - Accent3 5 2 6 10 2" xfId="15705" xr:uid="{00000000-0005-0000-0000-0000553D0000}"/>
    <cellStyle name="40% - Accent3 5 2 6 10 2 2" xfId="15706" xr:uid="{00000000-0005-0000-0000-0000563D0000}"/>
    <cellStyle name="40% - Accent3 5 2 6 10 3" xfId="15707" xr:uid="{00000000-0005-0000-0000-0000573D0000}"/>
    <cellStyle name="40% - Accent3 5 2 6 11" xfId="15708" xr:uid="{00000000-0005-0000-0000-0000583D0000}"/>
    <cellStyle name="40% - Accent3 5 2 6 11 2" xfId="15709" xr:uid="{00000000-0005-0000-0000-0000593D0000}"/>
    <cellStyle name="40% - Accent3 5 2 6 11 2 2" xfId="15710" xr:uid="{00000000-0005-0000-0000-00005A3D0000}"/>
    <cellStyle name="40% - Accent3 5 2 6 11 3" xfId="15711" xr:uid="{00000000-0005-0000-0000-00005B3D0000}"/>
    <cellStyle name="40% - Accent3 5 2 6 12" xfId="15712" xr:uid="{00000000-0005-0000-0000-00005C3D0000}"/>
    <cellStyle name="40% - Accent3 5 2 6 12 2" xfId="15713" xr:uid="{00000000-0005-0000-0000-00005D3D0000}"/>
    <cellStyle name="40% - Accent3 5 2 6 12 2 2" xfId="15714" xr:uid="{00000000-0005-0000-0000-00005E3D0000}"/>
    <cellStyle name="40% - Accent3 5 2 6 12 3" xfId="15715" xr:uid="{00000000-0005-0000-0000-00005F3D0000}"/>
    <cellStyle name="40% - Accent3 5 2 6 13" xfId="15716" xr:uid="{00000000-0005-0000-0000-0000603D0000}"/>
    <cellStyle name="40% - Accent3 5 2 6 13 2" xfId="15717" xr:uid="{00000000-0005-0000-0000-0000613D0000}"/>
    <cellStyle name="40% - Accent3 5 2 6 14" xfId="15718" xr:uid="{00000000-0005-0000-0000-0000623D0000}"/>
    <cellStyle name="40% - Accent3 5 2 6 2" xfId="15719" xr:uid="{00000000-0005-0000-0000-0000633D0000}"/>
    <cellStyle name="40% - Accent3 5 2 6 2 2" xfId="15720" xr:uid="{00000000-0005-0000-0000-0000643D0000}"/>
    <cellStyle name="40% - Accent3 5 2 6 2 2 2" xfId="15721" xr:uid="{00000000-0005-0000-0000-0000653D0000}"/>
    <cellStyle name="40% - Accent3 5 2 6 2 2 2 2" xfId="15722" xr:uid="{00000000-0005-0000-0000-0000663D0000}"/>
    <cellStyle name="40% - Accent3 5 2 6 2 2 2 2 2" xfId="15723" xr:uid="{00000000-0005-0000-0000-0000673D0000}"/>
    <cellStyle name="40% - Accent3 5 2 6 2 2 2 3" xfId="15724" xr:uid="{00000000-0005-0000-0000-0000683D0000}"/>
    <cellStyle name="40% - Accent3 5 2 6 2 2 3" xfId="15725" xr:uid="{00000000-0005-0000-0000-0000693D0000}"/>
    <cellStyle name="40% - Accent3 5 2 6 2 2 3 2" xfId="15726" xr:uid="{00000000-0005-0000-0000-00006A3D0000}"/>
    <cellStyle name="40% - Accent3 5 2 6 2 2 4" xfId="15727" xr:uid="{00000000-0005-0000-0000-00006B3D0000}"/>
    <cellStyle name="40% - Accent3 5 2 6 2 3" xfId="15728" xr:uid="{00000000-0005-0000-0000-00006C3D0000}"/>
    <cellStyle name="40% - Accent3 5 2 6 2 3 2" xfId="15729" xr:uid="{00000000-0005-0000-0000-00006D3D0000}"/>
    <cellStyle name="40% - Accent3 5 2 6 2 3 2 2" xfId="15730" xr:uid="{00000000-0005-0000-0000-00006E3D0000}"/>
    <cellStyle name="40% - Accent3 5 2 6 2 3 3" xfId="15731" xr:uid="{00000000-0005-0000-0000-00006F3D0000}"/>
    <cellStyle name="40% - Accent3 5 2 6 2 4" xfId="15732" xr:uid="{00000000-0005-0000-0000-0000703D0000}"/>
    <cellStyle name="40% - Accent3 5 2 6 2 4 2" xfId="15733" xr:uid="{00000000-0005-0000-0000-0000713D0000}"/>
    <cellStyle name="40% - Accent3 5 2 6 2 4 2 2" xfId="15734" xr:uid="{00000000-0005-0000-0000-0000723D0000}"/>
    <cellStyle name="40% - Accent3 5 2 6 2 4 3" xfId="15735" xr:uid="{00000000-0005-0000-0000-0000733D0000}"/>
    <cellStyle name="40% - Accent3 5 2 6 2 5" xfId="15736" xr:uid="{00000000-0005-0000-0000-0000743D0000}"/>
    <cellStyle name="40% - Accent3 5 2 6 2 5 2" xfId="15737" xr:uid="{00000000-0005-0000-0000-0000753D0000}"/>
    <cellStyle name="40% - Accent3 5 2 6 2 5 2 2" xfId="15738" xr:uid="{00000000-0005-0000-0000-0000763D0000}"/>
    <cellStyle name="40% - Accent3 5 2 6 2 5 3" xfId="15739" xr:uid="{00000000-0005-0000-0000-0000773D0000}"/>
    <cellStyle name="40% - Accent3 5 2 6 2 6" xfId="15740" xr:uid="{00000000-0005-0000-0000-0000783D0000}"/>
    <cellStyle name="40% - Accent3 5 2 6 2 6 2" xfId="15741" xr:uid="{00000000-0005-0000-0000-0000793D0000}"/>
    <cellStyle name="40% - Accent3 5 2 6 2 6 2 2" xfId="15742" xr:uid="{00000000-0005-0000-0000-00007A3D0000}"/>
    <cellStyle name="40% - Accent3 5 2 6 2 6 3" xfId="15743" xr:uid="{00000000-0005-0000-0000-00007B3D0000}"/>
    <cellStyle name="40% - Accent3 5 2 6 2 7" xfId="15744" xr:uid="{00000000-0005-0000-0000-00007C3D0000}"/>
    <cellStyle name="40% - Accent3 5 2 6 2 7 2" xfId="15745" xr:uid="{00000000-0005-0000-0000-00007D3D0000}"/>
    <cellStyle name="40% - Accent3 5 2 6 2 8" xfId="15746" xr:uid="{00000000-0005-0000-0000-00007E3D0000}"/>
    <cellStyle name="40% - Accent3 5 2 6 3" xfId="15747" xr:uid="{00000000-0005-0000-0000-00007F3D0000}"/>
    <cellStyle name="40% - Accent3 5 2 6 3 2" xfId="15748" xr:uid="{00000000-0005-0000-0000-0000803D0000}"/>
    <cellStyle name="40% - Accent3 5 2 6 3 2 2" xfId="15749" xr:uid="{00000000-0005-0000-0000-0000813D0000}"/>
    <cellStyle name="40% - Accent3 5 2 6 3 2 2 2" xfId="15750" xr:uid="{00000000-0005-0000-0000-0000823D0000}"/>
    <cellStyle name="40% - Accent3 5 2 6 3 2 2 2 2" xfId="15751" xr:uid="{00000000-0005-0000-0000-0000833D0000}"/>
    <cellStyle name="40% - Accent3 5 2 6 3 2 2 3" xfId="15752" xr:uid="{00000000-0005-0000-0000-0000843D0000}"/>
    <cellStyle name="40% - Accent3 5 2 6 3 2 3" xfId="15753" xr:uid="{00000000-0005-0000-0000-0000853D0000}"/>
    <cellStyle name="40% - Accent3 5 2 6 3 2 3 2" xfId="15754" xr:uid="{00000000-0005-0000-0000-0000863D0000}"/>
    <cellStyle name="40% - Accent3 5 2 6 3 2 4" xfId="15755" xr:uid="{00000000-0005-0000-0000-0000873D0000}"/>
    <cellStyle name="40% - Accent3 5 2 6 3 3" xfId="15756" xr:uid="{00000000-0005-0000-0000-0000883D0000}"/>
    <cellStyle name="40% - Accent3 5 2 6 3 3 2" xfId="15757" xr:uid="{00000000-0005-0000-0000-0000893D0000}"/>
    <cellStyle name="40% - Accent3 5 2 6 3 3 2 2" xfId="15758" xr:uid="{00000000-0005-0000-0000-00008A3D0000}"/>
    <cellStyle name="40% - Accent3 5 2 6 3 3 3" xfId="15759" xr:uid="{00000000-0005-0000-0000-00008B3D0000}"/>
    <cellStyle name="40% - Accent3 5 2 6 3 4" xfId="15760" xr:uid="{00000000-0005-0000-0000-00008C3D0000}"/>
    <cellStyle name="40% - Accent3 5 2 6 3 4 2" xfId="15761" xr:uid="{00000000-0005-0000-0000-00008D3D0000}"/>
    <cellStyle name="40% - Accent3 5 2 6 3 4 2 2" xfId="15762" xr:uid="{00000000-0005-0000-0000-00008E3D0000}"/>
    <cellStyle name="40% - Accent3 5 2 6 3 4 3" xfId="15763" xr:uid="{00000000-0005-0000-0000-00008F3D0000}"/>
    <cellStyle name="40% - Accent3 5 2 6 3 5" xfId="15764" xr:uid="{00000000-0005-0000-0000-0000903D0000}"/>
    <cellStyle name="40% - Accent3 5 2 6 3 5 2" xfId="15765" xr:uid="{00000000-0005-0000-0000-0000913D0000}"/>
    <cellStyle name="40% - Accent3 5 2 6 3 5 2 2" xfId="15766" xr:uid="{00000000-0005-0000-0000-0000923D0000}"/>
    <cellStyle name="40% - Accent3 5 2 6 3 5 3" xfId="15767" xr:uid="{00000000-0005-0000-0000-0000933D0000}"/>
    <cellStyle name="40% - Accent3 5 2 6 3 6" xfId="15768" xr:uid="{00000000-0005-0000-0000-0000943D0000}"/>
    <cellStyle name="40% - Accent3 5 2 6 3 6 2" xfId="15769" xr:uid="{00000000-0005-0000-0000-0000953D0000}"/>
    <cellStyle name="40% - Accent3 5 2 6 3 6 2 2" xfId="15770" xr:uid="{00000000-0005-0000-0000-0000963D0000}"/>
    <cellStyle name="40% - Accent3 5 2 6 3 6 3" xfId="15771" xr:uid="{00000000-0005-0000-0000-0000973D0000}"/>
    <cellStyle name="40% - Accent3 5 2 6 3 7" xfId="15772" xr:uid="{00000000-0005-0000-0000-0000983D0000}"/>
    <cellStyle name="40% - Accent3 5 2 6 3 7 2" xfId="15773" xr:uid="{00000000-0005-0000-0000-0000993D0000}"/>
    <cellStyle name="40% - Accent3 5 2 6 3 8" xfId="15774" xr:uid="{00000000-0005-0000-0000-00009A3D0000}"/>
    <cellStyle name="40% - Accent3 5 2 6 4" xfId="15775" xr:uid="{00000000-0005-0000-0000-00009B3D0000}"/>
    <cellStyle name="40% - Accent3 5 2 6 4 2" xfId="15776" xr:uid="{00000000-0005-0000-0000-00009C3D0000}"/>
    <cellStyle name="40% - Accent3 5 2 6 4 2 2" xfId="15777" xr:uid="{00000000-0005-0000-0000-00009D3D0000}"/>
    <cellStyle name="40% - Accent3 5 2 6 4 2 2 2" xfId="15778" xr:uid="{00000000-0005-0000-0000-00009E3D0000}"/>
    <cellStyle name="40% - Accent3 5 2 6 4 2 2 2 2" xfId="15779" xr:uid="{00000000-0005-0000-0000-00009F3D0000}"/>
    <cellStyle name="40% - Accent3 5 2 6 4 2 2 3" xfId="15780" xr:uid="{00000000-0005-0000-0000-0000A03D0000}"/>
    <cellStyle name="40% - Accent3 5 2 6 4 2 3" xfId="15781" xr:uid="{00000000-0005-0000-0000-0000A13D0000}"/>
    <cellStyle name="40% - Accent3 5 2 6 4 2 3 2" xfId="15782" xr:uid="{00000000-0005-0000-0000-0000A23D0000}"/>
    <cellStyle name="40% - Accent3 5 2 6 4 2 4" xfId="15783" xr:uid="{00000000-0005-0000-0000-0000A33D0000}"/>
    <cellStyle name="40% - Accent3 5 2 6 4 3" xfId="15784" xr:uid="{00000000-0005-0000-0000-0000A43D0000}"/>
    <cellStyle name="40% - Accent3 5 2 6 4 3 2" xfId="15785" xr:uid="{00000000-0005-0000-0000-0000A53D0000}"/>
    <cellStyle name="40% - Accent3 5 2 6 4 3 2 2" xfId="15786" xr:uid="{00000000-0005-0000-0000-0000A63D0000}"/>
    <cellStyle name="40% - Accent3 5 2 6 4 3 3" xfId="15787" xr:uid="{00000000-0005-0000-0000-0000A73D0000}"/>
    <cellStyle name="40% - Accent3 5 2 6 4 4" xfId="15788" xr:uid="{00000000-0005-0000-0000-0000A83D0000}"/>
    <cellStyle name="40% - Accent3 5 2 6 4 4 2" xfId="15789" xr:uid="{00000000-0005-0000-0000-0000A93D0000}"/>
    <cellStyle name="40% - Accent3 5 2 6 4 4 2 2" xfId="15790" xr:uid="{00000000-0005-0000-0000-0000AA3D0000}"/>
    <cellStyle name="40% - Accent3 5 2 6 4 4 3" xfId="15791" xr:uid="{00000000-0005-0000-0000-0000AB3D0000}"/>
    <cellStyle name="40% - Accent3 5 2 6 4 5" xfId="15792" xr:uid="{00000000-0005-0000-0000-0000AC3D0000}"/>
    <cellStyle name="40% - Accent3 5 2 6 4 5 2" xfId="15793" xr:uid="{00000000-0005-0000-0000-0000AD3D0000}"/>
    <cellStyle name="40% - Accent3 5 2 6 4 5 2 2" xfId="15794" xr:uid="{00000000-0005-0000-0000-0000AE3D0000}"/>
    <cellStyle name="40% - Accent3 5 2 6 4 5 3" xfId="15795" xr:uid="{00000000-0005-0000-0000-0000AF3D0000}"/>
    <cellStyle name="40% - Accent3 5 2 6 4 6" xfId="15796" xr:uid="{00000000-0005-0000-0000-0000B03D0000}"/>
    <cellStyle name="40% - Accent3 5 2 6 4 6 2" xfId="15797" xr:uid="{00000000-0005-0000-0000-0000B13D0000}"/>
    <cellStyle name="40% - Accent3 5 2 6 4 6 2 2" xfId="15798" xr:uid="{00000000-0005-0000-0000-0000B23D0000}"/>
    <cellStyle name="40% - Accent3 5 2 6 4 6 3" xfId="15799" xr:uid="{00000000-0005-0000-0000-0000B33D0000}"/>
    <cellStyle name="40% - Accent3 5 2 6 4 7" xfId="15800" xr:uid="{00000000-0005-0000-0000-0000B43D0000}"/>
    <cellStyle name="40% - Accent3 5 2 6 4 7 2" xfId="15801" xr:uid="{00000000-0005-0000-0000-0000B53D0000}"/>
    <cellStyle name="40% - Accent3 5 2 6 4 8" xfId="15802" xr:uid="{00000000-0005-0000-0000-0000B63D0000}"/>
    <cellStyle name="40% - Accent3 5 2 6 5" xfId="15803" xr:uid="{00000000-0005-0000-0000-0000B73D0000}"/>
    <cellStyle name="40% - Accent3 5 2 6 5 2" xfId="15804" xr:uid="{00000000-0005-0000-0000-0000B83D0000}"/>
    <cellStyle name="40% - Accent3 5 2 6 5 2 2" xfId="15805" xr:uid="{00000000-0005-0000-0000-0000B93D0000}"/>
    <cellStyle name="40% - Accent3 5 2 6 5 2 2 2" xfId="15806" xr:uid="{00000000-0005-0000-0000-0000BA3D0000}"/>
    <cellStyle name="40% - Accent3 5 2 6 5 2 2 2 2" xfId="15807" xr:uid="{00000000-0005-0000-0000-0000BB3D0000}"/>
    <cellStyle name="40% - Accent3 5 2 6 5 2 2 3" xfId="15808" xr:uid="{00000000-0005-0000-0000-0000BC3D0000}"/>
    <cellStyle name="40% - Accent3 5 2 6 5 2 3" xfId="15809" xr:uid="{00000000-0005-0000-0000-0000BD3D0000}"/>
    <cellStyle name="40% - Accent3 5 2 6 5 2 3 2" xfId="15810" xr:uid="{00000000-0005-0000-0000-0000BE3D0000}"/>
    <cellStyle name="40% - Accent3 5 2 6 5 2 4" xfId="15811" xr:uid="{00000000-0005-0000-0000-0000BF3D0000}"/>
    <cellStyle name="40% - Accent3 5 2 6 5 3" xfId="15812" xr:uid="{00000000-0005-0000-0000-0000C03D0000}"/>
    <cellStyle name="40% - Accent3 5 2 6 5 3 2" xfId="15813" xr:uid="{00000000-0005-0000-0000-0000C13D0000}"/>
    <cellStyle name="40% - Accent3 5 2 6 5 3 2 2" xfId="15814" xr:uid="{00000000-0005-0000-0000-0000C23D0000}"/>
    <cellStyle name="40% - Accent3 5 2 6 5 3 3" xfId="15815" xr:uid="{00000000-0005-0000-0000-0000C33D0000}"/>
    <cellStyle name="40% - Accent3 5 2 6 5 4" xfId="15816" xr:uid="{00000000-0005-0000-0000-0000C43D0000}"/>
    <cellStyle name="40% - Accent3 5 2 6 5 4 2" xfId="15817" xr:uid="{00000000-0005-0000-0000-0000C53D0000}"/>
    <cellStyle name="40% - Accent3 5 2 6 5 5" xfId="15818" xr:uid="{00000000-0005-0000-0000-0000C63D0000}"/>
    <cellStyle name="40% - Accent3 5 2 6 6" xfId="15819" xr:uid="{00000000-0005-0000-0000-0000C73D0000}"/>
    <cellStyle name="40% - Accent3 5 2 6 6 2" xfId="15820" xr:uid="{00000000-0005-0000-0000-0000C83D0000}"/>
    <cellStyle name="40% - Accent3 5 2 6 6 2 2" xfId="15821" xr:uid="{00000000-0005-0000-0000-0000C93D0000}"/>
    <cellStyle name="40% - Accent3 5 2 6 6 2 2 2" xfId="15822" xr:uid="{00000000-0005-0000-0000-0000CA3D0000}"/>
    <cellStyle name="40% - Accent3 5 2 6 6 2 2 2 2" xfId="15823" xr:uid="{00000000-0005-0000-0000-0000CB3D0000}"/>
    <cellStyle name="40% - Accent3 5 2 6 6 2 2 3" xfId="15824" xr:uid="{00000000-0005-0000-0000-0000CC3D0000}"/>
    <cellStyle name="40% - Accent3 5 2 6 6 2 3" xfId="15825" xr:uid="{00000000-0005-0000-0000-0000CD3D0000}"/>
    <cellStyle name="40% - Accent3 5 2 6 6 2 3 2" xfId="15826" xr:uid="{00000000-0005-0000-0000-0000CE3D0000}"/>
    <cellStyle name="40% - Accent3 5 2 6 6 2 4" xfId="15827" xr:uid="{00000000-0005-0000-0000-0000CF3D0000}"/>
    <cellStyle name="40% - Accent3 5 2 6 6 3" xfId="15828" xr:uid="{00000000-0005-0000-0000-0000D03D0000}"/>
    <cellStyle name="40% - Accent3 5 2 6 6 3 2" xfId="15829" xr:uid="{00000000-0005-0000-0000-0000D13D0000}"/>
    <cellStyle name="40% - Accent3 5 2 6 6 3 2 2" xfId="15830" xr:uid="{00000000-0005-0000-0000-0000D23D0000}"/>
    <cellStyle name="40% - Accent3 5 2 6 6 3 3" xfId="15831" xr:uid="{00000000-0005-0000-0000-0000D33D0000}"/>
    <cellStyle name="40% - Accent3 5 2 6 6 4" xfId="15832" xr:uid="{00000000-0005-0000-0000-0000D43D0000}"/>
    <cellStyle name="40% - Accent3 5 2 6 6 4 2" xfId="15833" xr:uid="{00000000-0005-0000-0000-0000D53D0000}"/>
    <cellStyle name="40% - Accent3 5 2 6 6 5" xfId="15834" xr:uid="{00000000-0005-0000-0000-0000D63D0000}"/>
    <cellStyle name="40% - Accent3 5 2 6 7" xfId="15835" xr:uid="{00000000-0005-0000-0000-0000D73D0000}"/>
    <cellStyle name="40% - Accent3 5 2 6 7 2" xfId="15836" xr:uid="{00000000-0005-0000-0000-0000D83D0000}"/>
    <cellStyle name="40% - Accent3 5 2 6 7 2 2" xfId="15837" xr:uid="{00000000-0005-0000-0000-0000D93D0000}"/>
    <cellStyle name="40% - Accent3 5 2 6 7 2 2 2" xfId="15838" xr:uid="{00000000-0005-0000-0000-0000DA3D0000}"/>
    <cellStyle name="40% - Accent3 5 2 6 7 2 3" xfId="15839" xr:uid="{00000000-0005-0000-0000-0000DB3D0000}"/>
    <cellStyle name="40% - Accent3 5 2 6 7 3" xfId="15840" xr:uid="{00000000-0005-0000-0000-0000DC3D0000}"/>
    <cellStyle name="40% - Accent3 5 2 6 7 3 2" xfId="15841" xr:uid="{00000000-0005-0000-0000-0000DD3D0000}"/>
    <cellStyle name="40% - Accent3 5 2 6 7 4" xfId="15842" xr:uid="{00000000-0005-0000-0000-0000DE3D0000}"/>
    <cellStyle name="40% - Accent3 5 2 6 8" xfId="15843" xr:uid="{00000000-0005-0000-0000-0000DF3D0000}"/>
    <cellStyle name="40% - Accent3 5 2 6 8 2" xfId="15844" xr:uid="{00000000-0005-0000-0000-0000E03D0000}"/>
    <cellStyle name="40% - Accent3 5 2 6 8 2 2" xfId="15845" xr:uid="{00000000-0005-0000-0000-0000E13D0000}"/>
    <cellStyle name="40% - Accent3 5 2 6 8 2 2 2" xfId="15846" xr:uid="{00000000-0005-0000-0000-0000E23D0000}"/>
    <cellStyle name="40% - Accent3 5 2 6 8 2 3" xfId="15847" xr:uid="{00000000-0005-0000-0000-0000E33D0000}"/>
    <cellStyle name="40% - Accent3 5 2 6 8 3" xfId="15848" xr:uid="{00000000-0005-0000-0000-0000E43D0000}"/>
    <cellStyle name="40% - Accent3 5 2 6 8 3 2" xfId="15849" xr:uid="{00000000-0005-0000-0000-0000E53D0000}"/>
    <cellStyle name="40% - Accent3 5 2 6 8 4" xfId="15850" xr:uid="{00000000-0005-0000-0000-0000E63D0000}"/>
    <cellStyle name="40% - Accent3 5 2 6 9" xfId="15851" xr:uid="{00000000-0005-0000-0000-0000E73D0000}"/>
    <cellStyle name="40% - Accent3 5 2 6 9 2" xfId="15852" xr:uid="{00000000-0005-0000-0000-0000E83D0000}"/>
    <cellStyle name="40% - Accent3 5 2 6 9 2 2" xfId="15853" xr:uid="{00000000-0005-0000-0000-0000E93D0000}"/>
    <cellStyle name="40% - Accent3 5 2 6 9 3" xfId="15854" xr:uid="{00000000-0005-0000-0000-0000EA3D0000}"/>
    <cellStyle name="40% - Accent3 5 2 7" xfId="15855" xr:uid="{00000000-0005-0000-0000-0000EB3D0000}"/>
    <cellStyle name="40% - Accent3 5 2 7 2" xfId="15856" xr:uid="{00000000-0005-0000-0000-0000EC3D0000}"/>
    <cellStyle name="40% - Accent3 5 2 7 2 2" xfId="15857" xr:uid="{00000000-0005-0000-0000-0000ED3D0000}"/>
    <cellStyle name="40% - Accent3 5 2 7 2 2 2" xfId="15858" xr:uid="{00000000-0005-0000-0000-0000EE3D0000}"/>
    <cellStyle name="40% - Accent3 5 2 7 2 2 2 2" xfId="15859" xr:uid="{00000000-0005-0000-0000-0000EF3D0000}"/>
    <cellStyle name="40% - Accent3 5 2 7 2 2 3" xfId="15860" xr:uid="{00000000-0005-0000-0000-0000F03D0000}"/>
    <cellStyle name="40% - Accent3 5 2 7 2 3" xfId="15861" xr:uid="{00000000-0005-0000-0000-0000F13D0000}"/>
    <cellStyle name="40% - Accent3 5 2 7 2 3 2" xfId="15862" xr:uid="{00000000-0005-0000-0000-0000F23D0000}"/>
    <cellStyle name="40% - Accent3 5 2 7 2 4" xfId="15863" xr:uid="{00000000-0005-0000-0000-0000F33D0000}"/>
    <cellStyle name="40% - Accent3 5 2 7 3" xfId="15864" xr:uid="{00000000-0005-0000-0000-0000F43D0000}"/>
    <cellStyle name="40% - Accent3 5 2 7 3 2" xfId="15865" xr:uid="{00000000-0005-0000-0000-0000F53D0000}"/>
    <cellStyle name="40% - Accent3 5 2 7 3 2 2" xfId="15866" xr:uid="{00000000-0005-0000-0000-0000F63D0000}"/>
    <cellStyle name="40% - Accent3 5 2 7 3 3" xfId="15867" xr:uid="{00000000-0005-0000-0000-0000F73D0000}"/>
    <cellStyle name="40% - Accent3 5 2 7 4" xfId="15868" xr:uid="{00000000-0005-0000-0000-0000F83D0000}"/>
    <cellStyle name="40% - Accent3 5 2 7 4 2" xfId="15869" xr:uid="{00000000-0005-0000-0000-0000F93D0000}"/>
    <cellStyle name="40% - Accent3 5 2 7 4 2 2" xfId="15870" xr:uid="{00000000-0005-0000-0000-0000FA3D0000}"/>
    <cellStyle name="40% - Accent3 5 2 7 4 3" xfId="15871" xr:uid="{00000000-0005-0000-0000-0000FB3D0000}"/>
    <cellStyle name="40% - Accent3 5 2 7 5" xfId="15872" xr:uid="{00000000-0005-0000-0000-0000FC3D0000}"/>
    <cellStyle name="40% - Accent3 5 2 7 5 2" xfId="15873" xr:uid="{00000000-0005-0000-0000-0000FD3D0000}"/>
    <cellStyle name="40% - Accent3 5 2 7 5 2 2" xfId="15874" xr:uid="{00000000-0005-0000-0000-0000FE3D0000}"/>
    <cellStyle name="40% - Accent3 5 2 7 5 3" xfId="15875" xr:uid="{00000000-0005-0000-0000-0000FF3D0000}"/>
    <cellStyle name="40% - Accent3 5 2 7 6" xfId="15876" xr:uid="{00000000-0005-0000-0000-0000003E0000}"/>
    <cellStyle name="40% - Accent3 5 2 7 6 2" xfId="15877" xr:uid="{00000000-0005-0000-0000-0000013E0000}"/>
    <cellStyle name="40% - Accent3 5 2 7 6 2 2" xfId="15878" xr:uid="{00000000-0005-0000-0000-0000023E0000}"/>
    <cellStyle name="40% - Accent3 5 2 7 6 3" xfId="15879" xr:uid="{00000000-0005-0000-0000-0000033E0000}"/>
    <cellStyle name="40% - Accent3 5 2 7 7" xfId="15880" xr:uid="{00000000-0005-0000-0000-0000043E0000}"/>
    <cellStyle name="40% - Accent3 5 2 7 7 2" xfId="15881" xr:uid="{00000000-0005-0000-0000-0000053E0000}"/>
    <cellStyle name="40% - Accent3 5 2 7 8" xfId="15882" xr:uid="{00000000-0005-0000-0000-0000063E0000}"/>
    <cellStyle name="40% - Accent3 5 2 8" xfId="15883" xr:uid="{00000000-0005-0000-0000-0000073E0000}"/>
    <cellStyle name="40% - Accent3 5 2 8 2" xfId="15884" xr:uid="{00000000-0005-0000-0000-0000083E0000}"/>
    <cellStyle name="40% - Accent3 5 2 8 2 2" xfId="15885" xr:uid="{00000000-0005-0000-0000-0000093E0000}"/>
    <cellStyle name="40% - Accent3 5 2 8 2 2 2" xfId="15886" xr:uid="{00000000-0005-0000-0000-00000A3E0000}"/>
    <cellStyle name="40% - Accent3 5 2 8 2 2 2 2" xfId="15887" xr:uid="{00000000-0005-0000-0000-00000B3E0000}"/>
    <cellStyle name="40% - Accent3 5 2 8 2 2 3" xfId="15888" xr:uid="{00000000-0005-0000-0000-00000C3E0000}"/>
    <cellStyle name="40% - Accent3 5 2 8 2 3" xfId="15889" xr:uid="{00000000-0005-0000-0000-00000D3E0000}"/>
    <cellStyle name="40% - Accent3 5 2 8 2 3 2" xfId="15890" xr:uid="{00000000-0005-0000-0000-00000E3E0000}"/>
    <cellStyle name="40% - Accent3 5 2 8 2 4" xfId="15891" xr:uid="{00000000-0005-0000-0000-00000F3E0000}"/>
    <cellStyle name="40% - Accent3 5 2 8 3" xfId="15892" xr:uid="{00000000-0005-0000-0000-0000103E0000}"/>
    <cellStyle name="40% - Accent3 5 2 8 3 2" xfId="15893" xr:uid="{00000000-0005-0000-0000-0000113E0000}"/>
    <cellStyle name="40% - Accent3 5 2 8 3 2 2" xfId="15894" xr:uid="{00000000-0005-0000-0000-0000123E0000}"/>
    <cellStyle name="40% - Accent3 5 2 8 3 3" xfId="15895" xr:uid="{00000000-0005-0000-0000-0000133E0000}"/>
    <cellStyle name="40% - Accent3 5 2 8 4" xfId="15896" xr:uid="{00000000-0005-0000-0000-0000143E0000}"/>
    <cellStyle name="40% - Accent3 5 2 8 4 2" xfId="15897" xr:uid="{00000000-0005-0000-0000-0000153E0000}"/>
    <cellStyle name="40% - Accent3 5 2 8 4 2 2" xfId="15898" xr:uid="{00000000-0005-0000-0000-0000163E0000}"/>
    <cellStyle name="40% - Accent3 5 2 8 4 3" xfId="15899" xr:uid="{00000000-0005-0000-0000-0000173E0000}"/>
    <cellStyle name="40% - Accent3 5 2 8 5" xfId="15900" xr:uid="{00000000-0005-0000-0000-0000183E0000}"/>
    <cellStyle name="40% - Accent3 5 2 8 5 2" xfId="15901" xr:uid="{00000000-0005-0000-0000-0000193E0000}"/>
    <cellStyle name="40% - Accent3 5 2 8 5 2 2" xfId="15902" xr:uid="{00000000-0005-0000-0000-00001A3E0000}"/>
    <cellStyle name="40% - Accent3 5 2 8 5 3" xfId="15903" xr:uid="{00000000-0005-0000-0000-00001B3E0000}"/>
    <cellStyle name="40% - Accent3 5 2 8 6" xfId="15904" xr:uid="{00000000-0005-0000-0000-00001C3E0000}"/>
    <cellStyle name="40% - Accent3 5 2 8 6 2" xfId="15905" xr:uid="{00000000-0005-0000-0000-00001D3E0000}"/>
    <cellStyle name="40% - Accent3 5 2 8 6 2 2" xfId="15906" xr:uid="{00000000-0005-0000-0000-00001E3E0000}"/>
    <cellStyle name="40% - Accent3 5 2 8 6 3" xfId="15907" xr:uid="{00000000-0005-0000-0000-00001F3E0000}"/>
    <cellStyle name="40% - Accent3 5 2 8 7" xfId="15908" xr:uid="{00000000-0005-0000-0000-0000203E0000}"/>
    <cellStyle name="40% - Accent3 5 2 8 7 2" xfId="15909" xr:uid="{00000000-0005-0000-0000-0000213E0000}"/>
    <cellStyle name="40% - Accent3 5 2 8 8" xfId="15910" xr:uid="{00000000-0005-0000-0000-0000223E0000}"/>
    <cellStyle name="40% - Accent3 5 2 9" xfId="15911" xr:uid="{00000000-0005-0000-0000-0000233E0000}"/>
    <cellStyle name="40% - Accent3 5 2 9 2" xfId="15912" xr:uid="{00000000-0005-0000-0000-0000243E0000}"/>
    <cellStyle name="40% - Accent3 5 2 9 2 2" xfId="15913" xr:uid="{00000000-0005-0000-0000-0000253E0000}"/>
    <cellStyle name="40% - Accent3 5 2 9 2 2 2" xfId="15914" xr:uid="{00000000-0005-0000-0000-0000263E0000}"/>
    <cellStyle name="40% - Accent3 5 2 9 2 2 2 2" xfId="15915" xr:uid="{00000000-0005-0000-0000-0000273E0000}"/>
    <cellStyle name="40% - Accent3 5 2 9 2 2 3" xfId="15916" xr:uid="{00000000-0005-0000-0000-0000283E0000}"/>
    <cellStyle name="40% - Accent3 5 2 9 2 3" xfId="15917" xr:uid="{00000000-0005-0000-0000-0000293E0000}"/>
    <cellStyle name="40% - Accent3 5 2 9 2 3 2" xfId="15918" xr:uid="{00000000-0005-0000-0000-00002A3E0000}"/>
    <cellStyle name="40% - Accent3 5 2 9 2 4" xfId="15919" xr:uid="{00000000-0005-0000-0000-00002B3E0000}"/>
    <cellStyle name="40% - Accent3 5 2 9 3" xfId="15920" xr:uid="{00000000-0005-0000-0000-00002C3E0000}"/>
    <cellStyle name="40% - Accent3 5 2 9 3 2" xfId="15921" xr:uid="{00000000-0005-0000-0000-00002D3E0000}"/>
    <cellStyle name="40% - Accent3 5 2 9 3 2 2" xfId="15922" xr:uid="{00000000-0005-0000-0000-00002E3E0000}"/>
    <cellStyle name="40% - Accent3 5 2 9 3 3" xfId="15923" xr:uid="{00000000-0005-0000-0000-00002F3E0000}"/>
    <cellStyle name="40% - Accent3 5 2 9 4" xfId="15924" xr:uid="{00000000-0005-0000-0000-0000303E0000}"/>
    <cellStyle name="40% - Accent3 5 2 9 4 2" xfId="15925" xr:uid="{00000000-0005-0000-0000-0000313E0000}"/>
    <cellStyle name="40% - Accent3 5 2 9 4 2 2" xfId="15926" xr:uid="{00000000-0005-0000-0000-0000323E0000}"/>
    <cellStyle name="40% - Accent3 5 2 9 4 3" xfId="15927" xr:uid="{00000000-0005-0000-0000-0000333E0000}"/>
    <cellStyle name="40% - Accent3 5 2 9 5" xfId="15928" xr:uid="{00000000-0005-0000-0000-0000343E0000}"/>
    <cellStyle name="40% - Accent3 5 2 9 5 2" xfId="15929" xr:uid="{00000000-0005-0000-0000-0000353E0000}"/>
    <cellStyle name="40% - Accent3 5 2 9 5 2 2" xfId="15930" xr:uid="{00000000-0005-0000-0000-0000363E0000}"/>
    <cellStyle name="40% - Accent3 5 2 9 5 3" xfId="15931" xr:uid="{00000000-0005-0000-0000-0000373E0000}"/>
    <cellStyle name="40% - Accent3 5 2 9 6" xfId="15932" xr:uid="{00000000-0005-0000-0000-0000383E0000}"/>
    <cellStyle name="40% - Accent3 5 2 9 6 2" xfId="15933" xr:uid="{00000000-0005-0000-0000-0000393E0000}"/>
    <cellStyle name="40% - Accent3 5 2 9 6 2 2" xfId="15934" xr:uid="{00000000-0005-0000-0000-00003A3E0000}"/>
    <cellStyle name="40% - Accent3 5 2 9 6 3" xfId="15935" xr:uid="{00000000-0005-0000-0000-00003B3E0000}"/>
    <cellStyle name="40% - Accent3 5 2 9 7" xfId="15936" xr:uid="{00000000-0005-0000-0000-00003C3E0000}"/>
    <cellStyle name="40% - Accent3 5 2 9 7 2" xfId="15937" xr:uid="{00000000-0005-0000-0000-00003D3E0000}"/>
    <cellStyle name="40% - Accent3 5 2 9 8" xfId="15938" xr:uid="{00000000-0005-0000-0000-00003E3E0000}"/>
    <cellStyle name="40% - Accent3 5 20" xfId="15939" xr:uid="{00000000-0005-0000-0000-00003F3E0000}"/>
    <cellStyle name="40% - Accent3 5 20 2" xfId="15940" xr:uid="{00000000-0005-0000-0000-0000403E0000}"/>
    <cellStyle name="40% - Accent3 5 21" xfId="15941" xr:uid="{00000000-0005-0000-0000-0000413E0000}"/>
    <cellStyle name="40% - Accent3 5 3" xfId="15942" xr:uid="{00000000-0005-0000-0000-0000423E0000}"/>
    <cellStyle name="40% - Accent3 5 3 10" xfId="15943" xr:uid="{00000000-0005-0000-0000-0000433E0000}"/>
    <cellStyle name="40% - Accent3 5 3 10 2" xfId="15944" xr:uid="{00000000-0005-0000-0000-0000443E0000}"/>
    <cellStyle name="40% - Accent3 5 3 10 2 2" xfId="15945" xr:uid="{00000000-0005-0000-0000-0000453E0000}"/>
    <cellStyle name="40% - Accent3 5 3 10 3" xfId="15946" xr:uid="{00000000-0005-0000-0000-0000463E0000}"/>
    <cellStyle name="40% - Accent3 5 3 11" xfId="15947" xr:uid="{00000000-0005-0000-0000-0000473E0000}"/>
    <cellStyle name="40% - Accent3 5 3 11 2" xfId="15948" xr:uid="{00000000-0005-0000-0000-0000483E0000}"/>
    <cellStyle name="40% - Accent3 5 3 11 2 2" xfId="15949" xr:uid="{00000000-0005-0000-0000-0000493E0000}"/>
    <cellStyle name="40% - Accent3 5 3 11 3" xfId="15950" xr:uid="{00000000-0005-0000-0000-00004A3E0000}"/>
    <cellStyle name="40% - Accent3 5 3 12" xfId="15951" xr:uid="{00000000-0005-0000-0000-00004B3E0000}"/>
    <cellStyle name="40% - Accent3 5 3 12 2" xfId="15952" xr:uid="{00000000-0005-0000-0000-00004C3E0000}"/>
    <cellStyle name="40% - Accent3 5 3 12 2 2" xfId="15953" xr:uid="{00000000-0005-0000-0000-00004D3E0000}"/>
    <cellStyle name="40% - Accent3 5 3 12 3" xfId="15954" xr:uid="{00000000-0005-0000-0000-00004E3E0000}"/>
    <cellStyle name="40% - Accent3 5 3 13" xfId="15955" xr:uid="{00000000-0005-0000-0000-00004F3E0000}"/>
    <cellStyle name="40% - Accent3 5 3 13 2" xfId="15956" xr:uid="{00000000-0005-0000-0000-0000503E0000}"/>
    <cellStyle name="40% - Accent3 5 3 14" xfId="15957" xr:uid="{00000000-0005-0000-0000-0000513E0000}"/>
    <cellStyle name="40% - Accent3 5 3 2" xfId="15958" xr:uid="{00000000-0005-0000-0000-0000523E0000}"/>
    <cellStyle name="40% - Accent3 5 3 2 2" xfId="15959" xr:uid="{00000000-0005-0000-0000-0000533E0000}"/>
    <cellStyle name="40% - Accent3 5 3 2 2 2" xfId="15960" xr:uid="{00000000-0005-0000-0000-0000543E0000}"/>
    <cellStyle name="40% - Accent3 5 3 2 2 2 2" xfId="15961" xr:uid="{00000000-0005-0000-0000-0000553E0000}"/>
    <cellStyle name="40% - Accent3 5 3 2 2 2 2 2" xfId="15962" xr:uid="{00000000-0005-0000-0000-0000563E0000}"/>
    <cellStyle name="40% - Accent3 5 3 2 2 2 3" xfId="15963" xr:uid="{00000000-0005-0000-0000-0000573E0000}"/>
    <cellStyle name="40% - Accent3 5 3 2 2 3" xfId="15964" xr:uid="{00000000-0005-0000-0000-0000583E0000}"/>
    <cellStyle name="40% - Accent3 5 3 2 2 3 2" xfId="15965" xr:uid="{00000000-0005-0000-0000-0000593E0000}"/>
    <cellStyle name="40% - Accent3 5 3 2 2 4" xfId="15966" xr:uid="{00000000-0005-0000-0000-00005A3E0000}"/>
    <cellStyle name="40% - Accent3 5 3 2 3" xfId="15967" xr:uid="{00000000-0005-0000-0000-00005B3E0000}"/>
    <cellStyle name="40% - Accent3 5 3 2 3 2" xfId="15968" xr:uid="{00000000-0005-0000-0000-00005C3E0000}"/>
    <cellStyle name="40% - Accent3 5 3 2 3 2 2" xfId="15969" xr:uid="{00000000-0005-0000-0000-00005D3E0000}"/>
    <cellStyle name="40% - Accent3 5 3 2 3 3" xfId="15970" xr:uid="{00000000-0005-0000-0000-00005E3E0000}"/>
    <cellStyle name="40% - Accent3 5 3 2 4" xfId="15971" xr:uid="{00000000-0005-0000-0000-00005F3E0000}"/>
    <cellStyle name="40% - Accent3 5 3 2 4 2" xfId="15972" xr:uid="{00000000-0005-0000-0000-0000603E0000}"/>
    <cellStyle name="40% - Accent3 5 3 2 4 2 2" xfId="15973" xr:uid="{00000000-0005-0000-0000-0000613E0000}"/>
    <cellStyle name="40% - Accent3 5 3 2 4 3" xfId="15974" xr:uid="{00000000-0005-0000-0000-0000623E0000}"/>
    <cellStyle name="40% - Accent3 5 3 2 5" xfId="15975" xr:uid="{00000000-0005-0000-0000-0000633E0000}"/>
    <cellStyle name="40% - Accent3 5 3 2 5 2" xfId="15976" xr:uid="{00000000-0005-0000-0000-0000643E0000}"/>
    <cellStyle name="40% - Accent3 5 3 2 5 2 2" xfId="15977" xr:uid="{00000000-0005-0000-0000-0000653E0000}"/>
    <cellStyle name="40% - Accent3 5 3 2 5 3" xfId="15978" xr:uid="{00000000-0005-0000-0000-0000663E0000}"/>
    <cellStyle name="40% - Accent3 5 3 2 6" xfId="15979" xr:uid="{00000000-0005-0000-0000-0000673E0000}"/>
    <cellStyle name="40% - Accent3 5 3 2 6 2" xfId="15980" xr:uid="{00000000-0005-0000-0000-0000683E0000}"/>
    <cellStyle name="40% - Accent3 5 3 2 6 2 2" xfId="15981" xr:uid="{00000000-0005-0000-0000-0000693E0000}"/>
    <cellStyle name="40% - Accent3 5 3 2 6 3" xfId="15982" xr:uid="{00000000-0005-0000-0000-00006A3E0000}"/>
    <cellStyle name="40% - Accent3 5 3 2 7" xfId="15983" xr:uid="{00000000-0005-0000-0000-00006B3E0000}"/>
    <cellStyle name="40% - Accent3 5 3 2 7 2" xfId="15984" xr:uid="{00000000-0005-0000-0000-00006C3E0000}"/>
    <cellStyle name="40% - Accent3 5 3 2 8" xfId="15985" xr:uid="{00000000-0005-0000-0000-00006D3E0000}"/>
    <cellStyle name="40% - Accent3 5 3 3" xfId="15986" xr:uid="{00000000-0005-0000-0000-00006E3E0000}"/>
    <cellStyle name="40% - Accent3 5 3 3 2" xfId="15987" xr:uid="{00000000-0005-0000-0000-00006F3E0000}"/>
    <cellStyle name="40% - Accent3 5 3 3 2 2" xfId="15988" xr:uid="{00000000-0005-0000-0000-0000703E0000}"/>
    <cellStyle name="40% - Accent3 5 3 3 2 2 2" xfId="15989" xr:uid="{00000000-0005-0000-0000-0000713E0000}"/>
    <cellStyle name="40% - Accent3 5 3 3 2 2 2 2" xfId="15990" xr:uid="{00000000-0005-0000-0000-0000723E0000}"/>
    <cellStyle name="40% - Accent3 5 3 3 2 2 3" xfId="15991" xr:uid="{00000000-0005-0000-0000-0000733E0000}"/>
    <cellStyle name="40% - Accent3 5 3 3 2 3" xfId="15992" xr:uid="{00000000-0005-0000-0000-0000743E0000}"/>
    <cellStyle name="40% - Accent3 5 3 3 2 3 2" xfId="15993" xr:uid="{00000000-0005-0000-0000-0000753E0000}"/>
    <cellStyle name="40% - Accent3 5 3 3 2 4" xfId="15994" xr:uid="{00000000-0005-0000-0000-0000763E0000}"/>
    <cellStyle name="40% - Accent3 5 3 3 3" xfId="15995" xr:uid="{00000000-0005-0000-0000-0000773E0000}"/>
    <cellStyle name="40% - Accent3 5 3 3 3 2" xfId="15996" xr:uid="{00000000-0005-0000-0000-0000783E0000}"/>
    <cellStyle name="40% - Accent3 5 3 3 3 2 2" xfId="15997" xr:uid="{00000000-0005-0000-0000-0000793E0000}"/>
    <cellStyle name="40% - Accent3 5 3 3 3 3" xfId="15998" xr:uid="{00000000-0005-0000-0000-00007A3E0000}"/>
    <cellStyle name="40% - Accent3 5 3 3 4" xfId="15999" xr:uid="{00000000-0005-0000-0000-00007B3E0000}"/>
    <cellStyle name="40% - Accent3 5 3 3 4 2" xfId="16000" xr:uid="{00000000-0005-0000-0000-00007C3E0000}"/>
    <cellStyle name="40% - Accent3 5 3 3 4 2 2" xfId="16001" xr:uid="{00000000-0005-0000-0000-00007D3E0000}"/>
    <cellStyle name="40% - Accent3 5 3 3 4 3" xfId="16002" xr:uid="{00000000-0005-0000-0000-00007E3E0000}"/>
    <cellStyle name="40% - Accent3 5 3 3 5" xfId="16003" xr:uid="{00000000-0005-0000-0000-00007F3E0000}"/>
    <cellStyle name="40% - Accent3 5 3 3 5 2" xfId="16004" xr:uid="{00000000-0005-0000-0000-0000803E0000}"/>
    <cellStyle name="40% - Accent3 5 3 3 5 2 2" xfId="16005" xr:uid="{00000000-0005-0000-0000-0000813E0000}"/>
    <cellStyle name="40% - Accent3 5 3 3 5 3" xfId="16006" xr:uid="{00000000-0005-0000-0000-0000823E0000}"/>
    <cellStyle name="40% - Accent3 5 3 3 6" xfId="16007" xr:uid="{00000000-0005-0000-0000-0000833E0000}"/>
    <cellStyle name="40% - Accent3 5 3 3 6 2" xfId="16008" xr:uid="{00000000-0005-0000-0000-0000843E0000}"/>
    <cellStyle name="40% - Accent3 5 3 3 6 2 2" xfId="16009" xr:uid="{00000000-0005-0000-0000-0000853E0000}"/>
    <cellStyle name="40% - Accent3 5 3 3 6 3" xfId="16010" xr:uid="{00000000-0005-0000-0000-0000863E0000}"/>
    <cellStyle name="40% - Accent3 5 3 3 7" xfId="16011" xr:uid="{00000000-0005-0000-0000-0000873E0000}"/>
    <cellStyle name="40% - Accent3 5 3 3 7 2" xfId="16012" xr:uid="{00000000-0005-0000-0000-0000883E0000}"/>
    <cellStyle name="40% - Accent3 5 3 3 8" xfId="16013" xr:uid="{00000000-0005-0000-0000-0000893E0000}"/>
    <cellStyle name="40% - Accent3 5 3 4" xfId="16014" xr:uid="{00000000-0005-0000-0000-00008A3E0000}"/>
    <cellStyle name="40% - Accent3 5 3 4 2" xfId="16015" xr:uid="{00000000-0005-0000-0000-00008B3E0000}"/>
    <cellStyle name="40% - Accent3 5 3 4 2 2" xfId="16016" xr:uid="{00000000-0005-0000-0000-00008C3E0000}"/>
    <cellStyle name="40% - Accent3 5 3 4 2 2 2" xfId="16017" xr:uid="{00000000-0005-0000-0000-00008D3E0000}"/>
    <cellStyle name="40% - Accent3 5 3 4 2 2 2 2" xfId="16018" xr:uid="{00000000-0005-0000-0000-00008E3E0000}"/>
    <cellStyle name="40% - Accent3 5 3 4 2 2 3" xfId="16019" xr:uid="{00000000-0005-0000-0000-00008F3E0000}"/>
    <cellStyle name="40% - Accent3 5 3 4 2 3" xfId="16020" xr:uid="{00000000-0005-0000-0000-0000903E0000}"/>
    <cellStyle name="40% - Accent3 5 3 4 2 3 2" xfId="16021" xr:uid="{00000000-0005-0000-0000-0000913E0000}"/>
    <cellStyle name="40% - Accent3 5 3 4 2 4" xfId="16022" xr:uid="{00000000-0005-0000-0000-0000923E0000}"/>
    <cellStyle name="40% - Accent3 5 3 4 3" xfId="16023" xr:uid="{00000000-0005-0000-0000-0000933E0000}"/>
    <cellStyle name="40% - Accent3 5 3 4 3 2" xfId="16024" xr:uid="{00000000-0005-0000-0000-0000943E0000}"/>
    <cellStyle name="40% - Accent3 5 3 4 3 2 2" xfId="16025" xr:uid="{00000000-0005-0000-0000-0000953E0000}"/>
    <cellStyle name="40% - Accent3 5 3 4 3 3" xfId="16026" xr:uid="{00000000-0005-0000-0000-0000963E0000}"/>
    <cellStyle name="40% - Accent3 5 3 4 4" xfId="16027" xr:uid="{00000000-0005-0000-0000-0000973E0000}"/>
    <cellStyle name="40% - Accent3 5 3 4 4 2" xfId="16028" xr:uid="{00000000-0005-0000-0000-0000983E0000}"/>
    <cellStyle name="40% - Accent3 5 3 4 4 2 2" xfId="16029" xr:uid="{00000000-0005-0000-0000-0000993E0000}"/>
    <cellStyle name="40% - Accent3 5 3 4 4 3" xfId="16030" xr:uid="{00000000-0005-0000-0000-00009A3E0000}"/>
    <cellStyle name="40% - Accent3 5 3 4 5" xfId="16031" xr:uid="{00000000-0005-0000-0000-00009B3E0000}"/>
    <cellStyle name="40% - Accent3 5 3 4 5 2" xfId="16032" xr:uid="{00000000-0005-0000-0000-00009C3E0000}"/>
    <cellStyle name="40% - Accent3 5 3 4 5 2 2" xfId="16033" xr:uid="{00000000-0005-0000-0000-00009D3E0000}"/>
    <cellStyle name="40% - Accent3 5 3 4 5 3" xfId="16034" xr:uid="{00000000-0005-0000-0000-00009E3E0000}"/>
    <cellStyle name="40% - Accent3 5 3 4 6" xfId="16035" xr:uid="{00000000-0005-0000-0000-00009F3E0000}"/>
    <cellStyle name="40% - Accent3 5 3 4 6 2" xfId="16036" xr:uid="{00000000-0005-0000-0000-0000A03E0000}"/>
    <cellStyle name="40% - Accent3 5 3 4 6 2 2" xfId="16037" xr:uid="{00000000-0005-0000-0000-0000A13E0000}"/>
    <cellStyle name="40% - Accent3 5 3 4 6 3" xfId="16038" xr:uid="{00000000-0005-0000-0000-0000A23E0000}"/>
    <cellStyle name="40% - Accent3 5 3 4 7" xfId="16039" xr:uid="{00000000-0005-0000-0000-0000A33E0000}"/>
    <cellStyle name="40% - Accent3 5 3 4 7 2" xfId="16040" xr:uid="{00000000-0005-0000-0000-0000A43E0000}"/>
    <cellStyle name="40% - Accent3 5 3 4 8" xfId="16041" xr:uid="{00000000-0005-0000-0000-0000A53E0000}"/>
    <cellStyle name="40% - Accent3 5 3 5" xfId="16042" xr:uid="{00000000-0005-0000-0000-0000A63E0000}"/>
    <cellStyle name="40% - Accent3 5 3 5 2" xfId="16043" xr:uid="{00000000-0005-0000-0000-0000A73E0000}"/>
    <cellStyle name="40% - Accent3 5 3 5 2 2" xfId="16044" xr:uid="{00000000-0005-0000-0000-0000A83E0000}"/>
    <cellStyle name="40% - Accent3 5 3 5 2 2 2" xfId="16045" xr:uid="{00000000-0005-0000-0000-0000A93E0000}"/>
    <cellStyle name="40% - Accent3 5 3 5 2 2 2 2" xfId="16046" xr:uid="{00000000-0005-0000-0000-0000AA3E0000}"/>
    <cellStyle name="40% - Accent3 5 3 5 2 2 3" xfId="16047" xr:uid="{00000000-0005-0000-0000-0000AB3E0000}"/>
    <cellStyle name="40% - Accent3 5 3 5 2 3" xfId="16048" xr:uid="{00000000-0005-0000-0000-0000AC3E0000}"/>
    <cellStyle name="40% - Accent3 5 3 5 2 3 2" xfId="16049" xr:uid="{00000000-0005-0000-0000-0000AD3E0000}"/>
    <cellStyle name="40% - Accent3 5 3 5 2 4" xfId="16050" xr:uid="{00000000-0005-0000-0000-0000AE3E0000}"/>
    <cellStyle name="40% - Accent3 5 3 5 3" xfId="16051" xr:uid="{00000000-0005-0000-0000-0000AF3E0000}"/>
    <cellStyle name="40% - Accent3 5 3 5 3 2" xfId="16052" xr:uid="{00000000-0005-0000-0000-0000B03E0000}"/>
    <cellStyle name="40% - Accent3 5 3 5 3 2 2" xfId="16053" xr:uid="{00000000-0005-0000-0000-0000B13E0000}"/>
    <cellStyle name="40% - Accent3 5 3 5 3 3" xfId="16054" xr:uid="{00000000-0005-0000-0000-0000B23E0000}"/>
    <cellStyle name="40% - Accent3 5 3 5 4" xfId="16055" xr:uid="{00000000-0005-0000-0000-0000B33E0000}"/>
    <cellStyle name="40% - Accent3 5 3 5 4 2" xfId="16056" xr:uid="{00000000-0005-0000-0000-0000B43E0000}"/>
    <cellStyle name="40% - Accent3 5 3 5 5" xfId="16057" xr:uid="{00000000-0005-0000-0000-0000B53E0000}"/>
    <cellStyle name="40% - Accent3 5 3 6" xfId="16058" xr:uid="{00000000-0005-0000-0000-0000B63E0000}"/>
    <cellStyle name="40% - Accent3 5 3 6 2" xfId="16059" xr:uid="{00000000-0005-0000-0000-0000B73E0000}"/>
    <cellStyle name="40% - Accent3 5 3 6 2 2" xfId="16060" xr:uid="{00000000-0005-0000-0000-0000B83E0000}"/>
    <cellStyle name="40% - Accent3 5 3 6 2 2 2" xfId="16061" xr:uid="{00000000-0005-0000-0000-0000B93E0000}"/>
    <cellStyle name="40% - Accent3 5 3 6 2 2 2 2" xfId="16062" xr:uid="{00000000-0005-0000-0000-0000BA3E0000}"/>
    <cellStyle name="40% - Accent3 5 3 6 2 2 3" xfId="16063" xr:uid="{00000000-0005-0000-0000-0000BB3E0000}"/>
    <cellStyle name="40% - Accent3 5 3 6 2 3" xfId="16064" xr:uid="{00000000-0005-0000-0000-0000BC3E0000}"/>
    <cellStyle name="40% - Accent3 5 3 6 2 3 2" xfId="16065" xr:uid="{00000000-0005-0000-0000-0000BD3E0000}"/>
    <cellStyle name="40% - Accent3 5 3 6 2 4" xfId="16066" xr:uid="{00000000-0005-0000-0000-0000BE3E0000}"/>
    <cellStyle name="40% - Accent3 5 3 6 3" xfId="16067" xr:uid="{00000000-0005-0000-0000-0000BF3E0000}"/>
    <cellStyle name="40% - Accent3 5 3 6 3 2" xfId="16068" xr:uid="{00000000-0005-0000-0000-0000C03E0000}"/>
    <cellStyle name="40% - Accent3 5 3 6 3 2 2" xfId="16069" xr:uid="{00000000-0005-0000-0000-0000C13E0000}"/>
    <cellStyle name="40% - Accent3 5 3 6 3 3" xfId="16070" xr:uid="{00000000-0005-0000-0000-0000C23E0000}"/>
    <cellStyle name="40% - Accent3 5 3 6 4" xfId="16071" xr:uid="{00000000-0005-0000-0000-0000C33E0000}"/>
    <cellStyle name="40% - Accent3 5 3 6 4 2" xfId="16072" xr:uid="{00000000-0005-0000-0000-0000C43E0000}"/>
    <cellStyle name="40% - Accent3 5 3 6 5" xfId="16073" xr:uid="{00000000-0005-0000-0000-0000C53E0000}"/>
    <cellStyle name="40% - Accent3 5 3 7" xfId="16074" xr:uid="{00000000-0005-0000-0000-0000C63E0000}"/>
    <cellStyle name="40% - Accent3 5 3 7 2" xfId="16075" xr:uid="{00000000-0005-0000-0000-0000C73E0000}"/>
    <cellStyle name="40% - Accent3 5 3 7 2 2" xfId="16076" xr:uid="{00000000-0005-0000-0000-0000C83E0000}"/>
    <cellStyle name="40% - Accent3 5 3 7 2 2 2" xfId="16077" xr:uid="{00000000-0005-0000-0000-0000C93E0000}"/>
    <cellStyle name="40% - Accent3 5 3 7 2 3" xfId="16078" xr:uid="{00000000-0005-0000-0000-0000CA3E0000}"/>
    <cellStyle name="40% - Accent3 5 3 7 3" xfId="16079" xr:uid="{00000000-0005-0000-0000-0000CB3E0000}"/>
    <cellStyle name="40% - Accent3 5 3 7 3 2" xfId="16080" xr:uid="{00000000-0005-0000-0000-0000CC3E0000}"/>
    <cellStyle name="40% - Accent3 5 3 7 4" xfId="16081" xr:uid="{00000000-0005-0000-0000-0000CD3E0000}"/>
    <cellStyle name="40% - Accent3 5 3 8" xfId="16082" xr:uid="{00000000-0005-0000-0000-0000CE3E0000}"/>
    <cellStyle name="40% - Accent3 5 3 8 2" xfId="16083" xr:uid="{00000000-0005-0000-0000-0000CF3E0000}"/>
    <cellStyle name="40% - Accent3 5 3 8 2 2" xfId="16084" xr:uid="{00000000-0005-0000-0000-0000D03E0000}"/>
    <cellStyle name="40% - Accent3 5 3 8 2 2 2" xfId="16085" xr:uid="{00000000-0005-0000-0000-0000D13E0000}"/>
    <cellStyle name="40% - Accent3 5 3 8 2 3" xfId="16086" xr:uid="{00000000-0005-0000-0000-0000D23E0000}"/>
    <cellStyle name="40% - Accent3 5 3 8 3" xfId="16087" xr:uid="{00000000-0005-0000-0000-0000D33E0000}"/>
    <cellStyle name="40% - Accent3 5 3 8 3 2" xfId="16088" xr:uid="{00000000-0005-0000-0000-0000D43E0000}"/>
    <cellStyle name="40% - Accent3 5 3 8 4" xfId="16089" xr:uid="{00000000-0005-0000-0000-0000D53E0000}"/>
    <cellStyle name="40% - Accent3 5 3 9" xfId="16090" xr:uid="{00000000-0005-0000-0000-0000D63E0000}"/>
    <cellStyle name="40% - Accent3 5 3 9 2" xfId="16091" xr:uid="{00000000-0005-0000-0000-0000D73E0000}"/>
    <cellStyle name="40% - Accent3 5 3 9 2 2" xfId="16092" xr:uid="{00000000-0005-0000-0000-0000D83E0000}"/>
    <cellStyle name="40% - Accent3 5 3 9 3" xfId="16093" xr:uid="{00000000-0005-0000-0000-0000D93E0000}"/>
    <cellStyle name="40% - Accent3 5 4" xfId="16094" xr:uid="{00000000-0005-0000-0000-0000DA3E0000}"/>
    <cellStyle name="40% - Accent3 5 4 10" xfId="16095" xr:uid="{00000000-0005-0000-0000-0000DB3E0000}"/>
    <cellStyle name="40% - Accent3 5 4 10 2" xfId="16096" xr:uid="{00000000-0005-0000-0000-0000DC3E0000}"/>
    <cellStyle name="40% - Accent3 5 4 10 2 2" xfId="16097" xr:uid="{00000000-0005-0000-0000-0000DD3E0000}"/>
    <cellStyle name="40% - Accent3 5 4 10 3" xfId="16098" xr:uid="{00000000-0005-0000-0000-0000DE3E0000}"/>
    <cellStyle name="40% - Accent3 5 4 11" xfId="16099" xr:uid="{00000000-0005-0000-0000-0000DF3E0000}"/>
    <cellStyle name="40% - Accent3 5 4 11 2" xfId="16100" xr:uid="{00000000-0005-0000-0000-0000E03E0000}"/>
    <cellStyle name="40% - Accent3 5 4 11 2 2" xfId="16101" xr:uid="{00000000-0005-0000-0000-0000E13E0000}"/>
    <cellStyle name="40% - Accent3 5 4 11 3" xfId="16102" xr:uid="{00000000-0005-0000-0000-0000E23E0000}"/>
    <cellStyle name="40% - Accent3 5 4 12" xfId="16103" xr:uid="{00000000-0005-0000-0000-0000E33E0000}"/>
    <cellStyle name="40% - Accent3 5 4 12 2" xfId="16104" xr:uid="{00000000-0005-0000-0000-0000E43E0000}"/>
    <cellStyle name="40% - Accent3 5 4 12 2 2" xfId="16105" xr:uid="{00000000-0005-0000-0000-0000E53E0000}"/>
    <cellStyle name="40% - Accent3 5 4 12 3" xfId="16106" xr:uid="{00000000-0005-0000-0000-0000E63E0000}"/>
    <cellStyle name="40% - Accent3 5 4 13" xfId="16107" xr:uid="{00000000-0005-0000-0000-0000E73E0000}"/>
    <cellStyle name="40% - Accent3 5 4 13 2" xfId="16108" xr:uid="{00000000-0005-0000-0000-0000E83E0000}"/>
    <cellStyle name="40% - Accent3 5 4 14" xfId="16109" xr:uid="{00000000-0005-0000-0000-0000E93E0000}"/>
    <cellStyle name="40% - Accent3 5 4 2" xfId="16110" xr:uid="{00000000-0005-0000-0000-0000EA3E0000}"/>
    <cellStyle name="40% - Accent3 5 4 2 2" xfId="16111" xr:uid="{00000000-0005-0000-0000-0000EB3E0000}"/>
    <cellStyle name="40% - Accent3 5 4 2 2 2" xfId="16112" xr:uid="{00000000-0005-0000-0000-0000EC3E0000}"/>
    <cellStyle name="40% - Accent3 5 4 2 2 2 2" xfId="16113" xr:uid="{00000000-0005-0000-0000-0000ED3E0000}"/>
    <cellStyle name="40% - Accent3 5 4 2 2 2 2 2" xfId="16114" xr:uid="{00000000-0005-0000-0000-0000EE3E0000}"/>
    <cellStyle name="40% - Accent3 5 4 2 2 2 3" xfId="16115" xr:uid="{00000000-0005-0000-0000-0000EF3E0000}"/>
    <cellStyle name="40% - Accent3 5 4 2 2 3" xfId="16116" xr:uid="{00000000-0005-0000-0000-0000F03E0000}"/>
    <cellStyle name="40% - Accent3 5 4 2 2 3 2" xfId="16117" xr:uid="{00000000-0005-0000-0000-0000F13E0000}"/>
    <cellStyle name="40% - Accent3 5 4 2 2 4" xfId="16118" xr:uid="{00000000-0005-0000-0000-0000F23E0000}"/>
    <cellStyle name="40% - Accent3 5 4 2 3" xfId="16119" xr:uid="{00000000-0005-0000-0000-0000F33E0000}"/>
    <cellStyle name="40% - Accent3 5 4 2 3 2" xfId="16120" xr:uid="{00000000-0005-0000-0000-0000F43E0000}"/>
    <cellStyle name="40% - Accent3 5 4 2 3 2 2" xfId="16121" xr:uid="{00000000-0005-0000-0000-0000F53E0000}"/>
    <cellStyle name="40% - Accent3 5 4 2 3 3" xfId="16122" xr:uid="{00000000-0005-0000-0000-0000F63E0000}"/>
    <cellStyle name="40% - Accent3 5 4 2 4" xfId="16123" xr:uid="{00000000-0005-0000-0000-0000F73E0000}"/>
    <cellStyle name="40% - Accent3 5 4 2 4 2" xfId="16124" xr:uid="{00000000-0005-0000-0000-0000F83E0000}"/>
    <cellStyle name="40% - Accent3 5 4 2 4 2 2" xfId="16125" xr:uid="{00000000-0005-0000-0000-0000F93E0000}"/>
    <cellStyle name="40% - Accent3 5 4 2 4 3" xfId="16126" xr:uid="{00000000-0005-0000-0000-0000FA3E0000}"/>
    <cellStyle name="40% - Accent3 5 4 2 5" xfId="16127" xr:uid="{00000000-0005-0000-0000-0000FB3E0000}"/>
    <cellStyle name="40% - Accent3 5 4 2 5 2" xfId="16128" xr:uid="{00000000-0005-0000-0000-0000FC3E0000}"/>
    <cellStyle name="40% - Accent3 5 4 2 5 2 2" xfId="16129" xr:uid="{00000000-0005-0000-0000-0000FD3E0000}"/>
    <cellStyle name="40% - Accent3 5 4 2 5 3" xfId="16130" xr:uid="{00000000-0005-0000-0000-0000FE3E0000}"/>
    <cellStyle name="40% - Accent3 5 4 2 6" xfId="16131" xr:uid="{00000000-0005-0000-0000-0000FF3E0000}"/>
    <cellStyle name="40% - Accent3 5 4 2 6 2" xfId="16132" xr:uid="{00000000-0005-0000-0000-0000003F0000}"/>
    <cellStyle name="40% - Accent3 5 4 2 6 2 2" xfId="16133" xr:uid="{00000000-0005-0000-0000-0000013F0000}"/>
    <cellStyle name="40% - Accent3 5 4 2 6 3" xfId="16134" xr:uid="{00000000-0005-0000-0000-0000023F0000}"/>
    <cellStyle name="40% - Accent3 5 4 2 7" xfId="16135" xr:uid="{00000000-0005-0000-0000-0000033F0000}"/>
    <cellStyle name="40% - Accent3 5 4 2 7 2" xfId="16136" xr:uid="{00000000-0005-0000-0000-0000043F0000}"/>
    <cellStyle name="40% - Accent3 5 4 2 8" xfId="16137" xr:uid="{00000000-0005-0000-0000-0000053F0000}"/>
    <cellStyle name="40% - Accent3 5 4 3" xfId="16138" xr:uid="{00000000-0005-0000-0000-0000063F0000}"/>
    <cellStyle name="40% - Accent3 5 4 3 2" xfId="16139" xr:uid="{00000000-0005-0000-0000-0000073F0000}"/>
    <cellStyle name="40% - Accent3 5 4 3 2 2" xfId="16140" xr:uid="{00000000-0005-0000-0000-0000083F0000}"/>
    <cellStyle name="40% - Accent3 5 4 3 2 2 2" xfId="16141" xr:uid="{00000000-0005-0000-0000-0000093F0000}"/>
    <cellStyle name="40% - Accent3 5 4 3 2 2 2 2" xfId="16142" xr:uid="{00000000-0005-0000-0000-00000A3F0000}"/>
    <cellStyle name="40% - Accent3 5 4 3 2 2 3" xfId="16143" xr:uid="{00000000-0005-0000-0000-00000B3F0000}"/>
    <cellStyle name="40% - Accent3 5 4 3 2 3" xfId="16144" xr:uid="{00000000-0005-0000-0000-00000C3F0000}"/>
    <cellStyle name="40% - Accent3 5 4 3 2 3 2" xfId="16145" xr:uid="{00000000-0005-0000-0000-00000D3F0000}"/>
    <cellStyle name="40% - Accent3 5 4 3 2 4" xfId="16146" xr:uid="{00000000-0005-0000-0000-00000E3F0000}"/>
    <cellStyle name="40% - Accent3 5 4 3 3" xfId="16147" xr:uid="{00000000-0005-0000-0000-00000F3F0000}"/>
    <cellStyle name="40% - Accent3 5 4 3 3 2" xfId="16148" xr:uid="{00000000-0005-0000-0000-0000103F0000}"/>
    <cellStyle name="40% - Accent3 5 4 3 3 2 2" xfId="16149" xr:uid="{00000000-0005-0000-0000-0000113F0000}"/>
    <cellStyle name="40% - Accent3 5 4 3 3 3" xfId="16150" xr:uid="{00000000-0005-0000-0000-0000123F0000}"/>
    <cellStyle name="40% - Accent3 5 4 3 4" xfId="16151" xr:uid="{00000000-0005-0000-0000-0000133F0000}"/>
    <cellStyle name="40% - Accent3 5 4 3 4 2" xfId="16152" xr:uid="{00000000-0005-0000-0000-0000143F0000}"/>
    <cellStyle name="40% - Accent3 5 4 3 4 2 2" xfId="16153" xr:uid="{00000000-0005-0000-0000-0000153F0000}"/>
    <cellStyle name="40% - Accent3 5 4 3 4 3" xfId="16154" xr:uid="{00000000-0005-0000-0000-0000163F0000}"/>
    <cellStyle name="40% - Accent3 5 4 3 5" xfId="16155" xr:uid="{00000000-0005-0000-0000-0000173F0000}"/>
    <cellStyle name="40% - Accent3 5 4 3 5 2" xfId="16156" xr:uid="{00000000-0005-0000-0000-0000183F0000}"/>
    <cellStyle name="40% - Accent3 5 4 3 5 2 2" xfId="16157" xr:uid="{00000000-0005-0000-0000-0000193F0000}"/>
    <cellStyle name="40% - Accent3 5 4 3 5 3" xfId="16158" xr:uid="{00000000-0005-0000-0000-00001A3F0000}"/>
    <cellStyle name="40% - Accent3 5 4 3 6" xfId="16159" xr:uid="{00000000-0005-0000-0000-00001B3F0000}"/>
    <cellStyle name="40% - Accent3 5 4 3 6 2" xfId="16160" xr:uid="{00000000-0005-0000-0000-00001C3F0000}"/>
    <cellStyle name="40% - Accent3 5 4 3 6 2 2" xfId="16161" xr:uid="{00000000-0005-0000-0000-00001D3F0000}"/>
    <cellStyle name="40% - Accent3 5 4 3 6 3" xfId="16162" xr:uid="{00000000-0005-0000-0000-00001E3F0000}"/>
    <cellStyle name="40% - Accent3 5 4 3 7" xfId="16163" xr:uid="{00000000-0005-0000-0000-00001F3F0000}"/>
    <cellStyle name="40% - Accent3 5 4 3 7 2" xfId="16164" xr:uid="{00000000-0005-0000-0000-0000203F0000}"/>
    <cellStyle name="40% - Accent3 5 4 3 8" xfId="16165" xr:uid="{00000000-0005-0000-0000-0000213F0000}"/>
    <cellStyle name="40% - Accent3 5 4 4" xfId="16166" xr:uid="{00000000-0005-0000-0000-0000223F0000}"/>
    <cellStyle name="40% - Accent3 5 4 4 2" xfId="16167" xr:uid="{00000000-0005-0000-0000-0000233F0000}"/>
    <cellStyle name="40% - Accent3 5 4 4 2 2" xfId="16168" xr:uid="{00000000-0005-0000-0000-0000243F0000}"/>
    <cellStyle name="40% - Accent3 5 4 4 2 2 2" xfId="16169" xr:uid="{00000000-0005-0000-0000-0000253F0000}"/>
    <cellStyle name="40% - Accent3 5 4 4 2 2 2 2" xfId="16170" xr:uid="{00000000-0005-0000-0000-0000263F0000}"/>
    <cellStyle name="40% - Accent3 5 4 4 2 2 3" xfId="16171" xr:uid="{00000000-0005-0000-0000-0000273F0000}"/>
    <cellStyle name="40% - Accent3 5 4 4 2 3" xfId="16172" xr:uid="{00000000-0005-0000-0000-0000283F0000}"/>
    <cellStyle name="40% - Accent3 5 4 4 2 3 2" xfId="16173" xr:uid="{00000000-0005-0000-0000-0000293F0000}"/>
    <cellStyle name="40% - Accent3 5 4 4 2 4" xfId="16174" xr:uid="{00000000-0005-0000-0000-00002A3F0000}"/>
    <cellStyle name="40% - Accent3 5 4 4 3" xfId="16175" xr:uid="{00000000-0005-0000-0000-00002B3F0000}"/>
    <cellStyle name="40% - Accent3 5 4 4 3 2" xfId="16176" xr:uid="{00000000-0005-0000-0000-00002C3F0000}"/>
    <cellStyle name="40% - Accent3 5 4 4 3 2 2" xfId="16177" xr:uid="{00000000-0005-0000-0000-00002D3F0000}"/>
    <cellStyle name="40% - Accent3 5 4 4 3 3" xfId="16178" xr:uid="{00000000-0005-0000-0000-00002E3F0000}"/>
    <cellStyle name="40% - Accent3 5 4 4 4" xfId="16179" xr:uid="{00000000-0005-0000-0000-00002F3F0000}"/>
    <cellStyle name="40% - Accent3 5 4 4 4 2" xfId="16180" xr:uid="{00000000-0005-0000-0000-0000303F0000}"/>
    <cellStyle name="40% - Accent3 5 4 4 4 2 2" xfId="16181" xr:uid="{00000000-0005-0000-0000-0000313F0000}"/>
    <cellStyle name="40% - Accent3 5 4 4 4 3" xfId="16182" xr:uid="{00000000-0005-0000-0000-0000323F0000}"/>
    <cellStyle name="40% - Accent3 5 4 4 5" xfId="16183" xr:uid="{00000000-0005-0000-0000-0000333F0000}"/>
    <cellStyle name="40% - Accent3 5 4 4 5 2" xfId="16184" xr:uid="{00000000-0005-0000-0000-0000343F0000}"/>
    <cellStyle name="40% - Accent3 5 4 4 5 2 2" xfId="16185" xr:uid="{00000000-0005-0000-0000-0000353F0000}"/>
    <cellStyle name="40% - Accent3 5 4 4 5 3" xfId="16186" xr:uid="{00000000-0005-0000-0000-0000363F0000}"/>
    <cellStyle name="40% - Accent3 5 4 4 6" xfId="16187" xr:uid="{00000000-0005-0000-0000-0000373F0000}"/>
    <cellStyle name="40% - Accent3 5 4 4 6 2" xfId="16188" xr:uid="{00000000-0005-0000-0000-0000383F0000}"/>
    <cellStyle name="40% - Accent3 5 4 4 6 2 2" xfId="16189" xr:uid="{00000000-0005-0000-0000-0000393F0000}"/>
    <cellStyle name="40% - Accent3 5 4 4 6 3" xfId="16190" xr:uid="{00000000-0005-0000-0000-00003A3F0000}"/>
    <cellStyle name="40% - Accent3 5 4 4 7" xfId="16191" xr:uid="{00000000-0005-0000-0000-00003B3F0000}"/>
    <cellStyle name="40% - Accent3 5 4 4 7 2" xfId="16192" xr:uid="{00000000-0005-0000-0000-00003C3F0000}"/>
    <cellStyle name="40% - Accent3 5 4 4 8" xfId="16193" xr:uid="{00000000-0005-0000-0000-00003D3F0000}"/>
    <cellStyle name="40% - Accent3 5 4 5" xfId="16194" xr:uid="{00000000-0005-0000-0000-00003E3F0000}"/>
    <cellStyle name="40% - Accent3 5 4 5 2" xfId="16195" xr:uid="{00000000-0005-0000-0000-00003F3F0000}"/>
    <cellStyle name="40% - Accent3 5 4 5 2 2" xfId="16196" xr:uid="{00000000-0005-0000-0000-0000403F0000}"/>
    <cellStyle name="40% - Accent3 5 4 5 2 2 2" xfId="16197" xr:uid="{00000000-0005-0000-0000-0000413F0000}"/>
    <cellStyle name="40% - Accent3 5 4 5 2 2 2 2" xfId="16198" xr:uid="{00000000-0005-0000-0000-0000423F0000}"/>
    <cellStyle name="40% - Accent3 5 4 5 2 2 3" xfId="16199" xr:uid="{00000000-0005-0000-0000-0000433F0000}"/>
    <cellStyle name="40% - Accent3 5 4 5 2 3" xfId="16200" xr:uid="{00000000-0005-0000-0000-0000443F0000}"/>
    <cellStyle name="40% - Accent3 5 4 5 2 3 2" xfId="16201" xr:uid="{00000000-0005-0000-0000-0000453F0000}"/>
    <cellStyle name="40% - Accent3 5 4 5 2 4" xfId="16202" xr:uid="{00000000-0005-0000-0000-0000463F0000}"/>
    <cellStyle name="40% - Accent3 5 4 5 3" xfId="16203" xr:uid="{00000000-0005-0000-0000-0000473F0000}"/>
    <cellStyle name="40% - Accent3 5 4 5 3 2" xfId="16204" xr:uid="{00000000-0005-0000-0000-0000483F0000}"/>
    <cellStyle name="40% - Accent3 5 4 5 3 2 2" xfId="16205" xr:uid="{00000000-0005-0000-0000-0000493F0000}"/>
    <cellStyle name="40% - Accent3 5 4 5 3 3" xfId="16206" xr:uid="{00000000-0005-0000-0000-00004A3F0000}"/>
    <cellStyle name="40% - Accent3 5 4 5 4" xfId="16207" xr:uid="{00000000-0005-0000-0000-00004B3F0000}"/>
    <cellStyle name="40% - Accent3 5 4 5 4 2" xfId="16208" xr:uid="{00000000-0005-0000-0000-00004C3F0000}"/>
    <cellStyle name="40% - Accent3 5 4 5 5" xfId="16209" xr:uid="{00000000-0005-0000-0000-00004D3F0000}"/>
    <cellStyle name="40% - Accent3 5 4 6" xfId="16210" xr:uid="{00000000-0005-0000-0000-00004E3F0000}"/>
    <cellStyle name="40% - Accent3 5 4 6 2" xfId="16211" xr:uid="{00000000-0005-0000-0000-00004F3F0000}"/>
    <cellStyle name="40% - Accent3 5 4 6 2 2" xfId="16212" xr:uid="{00000000-0005-0000-0000-0000503F0000}"/>
    <cellStyle name="40% - Accent3 5 4 6 2 2 2" xfId="16213" xr:uid="{00000000-0005-0000-0000-0000513F0000}"/>
    <cellStyle name="40% - Accent3 5 4 6 2 2 2 2" xfId="16214" xr:uid="{00000000-0005-0000-0000-0000523F0000}"/>
    <cellStyle name="40% - Accent3 5 4 6 2 2 3" xfId="16215" xr:uid="{00000000-0005-0000-0000-0000533F0000}"/>
    <cellStyle name="40% - Accent3 5 4 6 2 3" xfId="16216" xr:uid="{00000000-0005-0000-0000-0000543F0000}"/>
    <cellStyle name="40% - Accent3 5 4 6 2 3 2" xfId="16217" xr:uid="{00000000-0005-0000-0000-0000553F0000}"/>
    <cellStyle name="40% - Accent3 5 4 6 2 4" xfId="16218" xr:uid="{00000000-0005-0000-0000-0000563F0000}"/>
    <cellStyle name="40% - Accent3 5 4 6 3" xfId="16219" xr:uid="{00000000-0005-0000-0000-0000573F0000}"/>
    <cellStyle name="40% - Accent3 5 4 6 3 2" xfId="16220" xr:uid="{00000000-0005-0000-0000-0000583F0000}"/>
    <cellStyle name="40% - Accent3 5 4 6 3 2 2" xfId="16221" xr:uid="{00000000-0005-0000-0000-0000593F0000}"/>
    <cellStyle name="40% - Accent3 5 4 6 3 3" xfId="16222" xr:uid="{00000000-0005-0000-0000-00005A3F0000}"/>
    <cellStyle name="40% - Accent3 5 4 6 4" xfId="16223" xr:uid="{00000000-0005-0000-0000-00005B3F0000}"/>
    <cellStyle name="40% - Accent3 5 4 6 4 2" xfId="16224" xr:uid="{00000000-0005-0000-0000-00005C3F0000}"/>
    <cellStyle name="40% - Accent3 5 4 6 5" xfId="16225" xr:uid="{00000000-0005-0000-0000-00005D3F0000}"/>
    <cellStyle name="40% - Accent3 5 4 7" xfId="16226" xr:uid="{00000000-0005-0000-0000-00005E3F0000}"/>
    <cellStyle name="40% - Accent3 5 4 7 2" xfId="16227" xr:uid="{00000000-0005-0000-0000-00005F3F0000}"/>
    <cellStyle name="40% - Accent3 5 4 7 2 2" xfId="16228" xr:uid="{00000000-0005-0000-0000-0000603F0000}"/>
    <cellStyle name="40% - Accent3 5 4 7 2 2 2" xfId="16229" xr:uid="{00000000-0005-0000-0000-0000613F0000}"/>
    <cellStyle name="40% - Accent3 5 4 7 2 3" xfId="16230" xr:uid="{00000000-0005-0000-0000-0000623F0000}"/>
    <cellStyle name="40% - Accent3 5 4 7 3" xfId="16231" xr:uid="{00000000-0005-0000-0000-0000633F0000}"/>
    <cellStyle name="40% - Accent3 5 4 7 3 2" xfId="16232" xr:uid="{00000000-0005-0000-0000-0000643F0000}"/>
    <cellStyle name="40% - Accent3 5 4 7 4" xfId="16233" xr:uid="{00000000-0005-0000-0000-0000653F0000}"/>
    <cellStyle name="40% - Accent3 5 4 8" xfId="16234" xr:uid="{00000000-0005-0000-0000-0000663F0000}"/>
    <cellStyle name="40% - Accent3 5 4 8 2" xfId="16235" xr:uid="{00000000-0005-0000-0000-0000673F0000}"/>
    <cellStyle name="40% - Accent3 5 4 8 2 2" xfId="16236" xr:uid="{00000000-0005-0000-0000-0000683F0000}"/>
    <cellStyle name="40% - Accent3 5 4 8 2 2 2" xfId="16237" xr:uid="{00000000-0005-0000-0000-0000693F0000}"/>
    <cellStyle name="40% - Accent3 5 4 8 2 3" xfId="16238" xr:uid="{00000000-0005-0000-0000-00006A3F0000}"/>
    <cellStyle name="40% - Accent3 5 4 8 3" xfId="16239" xr:uid="{00000000-0005-0000-0000-00006B3F0000}"/>
    <cellStyle name="40% - Accent3 5 4 8 3 2" xfId="16240" xr:uid="{00000000-0005-0000-0000-00006C3F0000}"/>
    <cellStyle name="40% - Accent3 5 4 8 4" xfId="16241" xr:uid="{00000000-0005-0000-0000-00006D3F0000}"/>
    <cellStyle name="40% - Accent3 5 4 9" xfId="16242" xr:uid="{00000000-0005-0000-0000-00006E3F0000}"/>
    <cellStyle name="40% - Accent3 5 4 9 2" xfId="16243" xr:uid="{00000000-0005-0000-0000-00006F3F0000}"/>
    <cellStyle name="40% - Accent3 5 4 9 2 2" xfId="16244" xr:uid="{00000000-0005-0000-0000-0000703F0000}"/>
    <cellStyle name="40% - Accent3 5 4 9 3" xfId="16245" xr:uid="{00000000-0005-0000-0000-0000713F0000}"/>
    <cellStyle name="40% - Accent3 5 5" xfId="16246" xr:uid="{00000000-0005-0000-0000-0000723F0000}"/>
    <cellStyle name="40% - Accent3 5 5 10" xfId="16247" xr:uid="{00000000-0005-0000-0000-0000733F0000}"/>
    <cellStyle name="40% - Accent3 5 5 10 2" xfId="16248" xr:uid="{00000000-0005-0000-0000-0000743F0000}"/>
    <cellStyle name="40% - Accent3 5 5 10 2 2" xfId="16249" xr:uid="{00000000-0005-0000-0000-0000753F0000}"/>
    <cellStyle name="40% - Accent3 5 5 10 3" xfId="16250" xr:uid="{00000000-0005-0000-0000-0000763F0000}"/>
    <cellStyle name="40% - Accent3 5 5 11" xfId="16251" xr:uid="{00000000-0005-0000-0000-0000773F0000}"/>
    <cellStyle name="40% - Accent3 5 5 11 2" xfId="16252" xr:uid="{00000000-0005-0000-0000-0000783F0000}"/>
    <cellStyle name="40% - Accent3 5 5 11 2 2" xfId="16253" xr:uid="{00000000-0005-0000-0000-0000793F0000}"/>
    <cellStyle name="40% - Accent3 5 5 11 3" xfId="16254" xr:uid="{00000000-0005-0000-0000-00007A3F0000}"/>
    <cellStyle name="40% - Accent3 5 5 12" xfId="16255" xr:uid="{00000000-0005-0000-0000-00007B3F0000}"/>
    <cellStyle name="40% - Accent3 5 5 12 2" xfId="16256" xr:uid="{00000000-0005-0000-0000-00007C3F0000}"/>
    <cellStyle name="40% - Accent3 5 5 12 2 2" xfId="16257" xr:uid="{00000000-0005-0000-0000-00007D3F0000}"/>
    <cellStyle name="40% - Accent3 5 5 12 3" xfId="16258" xr:uid="{00000000-0005-0000-0000-00007E3F0000}"/>
    <cellStyle name="40% - Accent3 5 5 13" xfId="16259" xr:uid="{00000000-0005-0000-0000-00007F3F0000}"/>
    <cellStyle name="40% - Accent3 5 5 13 2" xfId="16260" xr:uid="{00000000-0005-0000-0000-0000803F0000}"/>
    <cellStyle name="40% - Accent3 5 5 14" xfId="16261" xr:uid="{00000000-0005-0000-0000-0000813F0000}"/>
    <cellStyle name="40% - Accent3 5 5 2" xfId="16262" xr:uid="{00000000-0005-0000-0000-0000823F0000}"/>
    <cellStyle name="40% - Accent3 5 5 2 2" xfId="16263" xr:uid="{00000000-0005-0000-0000-0000833F0000}"/>
    <cellStyle name="40% - Accent3 5 5 2 2 2" xfId="16264" xr:uid="{00000000-0005-0000-0000-0000843F0000}"/>
    <cellStyle name="40% - Accent3 5 5 2 2 2 2" xfId="16265" xr:uid="{00000000-0005-0000-0000-0000853F0000}"/>
    <cellStyle name="40% - Accent3 5 5 2 2 2 2 2" xfId="16266" xr:uid="{00000000-0005-0000-0000-0000863F0000}"/>
    <cellStyle name="40% - Accent3 5 5 2 2 2 3" xfId="16267" xr:uid="{00000000-0005-0000-0000-0000873F0000}"/>
    <cellStyle name="40% - Accent3 5 5 2 2 3" xfId="16268" xr:uid="{00000000-0005-0000-0000-0000883F0000}"/>
    <cellStyle name="40% - Accent3 5 5 2 2 3 2" xfId="16269" xr:uid="{00000000-0005-0000-0000-0000893F0000}"/>
    <cellStyle name="40% - Accent3 5 5 2 2 4" xfId="16270" xr:uid="{00000000-0005-0000-0000-00008A3F0000}"/>
    <cellStyle name="40% - Accent3 5 5 2 3" xfId="16271" xr:uid="{00000000-0005-0000-0000-00008B3F0000}"/>
    <cellStyle name="40% - Accent3 5 5 2 3 2" xfId="16272" xr:uid="{00000000-0005-0000-0000-00008C3F0000}"/>
    <cellStyle name="40% - Accent3 5 5 2 3 2 2" xfId="16273" xr:uid="{00000000-0005-0000-0000-00008D3F0000}"/>
    <cellStyle name="40% - Accent3 5 5 2 3 3" xfId="16274" xr:uid="{00000000-0005-0000-0000-00008E3F0000}"/>
    <cellStyle name="40% - Accent3 5 5 2 4" xfId="16275" xr:uid="{00000000-0005-0000-0000-00008F3F0000}"/>
    <cellStyle name="40% - Accent3 5 5 2 4 2" xfId="16276" xr:uid="{00000000-0005-0000-0000-0000903F0000}"/>
    <cellStyle name="40% - Accent3 5 5 2 4 2 2" xfId="16277" xr:uid="{00000000-0005-0000-0000-0000913F0000}"/>
    <cellStyle name="40% - Accent3 5 5 2 4 3" xfId="16278" xr:uid="{00000000-0005-0000-0000-0000923F0000}"/>
    <cellStyle name="40% - Accent3 5 5 2 5" xfId="16279" xr:uid="{00000000-0005-0000-0000-0000933F0000}"/>
    <cellStyle name="40% - Accent3 5 5 2 5 2" xfId="16280" xr:uid="{00000000-0005-0000-0000-0000943F0000}"/>
    <cellStyle name="40% - Accent3 5 5 2 5 2 2" xfId="16281" xr:uid="{00000000-0005-0000-0000-0000953F0000}"/>
    <cellStyle name="40% - Accent3 5 5 2 5 3" xfId="16282" xr:uid="{00000000-0005-0000-0000-0000963F0000}"/>
    <cellStyle name="40% - Accent3 5 5 2 6" xfId="16283" xr:uid="{00000000-0005-0000-0000-0000973F0000}"/>
    <cellStyle name="40% - Accent3 5 5 2 6 2" xfId="16284" xr:uid="{00000000-0005-0000-0000-0000983F0000}"/>
    <cellStyle name="40% - Accent3 5 5 2 6 2 2" xfId="16285" xr:uid="{00000000-0005-0000-0000-0000993F0000}"/>
    <cellStyle name="40% - Accent3 5 5 2 6 3" xfId="16286" xr:uid="{00000000-0005-0000-0000-00009A3F0000}"/>
    <cellStyle name="40% - Accent3 5 5 2 7" xfId="16287" xr:uid="{00000000-0005-0000-0000-00009B3F0000}"/>
    <cellStyle name="40% - Accent3 5 5 2 7 2" xfId="16288" xr:uid="{00000000-0005-0000-0000-00009C3F0000}"/>
    <cellStyle name="40% - Accent3 5 5 2 8" xfId="16289" xr:uid="{00000000-0005-0000-0000-00009D3F0000}"/>
    <cellStyle name="40% - Accent3 5 5 3" xfId="16290" xr:uid="{00000000-0005-0000-0000-00009E3F0000}"/>
    <cellStyle name="40% - Accent3 5 5 3 2" xfId="16291" xr:uid="{00000000-0005-0000-0000-00009F3F0000}"/>
    <cellStyle name="40% - Accent3 5 5 3 2 2" xfId="16292" xr:uid="{00000000-0005-0000-0000-0000A03F0000}"/>
    <cellStyle name="40% - Accent3 5 5 3 2 2 2" xfId="16293" xr:uid="{00000000-0005-0000-0000-0000A13F0000}"/>
    <cellStyle name="40% - Accent3 5 5 3 2 2 2 2" xfId="16294" xr:uid="{00000000-0005-0000-0000-0000A23F0000}"/>
    <cellStyle name="40% - Accent3 5 5 3 2 2 3" xfId="16295" xr:uid="{00000000-0005-0000-0000-0000A33F0000}"/>
    <cellStyle name="40% - Accent3 5 5 3 2 3" xfId="16296" xr:uid="{00000000-0005-0000-0000-0000A43F0000}"/>
    <cellStyle name="40% - Accent3 5 5 3 2 3 2" xfId="16297" xr:uid="{00000000-0005-0000-0000-0000A53F0000}"/>
    <cellStyle name="40% - Accent3 5 5 3 2 4" xfId="16298" xr:uid="{00000000-0005-0000-0000-0000A63F0000}"/>
    <cellStyle name="40% - Accent3 5 5 3 3" xfId="16299" xr:uid="{00000000-0005-0000-0000-0000A73F0000}"/>
    <cellStyle name="40% - Accent3 5 5 3 3 2" xfId="16300" xr:uid="{00000000-0005-0000-0000-0000A83F0000}"/>
    <cellStyle name="40% - Accent3 5 5 3 3 2 2" xfId="16301" xr:uid="{00000000-0005-0000-0000-0000A93F0000}"/>
    <cellStyle name="40% - Accent3 5 5 3 3 3" xfId="16302" xr:uid="{00000000-0005-0000-0000-0000AA3F0000}"/>
    <cellStyle name="40% - Accent3 5 5 3 4" xfId="16303" xr:uid="{00000000-0005-0000-0000-0000AB3F0000}"/>
    <cellStyle name="40% - Accent3 5 5 3 4 2" xfId="16304" xr:uid="{00000000-0005-0000-0000-0000AC3F0000}"/>
    <cellStyle name="40% - Accent3 5 5 3 4 2 2" xfId="16305" xr:uid="{00000000-0005-0000-0000-0000AD3F0000}"/>
    <cellStyle name="40% - Accent3 5 5 3 4 3" xfId="16306" xr:uid="{00000000-0005-0000-0000-0000AE3F0000}"/>
    <cellStyle name="40% - Accent3 5 5 3 5" xfId="16307" xr:uid="{00000000-0005-0000-0000-0000AF3F0000}"/>
    <cellStyle name="40% - Accent3 5 5 3 5 2" xfId="16308" xr:uid="{00000000-0005-0000-0000-0000B03F0000}"/>
    <cellStyle name="40% - Accent3 5 5 3 5 2 2" xfId="16309" xr:uid="{00000000-0005-0000-0000-0000B13F0000}"/>
    <cellStyle name="40% - Accent3 5 5 3 5 3" xfId="16310" xr:uid="{00000000-0005-0000-0000-0000B23F0000}"/>
    <cellStyle name="40% - Accent3 5 5 3 6" xfId="16311" xr:uid="{00000000-0005-0000-0000-0000B33F0000}"/>
    <cellStyle name="40% - Accent3 5 5 3 6 2" xfId="16312" xr:uid="{00000000-0005-0000-0000-0000B43F0000}"/>
    <cellStyle name="40% - Accent3 5 5 3 6 2 2" xfId="16313" xr:uid="{00000000-0005-0000-0000-0000B53F0000}"/>
    <cellStyle name="40% - Accent3 5 5 3 6 3" xfId="16314" xr:uid="{00000000-0005-0000-0000-0000B63F0000}"/>
    <cellStyle name="40% - Accent3 5 5 3 7" xfId="16315" xr:uid="{00000000-0005-0000-0000-0000B73F0000}"/>
    <cellStyle name="40% - Accent3 5 5 3 7 2" xfId="16316" xr:uid="{00000000-0005-0000-0000-0000B83F0000}"/>
    <cellStyle name="40% - Accent3 5 5 3 8" xfId="16317" xr:uid="{00000000-0005-0000-0000-0000B93F0000}"/>
    <cellStyle name="40% - Accent3 5 5 4" xfId="16318" xr:uid="{00000000-0005-0000-0000-0000BA3F0000}"/>
    <cellStyle name="40% - Accent3 5 5 4 2" xfId="16319" xr:uid="{00000000-0005-0000-0000-0000BB3F0000}"/>
    <cellStyle name="40% - Accent3 5 5 4 2 2" xfId="16320" xr:uid="{00000000-0005-0000-0000-0000BC3F0000}"/>
    <cellStyle name="40% - Accent3 5 5 4 2 2 2" xfId="16321" xr:uid="{00000000-0005-0000-0000-0000BD3F0000}"/>
    <cellStyle name="40% - Accent3 5 5 4 2 2 2 2" xfId="16322" xr:uid="{00000000-0005-0000-0000-0000BE3F0000}"/>
    <cellStyle name="40% - Accent3 5 5 4 2 2 3" xfId="16323" xr:uid="{00000000-0005-0000-0000-0000BF3F0000}"/>
    <cellStyle name="40% - Accent3 5 5 4 2 3" xfId="16324" xr:uid="{00000000-0005-0000-0000-0000C03F0000}"/>
    <cellStyle name="40% - Accent3 5 5 4 2 3 2" xfId="16325" xr:uid="{00000000-0005-0000-0000-0000C13F0000}"/>
    <cellStyle name="40% - Accent3 5 5 4 2 4" xfId="16326" xr:uid="{00000000-0005-0000-0000-0000C23F0000}"/>
    <cellStyle name="40% - Accent3 5 5 4 3" xfId="16327" xr:uid="{00000000-0005-0000-0000-0000C33F0000}"/>
    <cellStyle name="40% - Accent3 5 5 4 3 2" xfId="16328" xr:uid="{00000000-0005-0000-0000-0000C43F0000}"/>
    <cellStyle name="40% - Accent3 5 5 4 3 2 2" xfId="16329" xr:uid="{00000000-0005-0000-0000-0000C53F0000}"/>
    <cellStyle name="40% - Accent3 5 5 4 3 3" xfId="16330" xr:uid="{00000000-0005-0000-0000-0000C63F0000}"/>
    <cellStyle name="40% - Accent3 5 5 4 4" xfId="16331" xr:uid="{00000000-0005-0000-0000-0000C73F0000}"/>
    <cellStyle name="40% - Accent3 5 5 4 4 2" xfId="16332" xr:uid="{00000000-0005-0000-0000-0000C83F0000}"/>
    <cellStyle name="40% - Accent3 5 5 4 4 2 2" xfId="16333" xr:uid="{00000000-0005-0000-0000-0000C93F0000}"/>
    <cellStyle name="40% - Accent3 5 5 4 4 3" xfId="16334" xr:uid="{00000000-0005-0000-0000-0000CA3F0000}"/>
    <cellStyle name="40% - Accent3 5 5 4 5" xfId="16335" xr:uid="{00000000-0005-0000-0000-0000CB3F0000}"/>
    <cellStyle name="40% - Accent3 5 5 4 5 2" xfId="16336" xr:uid="{00000000-0005-0000-0000-0000CC3F0000}"/>
    <cellStyle name="40% - Accent3 5 5 4 5 2 2" xfId="16337" xr:uid="{00000000-0005-0000-0000-0000CD3F0000}"/>
    <cellStyle name="40% - Accent3 5 5 4 5 3" xfId="16338" xr:uid="{00000000-0005-0000-0000-0000CE3F0000}"/>
    <cellStyle name="40% - Accent3 5 5 4 6" xfId="16339" xr:uid="{00000000-0005-0000-0000-0000CF3F0000}"/>
    <cellStyle name="40% - Accent3 5 5 4 6 2" xfId="16340" xr:uid="{00000000-0005-0000-0000-0000D03F0000}"/>
    <cellStyle name="40% - Accent3 5 5 4 6 2 2" xfId="16341" xr:uid="{00000000-0005-0000-0000-0000D13F0000}"/>
    <cellStyle name="40% - Accent3 5 5 4 6 3" xfId="16342" xr:uid="{00000000-0005-0000-0000-0000D23F0000}"/>
    <cellStyle name="40% - Accent3 5 5 4 7" xfId="16343" xr:uid="{00000000-0005-0000-0000-0000D33F0000}"/>
    <cellStyle name="40% - Accent3 5 5 4 7 2" xfId="16344" xr:uid="{00000000-0005-0000-0000-0000D43F0000}"/>
    <cellStyle name="40% - Accent3 5 5 4 8" xfId="16345" xr:uid="{00000000-0005-0000-0000-0000D53F0000}"/>
    <cellStyle name="40% - Accent3 5 5 5" xfId="16346" xr:uid="{00000000-0005-0000-0000-0000D63F0000}"/>
    <cellStyle name="40% - Accent3 5 5 5 2" xfId="16347" xr:uid="{00000000-0005-0000-0000-0000D73F0000}"/>
    <cellStyle name="40% - Accent3 5 5 5 2 2" xfId="16348" xr:uid="{00000000-0005-0000-0000-0000D83F0000}"/>
    <cellStyle name="40% - Accent3 5 5 5 2 2 2" xfId="16349" xr:uid="{00000000-0005-0000-0000-0000D93F0000}"/>
    <cellStyle name="40% - Accent3 5 5 5 2 2 2 2" xfId="16350" xr:uid="{00000000-0005-0000-0000-0000DA3F0000}"/>
    <cellStyle name="40% - Accent3 5 5 5 2 2 3" xfId="16351" xr:uid="{00000000-0005-0000-0000-0000DB3F0000}"/>
    <cellStyle name="40% - Accent3 5 5 5 2 3" xfId="16352" xr:uid="{00000000-0005-0000-0000-0000DC3F0000}"/>
    <cellStyle name="40% - Accent3 5 5 5 2 3 2" xfId="16353" xr:uid="{00000000-0005-0000-0000-0000DD3F0000}"/>
    <cellStyle name="40% - Accent3 5 5 5 2 4" xfId="16354" xr:uid="{00000000-0005-0000-0000-0000DE3F0000}"/>
    <cellStyle name="40% - Accent3 5 5 5 3" xfId="16355" xr:uid="{00000000-0005-0000-0000-0000DF3F0000}"/>
    <cellStyle name="40% - Accent3 5 5 5 3 2" xfId="16356" xr:uid="{00000000-0005-0000-0000-0000E03F0000}"/>
    <cellStyle name="40% - Accent3 5 5 5 3 2 2" xfId="16357" xr:uid="{00000000-0005-0000-0000-0000E13F0000}"/>
    <cellStyle name="40% - Accent3 5 5 5 3 3" xfId="16358" xr:uid="{00000000-0005-0000-0000-0000E23F0000}"/>
    <cellStyle name="40% - Accent3 5 5 5 4" xfId="16359" xr:uid="{00000000-0005-0000-0000-0000E33F0000}"/>
    <cellStyle name="40% - Accent3 5 5 5 4 2" xfId="16360" xr:uid="{00000000-0005-0000-0000-0000E43F0000}"/>
    <cellStyle name="40% - Accent3 5 5 5 5" xfId="16361" xr:uid="{00000000-0005-0000-0000-0000E53F0000}"/>
    <cellStyle name="40% - Accent3 5 5 6" xfId="16362" xr:uid="{00000000-0005-0000-0000-0000E63F0000}"/>
    <cellStyle name="40% - Accent3 5 5 6 2" xfId="16363" xr:uid="{00000000-0005-0000-0000-0000E73F0000}"/>
    <cellStyle name="40% - Accent3 5 5 6 2 2" xfId="16364" xr:uid="{00000000-0005-0000-0000-0000E83F0000}"/>
    <cellStyle name="40% - Accent3 5 5 6 2 2 2" xfId="16365" xr:uid="{00000000-0005-0000-0000-0000E93F0000}"/>
    <cellStyle name="40% - Accent3 5 5 6 2 2 2 2" xfId="16366" xr:uid="{00000000-0005-0000-0000-0000EA3F0000}"/>
    <cellStyle name="40% - Accent3 5 5 6 2 2 3" xfId="16367" xr:uid="{00000000-0005-0000-0000-0000EB3F0000}"/>
    <cellStyle name="40% - Accent3 5 5 6 2 3" xfId="16368" xr:uid="{00000000-0005-0000-0000-0000EC3F0000}"/>
    <cellStyle name="40% - Accent3 5 5 6 2 3 2" xfId="16369" xr:uid="{00000000-0005-0000-0000-0000ED3F0000}"/>
    <cellStyle name="40% - Accent3 5 5 6 2 4" xfId="16370" xr:uid="{00000000-0005-0000-0000-0000EE3F0000}"/>
    <cellStyle name="40% - Accent3 5 5 6 3" xfId="16371" xr:uid="{00000000-0005-0000-0000-0000EF3F0000}"/>
    <cellStyle name="40% - Accent3 5 5 6 3 2" xfId="16372" xr:uid="{00000000-0005-0000-0000-0000F03F0000}"/>
    <cellStyle name="40% - Accent3 5 5 6 3 2 2" xfId="16373" xr:uid="{00000000-0005-0000-0000-0000F13F0000}"/>
    <cellStyle name="40% - Accent3 5 5 6 3 3" xfId="16374" xr:uid="{00000000-0005-0000-0000-0000F23F0000}"/>
    <cellStyle name="40% - Accent3 5 5 6 4" xfId="16375" xr:uid="{00000000-0005-0000-0000-0000F33F0000}"/>
    <cellStyle name="40% - Accent3 5 5 6 4 2" xfId="16376" xr:uid="{00000000-0005-0000-0000-0000F43F0000}"/>
    <cellStyle name="40% - Accent3 5 5 6 5" xfId="16377" xr:uid="{00000000-0005-0000-0000-0000F53F0000}"/>
    <cellStyle name="40% - Accent3 5 5 7" xfId="16378" xr:uid="{00000000-0005-0000-0000-0000F63F0000}"/>
    <cellStyle name="40% - Accent3 5 5 7 2" xfId="16379" xr:uid="{00000000-0005-0000-0000-0000F73F0000}"/>
    <cellStyle name="40% - Accent3 5 5 7 2 2" xfId="16380" xr:uid="{00000000-0005-0000-0000-0000F83F0000}"/>
    <cellStyle name="40% - Accent3 5 5 7 2 2 2" xfId="16381" xr:uid="{00000000-0005-0000-0000-0000F93F0000}"/>
    <cellStyle name="40% - Accent3 5 5 7 2 3" xfId="16382" xr:uid="{00000000-0005-0000-0000-0000FA3F0000}"/>
    <cellStyle name="40% - Accent3 5 5 7 3" xfId="16383" xr:uid="{00000000-0005-0000-0000-0000FB3F0000}"/>
    <cellStyle name="40% - Accent3 5 5 7 3 2" xfId="16384" xr:uid="{00000000-0005-0000-0000-0000FC3F0000}"/>
    <cellStyle name="40% - Accent3 5 5 7 4" xfId="16385" xr:uid="{00000000-0005-0000-0000-0000FD3F0000}"/>
    <cellStyle name="40% - Accent3 5 5 8" xfId="16386" xr:uid="{00000000-0005-0000-0000-0000FE3F0000}"/>
    <cellStyle name="40% - Accent3 5 5 8 2" xfId="16387" xr:uid="{00000000-0005-0000-0000-0000FF3F0000}"/>
    <cellStyle name="40% - Accent3 5 5 8 2 2" xfId="16388" xr:uid="{00000000-0005-0000-0000-000000400000}"/>
    <cellStyle name="40% - Accent3 5 5 8 2 2 2" xfId="16389" xr:uid="{00000000-0005-0000-0000-000001400000}"/>
    <cellStyle name="40% - Accent3 5 5 8 2 3" xfId="16390" xr:uid="{00000000-0005-0000-0000-000002400000}"/>
    <cellStyle name="40% - Accent3 5 5 8 3" xfId="16391" xr:uid="{00000000-0005-0000-0000-000003400000}"/>
    <cellStyle name="40% - Accent3 5 5 8 3 2" xfId="16392" xr:uid="{00000000-0005-0000-0000-000004400000}"/>
    <cellStyle name="40% - Accent3 5 5 8 4" xfId="16393" xr:uid="{00000000-0005-0000-0000-000005400000}"/>
    <cellStyle name="40% - Accent3 5 5 9" xfId="16394" xr:uid="{00000000-0005-0000-0000-000006400000}"/>
    <cellStyle name="40% - Accent3 5 5 9 2" xfId="16395" xr:uid="{00000000-0005-0000-0000-000007400000}"/>
    <cellStyle name="40% - Accent3 5 5 9 2 2" xfId="16396" xr:uid="{00000000-0005-0000-0000-000008400000}"/>
    <cellStyle name="40% - Accent3 5 5 9 3" xfId="16397" xr:uid="{00000000-0005-0000-0000-000009400000}"/>
    <cellStyle name="40% - Accent3 5 6" xfId="16398" xr:uid="{00000000-0005-0000-0000-00000A400000}"/>
    <cellStyle name="40% - Accent3 5 6 10" xfId="16399" xr:uid="{00000000-0005-0000-0000-00000B400000}"/>
    <cellStyle name="40% - Accent3 5 6 10 2" xfId="16400" xr:uid="{00000000-0005-0000-0000-00000C400000}"/>
    <cellStyle name="40% - Accent3 5 6 10 2 2" xfId="16401" xr:uid="{00000000-0005-0000-0000-00000D400000}"/>
    <cellStyle name="40% - Accent3 5 6 10 3" xfId="16402" xr:uid="{00000000-0005-0000-0000-00000E400000}"/>
    <cellStyle name="40% - Accent3 5 6 11" xfId="16403" xr:uid="{00000000-0005-0000-0000-00000F400000}"/>
    <cellStyle name="40% - Accent3 5 6 11 2" xfId="16404" xr:uid="{00000000-0005-0000-0000-000010400000}"/>
    <cellStyle name="40% - Accent3 5 6 11 2 2" xfId="16405" xr:uid="{00000000-0005-0000-0000-000011400000}"/>
    <cellStyle name="40% - Accent3 5 6 11 3" xfId="16406" xr:uid="{00000000-0005-0000-0000-000012400000}"/>
    <cellStyle name="40% - Accent3 5 6 12" xfId="16407" xr:uid="{00000000-0005-0000-0000-000013400000}"/>
    <cellStyle name="40% - Accent3 5 6 12 2" xfId="16408" xr:uid="{00000000-0005-0000-0000-000014400000}"/>
    <cellStyle name="40% - Accent3 5 6 12 2 2" xfId="16409" xr:uid="{00000000-0005-0000-0000-000015400000}"/>
    <cellStyle name="40% - Accent3 5 6 12 3" xfId="16410" xr:uid="{00000000-0005-0000-0000-000016400000}"/>
    <cellStyle name="40% - Accent3 5 6 13" xfId="16411" xr:uid="{00000000-0005-0000-0000-000017400000}"/>
    <cellStyle name="40% - Accent3 5 6 13 2" xfId="16412" xr:uid="{00000000-0005-0000-0000-000018400000}"/>
    <cellStyle name="40% - Accent3 5 6 14" xfId="16413" xr:uid="{00000000-0005-0000-0000-000019400000}"/>
    <cellStyle name="40% - Accent3 5 6 2" xfId="16414" xr:uid="{00000000-0005-0000-0000-00001A400000}"/>
    <cellStyle name="40% - Accent3 5 6 2 2" xfId="16415" xr:uid="{00000000-0005-0000-0000-00001B400000}"/>
    <cellStyle name="40% - Accent3 5 6 2 2 2" xfId="16416" xr:uid="{00000000-0005-0000-0000-00001C400000}"/>
    <cellStyle name="40% - Accent3 5 6 2 2 2 2" xfId="16417" xr:uid="{00000000-0005-0000-0000-00001D400000}"/>
    <cellStyle name="40% - Accent3 5 6 2 2 2 2 2" xfId="16418" xr:uid="{00000000-0005-0000-0000-00001E400000}"/>
    <cellStyle name="40% - Accent3 5 6 2 2 2 3" xfId="16419" xr:uid="{00000000-0005-0000-0000-00001F400000}"/>
    <cellStyle name="40% - Accent3 5 6 2 2 3" xfId="16420" xr:uid="{00000000-0005-0000-0000-000020400000}"/>
    <cellStyle name="40% - Accent3 5 6 2 2 3 2" xfId="16421" xr:uid="{00000000-0005-0000-0000-000021400000}"/>
    <cellStyle name="40% - Accent3 5 6 2 2 4" xfId="16422" xr:uid="{00000000-0005-0000-0000-000022400000}"/>
    <cellStyle name="40% - Accent3 5 6 2 3" xfId="16423" xr:uid="{00000000-0005-0000-0000-000023400000}"/>
    <cellStyle name="40% - Accent3 5 6 2 3 2" xfId="16424" xr:uid="{00000000-0005-0000-0000-000024400000}"/>
    <cellStyle name="40% - Accent3 5 6 2 3 2 2" xfId="16425" xr:uid="{00000000-0005-0000-0000-000025400000}"/>
    <cellStyle name="40% - Accent3 5 6 2 3 3" xfId="16426" xr:uid="{00000000-0005-0000-0000-000026400000}"/>
    <cellStyle name="40% - Accent3 5 6 2 4" xfId="16427" xr:uid="{00000000-0005-0000-0000-000027400000}"/>
    <cellStyle name="40% - Accent3 5 6 2 4 2" xfId="16428" xr:uid="{00000000-0005-0000-0000-000028400000}"/>
    <cellStyle name="40% - Accent3 5 6 2 4 2 2" xfId="16429" xr:uid="{00000000-0005-0000-0000-000029400000}"/>
    <cellStyle name="40% - Accent3 5 6 2 4 3" xfId="16430" xr:uid="{00000000-0005-0000-0000-00002A400000}"/>
    <cellStyle name="40% - Accent3 5 6 2 5" xfId="16431" xr:uid="{00000000-0005-0000-0000-00002B400000}"/>
    <cellStyle name="40% - Accent3 5 6 2 5 2" xfId="16432" xr:uid="{00000000-0005-0000-0000-00002C400000}"/>
    <cellStyle name="40% - Accent3 5 6 2 5 2 2" xfId="16433" xr:uid="{00000000-0005-0000-0000-00002D400000}"/>
    <cellStyle name="40% - Accent3 5 6 2 5 3" xfId="16434" xr:uid="{00000000-0005-0000-0000-00002E400000}"/>
    <cellStyle name="40% - Accent3 5 6 2 6" xfId="16435" xr:uid="{00000000-0005-0000-0000-00002F400000}"/>
    <cellStyle name="40% - Accent3 5 6 2 6 2" xfId="16436" xr:uid="{00000000-0005-0000-0000-000030400000}"/>
    <cellStyle name="40% - Accent3 5 6 2 6 2 2" xfId="16437" xr:uid="{00000000-0005-0000-0000-000031400000}"/>
    <cellStyle name="40% - Accent3 5 6 2 6 3" xfId="16438" xr:uid="{00000000-0005-0000-0000-000032400000}"/>
    <cellStyle name="40% - Accent3 5 6 2 7" xfId="16439" xr:uid="{00000000-0005-0000-0000-000033400000}"/>
    <cellStyle name="40% - Accent3 5 6 2 7 2" xfId="16440" xr:uid="{00000000-0005-0000-0000-000034400000}"/>
    <cellStyle name="40% - Accent3 5 6 2 8" xfId="16441" xr:uid="{00000000-0005-0000-0000-000035400000}"/>
    <cellStyle name="40% - Accent3 5 6 3" xfId="16442" xr:uid="{00000000-0005-0000-0000-000036400000}"/>
    <cellStyle name="40% - Accent3 5 6 3 2" xfId="16443" xr:uid="{00000000-0005-0000-0000-000037400000}"/>
    <cellStyle name="40% - Accent3 5 6 3 2 2" xfId="16444" xr:uid="{00000000-0005-0000-0000-000038400000}"/>
    <cellStyle name="40% - Accent3 5 6 3 2 2 2" xfId="16445" xr:uid="{00000000-0005-0000-0000-000039400000}"/>
    <cellStyle name="40% - Accent3 5 6 3 2 2 2 2" xfId="16446" xr:uid="{00000000-0005-0000-0000-00003A400000}"/>
    <cellStyle name="40% - Accent3 5 6 3 2 2 3" xfId="16447" xr:uid="{00000000-0005-0000-0000-00003B400000}"/>
    <cellStyle name="40% - Accent3 5 6 3 2 3" xfId="16448" xr:uid="{00000000-0005-0000-0000-00003C400000}"/>
    <cellStyle name="40% - Accent3 5 6 3 2 3 2" xfId="16449" xr:uid="{00000000-0005-0000-0000-00003D400000}"/>
    <cellStyle name="40% - Accent3 5 6 3 2 4" xfId="16450" xr:uid="{00000000-0005-0000-0000-00003E400000}"/>
    <cellStyle name="40% - Accent3 5 6 3 3" xfId="16451" xr:uid="{00000000-0005-0000-0000-00003F400000}"/>
    <cellStyle name="40% - Accent3 5 6 3 3 2" xfId="16452" xr:uid="{00000000-0005-0000-0000-000040400000}"/>
    <cellStyle name="40% - Accent3 5 6 3 3 2 2" xfId="16453" xr:uid="{00000000-0005-0000-0000-000041400000}"/>
    <cellStyle name="40% - Accent3 5 6 3 3 3" xfId="16454" xr:uid="{00000000-0005-0000-0000-000042400000}"/>
    <cellStyle name="40% - Accent3 5 6 3 4" xfId="16455" xr:uid="{00000000-0005-0000-0000-000043400000}"/>
    <cellStyle name="40% - Accent3 5 6 3 4 2" xfId="16456" xr:uid="{00000000-0005-0000-0000-000044400000}"/>
    <cellStyle name="40% - Accent3 5 6 3 4 2 2" xfId="16457" xr:uid="{00000000-0005-0000-0000-000045400000}"/>
    <cellStyle name="40% - Accent3 5 6 3 4 3" xfId="16458" xr:uid="{00000000-0005-0000-0000-000046400000}"/>
    <cellStyle name="40% - Accent3 5 6 3 5" xfId="16459" xr:uid="{00000000-0005-0000-0000-000047400000}"/>
    <cellStyle name="40% - Accent3 5 6 3 5 2" xfId="16460" xr:uid="{00000000-0005-0000-0000-000048400000}"/>
    <cellStyle name="40% - Accent3 5 6 3 5 2 2" xfId="16461" xr:uid="{00000000-0005-0000-0000-000049400000}"/>
    <cellStyle name="40% - Accent3 5 6 3 5 3" xfId="16462" xr:uid="{00000000-0005-0000-0000-00004A400000}"/>
    <cellStyle name="40% - Accent3 5 6 3 6" xfId="16463" xr:uid="{00000000-0005-0000-0000-00004B400000}"/>
    <cellStyle name="40% - Accent3 5 6 3 6 2" xfId="16464" xr:uid="{00000000-0005-0000-0000-00004C400000}"/>
    <cellStyle name="40% - Accent3 5 6 3 6 2 2" xfId="16465" xr:uid="{00000000-0005-0000-0000-00004D400000}"/>
    <cellStyle name="40% - Accent3 5 6 3 6 3" xfId="16466" xr:uid="{00000000-0005-0000-0000-00004E400000}"/>
    <cellStyle name="40% - Accent3 5 6 3 7" xfId="16467" xr:uid="{00000000-0005-0000-0000-00004F400000}"/>
    <cellStyle name="40% - Accent3 5 6 3 7 2" xfId="16468" xr:uid="{00000000-0005-0000-0000-000050400000}"/>
    <cellStyle name="40% - Accent3 5 6 3 8" xfId="16469" xr:uid="{00000000-0005-0000-0000-000051400000}"/>
    <cellStyle name="40% - Accent3 5 6 4" xfId="16470" xr:uid="{00000000-0005-0000-0000-000052400000}"/>
    <cellStyle name="40% - Accent3 5 6 4 2" xfId="16471" xr:uid="{00000000-0005-0000-0000-000053400000}"/>
    <cellStyle name="40% - Accent3 5 6 4 2 2" xfId="16472" xr:uid="{00000000-0005-0000-0000-000054400000}"/>
    <cellStyle name="40% - Accent3 5 6 4 2 2 2" xfId="16473" xr:uid="{00000000-0005-0000-0000-000055400000}"/>
    <cellStyle name="40% - Accent3 5 6 4 2 2 2 2" xfId="16474" xr:uid="{00000000-0005-0000-0000-000056400000}"/>
    <cellStyle name="40% - Accent3 5 6 4 2 2 3" xfId="16475" xr:uid="{00000000-0005-0000-0000-000057400000}"/>
    <cellStyle name="40% - Accent3 5 6 4 2 3" xfId="16476" xr:uid="{00000000-0005-0000-0000-000058400000}"/>
    <cellStyle name="40% - Accent3 5 6 4 2 3 2" xfId="16477" xr:uid="{00000000-0005-0000-0000-000059400000}"/>
    <cellStyle name="40% - Accent3 5 6 4 2 4" xfId="16478" xr:uid="{00000000-0005-0000-0000-00005A400000}"/>
    <cellStyle name="40% - Accent3 5 6 4 3" xfId="16479" xr:uid="{00000000-0005-0000-0000-00005B400000}"/>
    <cellStyle name="40% - Accent3 5 6 4 3 2" xfId="16480" xr:uid="{00000000-0005-0000-0000-00005C400000}"/>
    <cellStyle name="40% - Accent3 5 6 4 3 2 2" xfId="16481" xr:uid="{00000000-0005-0000-0000-00005D400000}"/>
    <cellStyle name="40% - Accent3 5 6 4 3 3" xfId="16482" xr:uid="{00000000-0005-0000-0000-00005E400000}"/>
    <cellStyle name="40% - Accent3 5 6 4 4" xfId="16483" xr:uid="{00000000-0005-0000-0000-00005F400000}"/>
    <cellStyle name="40% - Accent3 5 6 4 4 2" xfId="16484" xr:uid="{00000000-0005-0000-0000-000060400000}"/>
    <cellStyle name="40% - Accent3 5 6 4 4 2 2" xfId="16485" xr:uid="{00000000-0005-0000-0000-000061400000}"/>
    <cellStyle name="40% - Accent3 5 6 4 4 3" xfId="16486" xr:uid="{00000000-0005-0000-0000-000062400000}"/>
    <cellStyle name="40% - Accent3 5 6 4 5" xfId="16487" xr:uid="{00000000-0005-0000-0000-000063400000}"/>
    <cellStyle name="40% - Accent3 5 6 4 5 2" xfId="16488" xr:uid="{00000000-0005-0000-0000-000064400000}"/>
    <cellStyle name="40% - Accent3 5 6 4 5 2 2" xfId="16489" xr:uid="{00000000-0005-0000-0000-000065400000}"/>
    <cellStyle name="40% - Accent3 5 6 4 5 3" xfId="16490" xr:uid="{00000000-0005-0000-0000-000066400000}"/>
    <cellStyle name="40% - Accent3 5 6 4 6" xfId="16491" xr:uid="{00000000-0005-0000-0000-000067400000}"/>
    <cellStyle name="40% - Accent3 5 6 4 6 2" xfId="16492" xr:uid="{00000000-0005-0000-0000-000068400000}"/>
    <cellStyle name="40% - Accent3 5 6 4 6 2 2" xfId="16493" xr:uid="{00000000-0005-0000-0000-000069400000}"/>
    <cellStyle name="40% - Accent3 5 6 4 6 3" xfId="16494" xr:uid="{00000000-0005-0000-0000-00006A400000}"/>
    <cellStyle name="40% - Accent3 5 6 4 7" xfId="16495" xr:uid="{00000000-0005-0000-0000-00006B400000}"/>
    <cellStyle name="40% - Accent3 5 6 4 7 2" xfId="16496" xr:uid="{00000000-0005-0000-0000-00006C400000}"/>
    <cellStyle name="40% - Accent3 5 6 4 8" xfId="16497" xr:uid="{00000000-0005-0000-0000-00006D400000}"/>
    <cellStyle name="40% - Accent3 5 6 5" xfId="16498" xr:uid="{00000000-0005-0000-0000-00006E400000}"/>
    <cellStyle name="40% - Accent3 5 6 5 2" xfId="16499" xr:uid="{00000000-0005-0000-0000-00006F400000}"/>
    <cellStyle name="40% - Accent3 5 6 5 2 2" xfId="16500" xr:uid="{00000000-0005-0000-0000-000070400000}"/>
    <cellStyle name="40% - Accent3 5 6 5 2 2 2" xfId="16501" xr:uid="{00000000-0005-0000-0000-000071400000}"/>
    <cellStyle name="40% - Accent3 5 6 5 2 2 2 2" xfId="16502" xr:uid="{00000000-0005-0000-0000-000072400000}"/>
    <cellStyle name="40% - Accent3 5 6 5 2 2 3" xfId="16503" xr:uid="{00000000-0005-0000-0000-000073400000}"/>
    <cellStyle name="40% - Accent3 5 6 5 2 3" xfId="16504" xr:uid="{00000000-0005-0000-0000-000074400000}"/>
    <cellStyle name="40% - Accent3 5 6 5 2 3 2" xfId="16505" xr:uid="{00000000-0005-0000-0000-000075400000}"/>
    <cellStyle name="40% - Accent3 5 6 5 2 4" xfId="16506" xr:uid="{00000000-0005-0000-0000-000076400000}"/>
    <cellStyle name="40% - Accent3 5 6 5 3" xfId="16507" xr:uid="{00000000-0005-0000-0000-000077400000}"/>
    <cellStyle name="40% - Accent3 5 6 5 3 2" xfId="16508" xr:uid="{00000000-0005-0000-0000-000078400000}"/>
    <cellStyle name="40% - Accent3 5 6 5 3 2 2" xfId="16509" xr:uid="{00000000-0005-0000-0000-000079400000}"/>
    <cellStyle name="40% - Accent3 5 6 5 3 3" xfId="16510" xr:uid="{00000000-0005-0000-0000-00007A400000}"/>
    <cellStyle name="40% - Accent3 5 6 5 4" xfId="16511" xr:uid="{00000000-0005-0000-0000-00007B400000}"/>
    <cellStyle name="40% - Accent3 5 6 5 4 2" xfId="16512" xr:uid="{00000000-0005-0000-0000-00007C400000}"/>
    <cellStyle name="40% - Accent3 5 6 5 5" xfId="16513" xr:uid="{00000000-0005-0000-0000-00007D400000}"/>
    <cellStyle name="40% - Accent3 5 6 6" xfId="16514" xr:uid="{00000000-0005-0000-0000-00007E400000}"/>
    <cellStyle name="40% - Accent3 5 6 6 2" xfId="16515" xr:uid="{00000000-0005-0000-0000-00007F400000}"/>
    <cellStyle name="40% - Accent3 5 6 6 2 2" xfId="16516" xr:uid="{00000000-0005-0000-0000-000080400000}"/>
    <cellStyle name="40% - Accent3 5 6 6 2 2 2" xfId="16517" xr:uid="{00000000-0005-0000-0000-000081400000}"/>
    <cellStyle name="40% - Accent3 5 6 6 2 2 2 2" xfId="16518" xr:uid="{00000000-0005-0000-0000-000082400000}"/>
    <cellStyle name="40% - Accent3 5 6 6 2 2 3" xfId="16519" xr:uid="{00000000-0005-0000-0000-000083400000}"/>
    <cellStyle name="40% - Accent3 5 6 6 2 3" xfId="16520" xr:uid="{00000000-0005-0000-0000-000084400000}"/>
    <cellStyle name="40% - Accent3 5 6 6 2 3 2" xfId="16521" xr:uid="{00000000-0005-0000-0000-000085400000}"/>
    <cellStyle name="40% - Accent3 5 6 6 2 4" xfId="16522" xr:uid="{00000000-0005-0000-0000-000086400000}"/>
    <cellStyle name="40% - Accent3 5 6 6 3" xfId="16523" xr:uid="{00000000-0005-0000-0000-000087400000}"/>
    <cellStyle name="40% - Accent3 5 6 6 3 2" xfId="16524" xr:uid="{00000000-0005-0000-0000-000088400000}"/>
    <cellStyle name="40% - Accent3 5 6 6 3 2 2" xfId="16525" xr:uid="{00000000-0005-0000-0000-000089400000}"/>
    <cellStyle name="40% - Accent3 5 6 6 3 3" xfId="16526" xr:uid="{00000000-0005-0000-0000-00008A400000}"/>
    <cellStyle name="40% - Accent3 5 6 6 4" xfId="16527" xr:uid="{00000000-0005-0000-0000-00008B400000}"/>
    <cellStyle name="40% - Accent3 5 6 6 4 2" xfId="16528" xr:uid="{00000000-0005-0000-0000-00008C400000}"/>
    <cellStyle name="40% - Accent3 5 6 6 5" xfId="16529" xr:uid="{00000000-0005-0000-0000-00008D400000}"/>
    <cellStyle name="40% - Accent3 5 6 7" xfId="16530" xr:uid="{00000000-0005-0000-0000-00008E400000}"/>
    <cellStyle name="40% - Accent3 5 6 7 2" xfId="16531" xr:uid="{00000000-0005-0000-0000-00008F400000}"/>
    <cellStyle name="40% - Accent3 5 6 7 2 2" xfId="16532" xr:uid="{00000000-0005-0000-0000-000090400000}"/>
    <cellStyle name="40% - Accent3 5 6 7 2 2 2" xfId="16533" xr:uid="{00000000-0005-0000-0000-000091400000}"/>
    <cellStyle name="40% - Accent3 5 6 7 2 3" xfId="16534" xr:uid="{00000000-0005-0000-0000-000092400000}"/>
    <cellStyle name="40% - Accent3 5 6 7 3" xfId="16535" xr:uid="{00000000-0005-0000-0000-000093400000}"/>
    <cellStyle name="40% - Accent3 5 6 7 3 2" xfId="16536" xr:uid="{00000000-0005-0000-0000-000094400000}"/>
    <cellStyle name="40% - Accent3 5 6 7 4" xfId="16537" xr:uid="{00000000-0005-0000-0000-000095400000}"/>
    <cellStyle name="40% - Accent3 5 6 8" xfId="16538" xr:uid="{00000000-0005-0000-0000-000096400000}"/>
    <cellStyle name="40% - Accent3 5 6 8 2" xfId="16539" xr:uid="{00000000-0005-0000-0000-000097400000}"/>
    <cellStyle name="40% - Accent3 5 6 8 2 2" xfId="16540" xr:uid="{00000000-0005-0000-0000-000098400000}"/>
    <cellStyle name="40% - Accent3 5 6 8 2 2 2" xfId="16541" xr:uid="{00000000-0005-0000-0000-000099400000}"/>
    <cellStyle name="40% - Accent3 5 6 8 2 3" xfId="16542" xr:uid="{00000000-0005-0000-0000-00009A400000}"/>
    <cellStyle name="40% - Accent3 5 6 8 3" xfId="16543" xr:uid="{00000000-0005-0000-0000-00009B400000}"/>
    <cellStyle name="40% - Accent3 5 6 8 3 2" xfId="16544" xr:uid="{00000000-0005-0000-0000-00009C400000}"/>
    <cellStyle name="40% - Accent3 5 6 8 4" xfId="16545" xr:uid="{00000000-0005-0000-0000-00009D400000}"/>
    <cellStyle name="40% - Accent3 5 6 9" xfId="16546" xr:uid="{00000000-0005-0000-0000-00009E400000}"/>
    <cellStyle name="40% - Accent3 5 6 9 2" xfId="16547" xr:uid="{00000000-0005-0000-0000-00009F400000}"/>
    <cellStyle name="40% - Accent3 5 6 9 2 2" xfId="16548" xr:uid="{00000000-0005-0000-0000-0000A0400000}"/>
    <cellStyle name="40% - Accent3 5 6 9 3" xfId="16549" xr:uid="{00000000-0005-0000-0000-0000A1400000}"/>
    <cellStyle name="40% - Accent3 5 7" xfId="16550" xr:uid="{00000000-0005-0000-0000-0000A2400000}"/>
    <cellStyle name="40% - Accent3 5 7 10" xfId="16551" xr:uid="{00000000-0005-0000-0000-0000A3400000}"/>
    <cellStyle name="40% - Accent3 5 7 10 2" xfId="16552" xr:uid="{00000000-0005-0000-0000-0000A4400000}"/>
    <cellStyle name="40% - Accent3 5 7 10 2 2" xfId="16553" xr:uid="{00000000-0005-0000-0000-0000A5400000}"/>
    <cellStyle name="40% - Accent3 5 7 10 3" xfId="16554" xr:uid="{00000000-0005-0000-0000-0000A6400000}"/>
    <cellStyle name="40% - Accent3 5 7 11" xfId="16555" xr:uid="{00000000-0005-0000-0000-0000A7400000}"/>
    <cellStyle name="40% - Accent3 5 7 11 2" xfId="16556" xr:uid="{00000000-0005-0000-0000-0000A8400000}"/>
    <cellStyle name="40% - Accent3 5 7 11 2 2" xfId="16557" xr:uid="{00000000-0005-0000-0000-0000A9400000}"/>
    <cellStyle name="40% - Accent3 5 7 11 3" xfId="16558" xr:uid="{00000000-0005-0000-0000-0000AA400000}"/>
    <cellStyle name="40% - Accent3 5 7 12" xfId="16559" xr:uid="{00000000-0005-0000-0000-0000AB400000}"/>
    <cellStyle name="40% - Accent3 5 7 12 2" xfId="16560" xr:uid="{00000000-0005-0000-0000-0000AC400000}"/>
    <cellStyle name="40% - Accent3 5 7 12 2 2" xfId="16561" xr:uid="{00000000-0005-0000-0000-0000AD400000}"/>
    <cellStyle name="40% - Accent3 5 7 12 3" xfId="16562" xr:uid="{00000000-0005-0000-0000-0000AE400000}"/>
    <cellStyle name="40% - Accent3 5 7 13" xfId="16563" xr:uid="{00000000-0005-0000-0000-0000AF400000}"/>
    <cellStyle name="40% - Accent3 5 7 13 2" xfId="16564" xr:uid="{00000000-0005-0000-0000-0000B0400000}"/>
    <cellStyle name="40% - Accent3 5 7 14" xfId="16565" xr:uid="{00000000-0005-0000-0000-0000B1400000}"/>
    <cellStyle name="40% - Accent3 5 7 2" xfId="16566" xr:uid="{00000000-0005-0000-0000-0000B2400000}"/>
    <cellStyle name="40% - Accent3 5 7 2 2" xfId="16567" xr:uid="{00000000-0005-0000-0000-0000B3400000}"/>
    <cellStyle name="40% - Accent3 5 7 2 2 2" xfId="16568" xr:uid="{00000000-0005-0000-0000-0000B4400000}"/>
    <cellStyle name="40% - Accent3 5 7 2 2 2 2" xfId="16569" xr:uid="{00000000-0005-0000-0000-0000B5400000}"/>
    <cellStyle name="40% - Accent3 5 7 2 2 2 2 2" xfId="16570" xr:uid="{00000000-0005-0000-0000-0000B6400000}"/>
    <cellStyle name="40% - Accent3 5 7 2 2 2 3" xfId="16571" xr:uid="{00000000-0005-0000-0000-0000B7400000}"/>
    <cellStyle name="40% - Accent3 5 7 2 2 3" xfId="16572" xr:uid="{00000000-0005-0000-0000-0000B8400000}"/>
    <cellStyle name="40% - Accent3 5 7 2 2 3 2" xfId="16573" xr:uid="{00000000-0005-0000-0000-0000B9400000}"/>
    <cellStyle name="40% - Accent3 5 7 2 2 4" xfId="16574" xr:uid="{00000000-0005-0000-0000-0000BA400000}"/>
    <cellStyle name="40% - Accent3 5 7 2 3" xfId="16575" xr:uid="{00000000-0005-0000-0000-0000BB400000}"/>
    <cellStyle name="40% - Accent3 5 7 2 3 2" xfId="16576" xr:uid="{00000000-0005-0000-0000-0000BC400000}"/>
    <cellStyle name="40% - Accent3 5 7 2 3 2 2" xfId="16577" xr:uid="{00000000-0005-0000-0000-0000BD400000}"/>
    <cellStyle name="40% - Accent3 5 7 2 3 3" xfId="16578" xr:uid="{00000000-0005-0000-0000-0000BE400000}"/>
    <cellStyle name="40% - Accent3 5 7 2 4" xfId="16579" xr:uid="{00000000-0005-0000-0000-0000BF400000}"/>
    <cellStyle name="40% - Accent3 5 7 2 4 2" xfId="16580" xr:uid="{00000000-0005-0000-0000-0000C0400000}"/>
    <cellStyle name="40% - Accent3 5 7 2 4 2 2" xfId="16581" xr:uid="{00000000-0005-0000-0000-0000C1400000}"/>
    <cellStyle name="40% - Accent3 5 7 2 4 3" xfId="16582" xr:uid="{00000000-0005-0000-0000-0000C2400000}"/>
    <cellStyle name="40% - Accent3 5 7 2 5" xfId="16583" xr:uid="{00000000-0005-0000-0000-0000C3400000}"/>
    <cellStyle name="40% - Accent3 5 7 2 5 2" xfId="16584" xr:uid="{00000000-0005-0000-0000-0000C4400000}"/>
    <cellStyle name="40% - Accent3 5 7 2 5 2 2" xfId="16585" xr:uid="{00000000-0005-0000-0000-0000C5400000}"/>
    <cellStyle name="40% - Accent3 5 7 2 5 3" xfId="16586" xr:uid="{00000000-0005-0000-0000-0000C6400000}"/>
    <cellStyle name="40% - Accent3 5 7 2 6" xfId="16587" xr:uid="{00000000-0005-0000-0000-0000C7400000}"/>
    <cellStyle name="40% - Accent3 5 7 2 6 2" xfId="16588" xr:uid="{00000000-0005-0000-0000-0000C8400000}"/>
    <cellStyle name="40% - Accent3 5 7 2 6 2 2" xfId="16589" xr:uid="{00000000-0005-0000-0000-0000C9400000}"/>
    <cellStyle name="40% - Accent3 5 7 2 6 3" xfId="16590" xr:uid="{00000000-0005-0000-0000-0000CA400000}"/>
    <cellStyle name="40% - Accent3 5 7 2 7" xfId="16591" xr:uid="{00000000-0005-0000-0000-0000CB400000}"/>
    <cellStyle name="40% - Accent3 5 7 2 7 2" xfId="16592" xr:uid="{00000000-0005-0000-0000-0000CC400000}"/>
    <cellStyle name="40% - Accent3 5 7 2 8" xfId="16593" xr:uid="{00000000-0005-0000-0000-0000CD400000}"/>
    <cellStyle name="40% - Accent3 5 7 3" xfId="16594" xr:uid="{00000000-0005-0000-0000-0000CE400000}"/>
    <cellStyle name="40% - Accent3 5 7 3 2" xfId="16595" xr:uid="{00000000-0005-0000-0000-0000CF400000}"/>
    <cellStyle name="40% - Accent3 5 7 3 2 2" xfId="16596" xr:uid="{00000000-0005-0000-0000-0000D0400000}"/>
    <cellStyle name="40% - Accent3 5 7 3 2 2 2" xfId="16597" xr:uid="{00000000-0005-0000-0000-0000D1400000}"/>
    <cellStyle name="40% - Accent3 5 7 3 2 2 2 2" xfId="16598" xr:uid="{00000000-0005-0000-0000-0000D2400000}"/>
    <cellStyle name="40% - Accent3 5 7 3 2 2 3" xfId="16599" xr:uid="{00000000-0005-0000-0000-0000D3400000}"/>
    <cellStyle name="40% - Accent3 5 7 3 2 3" xfId="16600" xr:uid="{00000000-0005-0000-0000-0000D4400000}"/>
    <cellStyle name="40% - Accent3 5 7 3 2 3 2" xfId="16601" xr:uid="{00000000-0005-0000-0000-0000D5400000}"/>
    <cellStyle name="40% - Accent3 5 7 3 2 4" xfId="16602" xr:uid="{00000000-0005-0000-0000-0000D6400000}"/>
    <cellStyle name="40% - Accent3 5 7 3 3" xfId="16603" xr:uid="{00000000-0005-0000-0000-0000D7400000}"/>
    <cellStyle name="40% - Accent3 5 7 3 3 2" xfId="16604" xr:uid="{00000000-0005-0000-0000-0000D8400000}"/>
    <cellStyle name="40% - Accent3 5 7 3 3 2 2" xfId="16605" xr:uid="{00000000-0005-0000-0000-0000D9400000}"/>
    <cellStyle name="40% - Accent3 5 7 3 3 3" xfId="16606" xr:uid="{00000000-0005-0000-0000-0000DA400000}"/>
    <cellStyle name="40% - Accent3 5 7 3 4" xfId="16607" xr:uid="{00000000-0005-0000-0000-0000DB400000}"/>
    <cellStyle name="40% - Accent3 5 7 3 4 2" xfId="16608" xr:uid="{00000000-0005-0000-0000-0000DC400000}"/>
    <cellStyle name="40% - Accent3 5 7 3 4 2 2" xfId="16609" xr:uid="{00000000-0005-0000-0000-0000DD400000}"/>
    <cellStyle name="40% - Accent3 5 7 3 4 3" xfId="16610" xr:uid="{00000000-0005-0000-0000-0000DE400000}"/>
    <cellStyle name="40% - Accent3 5 7 3 5" xfId="16611" xr:uid="{00000000-0005-0000-0000-0000DF400000}"/>
    <cellStyle name="40% - Accent3 5 7 3 5 2" xfId="16612" xr:uid="{00000000-0005-0000-0000-0000E0400000}"/>
    <cellStyle name="40% - Accent3 5 7 3 5 2 2" xfId="16613" xr:uid="{00000000-0005-0000-0000-0000E1400000}"/>
    <cellStyle name="40% - Accent3 5 7 3 5 3" xfId="16614" xr:uid="{00000000-0005-0000-0000-0000E2400000}"/>
    <cellStyle name="40% - Accent3 5 7 3 6" xfId="16615" xr:uid="{00000000-0005-0000-0000-0000E3400000}"/>
    <cellStyle name="40% - Accent3 5 7 3 6 2" xfId="16616" xr:uid="{00000000-0005-0000-0000-0000E4400000}"/>
    <cellStyle name="40% - Accent3 5 7 3 6 2 2" xfId="16617" xr:uid="{00000000-0005-0000-0000-0000E5400000}"/>
    <cellStyle name="40% - Accent3 5 7 3 6 3" xfId="16618" xr:uid="{00000000-0005-0000-0000-0000E6400000}"/>
    <cellStyle name="40% - Accent3 5 7 3 7" xfId="16619" xr:uid="{00000000-0005-0000-0000-0000E7400000}"/>
    <cellStyle name="40% - Accent3 5 7 3 7 2" xfId="16620" xr:uid="{00000000-0005-0000-0000-0000E8400000}"/>
    <cellStyle name="40% - Accent3 5 7 3 8" xfId="16621" xr:uid="{00000000-0005-0000-0000-0000E9400000}"/>
    <cellStyle name="40% - Accent3 5 7 4" xfId="16622" xr:uid="{00000000-0005-0000-0000-0000EA400000}"/>
    <cellStyle name="40% - Accent3 5 7 4 2" xfId="16623" xr:uid="{00000000-0005-0000-0000-0000EB400000}"/>
    <cellStyle name="40% - Accent3 5 7 4 2 2" xfId="16624" xr:uid="{00000000-0005-0000-0000-0000EC400000}"/>
    <cellStyle name="40% - Accent3 5 7 4 2 2 2" xfId="16625" xr:uid="{00000000-0005-0000-0000-0000ED400000}"/>
    <cellStyle name="40% - Accent3 5 7 4 2 2 2 2" xfId="16626" xr:uid="{00000000-0005-0000-0000-0000EE400000}"/>
    <cellStyle name="40% - Accent3 5 7 4 2 2 3" xfId="16627" xr:uid="{00000000-0005-0000-0000-0000EF400000}"/>
    <cellStyle name="40% - Accent3 5 7 4 2 3" xfId="16628" xr:uid="{00000000-0005-0000-0000-0000F0400000}"/>
    <cellStyle name="40% - Accent3 5 7 4 2 3 2" xfId="16629" xr:uid="{00000000-0005-0000-0000-0000F1400000}"/>
    <cellStyle name="40% - Accent3 5 7 4 2 4" xfId="16630" xr:uid="{00000000-0005-0000-0000-0000F2400000}"/>
    <cellStyle name="40% - Accent3 5 7 4 3" xfId="16631" xr:uid="{00000000-0005-0000-0000-0000F3400000}"/>
    <cellStyle name="40% - Accent3 5 7 4 3 2" xfId="16632" xr:uid="{00000000-0005-0000-0000-0000F4400000}"/>
    <cellStyle name="40% - Accent3 5 7 4 3 2 2" xfId="16633" xr:uid="{00000000-0005-0000-0000-0000F5400000}"/>
    <cellStyle name="40% - Accent3 5 7 4 3 3" xfId="16634" xr:uid="{00000000-0005-0000-0000-0000F6400000}"/>
    <cellStyle name="40% - Accent3 5 7 4 4" xfId="16635" xr:uid="{00000000-0005-0000-0000-0000F7400000}"/>
    <cellStyle name="40% - Accent3 5 7 4 4 2" xfId="16636" xr:uid="{00000000-0005-0000-0000-0000F8400000}"/>
    <cellStyle name="40% - Accent3 5 7 4 4 2 2" xfId="16637" xr:uid="{00000000-0005-0000-0000-0000F9400000}"/>
    <cellStyle name="40% - Accent3 5 7 4 4 3" xfId="16638" xr:uid="{00000000-0005-0000-0000-0000FA400000}"/>
    <cellStyle name="40% - Accent3 5 7 4 5" xfId="16639" xr:uid="{00000000-0005-0000-0000-0000FB400000}"/>
    <cellStyle name="40% - Accent3 5 7 4 5 2" xfId="16640" xr:uid="{00000000-0005-0000-0000-0000FC400000}"/>
    <cellStyle name="40% - Accent3 5 7 4 5 2 2" xfId="16641" xr:uid="{00000000-0005-0000-0000-0000FD400000}"/>
    <cellStyle name="40% - Accent3 5 7 4 5 3" xfId="16642" xr:uid="{00000000-0005-0000-0000-0000FE400000}"/>
    <cellStyle name="40% - Accent3 5 7 4 6" xfId="16643" xr:uid="{00000000-0005-0000-0000-0000FF400000}"/>
    <cellStyle name="40% - Accent3 5 7 4 6 2" xfId="16644" xr:uid="{00000000-0005-0000-0000-000000410000}"/>
    <cellStyle name="40% - Accent3 5 7 4 6 2 2" xfId="16645" xr:uid="{00000000-0005-0000-0000-000001410000}"/>
    <cellStyle name="40% - Accent3 5 7 4 6 3" xfId="16646" xr:uid="{00000000-0005-0000-0000-000002410000}"/>
    <cellStyle name="40% - Accent3 5 7 4 7" xfId="16647" xr:uid="{00000000-0005-0000-0000-000003410000}"/>
    <cellStyle name="40% - Accent3 5 7 4 7 2" xfId="16648" xr:uid="{00000000-0005-0000-0000-000004410000}"/>
    <cellStyle name="40% - Accent3 5 7 4 8" xfId="16649" xr:uid="{00000000-0005-0000-0000-000005410000}"/>
    <cellStyle name="40% - Accent3 5 7 5" xfId="16650" xr:uid="{00000000-0005-0000-0000-000006410000}"/>
    <cellStyle name="40% - Accent3 5 7 5 2" xfId="16651" xr:uid="{00000000-0005-0000-0000-000007410000}"/>
    <cellStyle name="40% - Accent3 5 7 5 2 2" xfId="16652" xr:uid="{00000000-0005-0000-0000-000008410000}"/>
    <cellStyle name="40% - Accent3 5 7 5 2 2 2" xfId="16653" xr:uid="{00000000-0005-0000-0000-000009410000}"/>
    <cellStyle name="40% - Accent3 5 7 5 2 2 2 2" xfId="16654" xr:uid="{00000000-0005-0000-0000-00000A410000}"/>
    <cellStyle name="40% - Accent3 5 7 5 2 2 3" xfId="16655" xr:uid="{00000000-0005-0000-0000-00000B410000}"/>
    <cellStyle name="40% - Accent3 5 7 5 2 3" xfId="16656" xr:uid="{00000000-0005-0000-0000-00000C410000}"/>
    <cellStyle name="40% - Accent3 5 7 5 2 3 2" xfId="16657" xr:uid="{00000000-0005-0000-0000-00000D410000}"/>
    <cellStyle name="40% - Accent3 5 7 5 2 4" xfId="16658" xr:uid="{00000000-0005-0000-0000-00000E410000}"/>
    <cellStyle name="40% - Accent3 5 7 5 3" xfId="16659" xr:uid="{00000000-0005-0000-0000-00000F410000}"/>
    <cellStyle name="40% - Accent3 5 7 5 3 2" xfId="16660" xr:uid="{00000000-0005-0000-0000-000010410000}"/>
    <cellStyle name="40% - Accent3 5 7 5 3 2 2" xfId="16661" xr:uid="{00000000-0005-0000-0000-000011410000}"/>
    <cellStyle name="40% - Accent3 5 7 5 3 3" xfId="16662" xr:uid="{00000000-0005-0000-0000-000012410000}"/>
    <cellStyle name="40% - Accent3 5 7 5 4" xfId="16663" xr:uid="{00000000-0005-0000-0000-000013410000}"/>
    <cellStyle name="40% - Accent3 5 7 5 4 2" xfId="16664" xr:uid="{00000000-0005-0000-0000-000014410000}"/>
    <cellStyle name="40% - Accent3 5 7 5 5" xfId="16665" xr:uid="{00000000-0005-0000-0000-000015410000}"/>
    <cellStyle name="40% - Accent3 5 7 6" xfId="16666" xr:uid="{00000000-0005-0000-0000-000016410000}"/>
    <cellStyle name="40% - Accent3 5 7 6 2" xfId="16667" xr:uid="{00000000-0005-0000-0000-000017410000}"/>
    <cellStyle name="40% - Accent3 5 7 6 2 2" xfId="16668" xr:uid="{00000000-0005-0000-0000-000018410000}"/>
    <cellStyle name="40% - Accent3 5 7 6 2 2 2" xfId="16669" xr:uid="{00000000-0005-0000-0000-000019410000}"/>
    <cellStyle name="40% - Accent3 5 7 6 2 2 2 2" xfId="16670" xr:uid="{00000000-0005-0000-0000-00001A410000}"/>
    <cellStyle name="40% - Accent3 5 7 6 2 2 3" xfId="16671" xr:uid="{00000000-0005-0000-0000-00001B410000}"/>
    <cellStyle name="40% - Accent3 5 7 6 2 3" xfId="16672" xr:uid="{00000000-0005-0000-0000-00001C410000}"/>
    <cellStyle name="40% - Accent3 5 7 6 2 3 2" xfId="16673" xr:uid="{00000000-0005-0000-0000-00001D410000}"/>
    <cellStyle name="40% - Accent3 5 7 6 2 4" xfId="16674" xr:uid="{00000000-0005-0000-0000-00001E410000}"/>
    <cellStyle name="40% - Accent3 5 7 6 3" xfId="16675" xr:uid="{00000000-0005-0000-0000-00001F410000}"/>
    <cellStyle name="40% - Accent3 5 7 6 3 2" xfId="16676" xr:uid="{00000000-0005-0000-0000-000020410000}"/>
    <cellStyle name="40% - Accent3 5 7 6 3 2 2" xfId="16677" xr:uid="{00000000-0005-0000-0000-000021410000}"/>
    <cellStyle name="40% - Accent3 5 7 6 3 3" xfId="16678" xr:uid="{00000000-0005-0000-0000-000022410000}"/>
    <cellStyle name="40% - Accent3 5 7 6 4" xfId="16679" xr:uid="{00000000-0005-0000-0000-000023410000}"/>
    <cellStyle name="40% - Accent3 5 7 6 4 2" xfId="16680" xr:uid="{00000000-0005-0000-0000-000024410000}"/>
    <cellStyle name="40% - Accent3 5 7 6 5" xfId="16681" xr:uid="{00000000-0005-0000-0000-000025410000}"/>
    <cellStyle name="40% - Accent3 5 7 7" xfId="16682" xr:uid="{00000000-0005-0000-0000-000026410000}"/>
    <cellStyle name="40% - Accent3 5 7 7 2" xfId="16683" xr:uid="{00000000-0005-0000-0000-000027410000}"/>
    <cellStyle name="40% - Accent3 5 7 7 2 2" xfId="16684" xr:uid="{00000000-0005-0000-0000-000028410000}"/>
    <cellStyle name="40% - Accent3 5 7 7 2 2 2" xfId="16685" xr:uid="{00000000-0005-0000-0000-000029410000}"/>
    <cellStyle name="40% - Accent3 5 7 7 2 3" xfId="16686" xr:uid="{00000000-0005-0000-0000-00002A410000}"/>
    <cellStyle name="40% - Accent3 5 7 7 3" xfId="16687" xr:uid="{00000000-0005-0000-0000-00002B410000}"/>
    <cellStyle name="40% - Accent3 5 7 7 3 2" xfId="16688" xr:uid="{00000000-0005-0000-0000-00002C410000}"/>
    <cellStyle name="40% - Accent3 5 7 7 4" xfId="16689" xr:uid="{00000000-0005-0000-0000-00002D410000}"/>
    <cellStyle name="40% - Accent3 5 7 8" xfId="16690" xr:uid="{00000000-0005-0000-0000-00002E410000}"/>
    <cellStyle name="40% - Accent3 5 7 8 2" xfId="16691" xr:uid="{00000000-0005-0000-0000-00002F410000}"/>
    <cellStyle name="40% - Accent3 5 7 8 2 2" xfId="16692" xr:uid="{00000000-0005-0000-0000-000030410000}"/>
    <cellStyle name="40% - Accent3 5 7 8 2 2 2" xfId="16693" xr:uid="{00000000-0005-0000-0000-000031410000}"/>
    <cellStyle name="40% - Accent3 5 7 8 2 3" xfId="16694" xr:uid="{00000000-0005-0000-0000-000032410000}"/>
    <cellStyle name="40% - Accent3 5 7 8 3" xfId="16695" xr:uid="{00000000-0005-0000-0000-000033410000}"/>
    <cellStyle name="40% - Accent3 5 7 8 3 2" xfId="16696" xr:uid="{00000000-0005-0000-0000-000034410000}"/>
    <cellStyle name="40% - Accent3 5 7 8 4" xfId="16697" xr:uid="{00000000-0005-0000-0000-000035410000}"/>
    <cellStyle name="40% - Accent3 5 7 9" xfId="16698" xr:uid="{00000000-0005-0000-0000-000036410000}"/>
    <cellStyle name="40% - Accent3 5 7 9 2" xfId="16699" xr:uid="{00000000-0005-0000-0000-000037410000}"/>
    <cellStyle name="40% - Accent3 5 7 9 2 2" xfId="16700" xr:uid="{00000000-0005-0000-0000-000038410000}"/>
    <cellStyle name="40% - Accent3 5 7 9 3" xfId="16701" xr:uid="{00000000-0005-0000-0000-000039410000}"/>
    <cellStyle name="40% - Accent3 5 8" xfId="16702" xr:uid="{00000000-0005-0000-0000-00003A410000}"/>
    <cellStyle name="40% - Accent3 5 8 2" xfId="16703" xr:uid="{00000000-0005-0000-0000-00003B410000}"/>
    <cellStyle name="40% - Accent3 5 8 2 2" xfId="16704" xr:uid="{00000000-0005-0000-0000-00003C410000}"/>
    <cellStyle name="40% - Accent3 5 8 2 2 2" xfId="16705" xr:uid="{00000000-0005-0000-0000-00003D410000}"/>
    <cellStyle name="40% - Accent3 5 8 2 2 2 2" xfId="16706" xr:uid="{00000000-0005-0000-0000-00003E410000}"/>
    <cellStyle name="40% - Accent3 5 8 2 2 3" xfId="16707" xr:uid="{00000000-0005-0000-0000-00003F410000}"/>
    <cellStyle name="40% - Accent3 5 8 2 3" xfId="16708" xr:uid="{00000000-0005-0000-0000-000040410000}"/>
    <cellStyle name="40% - Accent3 5 8 2 3 2" xfId="16709" xr:uid="{00000000-0005-0000-0000-000041410000}"/>
    <cellStyle name="40% - Accent3 5 8 2 4" xfId="16710" xr:uid="{00000000-0005-0000-0000-000042410000}"/>
    <cellStyle name="40% - Accent3 5 8 3" xfId="16711" xr:uid="{00000000-0005-0000-0000-000043410000}"/>
    <cellStyle name="40% - Accent3 5 8 3 2" xfId="16712" xr:uid="{00000000-0005-0000-0000-000044410000}"/>
    <cellStyle name="40% - Accent3 5 8 3 2 2" xfId="16713" xr:uid="{00000000-0005-0000-0000-000045410000}"/>
    <cellStyle name="40% - Accent3 5 8 3 3" xfId="16714" xr:uid="{00000000-0005-0000-0000-000046410000}"/>
    <cellStyle name="40% - Accent3 5 8 4" xfId="16715" xr:uid="{00000000-0005-0000-0000-000047410000}"/>
    <cellStyle name="40% - Accent3 5 8 4 2" xfId="16716" xr:uid="{00000000-0005-0000-0000-000048410000}"/>
    <cellStyle name="40% - Accent3 5 8 4 2 2" xfId="16717" xr:uid="{00000000-0005-0000-0000-000049410000}"/>
    <cellStyle name="40% - Accent3 5 8 4 3" xfId="16718" xr:uid="{00000000-0005-0000-0000-00004A410000}"/>
    <cellStyle name="40% - Accent3 5 8 5" xfId="16719" xr:uid="{00000000-0005-0000-0000-00004B410000}"/>
    <cellStyle name="40% - Accent3 5 8 5 2" xfId="16720" xr:uid="{00000000-0005-0000-0000-00004C410000}"/>
    <cellStyle name="40% - Accent3 5 8 5 2 2" xfId="16721" xr:uid="{00000000-0005-0000-0000-00004D410000}"/>
    <cellStyle name="40% - Accent3 5 8 5 3" xfId="16722" xr:uid="{00000000-0005-0000-0000-00004E410000}"/>
    <cellStyle name="40% - Accent3 5 8 6" xfId="16723" xr:uid="{00000000-0005-0000-0000-00004F410000}"/>
    <cellStyle name="40% - Accent3 5 8 6 2" xfId="16724" xr:uid="{00000000-0005-0000-0000-000050410000}"/>
    <cellStyle name="40% - Accent3 5 8 6 2 2" xfId="16725" xr:uid="{00000000-0005-0000-0000-000051410000}"/>
    <cellStyle name="40% - Accent3 5 8 6 3" xfId="16726" xr:uid="{00000000-0005-0000-0000-000052410000}"/>
    <cellStyle name="40% - Accent3 5 8 7" xfId="16727" xr:uid="{00000000-0005-0000-0000-000053410000}"/>
    <cellStyle name="40% - Accent3 5 8 7 2" xfId="16728" xr:uid="{00000000-0005-0000-0000-000054410000}"/>
    <cellStyle name="40% - Accent3 5 8 8" xfId="16729" xr:uid="{00000000-0005-0000-0000-000055410000}"/>
    <cellStyle name="40% - Accent3 5 9" xfId="16730" xr:uid="{00000000-0005-0000-0000-000056410000}"/>
    <cellStyle name="40% - Accent3 5 9 2" xfId="16731" xr:uid="{00000000-0005-0000-0000-000057410000}"/>
    <cellStyle name="40% - Accent3 5 9 2 2" xfId="16732" xr:uid="{00000000-0005-0000-0000-000058410000}"/>
    <cellStyle name="40% - Accent3 5 9 2 2 2" xfId="16733" xr:uid="{00000000-0005-0000-0000-000059410000}"/>
    <cellStyle name="40% - Accent3 5 9 2 2 2 2" xfId="16734" xr:uid="{00000000-0005-0000-0000-00005A410000}"/>
    <cellStyle name="40% - Accent3 5 9 2 2 3" xfId="16735" xr:uid="{00000000-0005-0000-0000-00005B410000}"/>
    <cellStyle name="40% - Accent3 5 9 2 3" xfId="16736" xr:uid="{00000000-0005-0000-0000-00005C410000}"/>
    <cellStyle name="40% - Accent3 5 9 2 3 2" xfId="16737" xr:uid="{00000000-0005-0000-0000-00005D410000}"/>
    <cellStyle name="40% - Accent3 5 9 2 4" xfId="16738" xr:uid="{00000000-0005-0000-0000-00005E410000}"/>
    <cellStyle name="40% - Accent3 5 9 3" xfId="16739" xr:uid="{00000000-0005-0000-0000-00005F410000}"/>
    <cellStyle name="40% - Accent3 5 9 3 2" xfId="16740" xr:uid="{00000000-0005-0000-0000-000060410000}"/>
    <cellStyle name="40% - Accent3 5 9 3 2 2" xfId="16741" xr:uid="{00000000-0005-0000-0000-000061410000}"/>
    <cellStyle name="40% - Accent3 5 9 3 3" xfId="16742" xr:uid="{00000000-0005-0000-0000-000062410000}"/>
    <cellStyle name="40% - Accent3 5 9 4" xfId="16743" xr:uid="{00000000-0005-0000-0000-000063410000}"/>
    <cellStyle name="40% - Accent3 5 9 4 2" xfId="16744" xr:uid="{00000000-0005-0000-0000-000064410000}"/>
    <cellStyle name="40% - Accent3 5 9 4 2 2" xfId="16745" xr:uid="{00000000-0005-0000-0000-000065410000}"/>
    <cellStyle name="40% - Accent3 5 9 4 3" xfId="16746" xr:uid="{00000000-0005-0000-0000-000066410000}"/>
    <cellStyle name="40% - Accent3 5 9 5" xfId="16747" xr:uid="{00000000-0005-0000-0000-000067410000}"/>
    <cellStyle name="40% - Accent3 5 9 5 2" xfId="16748" xr:uid="{00000000-0005-0000-0000-000068410000}"/>
    <cellStyle name="40% - Accent3 5 9 5 2 2" xfId="16749" xr:uid="{00000000-0005-0000-0000-000069410000}"/>
    <cellStyle name="40% - Accent3 5 9 5 3" xfId="16750" xr:uid="{00000000-0005-0000-0000-00006A410000}"/>
    <cellStyle name="40% - Accent3 5 9 6" xfId="16751" xr:uid="{00000000-0005-0000-0000-00006B410000}"/>
    <cellStyle name="40% - Accent3 5 9 6 2" xfId="16752" xr:uid="{00000000-0005-0000-0000-00006C410000}"/>
    <cellStyle name="40% - Accent3 5 9 6 2 2" xfId="16753" xr:uid="{00000000-0005-0000-0000-00006D410000}"/>
    <cellStyle name="40% - Accent3 5 9 6 3" xfId="16754" xr:uid="{00000000-0005-0000-0000-00006E410000}"/>
    <cellStyle name="40% - Accent3 5 9 7" xfId="16755" xr:uid="{00000000-0005-0000-0000-00006F410000}"/>
    <cellStyle name="40% - Accent3 5 9 7 2" xfId="16756" xr:uid="{00000000-0005-0000-0000-000070410000}"/>
    <cellStyle name="40% - Accent3 5 9 8" xfId="16757" xr:uid="{00000000-0005-0000-0000-000071410000}"/>
    <cellStyle name="40% - Accent3 6" xfId="16758" xr:uid="{00000000-0005-0000-0000-000072410000}"/>
    <cellStyle name="40% - Accent4 2" xfId="16759" xr:uid="{00000000-0005-0000-0000-000073410000}"/>
    <cellStyle name="40% - Accent4 3" xfId="16760" xr:uid="{00000000-0005-0000-0000-000074410000}"/>
    <cellStyle name="40% - Accent4 4" xfId="16761" xr:uid="{00000000-0005-0000-0000-000075410000}"/>
    <cellStyle name="40% - Accent4 5" xfId="16762" xr:uid="{00000000-0005-0000-0000-000076410000}"/>
    <cellStyle name="40% - Accent4 5 10" xfId="16763" xr:uid="{00000000-0005-0000-0000-000077410000}"/>
    <cellStyle name="40% - Accent4 5 10 2" xfId="16764" xr:uid="{00000000-0005-0000-0000-000078410000}"/>
    <cellStyle name="40% - Accent4 5 10 2 2" xfId="16765" xr:uid="{00000000-0005-0000-0000-000079410000}"/>
    <cellStyle name="40% - Accent4 5 10 2 2 2" xfId="16766" xr:uid="{00000000-0005-0000-0000-00007A410000}"/>
    <cellStyle name="40% - Accent4 5 10 2 2 2 2" xfId="16767" xr:uid="{00000000-0005-0000-0000-00007B410000}"/>
    <cellStyle name="40% - Accent4 5 10 2 2 3" xfId="16768" xr:uid="{00000000-0005-0000-0000-00007C410000}"/>
    <cellStyle name="40% - Accent4 5 10 2 3" xfId="16769" xr:uid="{00000000-0005-0000-0000-00007D410000}"/>
    <cellStyle name="40% - Accent4 5 10 2 3 2" xfId="16770" xr:uid="{00000000-0005-0000-0000-00007E410000}"/>
    <cellStyle name="40% - Accent4 5 10 2 4" xfId="16771" xr:uid="{00000000-0005-0000-0000-00007F410000}"/>
    <cellStyle name="40% - Accent4 5 10 3" xfId="16772" xr:uid="{00000000-0005-0000-0000-000080410000}"/>
    <cellStyle name="40% - Accent4 5 10 3 2" xfId="16773" xr:uid="{00000000-0005-0000-0000-000081410000}"/>
    <cellStyle name="40% - Accent4 5 10 3 2 2" xfId="16774" xr:uid="{00000000-0005-0000-0000-000082410000}"/>
    <cellStyle name="40% - Accent4 5 10 3 3" xfId="16775" xr:uid="{00000000-0005-0000-0000-000083410000}"/>
    <cellStyle name="40% - Accent4 5 10 4" xfId="16776" xr:uid="{00000000-0005-0000-0000-000084410000}"/>
    <cellStyle name="40% - Accent4 5 10 4 2" xfId="16777" xr:uid="{00000000-0005-0000-0000-000085410000}"/>
    <cellStyle name="40% - Accent4 5 10 4 2 2" xfId="16778" xr:uid="{00000000-0005-0000-0000-000086410000}"/>
    <cellStyle name="40% - Accent4 5 10 4 3" xfId="16779" xr:uid="{00000000-0005-0000-0000-000087410000}"/>
    <cellStyle name="40% - Accent4 5 10 5" xfId="16780" xr:uid="{00000000-0005-0000-0000-000088410000}"/>
    <cellStyle name="40% - Accent4 5 10 5 2" xfId="16781" xr:uid="{00000000-0005-0000-0000-000089410000}"/>
    <cellStyle name="40% - Accent4 5 10 5 2 2" xfId="16782" xr:uid="{00000000-0005-0000-0000-00008A410000}"/>
    <cellStyle name="40% - Accent4 5 10 5 3" xfId="16783" xr:uid="{00000000-0005-0000-0000-00008B410000}"/>
    <cellStyle name="40% - Accent4 5 10 6" xfId="16784" xr:uid="{00000000-0005-0000-0000-00008C410000}"/>
    <cellStyle name="40% - Accent4 5 10 6 2" xfId="16785" xr:uid="{00000000-0005-0000-0000-00008D410000}"/>
    <cellStyle name="40% - Accent4 5 10 6 2 2" xfId="16786" xr:uid="{00000000-0005-0000-0000-00008E410000}"/>
    <cellStyle name="40% - Accent4 5 10 6 3" xfId="16787" xr:uid="{00000000-0005-0000-0000-00008F410000}"/>
    <cellStyle name="40% - Accent4 5 10 7" xfId="16788" xr:uid="{00000000-0005-0000-0000-000090410000}"/>
    <cellStyle name="40% - Accent4 5 10 7 2" xfId="16789" xr:uid="{00000000-0005-0000-0000-000091410000}"/>
    <cellStyle name="40% - Accent4 5 10 8" xfId="16790" xr:uid="{00000000-0005-0000-0000-000092410000}"/>
    <cellStyle name="40% - Accent4 5 11" xfId="16791" xr:uid="{00000000-0005-0000-0000-000093410000}"/>
    <cellStyle name="40% - Accent4 5 11 2" xfId="16792" xr:uid="{00000000-0005-0000-0000-000094410000}"/>
    <cellStyle name="40% - Accent4 5 11 2 2" xfId="16793" xr:uid="{00000000-0005-0000-0000-000095410000}"/>
    <cellStyle name="40% - Accent4 5 11 2 2 2" xfId="16794" xr:uid="{00000000-0005-0000-0000-000096410000}"/>
    <cellStyle name="40% - Accent4 5 11 2 2 2 2" xfId="16795" xr:uid="{00000000-0005-0000-0000-000097410000}"/>
    <cellStyle name="40% - Accent4 5 11 2 2 3" xfId="16796" xr:uid="{00000000-0005-0000-0000-000098410000}"/>
    <cellStyle name="40% - Accent4 5 11 2 3" xfId="16797" xr:uid="{00000000-0005-0000-0000-000099410000}"/>
    <cellStyle name="40% - Accent4 5 11 2 3 2" xfId="16798" xr:uid="{00000000-0005-0000-0000-00009A410000}"/>
    <cellStyle name="40% - Accent4 5 11 2 4" xfId="16799" xr:uid="{00000000-0005-0000-0000-00009B410000}"/>
    <cellStyle name="40% - Accent4 5 11 3" xfId="16800" xr:uid="{00000000-0005-0000-0000-00009C410000}"/>
    <cellStyle name="40% - Accent4 5 11 3 2" xfId="16801" xr:uid="{00000000-0005-0000-0000-00009D410000}"/>
    <cellStyle name="40% - Accent4 5 11 3 2 2" xfId="16802" xr:uid="{00000000-0005-0000-0000-00009E410000}"/>
    <cellStyle name="40% - Accent4 5 11 3 3" xfId="16803" xr:uid="{00000000-0005-0000-0000-00009F410000}"/>
    <cellStyle name="40% - Accent4 5 11 4" xfId="16804" xr:uid="{00000000-0005-0000-0000-0000A0410000}"/>
    <cellStyle name="40% - Accent4 5 11 4 2" xfId="16805" xr:uid="{00000000-0005-0000-0000-0000A1410000}"/>
    <cellStyle name="40% - Accent4 5 11 5" xfId="16806" xr:uid="{00000000-0005-0000-0000-0000A2410000}"/>
    <cellStyle name="40% - Accent4 5 12" xfId="16807" xr:uid="{00000000-0005-0000-0000-0000A3410000}"/>
    <cellStyle name="40% - Accent4 5 12 2" xfId="16808" xr:uid="{00000000-0005-0000-0000-0000A4410000}"/>
    <cellStyle name="40% - Accent4 5 12 2 2" xfId="16809" xr:uid="{00000000-0005-0000-0000-0000A5410000}"/>
    <cellStyle name="40% - Accent4 5 12 2 2 2" xfId="16810" xr:uid="{00000000-0005-0000-0000-0000A6410000}"/>
    <cellStyle name="40% - Accent4 5 12 2 2 2 2" xfId="16811" xr:uid="{00000000-0005-0000-0000-0000A7410000}"/>
    <cellStyle name="40% - Accent4 5 12 2 2 3" xfId="16812" xr:uid="{00000000-0005-0000-0000-0000A8410000}"/>
    <cellStyle name="40% - Accent4 5 12 2 3" xfId="16813" xr:uid="{00000000-0005-0000-0000-0000A9410000}"/>
    <cellStyle name="40% - Accent4 5 12 2 3 2" xfId="16814" xr:uid="{00000000-0005-0000-0000-0000AA410000}"/>
    <cellStyle name="40% - Accent4 5 12 2 4" xfId="16815" xr:uid="{00000000-0005-0000-0000-0000AB410000}"/>
    <cellStyle name="40% - Accent4 5 12 3" xfId="16816" xr:uid="{00000000-0005-0000-0000-0000AC410000}"/>
    <cellStyle name="40% - Accent4 5 12 3 2" xfId="16817" xr:uid="{00000000-0005-0000-0000-0000AD410000}"/>
    <cellStyle name="40% - Accent4 5 12 3 2 2" xfId="16818" xr:uid="{00000000-0005-0000-0000-0000AE410000}"/>
    <cellStyle name="40% - Accent4 5 12 3 3" xfId="16819" xr:uid="{00000000-0005-0000-0000-0000AF410000}"/>
    <cellStyle name="40% - Accent4 5 12 4" xfId="16820" xr:uid="{00000000-0005-0000-0000-0000B0410000}"/>
    <cellStyle name="40% - Accent4 5 12 4 2" xfId="16821" xr:uid="{00000000-0005-0000-0000-0000B1410000}"/>
    <cellStyle name="40% - Accent4 5 12 5" xfId="16822" xr:uid="{00000000-0005-0000-0000-0000B2410000}"/>
    <cellStyle name="40% - Accent4 5 13" xfId="16823" xr:uid="{00000000-0005-0000-0000-0000B3410000}"/>
    <cellStyle name="40% - Accent4 5 13 2" xfId="16824" xr:uid="{00000000-0005-0000-0000-0000B4410000}"/>
    <cellStyle name="40% - Accent4 5 13 2 2" xfId="16825" xr:uid="{00000000-0005-0000-0000-0000B5410000}"/>
    <cellStyle name="40% - Accent4 5 13 2 2 2" xfId="16826" xr:uid="{00000000-0005-0000-0000-0000B6410000}"/>
    <cellStyle name="40% - Accent4 5 13 2 2 2 2" xfId="16827" xr:uid="{00000000-0005-0000-0000-0000B7410000}"/>
    <cellStyle name="40% - Accent4 5 13 2 2 3" xfId="16828" xr:uid="{00000000-0005-0000-0000-0000B8410000}"/>
    <cellStyle name="40% - Accent4 5 13 2 3" xfId="16829" xr:uid="{00000000-0005-0000-0000-0000B9410000}"/>
    <cellStyle name="40% - Accent4 5 13 2 3 2" xfId="16830" xr:uid="{00000000-0005-0000-0000-0000BA410000}"/>
    <cellStyle name="40% - Accent4 5 13 2 4" xfId="16831" xr:uid="{00000000-0005-0000-0000-0000BB410000}"/>
    <cellStyle name="40% - Accent4 5 13 3" xfId="16832" xr:uid="{00000000-0005-0000-0000-0000BC410000}"/>
    <cellStyle name="40% - Accent4 5 13 3 2" xfId="16833" xr:uid="{00000000-0005-0000-0000-0000BD410000}"/>
    <cellStyle name="40% - Accent4 5 13 3 2 2" xfId="16834" xr:uid="{00000000-0005-0000-0000-0000BE410000}"/>
    <cellStyle name="40% - Accent4 5 13 3 3" xfId="16835" xr:uid="{00000000-0005-0000-0000-0000BF410000}"/>
    <cellStyle name="40% - Accent4 5 13 4" xfId="16836" xr:uid="{00000000-0005-0000-0000-0000C0410000}"/>
    <cellStyle name="40% - Accent4 5 13 4 2" xfId="16837" xr:uid="{00000000-0005-0000-0000-0000C1410000}"/>
    <cellStyle name="40% - Accent4 5 13 5" xfId="16838" xr:uid="{00000000-0005-0000-0000-0000C2410000}"/>
    <cellStyle name="40% - Accent4 5 14" xfId="16839" xr:uid="{00000000-0005-0000-0000-0000C3410000}"/>
    <cellStyle name="40% - Accent4 5 14 2" xfId="16840" xr:uid="{00000000-0005-0000-0000-0000C4410000}"/>
    <cellStyle name="40% - Accent4 5 14 2 2" xfId="16841" xr:uid="{00000000-0005-0000-0000-0000C5410000}"/>
    <cellStyle name="40% - Accent4 5 14 2 2 2" xfId="16842" xr:uid="{00000000-0005-0000-0000-0000C6410000}"/>
    <cellStyle name="40% - Accent4 5 14 2 3" xfId="16843" xr:uid="{00000000-0005-0000-0000-0000C7410000}"/>
    <cellStyle name="40% - Accent4 5 14 3" xfId="16844" xr:uid="{00000000-0005-0000-0000-0000C8410000}"/>
    <cellStyle name="40% - Accent4 5 14 3 2" xfId="16845" xr:uid="{00000000-0005-0000-0000-0000C9410000}"/>
    <cellStyle name="40% - Accent4 5 14 4" xfId="16846" xr:uid="{00000000-0005-0000-0000-0000CA410000}"/>
    <cellStyle name="40% - Accent4 5 15" xfId="16847" xr:uid="{00000000-0005-0000-0000-0000CB410000}"/>
    <cellStyle name="40% - Accent4 5 15 2" xfId="16848" xr:uid="{00000000-0005-0000-0000-0000CC410000}"/>
    <cellStyle name="40% - Accent4 5 15 2 2" xfId="16849" xr:uid="{00000000-0005-0000-0000-0000CD410000}"/>
    <cellStyle name="40% - Accent4 5 15 2 2 2" xfId="16850" xr:uid="{00000000-0005-0000-0000-0000CE410000}"/>
    <cellStyle name="40% - Accent4 5 15 2 3" xfId="16851" xr:uid="{00000000-0005-0000-0000-0000CF410000}"/>
    <cellStyle name="40% - Accent4 5 15 3" xfId="16852" xr:uid="{00000000-0005-0000-0000-0000D0410000}"/>
    <cellStyle name="40% - Accent4 5 15 3 2" xfId="16853" xr:uid="{00000000-0005-0000-0000-0000D1410000}"/>
    <cellStyle name="40% - Accent4 5 15 4" xfId="16854" xr:uid="{00000000-0005-0000-0000-0000D2410000}"/>
    <cellStyle name="40% - Accent4 5 16" xfId="16855" xr:uid="{00000000-0005-0000-0000-0000D3410000}"/>
    <cellStyle name="40% - Accent4 5 16 2" xfId="16856" xr:uid="{00000000-0005-0000-0000-0000D4410000}"/>
    <cellStyle name="40% - Accent4 5 16 2 2" xfId="16857" xr:uid="{00000000-0005-0000-0000-0000D5410000}"/>
    <cellStyle name="40% - Accent4 5 16 3" xfId="16858" xr:uid="{00000000-0005-0000-0000-0000D6410000}"/>
    <cellStyle name="40% - Accent4 5 17" xfId="16859" xr:uid="{00000000-0005-0000-0000-0000D7410000}"/>
    <cellStyle name="40% - Accent4 5 17 2" xfId="16860" xr:uid="{00000000-0005-0000-0000-0000D8410000}"/>
    <cellStyle name="40% - Accent4 5 17 2 2" xfId="16861" xr:uid="{00000000-0005-0000-0000-0000D9410000}"/>
    <cellStyle name="40% - Accent4 5 17 3" xfId="16862" xr:uid="{00000000-0005-0000-0000-0000DA410000}"/>
    <cellStyle name="40% - Accent4 5 18" xfId="16863" xr:uid="{00000000-0005-0000-0000-0000DB410000}"/>
    <cellStyle name="40% - Accent4 5 18 2" xfId="16864" xr:uid="{00000000-0005-0000-0000-0000DC410000}"/>
    <cellStyle name="40% - Accent4 5 18 2 2" xfId="16865" xr:uid="{00000000-0005-0000-0000-0000DD410000}"/>
    <cellStyle name="40% - Accent4 5 18 3" xfId="16866" xr:uid="{00000000-0005-0000-0000-0000DE410000}"/>
    <cellStyle name="40% - Accent4 5 19" xfId="16867" xr:uid="{00000000-0005-0000-0000-0000DF410000}"/>
    <cellStyle name="40% - Accent4 5 19 2" xfId="16868" xr:uid="{00000000-0005-0000-0000-0000E0410000}"/>
    <cellStyle name="40% - Accent4 5 19 2 2" xfId="16869" xr:uid="{00000000-0005-0000-0000-0000E1410000}"/>
    <cellStyle name="40% - Accent4 5 19 3" xfId="16870" xr:uid="{00000000-0005-0000-0000-0000E2410000}"/>
    <cellStyle name="40% - Accent4 5 2" xfId="16871" xr:uid="{00000000-0005-0000-0000-0000E3410000}"/>
    <cellStyle name="40% - Accent4 5 2 10" xfId="16872" xr:uid="{00000000-0005-0000-0000-0000E4410000}"/>
    <cellStyle name="40% - Accent4 5 2 10 2" xfId="16873" xr:uid="{00000000-0005-0000-0000-0000E5410000}"/>
    <cellStyle name="40% - Accent4 5 2 10 2 2" xfId="16874" xr:uid="{00000000-0005-0000-0000-0000E6410000}"/>
    <cellStyle name="40% - Accent4 5 2 10 2 2 2" xfId="16875" xr:uid="{00000000-0005-0000-0000-0000E7410000}"/>
    <cellStyle name="40% - Accent4 5 2 10 2 2 2 2" xfId="16876" xr:uid="{00000000-0005-0000-0000-0000E8410000}"/>
    <cellStyle name="40% - Accent4 5 2 10 2 2 3" xfId="16877" xr:uid="{00000000-0005-0000-0000-0000E9410000}"/>
    <cellStyle name="40% - Accent4 5 2 10 2 3" xfId="16878" xr:uid="{00000000-0005-0000-0000-0000EA410000}"/>
    <cellStyle name="40% - Accent4 5 2 10 2 3 2" xfId="16879" xr:uid="{00000000-0005-0000-0000-0000EB410000}"/>
    <cellStyle name="40% - Accent4 5 2 10 2 4" xfId="16880" xr:uid="{00000000-0005-0000-0000-0000EC410000}"/>
    <cellStyle name="40% - Accent4 5 2 10 3" xfId="16881" xr:uid="{00000000-0005-0000-0000-0000ED410000}"/>
    <cellStyle name="40% - Accent4 5 2 10 3 2" xfId="16882" xr:uid="{00000000-0005-0000-0000-0000EE410000}"/>
    <cellStyle name="40% - Accent4 5 2 10 3 2 2" xfId="16883" xr:uid="{00000000-0005-0000-0000-0000EF410000}"/>
    <cellStyle name="40% - Accent4 5 2 10 3 3" xfId="16884" xr:uid="{00000000-0005-0000-0000-0000F0410000}"/>
    <cellStyle name="40% - Accent4 5 2 10 4" xfId="16885" xr:uid="{00000000-0005-0000-0000-0000F1410000}"/>
    <cellStyle name="40% - Accent4 5 2 10 4 2" xfId="16886" xr:uid="{00000000-0005-0000-0000-0000F2410000}"/>
    <cellStyle name="40% - Accent4 5 2 10 5" xfId="16887" xr:uid="{00000000-0005-0000-0000-0000F3410000}"/>
    <cellStyle name="40% - Accent4 5 2 11" xfId="16888" xr:uid="{00000000-0005-0000-0000-0000F4410000}"/>
    <cellStyle name="40% - Accent4 5 2 11 2" xfId="16889" xr:uid="{00000000-0005-0000-0000-0000F5410000}"/>
    <cellStyle name="40% - Accent4 5 2 11 2 2" xfId="16890" xr:uid="{00000000-0005-0000-0000-0000F6410000}"/>
    <cellStyle name="40% - Accent4 5 2 11 2 2 2" xfId="16891" xr:uid="{00000000-0005-0000-0000-0000F7410000}"/>
    <cellStyle name="40% - Accent4 5 2 11 2 2 2 2" xfId="16892" xr:uid="{00000000-0005-0000-0000-0000F8410000}"/>
    <cellStyle name="40% - Accent4 5 2 11 2 2 3" xfId="16893" xr:uid="{00000000-0005-0000-0000-0000F9410000}"/>
    <cellStyle name="40% - Accent4 5 2 11 2 3" xfId="16894" xr:uid="{00000000-0005-0000-0000-0000FA410000}"/>
    <cellStyle name="40% - Accent4 5 2 11 2 3 2" xfId="16895" xr:uid="{00000000-0005-0000-0000-0000FB410000}"/>
    <cellStyle name="40% - Accent4 5 2 11 2 4" xfId="16896" xr:uid="{00000000-0005-0000-0000-0000FC410000}"/>
    <cellStyle name="40% - Accent4 5 2 11 3" xfId="16897" xr:uid="{00000000-0005-0000-0000-0000FD410000}"/>
    <cellStyle name="40% - Accent4 5 2 11 3 2" xfId="16898" xr:uid="{00000000-0005-0000-0000-0000FE410000}"/>
    <cellStyle name="40% - Accent4 5 2 11 3 2 2" xfId="16899" xr:uid="{00000000-0005-0000-0000-0000FF410000}"/>
    <cellStyle name="40% - Accent4 5 2 11 3 3" xfId="16900" xr:uid="{00000000-0005-0000-0000-000000420000}"/>
    <cellStyle name="40% - Accent4 5 2 11 4" xfId="16901" xr:uid="{00000000-0005-0000-0000-000001420000}"/>
    <cellStyle name="40% - Accent4 5 2 11 4 2" xfId="16902" xr:uid="{00000000-0005-0000-0000-000002420000}"/>
    <cellStyle name="40% - Accent4 5 2 11 5" xfId="16903" xr:uid="{00000000-0005-0000-0000-000003420000}"/>
    <cellStyle name="40% - Accent4 5 2 12" xfId="16904" xr:uid="{00000000-0005-0000-0000-000004420000}"/>
    <cellStyle name="40% - Accent4 5 2 12 2" xfId="16905" xr:uid="{00000000-0005-0000-0000-000005420000}"/>
    <cellStyle name="40% - Accent4 5 2 12 2 2" xfId="16906" xr:uid="{00000000-0005-0000-0000-000006420000}"/>
    <cellStyle name="40% - Accent4 5 2 12 2 2 2" xfId="16907" xr:uid="{00000000-0005-0000-0000-000007420000}"/>
    <cellStyle name="40% - Accent4 5 2 12 2 2 2 2" xfId="16908" xr:uid="{00000000-0005-0000-0000-000008420000}"/>
    <cellStyle name="40% - Accent4 5 2 12 2 2 3" xfId="16909" xr:uid="{00000000-0005-0000-0000-000009420000}"/>
    <cellStyle name="40% - Accent4 5 2 12 2 3" xfId="16910" xr:uid="{00000000-0005-0000-0000-00000A420000}"/>
    <cellStyle name="40% - Accent4 5 2 12 2 3 2" xfId="16911" xr:uid="{00000000-0005-0000-0000-00000B420000}"/>
    <cellStyle name="40% - Accent4 5 2 12 2 4" xfId="16912" xr:uid="{00000000-0005-0000-0000-00000C420000}"/>
    <cellStyle name="40% - Accent4 5 2 12 3" xfId="16913" xr:uid="{00000000-0005-0000-0000-00000D420000}"/>
    <cellStyle name="40% - Accent4 5 2 12 3 2" xfId="16914" xr:uid="{00000000-0005-0000-0000-00000E420000}"/>
    <cellStyle name="40% - Accent4 5 2 12 3 2 2" xfId="16915" xr:uid="{00000000-0005-0000-0000-00000F420000}"/>
    <cellStyle name="40% - Accent4 5 2 12 3 3" xfId="16916" xr:uid="{00000000-0005-0000-0000-000010420000}"/>
    <cellStyle name="40% - Accent4 5 2 12 4" xfId="16917" xr:uid="{00000000-0005-0000-0000-000011420000}"/>
    <cellStyle name="40% - Accent4 5 2 12 4 2" xfId="16918" xr:uid="{00000000-0005-0000-0000-000012420000}"/>
    <cellStyle name="40% - Accent4 5 2 12 5" xfId="16919" xr:uid="{00000000-0005-0000-0000-000013420000}"/>
    <cellStyle name="40% - Accent4 5 2 13" xfId="16920" xr:uid="{00000000-0005-0000-0000-000014420000}"/>
    <cellStyle name="40% - Accent4 5 2 13 2" xfId="16921" xr:uid="{00000000-0005-0000-0000-000015420000}"/>
    <cellStyle name="40% - Accent4 5 2 13 2 2" xfId="16922" xr:uid="{00000000-0005-0000-0000-000016420000}"/>
    <cellStyle name="40% - Accent4 5 2 13 2 2 2" xfId="16923" xr:uid="{00000000-0005-0000-0000-000017420000}"/>
    <cellStyle name="40% - Accent4 5 2 13 2 3" xfId="16924" xr:uid="{00000000-0005-0000-0000-000018420000}"/>
    <cellStyle name="40% - Accent4 5 2 13 3" xfId="16925" xr:uid="{00000000-0005-0000-0000-000019420000}"/>
    <cellStyle name="40% - Accent4 5 2 13 3 2" xfId="16926" xr:uid="{00000000-0005-0000-0000-00001A420000}"/>
    <cellStyle name="40% - Accent4 5 2 13 4" xfId="16927" xr:uid="{00000000-0005-0000-0000-00001B420000}"/>
    <cellStyle name="40% - Accent4 5 2 14" xfId="16928" xr:uid="{00000000-0005-0000-0000-00001C420000}"/>
    <cellStyle name="40% - Accent4 5 2 14 2" xfId="16929" xr:uid="{00000000-0005-0000-0000-00001D420000}"/>
    <cellStyle name="40% - Accent4 5 2 14 2 2" xfId="16930" xr:uid="{00000000-0005-0000-0000-00001E420000}"/>
    <cellStyle name="40% - Accent4 5 2 14 2 2 2" xfId="16931" xr:uid="{00000000-0005-0000-0000-00001F420000}"/>
    <cellStyle name="40% - Accent4 5 2 14 2 3" xfId="16932" xr:uid="{00000000-0005-0000-0000-000020420000}"/>
    <cellStyle name="40% - Accent4 5 2 14 3" xfId="16933" xr:uid="{00000000-0005-0000-0000-000021420000}"/>
    <cellStyle name="40% - Accent4 5 2 14 3 2" xfId="16934" xr:uid="{00000000-0005-0000-0000-000022420000}"/>
    <cellStyle name="40% - Accent4 5 2 14 4" xfId="16935" xr:uid="{00000000-0005-0000-0000-000023420000}"/>
    <cellStyle name="40% - Accent4 5 2 15" xfId="16936" xr:uid="{00000000-0005-0000-0000-000024420000}"/>
    <cellStyle name="40% - Accent4 5 2 15 2" xfId="16937" xr:uid="{00000000-0005-0000-0000-000025420000}"/>
    <cellStyle name="40% - Accent4 5 2 15 2 2" xfId="16938" xr:uid="{00000000-0005-0000-0000-000026420000}"/>
    <cellStyle name="40% - Accent4 5 2 15 3" xfId="16939" xr:uid="{00000000-0005-0000-0000-000027420000}"/>
    <cellStyle name="40% - Accent4 5 2 16" xfId="16940" xr:uid="{00000000-0005-0000-0000-000028420000}"/>
    <cellStyle name="40% - Accent4 5 2 16 2" xfId="16941" xr:uid="{00000000-0005-0000-0000-000029420000}"/>
    <cellStyle name="40% - Accent4 5 2 16 2 2" xfId="16942" xr:uid="{00000000-0005-0000-0000-00002A420000}"/>
    <cellStyle name="40% - Accent4 5 2 16 3" xfId="16943" xr:uid="{00000000-0005-0000-0000-00002B420000}"/>
    <cellStyle name="40% - Accent4 5 2 17" xfId="16944" xr:uid="{00000000-0005-0000-0000-00002C420000}"/>
    <cellStyle name="40% - Accent4 5 2 17 2" xfId="16945" xr:uid="{00000000-0005-0000-0000-00002D420000}"/>
    <cellStyle name="40% - Accent4 5 2 17 2 2" xfId="16946" xr:uid="{00000000-0005-0000-0000-00002E420000}"/>
    <cellStyle name="40% - Accent4 5 2 17 3" xfId="16947" xr:uid="{00000000-0005-0000-0000-00002F420000}"/>
    <cellStyle name="40% - Accent4 5 2 18" xfId="16948" xr:uid="{00000000-0005-0000-0000-000030420000}"/>
    <cellStyle name="40% - Accent4 5 2 18 2" xfId="16949" xr:uid="{00000000-0005-0000-0000-000031420000}"/>
    <cellStyle name="40% - Accent4 5 2 18 2 2" xfId="16950" xr:uid="{00000000-0005-0000-0000-000032420000}"/>
    <cellStyle name="40% - Accent4 5 2 18 3" xfId="16951" xr:uid="{00000000-0005-0000-0000-000033420000}"/>
    <cellStyle name="40% - Accent4 5 2 19" xfId="16952" xr:uid="{00000000-0005-0000-0000-000034420000}"/>
    <cellStyle name="40% - Accent4 5 2 19 2" xfId="16953" xr:uid="{00000000-0005-0000-0000-000035420000}"/>
    <cellStyle name="40% - Accent4 5 2 2" xfId="16954" xr:uid="{00000000-0005-0000-0000-000036420000}"/>
    <cellStyle name="40% - Accent4 5 2 2 10" xfId="16955" xr:uid="{00000000-0005-0000-0000-000037420000}"/>
    <cellStyle name="40% - Accent4 5 2 2 10 2" xfId="16956" xr:uid="{00000000-0005-0000-0000-000038420000}"/>
    <cellStyle name="40% - Accent4 5 2 2 10 2 2" xfId="16957" xr:uid="{00000000-0005-0000-0000-000039420000}"/>
    <cellStyle name="40% - Accent4 5 2 2 10 3" xfId="16958" xr:uid="{00000000-0005-0000-0000-00003A420000}"/>
    <cellStyle name="40% - Accent4 5 2 2 11" xfId="16959" xr:uid="{00000000-0005-0000-0000-00003B420000}"/>
    <cellStyle name="40% - Accent4 5 2 2 11 2" xfId="16960" xr:uid="{00000000-0005-0000-0000-00003C420000}"/>
    <cellStyle name="40% - Accent4 5 2 2 11 2 2" xfId="16961" xr:uid="{00000000-0005-0000-0000-00003D420000}"/>
    <cellStyle name="40% - Accent4 5 2 2 11 3" xfId="16962" xr:uid="{00000000-0005-0000-0000-00003E420000}"/>
    <cellStyle name="40% - Accent4 5 2 2 12" xfId="16963" xr:uid="{00000000-0005-0000-0000-00003F420000}"/>
    <cellStyle name="40% - Accent4 5 2 2 12 2" xfId="16964" xr:uid="{00000000-0005-0000-0000-000040420000}"/>
    <cellStyle name="40% - Accent4 5 2 2 12 2 2" xfId="16965" xr:uid="{00000000-0005-0000-0000-000041420000}"/>
    <cellStyle name="40% - Accent4 5 2 2 12 3" xfId="16966" xr:uid="{00000000-0005-0000-0000-000042420000}"/>
    <cellStyle name="40% - Accent4 5 2 2 13" xfId="16967" xr:uid="{00000000-0005-0000-0000-000043420000}"/>
    <cellStyle name="40% - Accent4 5 2 2 13 2" xfId="16968" xr:uid="{00000000-0005-0000-0000-000044420000}"/>
    <cellStyle name="40% - Accent4 5 2 2 14" xfId="16969" xr:uid="{00000000-0005-0000-0000-000045420000}"/>
    <cellStyle name="40% - Accent4 5 2 2 2" xfId="16970" xr:uid="{00000000-0005-0000-0000-000046420000}"/>
    <cellStyle name="40% - Accent4 5 2 2 2 2" xfId="16971" xr:uid="{00000000-0005-0000-0000-000047420000}"/>
    <cellStyle name="40% - Accent4 5 2 2 2 2 2" xfId="16972" xr:uid="{00000000-0005-0000-0000-000048420000}"/>
    <cellStyle name="40% - Accent4 5 2 2 2 2 2 2" xfId="16973" xr:uid="{00000000-0005-0000-0000-000049420000}"/>
    <cellStyle name="40% - Accent4 5 2 2 2 2 2 2 2" xfId="16974" xr:uid="{00000000-0005-0000-0000-00004A420000}"/>
    <cellStyle name="40% - Accent4 5 2 2 2 2 2 3" xfId="16975" xr:uid="{00000000-0005-0000-0000-00004B420000}"/>
    <cellStyle name="40% - Accent4 5 2 2 2 2 3" xfId="16976" xr:uid="{00000000-0005-0000-0000-00004C420000}"/>
    <cellStyle name="40% - Accent4 5 2 2 2 2 3 2" xfId="16977" xr:uid="{00000000-0005-0000-0000-00004D420000}"/>
    <cellStyle name="40% - Accent4 5 2 2 2 2 4" xfId="16978" xr:uid="{00000000-0005-0000-0000-00004E420000}"/>
    <cellStyle name="40% - Accent4 5 2 2 2 3" xfId="16979" xr:uid="{00000000-0005-0000-0000-00004F420000}"/>
    <cellStyle name="40% - Accent4 5 2 2 2 3 2" xfId="16980" xr:uid="{00000000-0005-0000-0000-000050420000}"/>
    <cellStyle name="40% - Accent4 5 2 2 2 3 2 2" xfId="16981" xr:uid="{00000000-0005-0000-0000-000051420000}"/>
    <cellStyle name="40% - Accent4 5 2 2 2 3 3" xfId="16982" xr:uid="{00000000-0005-0000-0000-000052420000}"/>
    <cellStyle name="40% - Accent4 5 2 2 2 4" xfId="16983" xr:uid="{00000000-0005-0000-0000-000053420000}"/>
    <cellStyle name="40% - Accent4 5 2 2 2 4 2" xfId="16984" xr:uid="{00000000-0005-0000-0000-000054420000}"/>
    <cellStyle name="40% - Accent4 5 2 2 2 4 2 2" xfId="16985" xr:uid="{00000000-0005-0000-0000-000055420000}"/>
    <cellStyle name="40% - Accent4 5 2 2 2 4 3" xfId="16986" xr:uid="{00000000-0005-0000-0000-000056420000}"/>
    <cellStyle name="40% - Accent4 5 2 2 2 5" xfId="16987" xr:uid="{00000000-0005-0000-0000-000057420000}"/>
    <cellStyle name="40% - Accent4 5 2 2 2 5 2" xfId="16988" xr:uid="{00000000-0005-0000-0000-000058420000}"/>
    <cellStyle name="40% - Accent4 5 2 2 2 5 2 2" xfId="16989" xr:uid="{00000000-0005-0000-0000-000059420000}"/>
    <cellStyle name="40% - Accent4 5 2 2 2 5 3" xfId="16990" xr:uid="{00000000-0005-0000-0000-00005A420000}"/>
    <cellStyle name="40% - Accent4 5 2 2 2 6" xfId="16991" xr:uid="{00000000-0005-0000-0000-00005B420000}"/>
    <cellStyle name="40% - Accent4 5 2 2 2 6 2" xfId="16992" xr:uid="{00000000-0005-0000-0000-00005C420000}"/>
    <cellStyle name="40% - Accent4 5 2 2 2 6 2 2" xfId="16993" xr:uid="{00000000-0005-0000-0000-00005D420000}"/>
    <cellStyle name="40% - Accent4 5 2 2 2 6 3" xfId="16994" xr:uid="{00000000-0005-0000-0000-00005E420000}"/>
    <cellStyle name="40% - Accent4 5 2 2 2 7" xfId="16995" xr:uid="{00000000-0005-0000-0000-00005F420000}"/>
    <cellStyle name="40% - Accent4 5 2 2 2 7 2" xfId="16996" xr:uid="{00000000-0005-0000-0000-000060420000}"/>
    <cellStyle name="40% - Accent4 5 2 2 2 8" xfId="16997" xr:uid="{00000000-0005-0000-0000-000061420000}"/>
    <cellStyle name="40% - Accent4 5 2 2 3" xfId="16998" xr:uid="{00000000-0005-0000-0000-000062420000}"/>
    <cellStyle name="40% - Accent4 5 2 2 3 2" xfId="16999" xr:uid="{00000000-0005-0000-0000-000063420000}"/>
    <cellStyle name="40% - Accent4 5 2 2 3 2 2" xfId="17000" xr:uid="{00000000-0005-0000-0000-000064420000}"/>
    <cellStyle name="40% - Accent4 5 2 2 3 2 2 2" xfId="17001" xr:uid="{00000000-0005-0000-0000-000065420000}"/>
    <cellStyle name="40% - Accent4 5 2 2 3 2 2 2 2" xfId="17002" xr:uid="{00000000-0005-0000-0000-000066420000}"/>
    <cellStyle name="40% - Accent4 5 2 2 3 2 2 3" xfId="17003" xr:uid="{00000000-0005-0000-0000-000067420000}"/>
    <cellStyle name="40% - Accent4 5 2 2 3 2 3" xfId="17004" xr:uid="{00000000-0005-0000-0000-000068420000}"/>
    <cellStyle name="40% - Accent4 5 2 2 3 2 3 2" xfId="17005" xr:uid="{00000000-0005-0000-0000-000069420000}"/>
    <cellStyle name="40% - Accent4 5 2 2 3 2 4" xfId="17006" xr:uid="{00000000-0005-0000-0000-00006A420000}"/>
    <cellStyle name="40% - Accent4 5 2 2 3 3" xfId="17007" xr:uid="{00000000-0005-0000-0000-00006B420000}"/>
    <cellStyle name="40% - Accent4 5 2 2 3 3 2" xfId="17008" xr:uid="{00000000-0005-0000-0000-00006C420000}"/>
    <cellStyle name="40% - Accent4 5 2 2 3 3 2 2" xfId="17009" xr:uid="{00000000-0005-0000-0000-00006D420000}"/>
    <cellStyle name="40% - Accent4 5 2 2 3 3 3" xfId="17010" xr:uid="{00000000-0005-0000-0000-00006E420000}"/>
    <cellStyle name="40% - Accent4 5 2 2 3 4" xfId="17011" xr:uid="{00000000-0005-0000-0000-00006F420000}"/>
    <cellStyle name="40% - Accent4 5 2 2 3 4 2" xfId="17012" xr:uid="{00000000-0005-0000-0000-000070420000}"/>
    <cellStyle name="40% - Accent4 5 2 2 3 4 2 2" xfId="17013" xr:uid="{00000000-0005-0000-0000-000071420000}"/>
    <cellStyle name="40% - Accent4 5 2 2 3 4 3" xfId="17014" xr:uid="{00000000-0005-0000-0000-000072420000}"/>
    <cellStyle name="40% - Accent4 5 2 2 3 5" xfId="17015" xr:uid="{00000000-0005-0000-0000-000073420000}"/>
    <cellStyle name="40% - Accent4 5 2 2 3 5 2" xfId="17016" xr:uid="{00000000-0005-0000-0000-000074420000}"/>
    <cellStyle name="40% - Accent4 5 2 2 3 5 2 2" xfId="17017" xr:uid="{00000000-0005-0000-0000-000075420000}"/>
    <cellStyle name="40% - Accent4 5 2 2 3 5 3" xfId="17018" xr:uid="{00000000-0005-0000-0000-000076420000}"/>
    <cellStyle name="40% - Accent4 5 2 2 3 6" xfId="17019" xr:uid="{00000000-0005-0000-0000-000077420000}"/>
    <cellStyle name="40% - Accent4 5 2 2 3 6 2" xfId="17020" xr:uid="{00000000-0005-0000-0000-000078420000}"/>
    <cellStyle name="40% - Accent4 5 2 2 3 6 2 2" xfId="17021" xr:uid="{00000000-0005-0000-0000-000079420000}"/>
    <cellStyle name="40% - Accent4 5 2 2 3 6 3" xfId="17022" xr:uid="{00000000-0005-0000-0000-00007A420000}"/>
    <cellStyle name="40% - Accent4 5 2 2 3 7" xfId="17023" xr:uid="{00000000-0005-0000-0000-00007B420000}"/>
    <cellStyle name="40% - Accent4 5 2 2 3 7 2" xfId="17024" xr:uid="{00000000-0005-0000-0000-00007C420000}"/>
    <cellStyle name="40% - Accent4 5 2 2 3 8" xfId="17025" xr:uid="{00000000-0005-0000-0000-00007D420000}"/>
    <cellStyle name="40% - Accent4 5 2 2 4" xfId="17026" xr:uid="{00000000-0005-0000-0000-00007E420000}"/>
    <cellStyle name="40% - Accent4 5 2 2 4 2" xfId="17027" xr:uid="{00000000-0005-0000-0000-00007F420000}"/>
    <cellStyle name="40% - Accent4 5 2 2 4 2 2" xfId="17028" xr:uid="{00000000-0005-0000-0000-000080420000}"/>
    <cellStyle name="40% - Accent4 5 2 2 4 2 2 2" xfId="17029" xr:uid="{00000000-0005-0000-0000-000081420000}"/>
    <cellStyle name="40% - Accent4 5 2 2 4 2 2 2 2" xfId="17030" xr:uid="{00000000-0005-0000-0000-000082420000}"/>
    <cellStyle name="40% - Accent4 5 2 2 4 2 2 3" xfId="17031" xr:uid="{00000000-0005-0000-0000-000083420000}"/>
    <cellStyle name="40% - Accent4 5 2 2 4 2 3" xfId="17032" xr:uid="{00000000-0005-0000-0000-000084420000}"/>
    <cellStyle name="40% - Accent4 5 2 2 4 2 3 2" xfId="17033" xr:uid="{00000000-0005-0000-0000-000085420000}"/>
    <cellStyle name="40% - Accent4 5 2 2 4 2 4" xfId="17034" xr:uid="{00000000-0005-0000-0000-000086420000}"/>
    <cellStyle name="40% - Accent4 5 2 2 4 3" xfId="17035" xr:uid="{00000000-0005-0000-0000-000087420000}"/>
    <cellStyle name="40% - Accent4 5 2 2 4 3 2" xfId="17036" xr:uid="{00000000-0005-0000-0000-000088420000}"/>
    <cellStyle name="40% - Accent4 5 2 2 4 3 2 2" xfId="17037" xr:uid="{00000000-0005-0000-0000-000089420000}"/>
    <cellStyle name="40% - Accent4 5 2 2 4 3 3" xfId="17038" xr:uid="{00000000-0005-0000-0000-00008A420000}"/>
    <cellStyle name="40% - Accent4 5 2 2 4 4" xfId="17039" xr:uid="{00000000-0005-0000-0000-00008B420000}"/>
    <cellStyle name="40% - Accent4 5 2 2 4 4 2" xfId="17040" xr:uid="{00000000-0005-0000-0000-00008C420000}"/>
    <cellStyle name="40% - Accent4 5 2 2 4 4 2 2" xfId="17041" xr:uid="{00000000-0005-0000-0000-00008D420000}"/>
    <cellStyle name="40% - Accent4 5 2 2 4 4 3" xfId="17042" xr:uid="{00000000-0005-0000-0000-00008E420000}"/>
    <cellStyle name="40% - Accent4 5 2 2 4 5" xfId="17043" xr:uid="{00000000-0005-0000-0000-00008F420000}"/>
    <cellStyle name="40% - Accent4 5 2 2 4 5 2" xfId="17044" xr:uid="{00000000-0005-0000-0000-000090420000}"/>
    <cellStyle name="40% - Accent4 5 2 2 4 5 2 2" xfId="17045" xr:uid="{00000000-0005-0000-0000-000091420000}"/>
    <cellStyle name="40% - Accent4 5 2 2 4 5 3" xfId="17046" xr:uid="{00000000-0005-0000-0000-000092420000}"/>
    <cellStyle name="40% - Accent4 5 2 2 4 6" xfId="17047" xr:uid="{00000000-0005-0000-0000-000093420000}"/>
    <cellStyle name="40% - Accent4 5 2 2 4 6 2" xfId="17048" xr:uid="{00000000-0005-0000-0000-000094420000}"/>
    <cellStyle name="40% - Accent4 5 2 2 4 6 2 2" xfId="17049" xr:uid="{00000000-0005-0000-0000-000095420000}"/>
    <cellStyle name="40% - Accent4 5 2 2 4 6 3" xfId="17050" xr:uid="{00000000-0005-0000-0000-000096420000}"/>
    <cellStyle name="40% - Accent4 5 2 2 4 7" xfId="17051" xr:uid="{00000000-0005-0000-0000-000097420000}"/>
    <cellStyle name="40% - Accent4 5 2 2 4 7 2" xfId="17052" xr:uid="{00000000-0005-0000-0000-000098420000}"/>
    <cellStyle name="40% - Accent4 5 2 2 4 8" xfId="17053" xr:uid="{00000000-0005-0000-0000-000099420000}"/>
    <cellStyle name="40% - Accent4 5 2 2 5" xfId="17054" xr:uid="{00000000-0005-0000-0000-00009A420000}"/>
    <cellStyle name="40% - Accent4 5 2 2 5 2" xfId="17055" xr:uid="{00000000-0005-0000-0000-00009B420000}"/>
    <cellStyle name="40% - Accent4 5 2 2 5 2 2" xfId="17056" xr:uid="{00000000-0005-0000-0000-00009C420000}"/>
    <cellStyle name="40% - Accent4 5 2 2 5 2 2 2" xfId="17057" xr:uid="{00000000-0005-0000-0000-00009D420000}"/>
    <cellStyle name="40% - Accent4 5 2 2 5 2 2 2 2" xfId="17058" xr:uid="{00000000-0005-0000-0000-00009E420000}"/>
    <cellStyle name="40% - Accent4 5 2 2 5 2 2 3" xfId="17059" xr:uid="{00000000-0005-0000-0000-00009F420000}"/>
    <cellStyle name="40% - Accent4 5 2 2 5 2 3" xfId="17060" xr:uid="{00000000-0005-0000-0000-0000A0420000}"/>
    <cellStyle name="40% - Accent4 5 2 2 5 2 3 2" xfId="17061" xr:uid="{00000000-0005-0000-0000-0000A1420000}"/>
    <cellStyle name="40% - Accent4 5 2 2 5 2 4" xfId="17062" xr:uid="{00000000-0005-0000-0000-0000A2420000}"/>
    <cellStyle name="40% - Accent4 5 2 2 5 3" xfId="17063" xr:uid="{00000000-0005-0000-0000-0000A3420000}"/>
    <cellStyle name="40% - Accent4 5 2 2 5 3 2" xfId="17064" xr:uid="{00000000-0005-0000-0000-0000A4420000}"/>
    <cellStyle name="40% - Accent4 5 2 2 5 3 2 2" xfId="17065" xr:uid="{00000000-0005-0000-0000-0000A5420000}"/>
    <cellStyle name="40% - Accent4 5 2 2 5 3 3" xfId="17066" xr:uid="{00000000-0005-0000-0000-0000A6420000}"/>
    <cellStyle name="40% - Accent4 5 2 2 5 4" xfId="17067" xr:uid="{00000000-0005-0000-0000-0000A7420000}"/>
    <cellStyle name="40% - Accent4 5 2 2 5 4 2" xfId="17068" xr:uid="{00000000-0005-0000-0000-0000A8420000}"/>
    <cellStyle name="40% - Accent4 5 2 2 5 5" xfId="17069" xr:uid="{00000000-0005-0000-0000-0000A9420000}"/>
    <cellStyle name="40% - Accent4 5 2 2 6" xfId="17070" xr:uid="{00000000-0005-0000-0000-0000AA420000}"/>
    <cellStyle name="40% - Accent4 5 2 2 6 2" xfId="17071" xr:uid="{00000000-0005-0000-0000-0000AB420000}"/>
    <cellStyle name="40% - Accent4 5 2 2 6 2 2" xfId="17072" xr:uid="{00000000-0005-0000-0000-0000AC420000}"/>
    <cellStyle name="40% - Accent4 5 2 2 6 2 2 2" xfId="17073" xr:uid="{00000000-0005-0000-0000-0000AD420000}"/>
    <cellStyle name="40% - Accent4 5 2 2 6 2 2 2 2" xfId="17074" xr:uid="{00000000-0005-0000-0000-0000AE420000}"/>
    <cellStyle name="40% - Accent4 5 2 2 6 2 2 3" xfId="17075" xr:uid="{00000000-0005-0000-0000-0000AF420000}"/>
    <cellStyle name="40% - Accent4 5 2 2 6 2 3" xfId="17076" xr:uid="{00000000-0005-0000-0000-0000B0420000}"/>
    <cellStyle name="40% - Accent4 5 2 2 6 2 3 2" xfId="17077" xr:uid="{00000000-0005-0000-0000-0000B1420000}"/>
    <cellStyle name="40% - Accent4 5 2 2 6 2 4" xfId="17078" xr:uid="{00000000-0005-0000-0000-0000B2420000}"/>
    <cellStyle name="40% - Accent4 5 2 2 6 3" xfId="17079" xr:uid="{00000000-0005-0000-0000-0000B3420000}"/>
    <cellStyle name="40% - Accent4 5 2 2 6 3 2" xfId="17080" xr:uid="{00000000-0005-0000-0000-0000B4420000}"/>
    <cellStyle name="40% - Accent4 5 2 2 6 3 2 2" xfId="17081" xr:uid="{00000000-0005-0000-0000-0000B5420000}"/>
    <cellStyle name="40% - Accent4 5 2 2 6 3 3" xfId="17082" xr:uid="{00000000-0005-0000-0000-0000B6420000}"/>
    <cellStyle name="40% - Accent4 5 2 2 6 4" xfId="17083" xr:uid="{00000000-0005-0000-0000-0000B7420000}"/>
    <cellStyle name="40% - Accent4 5 2 2 6 4 2" xfId="17084" xr:uid="{00000000-0005-0000-0000-0000B8420000}"/>
    <cellStyle name="40% - Accent4 5 2 2 6 5" xfId="17085" xr:uid="{00000000-0005-0000-0000-0000B9420000}"/>
    <cellStyle name="40% - Accent4 5 2 2 7" xfId="17086" xr:uid="{00000000-0005-0000-0000-0000BA420000}"/>
    <cellStyle name="40% - Accent4 5 2 2 7 2" xfId="17087" xr:uid="{00000000-0005-0000-0000-0000BB420000}"/>
    <cellStyle name="40% - Accent4 5 2 2 7 2 2" xfId="17088" xr:uid="{00000000-0005-0000-0000-0000BC420000}"/>
    <cellStyle name="40% - Accent4 5 2 2 7 2 2 2" xfId="17089" xr:uid="{00000000-0005-0000-0000-0000BD420000}"/>
    <cellStyle name="40% - Accent4 5 2 2 7 2 3" xfId="17090" xr:uid="{00000000-0005-0000-0000-0000BE420000}"/>
    <cellStyle name="40% - Accent4 5 2 2 7 3" xfId="17091" xr:uid="{00000000-0005-0000-0000-0000BF420000}"/>
    <cellStyle name="40% - Accent4 5 2 2 7 3 2" xfId="17092" xr:uid="{00000000-0005-0000-0000-0000C0420000}"/>
    <cellStyle name="40% - Accent4 5 2 2 7 4" xfId="17093" xr:uid="{00000000-0005-0000-0000-0000C1420000}"/>
    <cellStyle name="40% - Accent4 5 2 2 8" xfId="17094" xr:uid="{00000000-0005-0000-0000-0000C2420000}"/>
    <cellStyle name="40% - Accent4 5 2 2 8 2" xfId="17095" xr:uid="{00000000-0005-0000-0000-0000C3420000}"/>
    <cellStyle name="40% - Accent4 5 2 2 8 2 2" xfId="17096" xr:uid="{00000000-0005-0000-0000-0000C4420000}"/>
    <cellStyle name="40% - Accent4 5 2 2 8 2 2 2" xfId="17097" xr:uid="{00000000-0005-0000-0000-0000C5420000}"/>
    <cellStyle name="40% - Accent4 5 2 2 8 2 3" xfId="17098" xr:uid="{00000000-0005-0000-0000-0000C6420000}"/>
    <cellStyle name="40% - Accent4 5 2 2 8 3" xfId="17099" xr:uid="{00000000-0005-0000-0000-0000C7420000}"/>
    <cellStyle name="40% - Accent4 5 2 2 8 3 2" xfId="17100" xr:uid="{00000000-0005-0000-0000-0000C8420000}"/>
    <cellStyle name="40% - Accent4 5 2 2 8 4" xfId="17101" xr:uid="{00000000-0005-0000-0000-0000C9420000}"/>
    <cellStyle name="40% - Accent4 5 2 2 9" xfId="17102" xr:uid="{00000000-0005-0000-0000-0000CA420000}"/>
    <cellStyle name="40% - Accent4 5 2 2 9 2" xfId="17103" xr:uid="{00000000-0005-0000-0000-0000CB420000}"/>
    <cellStyle name="40% - Accent4 5 2 2 9 2 2" xfId="17104" xr:uid="{00000000-0005-0000-0000-0000CC420000}"/>
    <cellStyle name="40% - Accent4 5 2 2 9 3" xfId="17105" xr:uid="{00000000-0005-0000-0000-0000CD420000}"/>
    <cellStyle name="40% - Accent4 5 2 20" xfId="17106" xr:uid="{00000000-0005-0000-0000-0000CE420000}"/>
    <cellStyle name="40% - Accent4 5 2 3" xfId="17107" xr:uid="{00000000-0005-0000-0000-0000CF420000}"/>
    <cellStyle name="40% - Accent4 5 2 3 10" xfId="17108" xr:uid="{00000000-0005-0000-0000-0000D0420000}"/>
    <cellStyle name="40% - Accent4 5 2 3 10 2" xfId="17109" xr:uid="{00000000-0005-0000-0000-0000D1420000}"/>
    <cellStyle name="40% - Accent4 5 2 3 10 2 2" xfId="17110" xr:uid="{00000000-0005-0000-0000-0000D2420000}"/>
    <cellStyle name="40% - Accent4 5 2 3 10 3" xfId="17111" xr:uid="{00000000-0005-0000-0000-0000D3420000}"/>
    <cellStyle name="40% - Accent4 5 2 3 11" xfId="17112" xr:uid="{00000000-0005-0000-0000-0000D4420000}"/>
    <cellStyle name="40% - Accent4 5 2 3 11 2" xfId="17113" xr:uid="{00000000-0005-0000-0000-0000D5420000}"/>
    <cellStyle name="40% - Accent4 5 2 3 11 2 2" xfId="17114" xr:uid="{00000000-0005-0000-0000-0000D6420000}"/>
    <cellStyle name="40% - Accent4 5 2 3 11 3" xfId="17115" xr:uid="{00000000-0005-0000-0000-0000D7420000}"/>
    <cellStyle name="40% - Accent4 5 2 3 12" xfId="17116" xr:uid="{00000000-0005-0000-0000-0000D8420000}"/>
    <cellStyle name="40% - Accent4 5 2 3 12 2" xfId="17117" xr:uid="{00000000-0005-0000-0000-0000D9420000}"/>
    <cellStyle name="40% - Accent4 5 2 3 12 2 2" xfId="17118" xr:uid="{00000000-0005-0000-0000-0000DA420000}"/>
    <cellStyle name="40% - Accent4 5 2 3 12 3" xfId="17119" xr:uid="{00000000-0005-0000-0000-0000DB420000}"/>
    <cellStyle name="40% - Accent4 5 2 3 13" xfId="17120" xr:uid="{00000000-0005-0000-0000-0000DC420000}"/>
    <cellStyle name="40% - Accent4 5 2 3 13 2" xfId="17121" xr:uid="{00000000-0005-0000-0000-0000DD420000}"/>
    <cellStyle name="40% - Accent4 5 2 3 14" xfId="17122" xr:uid="{00000000-0005-0000-0000-0000DE420000}"/>
    <cellStyle name="40% - Accent4 5 2 3 2" xfId="17123" xr:uid="{00000000-0005-0000-0000-0000DF420000}"/>
    <cellStyle name="40% - Accent4 5 2 3 2 2" xfId="17124" xr:uid="{00000000-0005-0000-0000-0000E0420000}"/>
    <cellStyle name="40% - Accent4 5 2 3 2 2 2" xfId="17125" xr:uid="{00000000-0005-0000-0000-0000E1420000}"/>
    <cellStyle name="40% - Accent4 5 2 3 2 2 2 2" xfId="17126" xr:uid="{00000000-0005-0000-0000-0000E2420000}"/>
    <cellStyle name="40% - Accent4 5 2 3 2 2 2 2 2" xfId="17127" xr:uid="{00000000-0005-0000-0000-0000E3420000}"/>
    <cellStyle name="40% - Accent4 5 2 3 2 2 2 3" xfId="17128" xr:uid="{00000000-0005-0000-0000-0000E4420000}"/>
    <cellStyle name="40% - Accent4 5 2 3 2 2 3" xfId="17129" xr:uid="{00000000-0005-0000-0000-0000E5420000}"/>
    <cellStyle name="40% - Accent4 5 2 3 2 2 3 2" xfId="17130" xr:uid="{00000000-0005-0000-0000-0000E6420000}"/>
    <cellStyle name="40% - Accent4 5 2 3 2 2 4" xfId="17131" xr:uid="{00000000-0005-0000-0000-0000E7420000}"/>
    <cellStyle name="40% - Accent4 5 2 3 2 3" xfId="17132" xr:uid="{00000000-0005-0000-0000-0000E8420000}"/>
    <cellStyle name="40% - Accent4 5 2 3 2 3 2" xfId="17133" xr:uid="{00000000-0005-0000-0000-0000E9420000}"/>
    <cellStyle name="40% - Accent4 5 2 3 2 3 2 2" xfId="17134" xr:uid="{00000000-0005-0000-0000-0000EA420000}"/>
    <cellStyle name="40% - Accent4 5 2 3 2 3 3" xfId="17135" xr:uid="{00000000-0005-0000-0000-0000EB420000}"/>
    <cellStyle name="40% - Accent4 5 2 3 2 4" xfId="17136" xr:uid="{00000000-0005-0000-0000-0000EC420000}"/>
    <cellStyle name="40% - Accent4 5 2 3 2 4 2" xfId="17137" xr:uid="{00000000-0005-0000-0000-0000ED420000}"/>
    <cellStyle name="40% - Accent4 5 2 3 2 4 2 2" xfId="17138" xr:uid="{00000000-0005-0000-0000-0000EE420000}"/>
    <cellStyle name="40% - Accent4 5 2 3 2 4 3" xfId="17139" xr:uid="{00000000-0005-0000-0000-0000EF420000}"/>
    <cellStyle name="40% - Accent4 5 2 3 2 5" xfId="17140" xr:uid="{00000000-0005-0000-0000-0000F0420000}"/>
    <cellStyle name="40% - Accent4 5 2 3 2 5 2" xfId="17141" xr:uid="{00000000-0005-0000-0000-0000F1420000}"/>
    <cellStyle name="40% - Accent4 5 2 3 2 5 2 2" xfId="17142" xr:uid="{00000000-0005-0000-0000-0000F2420000}"/>
    <cellStyle name="40% - Accent4 5 2 3 2 5 3" xfId="17143" xr:uid="{00000000-0005-0000-0000-0000F3420000}"/>
    <cellStyle name="40% - Accent4 5 2 3 2 6" xfId="17144" xr:uid="{00000000-0005-0000-0000-0000F4420000}"/>
    <cellStyle name="40% - Accent4 5 2 3 2 6 2" xfId="17145" xr:uid="{00000000-0005-0000-0000-0000F5420000}"/>
    <cellStyle name="40% - Accent4 5 2 3 2 6 2 2" xfId="17146" xr:uid="{00000000-0005-0000-0000-0000F6420000}"/>
    <cellStyle name="40% - Accent4 5 2 3 2 6 3" xfId="17147" xr:uid="{00000000-0005-0000-0000-0000F7420000}"/>
    <cellStyle name="40% - Accent4 5 2 3 2 7" xfId="17148" xr:uid="{00000000-0005-0000-0000-0000F8420000}"/>
    <cellStyle name="40% - Accent4 5 2 3 2 7 2" xfId="17149" xr:uid="{00000000-0005-0000-0000-0000F9420000}"/>
    <cellStyle name="40% - Accent4 5 2 3 2 8" xfId="17150" xr:uid="{00000000-0005-0000-0000-0000FA420000}"/>
    <cellStyle name="40% - Accent4 5 2 3 3" xfId="17151" xr:uid="{00000000-0005-0000-0000-0000FB420000}"/>
    <cellStyle name="40% - Accent4 5 2 3 3 2" xfId="17152" xr:uid="{00000000-0005-0000-0000-0000FC420000}"/>
    <cellStyle name="40% - Accent4 5 2 3 3 2 2" xfId="17153" xr:uid="{00000000-0005-0000-0000-0000FD420000}"/>
    <cellStyle name="40% - Accent4 5 2 3 3 2 2 2" xfId="17154" xr:uid="{00000000-0005-0000-0000-0000FE420000}"/>
    <cellStyle name="40% - Accent4 5 2 3 3 2 2 2 2" xfId="17155" xr:uid="{00000000-0005-0000-0000-0000FF420000}"/>
    <cellStyle name="40% - Accent4 5 2 3 3 2 2 3" xfId="17156" xr:uid="{00000000-0005-0000-0000-000000430000}"/>
    <cellStyle name="40% - Accent4 5 2 3 3 2 3" xfId="17157" xr:uid="{00000000-0005-0000-0000-000001430000}"/>
    <cellStyle name="40% - Accent4 5 2 3 3 2 3 2" xfId="17158" xr:uid="{00000000-0005-0000-0000-000002430000}"/>
    <cellStyle name="40% - Accent4 5 2 3 3 2 4" xfId="17159" xr:uid="{00000000-0005-0000-0000-000003430000}"/>
    <cellStyle name="40% - Accent4 5 2 3 3 3" xfId="17160" xr:uid="{00000000-0005-0000-0000-000004430000}"/>
    <cellStyle name="40% - Accent4 5 2 3 3 3 2" xfId="17161" xr:uid="{00000000-0005-0000-0000-000005430000}"/>
    <cellStyle name="40% - Accent4 5 2 3 3 3 2 2" xfId="17162" xr:uid="{00000000-0005-0000-0000-000006430000}"/>
    <cellStyle name="40% - Accent4 5 2 3 3 3 3" xfId="17163" xr:uid="{00000000-0005-0000-0000-000007430000}"/>
    <cellStyle name="40% - Accent4 5 2 3 3 4" xfId="17164" xr:uid="{00000000-0005-0000-0000-000008430000}"/>
    <cellStyle name="40% - Accent4 5 2 3 3 4 2" xfId="17165" xr:uid="{00000000-0005-0000-0000-000009430000}"/>
    <cellStyle name="40% - Accent4 5 2 3 3 4 2 2" xfId="17166" xr:uid="{00000000-0005-0000-0000-00000A430000}"/>
    <cellStyle name="40% - Accent4 5 2 3 3 4 3" xfId="17167" xr:uid="{00000000-0005-0000-0000-00000B430000}"/>
    <cellStyle name="40% - Accent4 5 2 3 3 5" xfId="17168" xr:uid="{00000000-0005-0000-0000-00000C430000}"/>
    <cellStyle name="40% - Accent4 5 2 3 3 5 2" xfId="17169" xr:uid="{00000000-0005-0000-0000-00000D430000}"/>
    <cellStyle name="40% - Accent4 5 2 3 3 5 2 2" xfId="17170" xr:uid="{00000000-0005-0000-0000-00000E430000}"/>
    <cellStyle name="40% - Accent4 5 2 3 3 5 3" xfId="17171" xr:uid="{00000000-0005-0000-0000-00000F430000}"/>
    <cellStyle name="40% - Accent4 5 2 3 3 6" xfId="17172" xr:uid="{00000000-0005-0000-0000-000010430000}"/>
    <cellStyle name="40% - Accent4 5 2 3 3 6 2" xfId="17173" xr:uid="{00000000-0005-0000-0000-000011430000}"/>
    <cellStyle name="40% - Accent4 5 2 3 3 6 2 2" xfId="17174" xr:uid="{00000000-0005-0000-0000-000012430000}"/>
    <cellStyle name="40% - Accent4 5 2 3 3 6 3" xfId="17175" xr:uid="{00000000-0005-0000-0000-000013430000}"/>
    <cellStyle name="40% - Accent4 5 2 3 3 7" xfId="17176" xr:uid="{00000000-0005-0000-0000-000014430000}"/>
    <cellStyle name="40% - Accent4 5 2 3 3 7 2" xfId="17177" xr:uid="{00000000-0005-0000-0000-000015430000}"/>
    <cellStyle name="40% - Accent4 5 2 3 3 8" xfId="17178" xr:uid="{00000000-0005-0000-0000-000016430000}"/>
    <cellStyle name="40% - Accent4 5 2 3 4" xfId="17179" xr:uid="{00000000-0005-0000-0000-000017430000}"/>
    <cellStyle name="40% - Accent4 5 2 3 4 2" xfId="17180" xr:uid="{00000000-0005-0000-0000-000018430000}"/>
    <cellStyle name="40% - Accent4 5 2 3 4 2 2" xfId="17181" xr:uid="{00000000-0005-0000-0000-000019430000}"/>
    <cellStyle name="40% - Accent4 5 2 3 4 2 2 2" xfId="17182" xr:uid="{00000000-0005-0000-0000-00001A430000}"/>
    <cellStyle name="40% - Accent4 5 2 3 4 2 2 2 2" xfId="17183" xr:uid="{00000000-0005-0000-0000-00001B430000}"/>
    <cellStyle name="40% - Accent4 5 2 3 4 2 2 3" xfId="17184" xr:uid="{00000000-0005-0000-0000-00001C430000}"/>
    <cellStyle name="40% - Accent4 5 2 3 4 2 3" xfId="17185" xr:uid="{00000000-0005-0000-0000-00001D430000}"/>
    <cellStyle name="40% - Accent4 5 2 3 4 2 3 2" xfId="17186" xr:uid="{00000000-0005-0000-0000-00001E430000}"/>
    <cellStyle name="40% - Accent4 5 2 3 4 2 4" xfId="17187" xr:uid="{00000000-0005-0000-0000-00001F430000}"/>
    <cellStyle name="40% - Accent4 5 2 3 4 3" xfId="17188" xr:uid="{00000000-0005-0000-0000-000020430000}"/>
    <cellStyle name="40% - Accent4 5 2 3 4 3 2" xfId="17189" xr:uid="{00000000-0005-0000-0000-000021430000}"/>
    <cellStyle name="40% - Accent4 5 2 3 4 3 2 2" xfId="17190" xr:uid="{00000000-0005-0000-0000-000022430000}"/>
    <cellStyle name="40% - Accent4 5 2 3 4 3 3" xfId="17191" xr:uid="{00000000-0005-0000-0000-000023430000}"/>
    <cellStyle name="40% - Accent4 5 2 3 4 4" xfId="17192" xr:uid="{00000000-0005-0000-0000-000024430000}"/>
    <cellStyle name="40% - Accent4 5 2 3 4 4 2" xfId="17193" xr:uid="{00000000-0005-0000-0000-000025430000}"/>
    <cellStyle name="40% - Accent4 5 2 3 4 4 2 2" xfId="17194" xr:uid="{00000000-0005-0000-0000-000026430000}"/>
    <cellStyle name="40% - Accent4 5 2 3 4 4 3" xfId="17195" xr:uid="{00000000-0005-0000-0000-000027430000}"/>
    <cellStyle name="40% - Accent4 5 2 3 4 5" xfId="17196" xr:uid="{00000000-0005-0000-0000-000028430000}"/>
    <cellStyle name="40% - Accent4 5 2 3 4 5 2" xfId="17197" xr:uid="{00000000-0005-0000-0000-000029430000}"/>
    <cellStyle name="40% - Accent4 5 2 3 4 5 2 2" xfId="17198" xr:uid="{00000000-0005-0000-0000-00002A430000}"/>
    <cellStyle name="40% - Accent4 5 2 3 4 5 3" xfId="17199" xr:uid="{00000000-0005-0000-0000-00002B430000}"/>
    <cellStyle name="40% - Accent4 5 2 3 4 6" xfId="17200" xr:uid="{00000000-0005-0000-0000-00002C430000}"/>
    <cellStyle name="40% - Accent4 5 2 3 4 6 2" xfId="17201" xr:uid="{00000000-0005-0000-0000-00002D430000}"/>
    <cellStyle name="40% - Accent4 5 2 3 4 6 2 2" xfId="17202" xr:uid="{00000000-0005-0000-0000-00002E430000}"/>
    <cellStyle name="40% - Accent4 5 2 3 4 6 3" xfId="17203" xr:uid="{00000000-0005-0000-0000-00002F430000}"/>
    <cellStyle name="40% - Accent4 5 2 3 4 7" xfId="17204" xr:uid="{00000000-0005-0000-0000-000030430000}"/>
    <cellStyle name="40% - Accent4 5 2 3 4 7 2" xfId="17205" xr:uid="{00000000-0005-0000-0000-000031430000}"/>
    <cellStyle name="40% - Accent4 5 2 3 4 8" xfId="17206" xr:uid="{00000000-0005-0000-0000-000032430000}"/>
    <cellStyle name="40% - Accent4 5 2 3 5" xfId="17207" xr:uid="{00000000-0005-0000-0000-000033430000}"/>
    <cellStyle name="40% - Accent4 5 2 3 5 2" xfId="17208" xr:uid="{00000000-0005-0000-0000-000034430000}"/>
    <cellStyle name="40% - Accent4 5 2 3 5 2 2" xfId="17209" xr:uid="{00000000-0005-0000-0000-000035430000}"/>
    <cellStyle name="40% - Accent4 5 2 3 5 2 2 2" xfId="17210" xr:uid="{00000000-0005-0000-0000-000036430000}"/>
    <cellStyle name="40% - Accent4 5 2 3 5 2 2 2 2" xfId="17211" xr:uid="{00000000-0005-0000-0000-000037430000}"/>
    <cellStyle name="40% - Accent4 5 2 3 5 2 2 3" xfId="17212" xr:uid="{00000000-0005-0000-0000-000038430000}"/>
    <cellStyle name="40% - Accent4 5 2 3 5 2 3" xfId="17213" xr:uid="{00000000-0005-0000-0000-000039430000}"/>
    <cellStyle name="40% - Accent4 5 2 3 5 2 3 2" xfId="17214" xr:uid="{00000000-0005-0000-0000-00003A430000}"/>
    <cellStyle name="40% - Accent4 5 2 3 5 2 4" xfId="17215" xr:uid="{00000000-0005-0000-0000-00003B430000}"/>
    <cellStyle name="40% - Accent4 5 2 3 5 3" xfId="17216" xr:uid="{00000000-0005-0000-0000-00003C430000}"/>
    <cellStyle name="40% - Accent4 5 2 3 5 3 2" xfId="17217" xr:uid="{00000000-0005-0000-0000-00003D430000}"/>
    <cellStyle name="40% - Accent4 5 2 3 5 3 2 2" xfId="17218" xr:uid="{00000000-0005-0000-0000-00003E430000}"/>
    <cellStyle name="40% - Accent4 5 2 3 5 3 3" xfId="17219" xr:uid="{00000000-0005-0000-0000-00003F430000}"/>
    <cellStyle name="40% - Accent4 5 2 3 5 4" xfId="17220" xr:uid="{00000000-0005-0000-0000-000040430000}"/>
    <cellStyle name="40% - Accent4 5 2 3 5 4 2" xfId="17221" xr:uid="{00000000-0005-0000-0000-000041430000}"/>
    <cellStyle name="40% - Accent4 5 2 3 5 5" xfId="17222" xr:uid="{00000000-0005-0000-0000-000042430000}"/>
    <cellStyle name="40% - Accent4 5 2 3 6" xfId="17223" xr:uid="{00000000-0005-0000-0000-000043430000}"/>
    <cellStyle name="40% - Accent4 5 2 3 6 2" xfId="17224" xr:uid="{00000000-0005-0000-0000-000044430000}"/>
    <cellStyle name="40% - Accent4 5 2 3 6 2 2" xfId="17225" xr:uid="{00000000-0005-0000-0000-000045430000}"/>
    <cellStyle name="40% - Accent4 5 2 3 6 2 2 2" xfId="17226" xr:uid="{00000000-0005-0000-0000-000046430000}"/>
    <cellStyle name="40% - Accent4 5 2 3 6 2 2 2 2" xfId="17227" xr:uid="{00000000-0005-0000-0000-000047430000}"/>
    <cellStyle name="40% - Accent4 5 2 3 6 2 2 3" xfId="17228" xr:uid="{00000000-0005-0000-0000-000048430000}"/>
    <cellStyle name="40% - Accent4 5 2 3 6 2 3" xfId="17229" xr:uid="{00000000-0005-0000-0000-000049430000}"/>
    <cellStyle name="40% - Accent4 5 2 3 6 2 3 2" xfId="17230" xr:uid="{00000000-0005-0000-0000-00004A430000}"/>
    <cellStyle name="40% - Accent4 5 2 3 6 2 4" xfId="17231" xr:uid="{00000000-0005-0000-0000-00004B430000}"/>
    <cellStyle name="40% - Accent4 5 2 3 6 3" xfId="17232" xr:uid="{00000000-0005-0000-0000-00004C430000}"/>
    <cellStyle name="40% - Accent4 5 2 3 6 3 2" xfId="17233" xr:uid="{00000000-0005-0000-0000-00004D430000}"/>
    <cellStyle name="40% - Accent4 5 2 3 6 3 2 2" xfId="17234" xr:uid="{00000000-0005-0000-0000-00004E430000}"/>
    <cellStyle name="40% - Accent4 5 2 3 6 3 3" xfId="17235" xr:uid="{00000000-0005-0000-0000-00004F430000}"/>
    <cellStyle name="40% - Accent4 5 2 3 6 4" xfId="17236" xr:uid="{00000000-0005-0000-0000-000050430000}"/>
    <cellStyle name="40% - Accent4 5 2 3 6 4 2" xfId="17237" xr:uid="{00000000-0005-0000-0000-000051430000}"/>
    <cellStyle name="40% - Accent4 5 2 3 6 5" xfId="17238" xr:uid="{00000000-0005-0000-0000-000052430000}"/>
    <cellStyle name="40% - Accent4 5 2 3 7" xfId="17239" xr:uid="{00000000-0005-0000-0000-000053430000}"/>
    <cellStyle name="40% - Accent4 5 2 3 7 2" xfId="17240" xr:uid="{00000000-0005-0000-0000-000054430000}"/>
    <cellStyle name="40% - Accent4 5 2 3 7 2 2" xfId="17241" xr:uid="{00000000-0005-0000-0000-000055430000}"/>
    <cellStyle name="40% - Accent4 5 2 3 7 2 2 2" xfId="17242" xr:uid="{00000000-0005-0000-0000-000056430000}"/>
    <cellStyle name="40% - Accent4 5 2 3 7 2 3" xfId="17243" xr:uid="{00000000-0005-0000-0000-000057430000}"/>
    <cellStyle name="40% - Accent4 5 2 3 7 3" xfId="17244" xr:uid="{00000000-0005-0000-0000-000058430000}"/>
    <cellStyle name="40% - Accent4 5 2 3 7 3 2" xfId="17245" xr:uid="{00000000-0005-0000-0000-000059430000}"/>
    <cellStyle name="40% - Accent4 5 2 3 7 4" xfId="17246" xr:uid="{00000000-0005-0000-0000-00005A430000}"/>
    <cellStyle name="40% - Accent4 5 2 3 8" xfId="17247" xr:uid="{00000000-0005-0000-0000-00005B430000}"/>
    <cellStyle name="40% - Accent4 5 2 3 8 2" xfId="17248" xr:uid="{00000000-0005-0000-0000-00005C430000}"/>
    <cellStyle name="40% - Accent4 5 2 3 8 2 2" xfId="17249" xr:uid="{00000000-0005-0000-0000-00005D430000}"/>
    <cellStyle name="40% - Accent4 5 2 3 8 2 2 2" xfId="17250" xr:uid="{00000000-0005-0000-0000-00005E430000}"/>
    <cellStyle name="40% - Accent4 5 2 3 8 2 3" xfId="17251" xr:uid="{00000000-0005-0000-0000-00005F430000}"/>
    <cellStyle name="40% - Accent4 5 2 3 8 3" xfId="17252" xr:uid="{00000000-0005-0000-0000-000060430000}"/>
    <cellStyle name="40% - Accent4 5 2 3 8 3 2" xfId="17253" xr:uid="{00000000-0005-0000-0000-000061430000}"/>
    <cellStyle name="40% - Accent4 5 2 3 8 4" xfId="17254" xr:uid="{00000000-0005-0000-0000-000062430000}"/>
    <cellStyle name="40% - Accent4 5 2 3 9" xfId="17255" xr:uid="{00000000-0005-0000-0000-000063430000}"/>
    <cellStyle name="40% - Accent4 5 2 3 9 2" xfId="17256" xr:uid="{00000000-0005-0000-0000-000064430000}"/>
    <cellStyle name="40% - Accent4 5 2 3 9 2 2" xfId="17257" xr:uid="{00000000-0005-0000-0000-000065430000}"/>
    <cellStyle name="40% - Accent4 5 2 3 9 3" xfId="17258" xr:uid="{00000000-0005-0000-0000-000066430000}"/>
    <cellStyle name="40% - Accent4 5 2 4" xfId="17259" xr:uid="{00000000-0005-0000-0000-000067430000}"/>
    <cellStyle name="40% - Accent4 5 2 4 10" xfId="17260" xr:uid="{00000000-0005-0000-0000-000068430000}"/>
    <cellStyle name="40% - Accent4 5 2 4 10 2" xfId="17261" xr:uid="{00000000-0005-0000-0000-000069430000}"/>
    <cellStyle name="40% - Accent4 5 2 4 10 2 2" xfId="17262" xr:uid="{00000000-0005-0000-0000-00006A430000}"/>
    <cellStyle name="40% - Accent4 5 2 4 10 3" xfId="17263" xr:uid="{00000000-0005-0000-0000-00006B430000}"/>
    <cellStyle name="40% - Accent4 5 2 4 11" xfId="17264" xr:uid="{00000000-0005-0000-0000-00006C430000}"/>
    <cellStyle name="40% - Accent4 5 2 4 11 2" xfId="17265" xr:uid="{00000000-0005-0000-0000-00006D430000}"/>
    <cellStyle name="40% - Accent4 5 2 4 11 2 2" xfId="17266" xr:uid="{00000000-0005-0000-0000-00006E430000}"/>
    <cellStyle name="40% - Accent4 5 2 4 11 3" xfId="17267" xr:uid="{00000000-0005-0000-0000-00006F430000}"/>
    <cellStyle name="40% - Accent4 5 2 4 12" xfId="17268" xr:uid="{00000000-0005-0000-0000-000070430000}"/>
    <cellStyle name="40% - Accent4 5 2 4 12 2" xfId="17269" xr:uid="{00000000-0005-0000-0000-000071430000}"/>
    <cellStyle name="40% - Accent4 5 2 4 12 2 2" xfId="17270" xr:uid="{00000000-0005-0000-0000-000072430000}"/>
    <cellStyle name="40% - Accent4 5 2 4 12 3" xfId="17271" xr:uid="{00000000-0005-0000-0000-000073430000}"/>
    <cellStyle name="40% - Accent4 5 2 4 13" xfId="17272" xr:uid="{00000000-0005-0000-0000-000074430000}"/>
    <cellStyle name="40% - Accent4 5 2 4 13 2" xfId="17273" xr:uid="{00000000-0005-0000-0000-000075430000}"/>
    <cellStyle name="40% - Accent4 5 2 4 14" xfId="17274" xr:uid="{00000000-0005-0000-0000-000076430000}"/>
    <cellStyle name="40% - Accent4 5 2 4 2" xfId="17275" xr:uid="{00000000-0005-0000-0000-000077430000}"/>
    <cellStyle name="40% - Accent4 5 2 4 2 2" xfId="17276" xr:uid="{00000000-0005-0000-0000-000078430000}"/>
    <cellStyle name="40% - Accent4 5 2 4 2 2 2" xfId="17277" xr:uid="{00000000-0005-0000-0000-000079430000}"/>
    <cellStyle name="40% - Accent4 5 2 4 2 2 2 2" xfId="17278" xr:uid="{00000000-0005-0000-0000-00007A430000}"/>
    <cellStyle name="40% - Accent4 5 2 4 2 2 2 2 2" xfId="17279" xr:uid="{00000000-0005-0000-0000-00007B430000}"/>
    <cellStyle name="40% - Accent4 5 2 4 2 2 2 3" xfId="17280" xr:uid="{00000000-0005-0000-0000-00007C430000}"/>
    <cellStyle name="40% - Accent4 5 2 4 2 2 3" xfId="17281" xr:uid="{00000000-0005-0000-0000-00007D430000}"/>
    <cellStyle name="40% - Accent4 5 2 4 2 2 3 2" xfId="17282" xr:uid="{00000000-0005-0000-0000-00007E430000}"/>
    <cellStyle name="40% - Accent4 5 2 4 2 2 4" xfId="17283" xr:uid="{00000000-0005-0000-0000-00007F430000}"/>
    <cellStyle name="40% - Accent4 5 2 4 2 3" xfId="17284" xr:uid="{00000000-0005-0000-0000-000080430000}"/>
    <cellStyle name="40% - Accent4 5 2 4 2 3 2" xfId="17285" xr:uid="{00000000-0005-0000-0000-000081430000}"/>
    <cellStyle name="40% - Accent4 5 2 4 2 3 2 2" xfId="17286" xr:uid="{00000000-0005-0000-0000-000082430000}"/>
    <cellStyle name="40% - Accent4 5 2 4 2 3 3" xfId="17287" xr:uid="{00000000-0005-0000-0000-000083430000}"/>
    <cellStyle name="40% - Accent4 5 2 4 2 4" xfId="17288" xr:uid="{00000000-0005-0000-0000-000084430000}"/>
    <cellStyle name="40% - Accent4 5 2 4 2 4 2" xfId="17289" xr:uid="{00000000-0005-0000-0000-000085430000}"/>
    <cellStyle name="40% - Accent4 5 2 4 2 4 2 2" xfId="17290" xr:uid="{00000000-0005-0000-0000-000086430000}"/>
    <cellStyle name="40% - Accent4 5 2 4 2 4 3" xfId="17291" xr:uid="{00000000-0005-0000-0000-000087430000}"/>
    <cellStyle name="40% - Accent4 5 2 4 2 5" xfId="17292" xr:uid="{00000000-0005-0000-0000-000088430000}"/>
    <cellStyle name="40% - Accent4 5 2 4 2 5 2" xfId="17293" xr:uid="{00000000-0005-0000-0000-000089430000}"/>
    <cellStyle name="40% - Accent4 5 2 4 2 5 2 2" xfId="17294" xr:uid="{00000000-0005-0000-0000-00008A430000}"/>
    <cellStyle name="40% - Accent4 5 2 4 2 5 3" xfId="17295" xr:uid="{00000000-0005-0000-0000-00008B430000}"/>
    <cellStyle name="40% - Accent4 5 2 4 2 6" xfId="17296" xr:uid="{00000000-0005-0000-0000-00008C430000}"/>
    <cellStyle name="40% - Accent4 5 2 4 2 6 2" xfId="17297" xr:uid="{00000000-0005-0000-0000-00008D430000}"/>
    <cellStyle name="40% - Accent4 5 2 4 2 6 2 2" xfId="17298" xr:uid="{00000000-0005-0000-0000-00008E430000}"/>
    <cellStyle name="40% - Accent4 5 2 4 2 6 3" xfId="17299" xr:uid="{00000000-0005-0000-0000-00008F430000}"/>
    <cellStyle name="40% - Accent4 5 2 4 2 7" xfId="17300" xr:uid="{00000000-0005-0000-0000-000090430000}"/>
    <cellStyle name="40% - Accent4 5 2 4 2 7 2" xfId="17301" xr:uid="{00000000-0005-0000-0000-000091430000}"/>
    <cellStyle name="40% - Accent4 5 2 4 2 8" xfId="17302" xr:uid="{00000000-0005-0000-0000-000092430000}"/>
    <cellStyle name="40% - Accent4 5 2 4 3" xfId="17303" xr:uid="{00000000-0005-0000-0000-000093430000}"/>
    <cellStyle name="40% - Accent4 5 2 4 3 2" xfId="17304" xr:uid="{00000000-0005-0000-0000-000094430000}"/>
    <cellStyle name="40% - Accent4 5 2 4 3 2 2" xfId="17305" xr:uid="{00000000-0005-0000-0000-000095430000}"/>
    <cellStyle name="40% - Accent4 5 2 4 3 2 2 2" xfId="17306" xr:uid="{00000000-0005-0000-0000-000096430000}"/>
    <cellStyle name="40% - Accent4 5 2 4 3 2 2 2 2" xfId="17307" xr:uid="{00000000-0005-0000-0000-000097430000}"/>
    <cellStyle name="40% - Accent4 5 2 4 3 2 2 3" xfId="17308" xr:uid="{00000000-0005-0000-0000-000098430000}"/>
    <cellStyle name="40% - Accent4 5 2 4 3 2 3" xfId="17309" xr:uid="{00000000-0005-0000-0000-000099430000}"/>
    <cellStyle name="40% - Accent4 5 2 4 3 2 3 2" xfId="17310" xr:uid="{00000000-0005-0000-0000-00009A430000}"/>
    <cellStyle name="40% - Accent4 5 2 4 3 2 4" xfId="17311" xr:uid="{00000000-0005-0000-0000-00009B430000}"/>
    <cellStyle name="40% - Accent4 5 2 4 3 3" xfId="17312" xr:uid="{00000000-0005-0000-0000-00009C430000}"/>
    <cellStyle name="40% - Accent4 5 2 4 3 3 2" xfId="17313" xr:uid="{00000000-0005-0000-0000-00009D430000}"/>
    <cellStyle name="40% - Accent4 5 2 4 3 3 2 2" xfId="17314" xr:uid="{00000000-0005-0000-0000-00009E430000}"/>
    <cellStyle name="40% - Accent4 5 2 4 3 3 3" xfId="17315" xr:uid="{00000000-0005-0000-0000-00009F430000}"/>
    <cellStyle name="40% - Accent4 5 2 4 3 4" xfId="17316" xr:uid="{00000000-0005-0000-0000-0000A0430000}"/>
    <cellStyle name="40% - Accent4 5 2 4 3 4 2" xfId="17317" xr:uid="{00000000-0005-0000-0000-0000A1430000}"/>
    <cellStyle name="40% - Accent4 5 2 4 3 4 2 2" xfId="17318" xr:uid="{00000000-0005-0000-0000-0000A2430000}"/>
    <cellStyle name="40% - Accent4 5 2 4 3 4 3" xfId="17319" xr:uid="{00000000-0005-0000-0000-0000A3430000}"/>
    <cellStyle name="40% - Accent4 5 2 4 3 5" xfId="17320" xr:uid="{00000000-0005-0000-0000-0000A4430000}"/>
    <cellStyle name="40% - Accent4 5 2 4 3 5 2" xfId="17321" xr:uid="{00000000-0005-0000-0000-0000A5430000}"/>
    <cellStyle name="40% - Accent4 5 2 4 3 5 2 2" xfId="17322" xr:uid="{00000000-0005-0000-0000-0000A6430000}"/>
    <cellStyle name="40% - Accent4 5 2 4 3 5 3" xfId="17323" xr:uid="{00000000-0005-0000-0000-0000A7430000}"/>
    <cellStyle name="40% - Accent4 5 2 4 3 6" xfId="17324" xr:uid="{00000000-0005-0000-0000-0000A8430000}"/>
    <cellStyle name="40% - Accent4 5 2 4 3 6 2" xfId="17325" xr:uid="{00000000-0005-0000-0000-0000A9430000}"/>
    <cellStyle name="40% - Accent4 5 2 4 3 6 2 2" xfId="17326" xr:uid="{00000000-0005-0000-0000-0000AA430000}"/>
    <cellStyle name="40% - Accent4 5 2 4 3 6 3" xfId="17327" xr:uid="{00000000-0005-0000-0000-0000AB430000}"/>
    <cellStyle name="40% - Accent4 5 2 4 3 7" xfId="17328" xr:uid="{00000000-0005-0000-0000-0000AC430000}"/>
    <cellStyle name="40% - Accent4 5 2 4 3 7 2" xfId="17329" xr:uid="{00000000-0005-0000-0000-0000AD430000}"/>
    <cellStyle name="40% - Accent4 5 2 4 3 8" xfId="17330" xr:uid="{00000000-0005-0000-0000-0000AE430000}"/>
    <cellStyle name="40% - Accent4 5 2 4 4" xfId="17331" xr:uid="{00000000-0005-0000-0000-0000AF430000}"/>
    <cellStyle name="40% - Accent4 5 2 4 4 2" xfId="17332" xr:uid="{00000000-0005-0000-0000-0000B0430000}"/>
    <cellStyle name="40% - Accent4 5 2 4 4 2 2" xfId="17333" xr:uid="{00000000-0005-0000-0000-0000B1430000}"/>
    <cellStyle name="40% - Accent4 5 2 4 4 2 2 2" xfId="17334" xr:uid="{00000000-0005-0000-0000-0000B2430000}"/>
    <cellStyle name="40% - Accent4 5 2 4 4 2 2 2 2" xfId="17335" xr:uid="{00000000-0005-0000-0000-0000B3430000}"/>
    <cellStyle name="40% - Accent4 5 2 4 4 2 2 3" xfId="17336" xr:uid="{00000000-0005-0000-0000-0000B4430000}"/>
    <cellStyle name="40% - Accent4 5 2 4 4 2 3" xfId="17337" xr:uid="{00000000-0005-0000-0000-0000B5430000}"/>
    <cellStyle name="40% - Accent4 5 2 4 4 2 3 2" xfId="17338" xr:uid="{00000000-0005-0000-0000-0000B6430000}"/>
    <cellStyle name="40% - Accent4 5 2 4 4 2 4" xfId="17339" xr:uid="{00000000-0005-0000-0000-0000B7430000}"/>
    <cellStyle name="40% - Accent4 5 2 4 4 3" xfId="17340" xr:uid="{00000000-0005-0000-0000-0000B8430000}"/>
    <cellStyle name="40% - Accent4 5 2 4 4 3 2" xfId="17341" xr:uid="{00000000-0005-0000-0000-0000B9430000}"/>
    <cellStyle name="40% - Accent4 5 2 4 4 3 2 2" xfId="17342" xr:uid="{00000000-0005-0000-0000-0000BA430000}"/>
    <cellStyle name="40% - Accent4 5 2 4 4 3 3" xfId="17343" xr:uid="{00000000-0005-0000-0000-0000BB430000}"/>
    <cellStyle name="40% - Accent4 5 2 4 4 4" xfId="17344" xr:uid="{00000000-0005-0000-0000-0000BC430000}"/>
    <cellStyle name="40% - Accent4 5 2 4 4 4 2" xfId="17345" xr:uid="{00000000-0005-0000-0000-0000BD430000}"/>
    <cellStyle name="40% - Accent4 5 2 4 4 4 2 2" xfId="17346" xr:uid="{00000000-0005-0000-0000-0000BE430000}"/>
    <cellStyle name="40% - Accent4 5 2 4 4 4 3" xfId="17347" xr:uid="{00000000-0005-0000-0000-0000BF430000}"/>
    <cellStyle name="40% - Accent4 5 2 4 4 5" xfId="17348" xr:uid="{00000000-0005-0000-0000-0000C0430000}"/>
    <cellStyle name="40% - Accent4 5 2 4 4 5 2" xfId="17349" xr:uid="{00000000-0005-0000-0000-0000C1430000}"/>
    <cellStyle name="40% - Accent4 5 2 4 4 5 2 2" xfId="17350" xr:uid="{00000000-0005-0000-0000-0000C2430000}"/>
    <cellStyle name="40% - Accent4 5 2 4 4 5 3" xfId="17351" xr:uid="{00000000-0005-0000-0000-0000C3430000}"/>
    <cellStyle name="40% - Accent4 5 2 4 4 6" xfId="17352" xr:uid="{00000000-0005-0000-0000-0000C4430000}"/>
    <cellStyle name="40% - Accent4 5 2 4 4 6 2" xfId="17353" xr:uid="{00000000-0005-0000-0000-0000C5430000}"/>
    <cellStyle name="40% - Accent4 5 2 4 4 6 2 2" xfId="17354" xr:uid="{00000000-0005-0000-0000-0000C6430000}"/>
    <cellStyle name="40% - Accent4 5 2 4 4 6 3" xfId="17355" xr:uid="{00000000-0005-0000-0000-0000C7430000}"/>
    <cellStyle name="40% - Accent4 5 2 4 4 7" xfId="17356" xr:uid="{00000000-0005-0000-0000-0000C8430000}"/>
    <cellStyle name="40% - Accent4 5 2 4 4 7 2" xfId="17357" xr:uid="{00000000-0005-0000-0000-0000C9430000}"/>
    <cellStyle name="40% - Accent4 5 2 4 4 8" xfId="17358" xr:uid="{00000000-0005-0000-0000-0000CA430000}"/>
    <cellStyle name="40% - Accent4 5 2 4 5" xfId="17359" xr:uid="{00000000-0005-0000-0000-0000CB430000}"/>
    <cellStyle name="40% - Accent4 5 2 4 5 2" xfId="17360" xr:uid="{00000000-0005-0000-0000-0000CC430000}"/>
    <cellStyle name="40% - Accent4 5 2 4 5 2 2" xfId="17361" xr:uid="{00000000-0005-0000-0000-0000CD430000}"/>
    <cellStyle name="40% - Accent4 5 2 4 5 2 2 2" xfId="17362" xr:uid="{00000000-0005-0000-0000-0000CE430000}"/>
    <cellStyle name="40% - Accent4 5 2 4 5 2 2 2 2" xfId="17363" xr:uid="{00000000-0005-0000-0000-0000CF430000}"/>
    <cellStyle name="40% - Accent4 5 2 4 5 2 2 3" xfId="17364" xr:uid="{00000000-0005-0000-0000-0000D0430000}"/>
    <cellStyle name="40% - Accent4 5 2 4 5 2 3" xfId="17365" xr:uid="{00000000-0005-0000-0000-0000D1430000}"/>
    <cellStyle name="40% - Accent4 5 2 4 5 2 3 2" xfId="17366" xr:uid="{00000000-0005-0000-0000-0000D2430000}"/>
    <cellStyle name="40% - Accent4 5 2 4 5 2 4" xfId="17367" xr:uid="{00000000-0005-0000-0000-0000D3430000}"/>
    <cellStyle name="40% - Accent4 5 2 4 5 3" xfId="17368" xr:uid="{00000000-0005-0000-0000-0000D4430000}"/>
    <cellStyle name="40% - Accent4 5 2 4 5 3 2" xfId="17369" xr:uid="{00000000-0005-0000-0000-0000D5430000}"/>
    <cellStyle name="40% - Accent4 5 2 4 5 3 2 2" xfId="17370" xr:uid="{00000000-0005-0000-0000-0000D6430000}"/>
    <cellStyle name="40% - Accent4 5 2 4 5 3 3" xfId="17371" xr:uid="{00000000-0005-0000-0000-0000D7430000}"/>
    <cellStyle name="40% - Accent4 5 2 4 5 4" xfId="17372" xr:uid="{00000000-0005-0000-0000-0000D8430000}"/>
    <cellStyle name="40% - Accent4 5 2 4 5 4 2" xfId="17373" xr:uid="{00000000-0005-0000-0000-0000D9430000}"/>
    <cellStyle name="40% - Accent4 5 2 4 5 5" xfId="17374" xr:uid="{00000000-0005-0000-0000-0000DA430000}"/>
    <cellStyle name="40% - Accent4 5 2 4 6" xfId="17375" xr:uid="{00000000-0005-0000-0000-0000DB430000}"/>
    <cellStyle name="40% - Accent4 5 2 4 6 2" xfId="17376" xr:uid="{00000000-0005-0000-0000-0000DC430000}"/>
    <cellStyle name="40% - Accent4 5 2 4 6 2 2" xfId="17377" xr:uid="{00000000-0005-0000-0000-0000DD430000}"/>
    <cellStyle name="40% - Accent4 5 2 4 6 2 2 2" xfId="17378" xr:uid="{00000000-0005-0000-0000-0000DE430000}"/>
    <cellStyle name="40% - Accent4 5 2 4 6 2 2 2 2" xfId="17379" xr:uid="{00000000-0005-0000-0000-0000DF430000}"/>
    <cellStyle name="40% - Accent4 5 2 4 6 2 2 3" xfId="17380" xr:uid="{00000000-0005-0000-0000-0000E0430000}"/>
    <cellStyle name="40% - Accent4 5 2 4 6 2 3" xfId="17381" xr:uid="{00000000-0005-0000-0000-0000E1430000}"/>
    <cellStyle name="40% - Accent4 5 2 4 6 2 3 2" xfId="17382" xr:uid="{00000000-0005-0000-0000-0000E2430000}"/>
    <cellStyle name="40% - Accent4 5 2 4 6 2 4" xfId="17383" xr:uid="{00000000-0005-0000-0000-0000E3430000}"/>
    <cellStyle name="40% - Accent4 5 2 4 6 3" xfId="17384" xr:uid="{00000000-0005-0000-0000-0000E4430000}"/>
    <cellStyle name="40% - Accent4 5 2 4 6 3 2" xfId="17385" xr:uid="{00000000-0005-0000-0000-0000E5430000}"/>
    <cellStyle name="40% - Accent4 5 2 4 6 3 2 2" xfId="17386" xr:uid="{00000000-0005-0000-0000-0000E6430000}"/>
    <cellStyle name="40% - Accent4 5 2 4 6 3 3" xfId="17387" xr:uid="{00000000-0005-0000-0000-0000E7430000}"/>
    <cellStyle name="40% - Accent4 5 2 4 6 4" xfId="17388" xr:uid="{00000000-0005-0000-0000-0000E8430000}"/>
    <cellStyle name="40% - Accent4 5 2 4 6 4 2" xfId="17389" xr:uid="{00000000-0005-0000-0000-0000E9430000}"/>
    <cellStyle name="40% - Accent4 5 2 4 6 5" xfId="17390" xr:uid="{00000000-0005-0000-0000-0000EA430000}"/>
    <cellStyle name="40% - Accent4 5 2 4 7" xfId="17391" xr:uid="{00000000-0005-0000-0000-0000EB430000}"/>
    <cellStyle name="40% - Accent4 5 2 4 7 2" xfId="17392" xr:uid="{00000000-0005-0000-0000-0000EC430000}"/>
    <cellStyle name="40% - Accent4 5 2 4 7 2 2" xfId="17393" xr:uid="{00000000-0005-0000-0000-0000ED430000}"/>
    <cellStyle name="40% - Accent4 5 2 4 7 2 2 2" xfId="17394" xr:uid="{00000000-0005-0000-0000-0000EE430000}"/>
    <cellStyle name="40% - Accent4 5 2 4 7 2 3" xfId="17395" xr:uid="{00000000-0005-0000-0000-0000EF430000}"/>
    <cellStyle name="40% - Accent4 5 2 4 7 3" xfId="17396" xr:uid="{00000000-0005-0000-0000-0000F0430000}"/>
    <cellStyle name="40% - Accent4 5 2 4 7 3 2" xfId="17397" xr:uid="{00000000-0005-0000-0000-0000F1430000}"/>
    <cellStyle name="40% - Accent4 5 2 4 7 4" xfId="17398" xr:uid="{00000000-0005-0000-0000-0000F2430000}"/>
    <cellStyle name="40% - Accent4 5 2 4 8" xfId="17399" xr:uid="{00000000-0005-0000-0000-0000F3430000}"/>
    <cellStyle name="40% - Accent4 5 2 4 8 2" xfId="17400" xr:uid="{00000000-0005-0000-0000-0000F4430000}"/>
    <cellStyle name="40% - Accent4 5 2 4 8 2 2" xfId="17401" xr:uid="{00000000-0005-0000-0000-0000F5430000}"/>
    <cellStyle name="40% - Accent4 5 2 4 8 2 2 2" xfId="17402" xr:uid="{00000000-0005-0000-0000-0000F6430000}"/>
    <cellStyle name="40% - Accent4 5 2 4 8 2 3" xfId="17403" xr:uid="{00000000-0005-0000-0000-0000F7430000}"/>
    <cellStyle name="40% - Accent4 5 2 4 8 3" xfId="17404" xr:uid="{00000000-0005-0000-0000-0000F8430000}"/>
    <cellStyle name="40% - Accent4 5 2 4 8 3 2" xfId="17405" xr:uid="{00000000-0005-0000-0000-0000F9430000}"/>
    <cellStyle name="40% - Accent4 5 2 4 8 4" xfId="17406" xr:uid="{00000000-0005-0000-0000-0000FA430000}"/>
    <cellStyle name="40% - Accent4 5 2 4 9" xfId="17407" xr:uid="{00000000-0005-0000-0000-0000FB430000}"/>
    <cellStyle name="40% - Accent4 5 2 4 9 2" xfId="17408" xr:uid="{00000000-0005-0000-0000-0000FC430000}"/>
    <cellStyle name="40% - Accent4 5 2 4 9 2 2" xfId="17409" xr:uid="{00000000-0005-0000-0000-0000FD430000}"/>
    <cellStyle name="40% - Accent4 5 2 4 9 3" xfId="17410" xr:uid="{00000000-0005-0000-0000-0000FE430000}"/>
    <cellStyle name="40% - Accent4 5 2 5" xfId="17411" xr:uid="{00000000-0005-0000-0000-0000FF430000}"/>
    <cellStyle name="40% - Accent4 5 2 5 10" xfId="17412" xr:uid="{00000000-0005-0000-0000-000000440000}"/>
    <cellStyle name="40% - Accent4 5 2 5 10 2" xfId="17413" xr:uid="{00000000-0005-0000-0000-000001440000}"/>
    <cellStyle name="40% - Accent4 5 2 5 10 2 2" xfId="17414" xr:uid="{00000000-0005-0000-0000-000002440000}"/>
    <cellStyle name="40% - Accent4 5 2 5 10 3" xfId="17415" xr:uid="{00000000-0005-0000-0000-000003440000}"/>
    <cellStyle name="40% - Accent4 5 2 5 11" xfId="17416" xr:uid="{00000000-0005-0000-0000-000004440000}"/>
    <cellStyle name="40% - Accent4 5 2 5 11 2" xfId="17417" xr:uid="{00000000-0005-0000-0000-000005440000}"/>
    <cellStyle name="40% - Accent4 5 2 5 11 2 2" xfId="17418" xr:uid="{00000000-0005-0000-0000-000006440000}"/>
    <cellStyle name="40% - Accent4 5 2 5 11 3" xfId="17419" xr:uid="{00000000-0005-0000-0000-000007440000}"/>
    <cellStyle name="40% - Accent4 5 2 5 12" xfId="17420" xr:uid="{00000000-0005-0000-0000-000008440000}"/>
    <cellStyle name="40% - Accent4 5 2 5 12 2" xfId="17421" xr:uid="{00000000-0005-0000-0000-000009440000}"/>
    <cellStyle name="40% - Accent4 5 2 5 12 2 2" xfId="17422" xr:uid="{00000000-0005-0000-0000-00000A440000}"/>
    <cellStyle name="40% - Accent4 5 2 5 12 3" xfId="17423" xr:uid="{00000000-0005-0000-0000-00000B440000}"/>
    <cellStyle name="40% - Accent4 5 2 5 13" xfId="17424" xr:uid="{00000000-0005-0000-0000-00000C440000}"/>
    <cellStyle name="40% - Accent4 5 2 5 13 2" xfId="17425" xr:uid="{00000000-0005-0000-0000-00000D440000}"/>
    <cellStyle name="40% - Accent4 5 2 5 14" xfId="17426" xr:uid="{00000000-0005-0000-0000-00000E440000}"/>
    <cellStyle name="40% - Accent4 5 2 5 2" xfId="17427" xr:uid="{00000000-0005-0000-0000-00000F440000}"/>
    <cellStyle name="40% - Accent4 5 2 5 2 2" xfId="17428" xr:uid="{00000000-0005-0000-0000-000010440000}"/>
    <cellStyle name="40% - Accent4 5 2 5 2 2 2" xfId="17429" xr:uid="{00000000-0005-0000-0000-000011440000}"/>
    <cellStyle name="40% - Accent4 5 2 5 2 2 2 2" xfId="17430" xr:uid="{00000000-0005-0000-0000-000012440000}"/>
    <cellStyle name="40% - Accent4 5 2 5 2 2 2 2 2" xfId="17431" xr:uid="{00000000-0005-0000-0000-000013440000}"/>
    <cellStyle name="40% - Accent4 5 2 5 2 2 2 3" xfId="17432" xr:uid="{00000000-0005-0000-0000-000014440000}"/>
    <cellStyle name="40% - Accent4 5 2 5 2 2 3" xfId="17433" xr:uid="{00000000-0005-0000-0000-000015440000}"/>
    <cellStyle name="40% - Accent4 5 2 5 2 2 3 2" xfId="17434" xr:uid="{00000000-0005-0000-0000-000016440000}"/>
    <cellStyle name="40% - Accent4 5 2 5 2 2 4" xfId="17435" xr:uid="{00000000-0005-0000-0000-000017440000}"/>
    <cellStyle name="40% - Accent4 5 2 5 2 3" xfId="17436" xr:uid="{00000000-0005-0000-0000-000018440000}"/>
    <cellStyle name="40% - Accent4 5 2 5 2 3 2" xfId="17437" xr:uid="{00000000-0005-0000-0000-000019440000}"/>
    <cellStyle name="40% - Accent4 5 2 5 2 3 2 2" xfId="17438" xr:uid="{00000000-0005-0000-0000-00001A440000}"/>
    <cellStyle name="40% - Accent4 5 2 5 2 3 3" xfId="17439" xr:uid="{00000000-0005-0000-0000-00001B440000}"/>
    <cellStyle name="40% - Accent4 5 2 5 2 4" xfId="17440" xr:uid="{00000000-0005-0000-0000-00001C440000}"/>
    <cellStyle name="40% - Accent4 5 2 5 2 4 2" xfId="17441" xr:uid="{00000000-0005-0000-0000-00001D440000}"/>
    <cellStyle name="40% - Accent4 5 2 5 2 4 2 2" xfId="17442" xr:uid="{00000000-0005-0000-0000-00001E440000}"/>
    <cellStyle name="40% - Accent4 5 2 5 2 4 3" xfId="17443" xr:uid="{00000000-0005-0000-0000-00001F440000}"/>
    <cellStyle name="40% - Accent4 5 2 5 2 5" xfId="17444" xr:uid="{00000000-0005-0000-0000-000020440000}"/>
    <cellStyle name="40% - Accent4 5 2 5 2 5 2" xfId="17445" xr:uid="{00000000-0005-0000-0000-000021440000}"/>
    <cellStyle name="40% - Accent4 5 2 5 2 5 2 2" xfId="17446" xr:uid="{00000000-0005-0000-0000-000022440000}"/>
    <cellStyle name="40% - Accent4 5 2 5 2 5 3" xfId="17447" xr:uid="{00000000-0005-0000-0000-000023440000}"/>
    <cellStyle name="40% - Accent4 5 2 5 2 6" xfId="17448" xr:uid="{00000000-0005-0000-0000-000024440000}"/>
    <cellStyle name="40% - Accent4 5 2 5 2 6 2" xfId="17449" xr:uid="{00000000-0005-0000-0000-000025440000}"/>
    <cellStyle name="40% - Accent4 5 2 5 2 6 2 2" xfId="17450" xr:uid="{00000000-0005-0000-0000-000026440000}"/>
    <cellStyle name="40% - Accent4 5 2 5 2 6 3" xfId="17451" xr:uid="{00000000-0005-0000-0000-000027440000}"/>
    <cellStyle name="40% - Accent4 5 2 5 2 7" xfId="17452" xr:uid="{00000000-0005-0000-0000-000028440000}"/>
    <cellStyle name="40% - Accent4 5 2 5 2 7 2" xfId="17453" xr:uid="{00000000-0005-0000-0000-000029440000}"/>
    <cellStyle name="40% - Accent4 5 2 5 2 8" xfId="17454" xr:uid="{00000000-0005-0000-0000-00002A440000}"/>
    <cellStyle name="40% - Accent4 5 2 5 3" xfId="17455" xr:uid="{00000000-0005-0000-0000-00002B440000}"/>
    <cellStyle name="40% - Accent4 5 2 5 3 2" xfId="17456" xr:uid="{00000000-0005-0000-0000-00002C440000}"/>
    <cellStyle name="40% - Accent4 5 2 5 3 2 2" xfId="17457" xr:uid="{00000000-0005-0000-0000-00002D440000}"/>
    <cellStyle name="40% - Accent4 5 2 5 3 2 2 2" xfId="17458" xr:uid="{00000000-0005-0000-0000-00002E440000}"/>
    <cellStyle name="40% - Accent4 5 2 5 3 2 2 2 2" xfId="17459" xr:uid="{00000000-0005-0000-0000-00002F440000}"/>
    <cellStyle name="40% - Accent4 5 2 5 3 2 2 3" xfId="17460" xr:uid="{00000000-0005-0000-0000-000030440000}"/>
    <cellStyle name="40% - Accent4 5 2 5 3 2 3" xfId="17461" xr:uid="{00000000-0005-0000-0000-000031440000}"/>
    <cellStyle name="40% - Accent4 5 2 5 3 2 3 2" xfId="17462" xr:uid="{00000000-0005-0000-0000-000032440000}"/>
    <cellStyle name="40% - Accent4 5 2 5 3 2 4" xfId="17463" xr:uid="{00000000-0005-0000-0000-000033440000}"/>
    <cellStyle name="40% - Accent4 5 2 5 3 3" xfId="17464" xr:uid="{00000000-0005-0000-0000-000034440000}"/>
    <cellStyle name="40% - Accent4 5 2 5 3 3 2" xfId="17465" xr:uid="{00000000-0005-0000-0000-000035440000}"/>
    <cellStyle name="40% - Accent4 5 2 5 3 3 2 2" xfId="17466" xr:uid="{00000000-0005-0000-0000-000036440000}"/>
    <cellStyle name="40% - Accent4 5 2 5 3 3 3" xfId="17467" xr:uid="{00000000-0005-0000-0000-000037440000}"/>
    <cellStyle name="40% - Accent4 5 2 5 3 4" xfId="17468" xr:uid="{00000000-0005-0000-0000-000038440000}"/>
    <cellStyle name="40% - Accent4 5 2 5 3 4 2" xfId="17469" xr:uid="{00000000-0005-0000-0000-000039440000}"/>
    <cellStyle name="40% - Accent4 5 2 5 3 4 2 2" xfId="17470" xr:uid="{00000000-0005-0000-0000-00003A440000}"/>
    <cellStyle name="40% - Accent4 5 2 5 3 4 3" xfId="17471" xr:uid="{00000000-0005-0000-0000-00003B440000}"/>
    <cellStyle name="40% - Accent4 5 2 5 3 5" xfId="17472" xr:uid="{00000000-0005-0000-0000-00003C440000}"/>
    <cellStyle name="40% - Accent4 5 2 5 3 5 2" xfId="17473" xr:uid="{00000000-0005-0000-0000-00003D440000}"/>
    <cellStyle name="40% - Accent4 5 2 5 3 5 2 2" xfId="17474" xr:uid="{00000000-0005-0000-0000-00003E440000}"/>
    <cellStyle name="40% - Accent4 5 2 5 3 5 3" xfId="17475" xr:uid="{00000000-0005-0000-0000-00003F440000}"/>
    <cellStyle name="40% - Accent4 5 2 5 3 6" xfId="17476" xr:uid="{00000000-0005-0000-0000-000040440000}"/>
    <cellStyle name="40% - Accent4 5 2 5 3 6 2" xfId="17477" xr:uid="{00000000-0005-0000-0000-000041440000}"/>
    <cellStyle name="40% - Accent4 5 2 5 3 6 2 2" xfId="17478" xr:uid="{00000000-0005-0000-0000-000042440000}"/>
    <cellStyle name="40% - Accent4 5 2 5 3 6 3" xfId="17479" xr:uid="{00000000-0005-0000-0000-000043440000}"/>
    <cellStyle name="40% - Accent4 5 2 5 3 7" xfId="17480" xr:uid="{00000000-0005-0000-0000-000044440000}"/>
    <cellStyle name="40% - Accent4 5 2 5 3 7 2" xfId="17481" xr:uid="{00000000-0005-0000-0000-000045440000}"/>
    <cellStyle name="40% - Accent4 5 2 5 3 8" xfId="17482" xr:uid="{00000000-0005-0000-0000-000046440000}"/>
    <cellStyle name="40% - Accent4 5 2 5 4" xfId="17483" xr:uid="{00000000-0005-0000-0000-000047440000}"/>
    <cellStyle name="40% - Accent4 5 2 5 4 2" xfId="17484" xr:uid="{00000000-0005-0000-0000-000048440000}"/>
    <cellStyle name="40% - Accent4 5 2 5 4 2 2" xfId="17485" xr:uid="{00000000-0005-0000-0000-000049440000}"/>
    <cellStyle name="40% - Accent4 5 2 5 4 2 2 2" xfId="17486" xr:uid="{00000000-0005-0000-0000-00004A440000}"/>
    <cellStyle name="40% - Accent4 5 2 5 4 2 2 2 2" xfId="17487" xr:uid="{00000000-0005-0000-0000-00004B440000}"/>
    <cellStyle name="40% - Accent4 5 2 5 4 2 2 3" xfId="17488" xr:uid="{00000000-0005-0000-0000-00004C440000}"/>
    <cellStyle name="40% - Accent4 5 2 5 4 2 3" xfId="17489" xr:uid="{00000000-0005-0000-0000-00004D440000}"/>
    <cellStyle name="40% - Accent4 5 2 5 4 2 3 2" xfId="17490" xr:uid="{00000000-0005-0000-0000-00004E440000}"/>
    <cellStyle name="40% - Accent4 5 2 5 4 2 4" xfId="17491" xr:uid="{00000000-0005-0000-0000-00004F440000}"/>
    <cellStyle name="40% - Accent4 5 2 5 4 3" xfId="17492" xr:uid="{00000000-0005-0000-0000-000050440000}"/>
    <cellStyle name="40% - Accent4 5 2 5 4 3 2" xfId="17493" xr:uid="{00000000-0005-0000-0000-000051440000}"/>
    <cellStyle name="40% - Accent4 5 2 5 4 3 2 2" xfId="17494" xr:uid="{00000000-0005-0000-0000-000052440000}"/>
    <cellStyle name="40% - Accent4 5 2 5 4 3 3" xfId="17495" xr:uid="{00000000-0005-0000-0000-000053440000}"/>
    <cellStyle name="40% - Accent4 5 2 5 4 4" xfId="17496" xr:uid="{00000000-0005-0000-0000-000054440000}"/>
    <cellStyle name="40% - Accent4 5 2 5 4 4 2" xfId="17497" xr:uid="{00000000-0005-0000-0000-000055440000}"/>
    <cellStyle name="40% - Accent4 5 2 5 4 4 2 2" xfId="17498" xr:uid="{00000000-0005-0000-0000-000056440000}"/>
    <cellStyle name="40% - Accent4 5 2 5 4 4 3" xfId="17499" xr:uid="{00000000-0005-0000-0000-000057440000}"/>
    <cellStyle name="40% - Accent4 5 2 5 4 5" xfId="17500" xr:uid="{00000000-0005-0000-0000-000058440000}"/>
    <cellStyle name="40% - Accent4 5 2 5 4 5 2" xfId="17501" xr:uid="{00000000-0005-0000-0000-000059440000}"/>
    <cellStyle name="40% - Accent4 5 2 5 4 5 2 2" xfId="17502" xr:uid="{00000000-0005-0000-0000-00005A440000}"/>
    <cellStyle name="40% - Accent4 5 2 5 4 5 3" xfId="17503" xr:uid="{00000000-0005-0000-0000-00005B440000}"/>
    <cellStyle name="40% - Accent4 5 2 5 4 6" xfId="17504" xr:uid="{00000000-0005-0000-0000-00005C440000}"/>
    <cellStyle name="40% - Accent4 5 2 5 4 6 2" xfId="17505" xr:uid="{00000000-0005-0000-0000-00005D440000}"/>
    <cellStyle name="40% - Accent4 5 2 5 4 6 2 2" xfId="17506" xr:uid="{00000000-0005-0000-0000-00005E440000}"/>
    <cellStyle name="40% - Accent4 5 2 5 4 6 3" xfId="17507" xr:uid="{00000000-0005-0000-0000-00005F440000}"/>
    <cellStyle name="40% - Accent4 5 2 5 4 7" xfId="17508" xr:uid="{00000000-0005-0000-0000-000060440000}"/>
    <cellStyle name="40% - Accent4 5 2 5 4 7 2" xfId="17509" xr:uid="{00000000-0005-0000-0000-000061440000}"/>
    <cellStyle name="40% - Accent4 5 2 5 4 8" xfId="17510" xr:uid="{00000000-0005-0000-0000-000062440000}"/>
    <cellStyle name="40% - Accent4 5 2 5 5" xfId="17511" xr:uid="{00000000-0005-0000-0000-000063440000}"/>
    <cellStyle name="40% - Accent4 5 2 5 5 2" xfId="17512" xr:uid="{00000000-0005-0000-0000-000064440000}"/>
    <cellStyle name="40% - Accent4 5 2 5 5 2 2" xfId="17513" xr:uid="{00000000-0005-0000-0000-000065440000}"/>
    <cellStyle name="40% - Accent4 5 2 5 5 2 2 2" xfId="17514" xr:uid="{00000000-0005-0000-0000-000066440000}"/>
    <cellStyle name="40% - Accent4 5 2 5 5 2 2 2 2" xfId="17515" xr:uid="{00000000-0005-0000-0000-000067440000}"/>
    <cellStyle name="40% - Accent4 5 2 5 5 2 2 3" xfId="17516" xr:uid="{00000000-0005-0000-0000-000068440000}"/>
    <cellStyle name="40% - Accent4 5 2 5 5 2 3" xfId="17517" xr:uid="{00000000-0005-0000-0000-000069440000}"/>
    <cellStyle name="40% - Accent4 5 2 5 5 2 3 2" xfId="17518" xr:uid="{00000000-0005-0000-0000-00006A440000}"/>
    <cellStyle name="40% - Accent4 5 2 5 5 2 4" xfId="17519" xr:uid="{00000000-0005-0000-0000-00006B440000}"/>
    <cellStyle name="40% - Accent4 5 2 5 5 3" xfId="17520" xr:uid="{00000000-0005-0000-0000-00006C440000}"/>
    <cellStyle name="40% - Accent4 5 2 5 5 3 2" xfId="17521" xr:uid="{00000000-0005-0000-0000-00006D440000}"/>
    <cellStyle name="40% - Accent4 5 2 5 5 3 2 2" xfId="17522" xr:uid="{00000000-0005-0000-0000-00006E440000}"/>
    <cellStyle name="40% - Accent4 5 2 5 5 3 3" xfId="17523" xr:uid="{00000000-0005-0000-0000-00006F440000}"/>
    <cellStyle name="40% - Accent4 5 2 5 5 4" xfId="17524" xr:uid="{00000000-0005-0000-0000-000070440000}"/>
    <cellStyle name="40% - Accent4 5 2 5 5 4 2" xfId="17525" xr:uid="{00000000-0005-0000-0000-000071440000}"/>
    <cellStyle name="40% - Accent4 5 2 5 5 5" xfId="17526" xr:uid="{00000000-0005-0000-0000-000072440000}"/>
    <cellStyle name="40% - Accent4 5 2 5 6" xfId="17527" xr:uid="{00000000-0005-0000-0000-000073440000}"/>
    <cellStyle name="40% - Accent4 5 2 5 6 2" xfId="17528" xr:uid="{00000000-0005-0000-0000-000074440000}"/>
    <cellStyle name="40% - Accent4 5 2 5 6 2 2" xfId="17529" xr:uid="{00000000-0005-0000-0000-000075440000}"/>
    <cellStyle name="40% - Accent4 5 2 5 6 2 2 2" xfId="17530" xr:uid="{00000000-0005-0000-0000-000076440000}"/>
    <cellStyle name="40% - Accent4 5 2 5 6 2 2 2 2" xfId="17531" xr:uid="{00000000-0005-0000-0000-000077440000}"/>
    <cellStyle name="40% - Accent4 5 2 5 6 2 2 3" xfId="17532" xr:uid="{00000000-0005-0000-0000-000078440000}"/>
    <cellStyle name="40% - Accent4 5 2 5 6 2 3" xfId="17533" xr:uid="{00000000-0005-0000-0000-000079440000}"/>
    <cellStyle name="40% - Accent4 5 2 5 6 2 3 2" xfId="17534" xr:uid="{00000000-0005-0000-0000-00007A440000}"/>
    <cellStyle name="40% - Accent4 5 2 5 6 2 4" xfId="17535" xr:uid="{00000000-0005-0000-0000-00007B440000}"/>
    <cellStyle name="40% - Accent4 5 2 5 6 3" xfId="17536" xr:uid="{00000000-0005-0000-0000-00007C440000}"/>
    <cellStyle name="40% - Accent4 5 2 5 6 3 2" xfId="17537" xr:uid="{00000000-0005-0000-0000-00007D440000}"/>
    <cellStyle name="40% - Accent4 5 2 5 6 3 2 2" xfId="17538" xr:uid="{00000000-0005-0000-0000-00007E440000}"/>
    <cellStyle name="40% - Accent4 5 2 5 6 3 3" xfId="17539" xr:uid="{00000000-0005-0000-0000-00007F440000}"/>
    <cellStyle name="40% - Accent4 5 2 5 6 4" xfId="17540" xr:uid="{00000000-0005-0000-0000-000080440000}"/>
    <cellStyle name="40% - Accent4 5 2 5 6 4 2" xfId="17541" xr:uid="{00000000-0005-0000-0000-000081440000}"/>
    <cellStyle name="40% - Accent4 5 2 5 6 5" xfId="17542" xr:uid="{00000000-0005-0000-0000-000082440000}"/>
    <cellStyle name="40% - Accent4 5 2 5 7" xfId="17543" xr:uid="{00000000-0005-0000-0000-000083440000}"/>
    <cellStyle name="40% - Accent4 5 2 5 7 2" xfId="17544" xr:uid="{00000000-0005-0000-0000-000084440000}"/>
    <cellStyle name="40% - Accent4 5 2 5 7 2 2" xfId="17545" xr:uid="{00000000-0005-0000-0000-000085440000}"/>
    <cellStyle name="40% - Accent4 5 2 5 7 2 2 2" xfId="17546" xr:uid="{00000000-0005-0000-0000-000086440000}"/>
    <cellStyle name="40% - Accent4 5 2 5 7 2 3" xfId="17547" xr:uid="{00000000-0005-0000-0000-000087440000}"/>
    <cellStyle name="40% - Accent4 5 2 5 7 3" xfId="17548" xr:uid="{00000000-0005-0000-0000-000088440000}"/>
    <cellStyle name="40% - Accent4 5 2 5 7 3 2" xfId="17549" xr:uid="{00000000-0005-0000-0000-000089440000}"/>
    <cellStyle name="40% - Accent4 5 2 5 7 4" xfId="17550" xr:uid="{00000000-0005-0000-0000-00008A440000}"/>
    <cellStyle name="40% - Accent4 5 2 5 8" xfId="17551" xr:uid="{00000000-0005-0000-0000-00008B440000}"/>
    <cellStyle name="40% - Accent4 5 2 5 8 2" xfId="17552" xr:uid="{00000000-0005-0000-0000-00008C440000}"/>
    <cellStyle name="40% - Accent4 5 2 5 8 2 2" xfId="17553" xr:uid="{00000000-0005-0000-0000-00008D440000}"/>
    <cellStyle name="40% - Accent4 5 2 5 8 2 2 2" xfId="17554" xr:uid="{00000000-0005-0000-0000-00008E440000}"/>
    <cellStyle name="40% - Accent4 5 2 5 8 2 3" xfId="17555" xr:uid="{00000000-0005-0000-0000-00008F440000}"/>
    <cellStyle name="40% - Accent4 5 2 5 8 3" xfId="17556" xr:uid="{00000000-0005-0000-0000-000090440000}"/>
    <cellStyle name="40% - Accent4 5 2 5 8 3 2" xfId="17557" xr:uid="{00000000-0005-0000-0000-000091440000}"/>
    <cellStyle name="40% - Accent4 5 2 5 8 4" xfId="17558" xr:uid="{00000000-0005-0000-0000-000092440000}"/>
    <cellStyle name="40% - Accent4 5 2 5 9" xfId="17559" xr:uid="{00000000-0005-0000-0000-000093440000}"/>
    <cellStyle name="40% - Accent4 5 2 5 9 2" xfId="17560" xr:uid="{00000000-0005-0000-0000-000094440000}"/>
    <cellStyle name="40% - Accent4 5 2 5 9 2 2" xfId="17561" xr:uid="{00000000-0005-0000-0000-000095440000}"/>
    <cellStyle name="40% - Accent4 5 2 5 9 3" xfId="17562" xr:uid="{00000000-0005-0000-0000-000096440000}"/>
    <cellStyle name="40% - Accent4 5 2 6" xfId="17563" xr:uid="{00000000-0005-0000-0000-000097440000}"/>
    <cellStyle name="40% - Accent4 5 2 6 10" xfId="17564" xr:uid="{00000000-0005-0000-0000-000098440000}"/>
    <cellStyle name="40% - Accent4 5 2 6 10 2" xfId="17565" xr:uid="{00000000-0005-0000-0000-000099440000}"/>
    <cellStyle name="40% - Accent4 5 2 6 10 2 2" xfId="17566" xr:uid="{00000000-0005-0000-0000-00009A440000}"/>
    <cellStyle name="40% - Accent4 5 2 6 10 3" xfId="17567" xr:uid="{00000000-0005-0000-0000-00009B440000}"/>
    <cellStyle name="40% - Accent4 5 2 6 11" xfId="17568" xr:uid="{00000000-0005-0000-0000-00009C440000}"/>
    <cellStyle name="40% - Accent4 5 2 6 11 2" xfId="17569" xr:uid="{00000000-0005-0000-0000-00009D440000}"/>
    <cellStyle name="40% - Accent4 5 2 6 11 2 2" xfId="17570" xr:uid="{00000000-0005-0000-0000-00009E440000}"/>
    <cellStyle name="40% - Accent4 5 2 6 11 3" xfId="17571" xr:uid="{00000000-0005-0000-0000-00009F440000}"/>
    <cellStyle name="40% - Accent4 5 2 6 12" xfId="17572" xr:uid="{00000000-0005-0000-0000-0000A0440000}"/>
    <cellStyle name="40% - Accent4 5 2 6 12 2" xfId="17573" xr:uid="{00000000-0005-0000-0000-0000A1440000}"/>
    <cellStyle name="40% - Accent4 5 2 6 12 2 2" xfId="17574" xr:uid="{00000000-0005-0000-0000-0000A2440000}"/>
    <cellStyle name="40% - Accent4 5 2 6 12 3" xfId="17575" xr:uid="{00000000-0005-0000-0000-0000A3440000}"/>
    <cellStyle name="40% - Accent4 5 2 6 13" xfId="17576" xr:uid="{00000000-0005-0000-0000-0000A4440000}"/>
    <cellStyle name="40% - Accent4 5 2 6 13 2" xfId="17577" xr:uid="{00000000-0005-0000-0000-0000A5440000}"/>
    <cellStyle name="40% - Accent4 5 2 6 14" xfId="17578" xr:uid="{00000000-0005-0000-0000-0000A6440000}"/>
    <cellStyle name="40% - Accent4 5 2 6 2" xfId="17579" xr:uid="{00000000-0005-0000-0000-0000A7440000}"/>
    <cellStyle name="40% - Accent4 5 2 6 2 2" xfId="17580" xr:uid="{00000000-0005-0000-0000-0000A8440000}"/>
    <cellStyle name="40% - Accent4 5 2 6 2 2 2" xfId="17581" xr:uid="{00000000-0005-0000-0000-0000A9440000}"/>
    <cellStyle name="40% - Accent4 5 2 6 2 2 2 2" xfId="17582" xr:uid="{00000000-0005-0000-0000-0000AA440000}"/>
    <cellStyle name="40% - Accent4 5 2 6 2 2 2 2 2" xfId="17583" xr:uid="{00000000-0005-0000-0000-0000AB440000}"/>
    <cellStyle name="40% - Accent4 5 2 6 2 2 2 3" xfId="17584" xr:uid="{00000000-0005-0000-0000-0000AC440000}"/>
    <cellStyle name="40% - Accent4 5 2 6 2 2 3" xfId="17585" xr:uid="{00000000-0005-0000-0000-0000AD440000}"/>
    <cellStyle name="40% - Accent4 5 2 6 2 2 3 2" xfId="17586" xr:uid="{00000000-0005-0000-0000-0000AE440000}"/>
    <cellStyle name="40% - Accent4 5 2 6 2 2 4" xfId="17587" xr:uid="{00000000-0005-0000-0000-0000AF440000}"/>
    <cellStyle name="40% - Accent4 5 2 6 2 3" xfId="17588" xr:uid="{00000000-0005-0000-0000-0000B0440000}"/>
    <cellStyle name="40% - Accent4 5 2 6 2 3 2" xfId="17589" xr:uid="{00000000-0005-0000-0000-0000B1440000}"/>
    <cellStyle name="40% - Accent4 5 2 6 2 3 2 2" xfId="17590" xr:uid="{00000000-0005-0000-0000-0000B2440000}"/>
    <cellStyle name="40% - Accent4 5 2 6 2 3 3" xfId="17591" xr:uid="{00000000-0005-0000-0000-0000B3440000}"/>
    <cellStyle name="40% - Accent4 5 2 6 2 4" xfId="17592" xr:uid="{00000000-0005-0000-0000-0000B4440000}"/>
    <cellStyle name="40% - Accent4 5 2 6 2 4 2" xfId="17593" xr:uid="{00000000-0005-0000-0000-0000B5440000}"/>
    <cellStyle name="40% - Accent4 5 2 6 2 4 2 2" xfId="17594" xr:uid="{00000000-0005-0000-0000-0000B6440000}"/>
    <cellStyle name="40% - Accent4 5 2 6 2 4 3" xfId="17595" xr:uid="{00000000-0005-0000-0000-0000B7440000}"/>
    <cellStyle name="40% - Accent4 5 2 6 2 5" xfId="17596" xr:uid="{00000000-0005-0000-0000-0000B8440000}"/>
    <cellStyle name="40% - Accent4 5 2 6 2 5 2" xfId="17597" xr:uid="{00000000-0005-0000-0000-0000B9440000}"/>
    <cellStyle name="40% - Accent4 5 2 6 2 5 2 2" xfId="17598" xr:uid="{00000000-0005-0000-0000-0000BA440000}"/>
    <cellStyle name="40% - Accent4 5 2 6 2 5 3" xfId="17599" xr:uid="{00000000-0005-0000-0000-0000BB440000}"/>
    <cellStyle name="40% - Accent4 5 2 6 2 6" xfId="17600" xr:uid="{00000000-0005-0000-0000-0000BC440000}"/>
    <cellStyle name="40% - Accent4 5 2 6 2 6 2" xfId="17601" xr:uid="{00000000-0005-0000-0000-0000BD440000}"/>
    <cellStyle name="40% - Accent4 5 2 6 2 6 2 2" xfId="17602" xr:uid="{00000000-0005-0000-0000-0000BE440000}"/>
    <cellStyle name="40% - Accent4 5 2 6 2 6 3" xfId="17603" xr:uid="{00000000-0005-0000-0000-0000BF440000}"/>
    <cellStyle name="40% - Accent4 5 2 6 2 7" xfId="17604" xr:uid="{00000000-0005-0000-0000-0000C0440000}"/>
    <cellStyle name="40% - Accent4 5 2 6 2 7 2" xfId="17605" xr:uid="{00000000-0005-0000-0000-0000C1440000}"/>
    <cellStyle name="40% - Accent4 5 2 6 2 8" xfId="17606" xr:uid="{00000000-0005-0000-0000-0000C2440000}"/>
    <cellStyle name="40% - Accent4 5 2 6 3" xfId="17607" xr:uid="{00000000-0005-0000-0000-0000C3440000}"/>
    <cellStyle name="40% - Accent4 5 2 6 3 2" xfId="17608" xr:uid="{00000000-0005-0000-0000-0000C4440000}"/>
    <cellStyle name="40% - Accent4 5 2 6 3 2 2" xfId="17609" xr:uid="{00000000-0005-0000-0000-0000C5440000}"/>
    <cellStyle name="40% - Accent4 5 2 6 3 2 2 2" xfId="17610" xr:uid="{00000000-0005-0000-0000-0000C6440000}"/>
    <cellStyle name="40% - Accent4 5 2 6 3 2 2 2 2" xfId="17611" xr:uid="{00000000-0005-0000-0000-0000C7440000}"/>
    <cellStyle name="40% - Accent4 5 2 6 3 2 2 3" xfId="17612" xr:uid="{00000000-0005-0000-0000-0000C8440000}"/>
    <cellStyle name="40% - Accent4 5 2 6 3 2 3" xfId="17613" xr:uid="{00000000-0005-0000-0000-0000C9440000}"/>
    <cellStyle name="40% - Accent4 5 2 6 3 2 3 2" xfId="17614" xr:uid="{00000000-0005-0000-0000-0000CA440000}"/>
    <cellStyle name="40% - Accent4 5 2 6 3 2 4" xfId="17615" xr:uid="{00000000-0005-0000-0000-0000CB440000}"/>
    <cellStyle name="40% - Accent4 5 2 6 3 3" xfId="17616" xr:uid="{00000000-0005-0000-0000-0000CC440000}"/>
    <cellStyle name="40% - Accent4 5 2 6 3 3 2" xfId="17617" xr:uid="{00000000-0005-0000-0000-0000CD440000}"/>
    <cellStyle name="40% - Accent4 5 2 6 3 3 2 2" xfId="17618" xr:uid="{00000000-0005-0000-0000-0000CE440000}"/>
    <cellStyle name="40% - Accent4 5 2 6 3 3 3" xfId="17619" xr:uid="{00000000-0005-0000-0000-0000CF440000}"/>
    <cellStyle name="40% - Accent4 5 2 6 3 4" xfId="17620" xr:uid="{00000000-0005-0000-0000-0000D0440000}"/>
    <cellStyle name="40% - Accent4 5 2 6 3 4 2" xfId="17621" xr:uid="{00000000-0005-0000-0000-0000D1440000}"/>
    <cellStyle name="40% - Accent4 5 2 6 3 4 2 2" xfId="17622" xr:uid="{00000000-0005-0000-0000-0000D2440000}"/>
    <cellStyle name="40% - Accent4 5 2 6 3 4 3" xfId="17623" xr:uid="{00000000-0005-0000-0000-0000D3440000}"/>
    <cellStyle name="40% - Accent4 5 2 6 3 5" xfId="17624" xr:uid="{00000000-0005-0000-0000-0000D4440000}"/>
    <cellStyle name="40% - Accent4 5 2 6 3 5 2" xfId="17625" xr:uid="{00000000-0005-0000-0000-0000D5440000}"/>
    <cellStyle name="40% - Accent4 5 2 6 3 5 2 2" xfId="17626" xr:uid="{00000000-0005-0000-0000-0000D6440000}"/>
    <cellStyle name="40% - Accent4 5 2 6 3 5 3" xfId="17627" xr:uid="{00000000-0005-0000-0000-0000D7440000}"/>
    <cellStyle name="40% - Accent4 5 2 6 3 6" xfId="17628" xr:uid="{00000000-0005-0000-0000-0000D8440000}"/>
    <cellStyle name="40% - Accent4 5 2 6 3 6 2" xfId="17629" xr:uid="{00000000-0005-0000-0000-0000D9440000}"/>
    <cellStyle name="40% - Accent4 5 2 6 3 6 2 2" xfId="17630" xr:uid="{00000000-0005-0000-0000-0000DA440000}"/>
    <cellStyle name="40% - Accent4 5 2 6 3 6 3" xfId="17631" xr:uid="{00000000-0005-0000-0000-0000DB440000}"/>
    <cellStyle name="40% - Accent4 5 2 6 3 7" xfId="17632" xr:uid="{00000000-0005-0000-0000-0000DC440000}"/>
    <cellStyle name="40% - Accent4 5 2 6 3 7 2" xfId="17633" xr:uid="{00000000-0005-0000-0000-0000DD440000}"/>
    <cellStyle name="40% - Accent4 5 2 6 3 8" xfId="17634" xr:uid="{00000000-0005-0000-0000-0000DE440000}"/>
    <cellStyle name="40% - Accent4 5 2 6 4" xfId="17635" xr:uid="{00000000-0005-0000-0000-0000DF440000}"/>
    <cellStyle name="40% - Accent4 5 2 6 4 2" xfId="17636" xr:uid="{00000000-0005-0000-0000-0000E0440000}"/>
    <cellStyle name="40% - Accent4 5 2 6 4 2 2" xfId="17637" xr:uid="{00000000-0005-0000-0000-0000E1440000}"/>
    <cellStyle name="40% - Accent4 5 2 6 4 2 2 2" xfId="17638" xr:uid="{00000000-0005-0000-0000-0000E2440000}"/>
    <cellStyle name="40% - Accent4 5 2 6 4 2 2 2 2" xfId="17639" xr:uid="{00000000-0005-0000-0000-0000E3440000}"/>
    <cellStyle name="40% - Accent4 5 2 6 4 2 2 3" xfId="17640" xr:uid="{00000000-0005-0000-0000-0000E4440000}"/>
    <cellStyle name="40% - Accent4 5 2 6 4 2 3" xfId="17641" xr:uid="{00000000-0005-0000-0000-0000E5440000}"/>
    <cellStyle name="40% - Accent4 5 2 6 4 2 3 2" xfId="17642" xr:uid="{00000000-0005-0000-0000-0000E6440000}"/>
    <cellStyle name="40% - Accent4 5 2 6 4 2 4" xfId="17643" xr:uid="{00000000-0005-0000-0000-0000E7440000}"/>
    <cellStyle name="40% - Accent4 5 2 6 4 3" xfId="17644" xr:uid="{00000000-0005-0000-0000-0000E8440000}"/>
    <cellStyle name="40% - Accent4 5 2 6 4 3 2" xfId="17645" xr:uid="{00000000-0005-0000-0000-0000E9440000}"/>
    <cellStyle name="40% - Accent4 5 2 6 4 3 2 2" xfId="17646" xr:uid="{00000000-0005-0000-0000-0000EA440000}"/>
    <cellStyle name="40% - Accent4 5 2 6 4 3 3" xfId="17647" xr:uid="{00000000-0005-0000-0000-0000EB440000}"/>
    <cellStyle name="40% - Accent4 5 2 6 4 4" xfId="17648" xr:uid="{00000000-0005-0000-0000-0000EC440000}"/>
    <cellStyle name="40% - Accent4 5 2 6 4 4 2" xfId="17649" xr:uid="{00000000-0005-0000-0000-0000ED440000}"/>
    <cellStyle name="40% - Accent4 5 2 6 4 4 2 2" xfId="17650" xr:uid="{00000000-0005-0000-0000-0000EE440000}"/>
    <cellStyle name="40% - Accent4 5 2 6 4 4 3" xfId="17651" xr:uid="{00000000-0005-0000-0000-0000EF440000}"/>
    <cellStyle name="40% - Accent4 5 2 6 4 5" xfId="17652" xr:uid="{00000000-0005-0000-0000-0000F0440000}"/>
    <cellStyle name="40% - Accent4 5 2 6 4 5 2" xfId="17653" xr:uid="{00000000-0005-0000-0000-0000F1440000}"/>
    <cellStyle name="40% - Accent4 5 2 6 4 5 2 2" xfId="17654" xr:uid="{00000000-0005-0000-0000-0000F2440000}"/>
    <cellStyle name="40% - Accent4 5 2 6 4 5 3" xfId="17655" xr:uid="{00000000-0005-0000-0000-0000F3440000}"/>
    <cellStyle name="40% - Accent4 5 2 6 4 6" xfId="17656" xr:uid="{00000000-0005-0000-0000-0000F4440000}"/>
    <cellStyle name="40% - Accent4 5 2 6 4 6 2" xfId="17657" xr:uid="{00000000-0005-0000-0000-0000F5440000}"/>
    <cellStyle name="40% - Accent4 5 2 6 4 6 2 2" xfId="17658" xr:uid="{00000000-0005-0000-0000-0000F6440000}"/>
    <cellStyle name="40% - Accent4 5 2 6 4 6 3" xfId="17659" xr:uid="{00000000-0005-0000-0000-0000F7440000}"/>
    <cellStyle name="40% - Accent4 5 2 6 4 7" xfId="17660" xr:uid="{00000000-0005-0000-0000-0000F8440000}"/>
    <cellStyle name="40% - Accent4 5 2 6 4 7 2" xfId="17661" xr:uid="{00000000-0005-0000-0000-0000F9440000}"/>
    <cellStyle name="40% - Accent4 5 2 6 4 8" xfId="17662" xr:uid="{00000000-0005-0000-0000-0000FA440000}"/>
    <cellStyle name="40% - Accent4 5 2 6 5" xfId="17663" xr:uid="{00000000-0005-0000-0000-0000FB440000}"/>
    <cellStyle name="40% - Accent4 5 2 6 5 2" xfId="17664" xr:uid="{00000000-0005-0000-0000-0000FC440000}"/>
    <cellStyle name="40% - Accent4 5 2 6 5 2 2" xfId="17665" xr:uid="{00000000-0005-0000-0000-0000FD440000}"/>
    <cellStyle name="40% - Accent4 5 2 6 5 2 2 2" xfId="17666" xr:uid="{00000000-0005-0000-0000-0000FE440000}"/>
    <cellStyle name="40% - Accent4 5 2 6 5 2 2 2 2" xfId="17667" xr:uid="{00000000-0005-0000-0000-0000FF440000}"/>
    <cellStyle name="40% - Accent4 5 2 6 5 2 2 3" xfId="17668" xr:uid="{00000000-0005-0000-0000-000000450000}"/>
    <cellStyle name="40% - Accent4 5 2 6 5 2 3" xfId="17669" xr:uid="{00000000-0005-0000-0000-000001450000}"/>
    <cellStyle name="40% - Accent4 5 2 6 5 2 3 2" xfId="17670" xr:uid="{00000000-0005-0000-0000-000002450000}"/>
    <cellStyle name="40% - Accent4 5 2 6 5 2 4" xfId="17671" xr:uid="{00000000-0005-0000-0000-000003450000}"/>
    <cellStyle name="40% - Accent4 5 2 6 5 3" xfId="17672" xr:uid="{00000000-0005-0000-0000-000004450000}"/>
    <cellStyle name="40% - Accent4 5 2 6 5 3 2" xfId="17673" xr:uid="{00000000-0005-0000-0000-000005450000}"/>
    <cellStyle name="40% - Accent4 5 2 6 5 3 2 2" xfId="17674" xr:uid="{00000000-0005-0000-0000-000006450000}"/>
    <cellStyle name="40% - Accent4 5 2 6 5 3 3" xfId="17675" xr:uid="{00000000-0005-0000-0000-000007450000}"/>
    <cellStyle name="40% - Accent4 5 2 6 5 4" xfId="17676" xr:uid="{00000000-0005-0000-0000-000008450000}"/>
    <cellStyle name="40% - Accent4 5 2 6 5 4 2" xfId="17677" xr:uid="{00000000-0005-0000-0000-000009450000}"/>
    <cellStyle name="40% - Accent4 5 2 6 5 5" xfId="17678" xr:uid="{00000000-0005-0000-0000-00000A450000}"/>
    <cellStyle name="40% - Accent4 5 2 6 6" xfId="17679" xr:uid="{00000000-0005-0000-0000-00000B450000}"/>
    <cellStyle name="40% - Accent4 5 2 6 6 2" xfId="17680" xr:uid="{00000000-0005-0000-0000-00000C450000}"/>
    <cellStyle name="40% - Accent4 5 2 6 6 2 2" xfId="17681" xr:uid="{00000000-0005-0000-0000-00000D450000}"/>
    <cellStyle name="40% - Accent4 5 2 6 6 2 2 2" xfId="17682" xr:uid="{00000000-0005-0000-0000-00000E450000}"/>
    <cellStyle name="40% - Accent4 5 2 6 6 2 2 2 2" xfId="17683" xr:uid="{00000000-0005-0000-0000-00000F450000}"/>
    <cellStyle name="40% - Accent4 5 2 6 6 2 2 3" xfId="17684" xr:uid="{00000000-0005-0000-0000-000010450000}"/>
    <cellStyle name="40% - Accent4 5 2 6 6 2 3" xfId="17685" xr:uid="{00000000-0005-0000-0000-000011450000}"/>
    <cellStyle name="40% - Accent4 5 2 6 6 2 3 2" xfId="17686" xr:uid="{00000000-0005-0000-0000-000012450000}"/>
    <cellStyle name="40% - Accent4 5 2 6 6 2 4" xfId="17687" xr:uid="{00000000-0005-0000-0000-000013450000}"/>
    <cellStyle name="40% - Accent4 5 2 6 6 3" xfId="17688" xr:uid="{00000000-0005-0000-0000-000014450000}"/>
    <cellStyle name="40% - Accent4 5 2 6 6 3 2" xfId="17689" xr:uid="{00000000-0005-0000-0000-000015450000}"/>
    <cellStyle name="40% - Accent4 5 2 6 6 3 2 2" xfId="17690" xr:uid="{00000000-0005-0000-0000-000016450000}"/>
    <cellStyle name="40% - Accent4 5 2 6 6 3 3" xfId="17691" xr:uid="{00000000-0005-0000-0000-000017450000}"/>
    <cellStyle name="40% - Accent4 5 2 6 6 4" xfId="17692" xr:uid="{00000000-0005-0000-0000-000018450000}"/>
    <cellStyle name="40% - Accent4 5 2 6 6 4 2" xfId="17693" xr:uid="{00000000-0005-0000-0000-000019450000}"/>
    <cellStyle name="40% - Accent4 5 2 6 6 5" xfId="17694" xr:uid="{00000000-0005-0000-0000-00001A450000}"/>
    <cellStyle name="40% - Accent4 5 2 6 7" xfId="17695" xr:uid="{00000000-0005-0000-0000-00001B450000}"/>
    <cellStyle name="40% - Accent4 5 2 6 7 2" xfId="17696" xr:uid="{00000000-0005-0000-0000-00001C450000}"/>
    <cellStyle name="40% - Accent4 5 2 6 7 2 2" xfId="17697" xr:uid="{00000000-0005-0000-0000-00001D450000}"/>
    <cellStyle name="40% - Accent4 5 2 6 7 2 2 2" xfId="17698" xr:uid="{00000000-0005-0000-0000-00001E450000}"/>
    <cellStyle name="40% - Accent4 5 2 6 7 2 3" xfId="17699" xr:uid="{00000000-0005-0000-0000-00001F450000}"/>
    <cellStyle name="40% - Accent4 5 2 6 7 3" xfId="17700" xr:uid="{00000000-0005-0000-0000-000020450000}"/>
    <cellStyle name="40% - Accent4 5 2 6 7 3 2" xfId="17701" xr:uid="{00000000-0005-0000-0000-000021450000}"/>
    <cellStyle name="40% - Accent4 5 2 6 7 4" xfId="17702" xr:uid="{00000000-0005-0000-0000-000022450000}"/>
    <cellStyle name="40% - Accent4 5 2 6 8" xfId="17703" xr:uid="{00000000-0005-0000-0000-000023450000}"/>
    <cellStyle name="40% - Accent4 5 2 6 8 2" xfId="17704" xr:uid="{00000000-0005-0000-0000-000024450000}"/>
    <cellStyle name="40% - Accent4 5 2 6 8 2 2" xfId="17705" xr:uid="{00000000-0005-0000-0000-000025450000}"/>
    <cellStyle name="40% - Accent4 5 2 6 8 2 2 2" xfId="17706" xr:uid="{00000000-0005-0000-0000-000026450000}"/>
    <cellStyle name="40% - Accent4 5 2 6 8 2 3" xfId="17707" xr:uid="{00000000-0005-0000-0000-000027450000}"/>
    <cellStyle name="40% - Accent4 5 2 6 8 3" xfId="17708" xr:uid="{00000000-0005-0000-0000-000028450000}"/>
    <cellStyle name="40% - Accent4 5 2 6 8 3 2" xfId="17709" xr:uid="{00000000-0005-0000-0000-000029450000}"/>
    <cellStyle name="40% - Accent4 5 2 6 8 4" xfId="17710" xr:uid="{00000000-0005-0000-0000-00002A450000}"/>
    <cellStyle name="40% - Accent4 5 2 6 9" xfId="17711" xr:uid="{00000000-0005-0000-0000-00002B450000}"/>
    <cellStyle name="40% - Accent4 5 2 6 9 2" xfId="17712" xr:uid="{00000000-0005-0000-0000-00002C450000}"/>
    <cellStyle name="40% - Accent4 5 2 6 9 2 2" xfId="17713" xr:uid="{00000000-0005-0000-0000-00002D450000}"/>
    <cellStyle name="40% - Accent4 5 2 6 9 3" xfId="17714" xr:uid="{00000000-0005-0000-0000-00002E450000}"/>
    <cellStyle name="40% - Accent4 5 2 7" xfId="17715" xr:uid="{00000000-0005-0000-0000-00002F450000}"/>
    <cellStyle name="40% - Accent4 5 2 7 2" xfId="17716" xr:uid="{00000000-0005-0000-0000-000030450000}"/>
    <cellStyle name="40% - Accent4 5 2 7 2 2" xfId="17717" xr:uid="{00000000-0005-0000-0000-000031450000}"/>
    <cellStyle name="40% - Accent4 5 2 7 2 2 2" xfId="17718" xr:uid="{00000000-0005-0000-0000-000032450000}"/>
    <cellStyle name="40% - Accent4 5 2 7 2 2 2 2" xfId="17719" xr:uid="{00000000-0005-0000-0000-000033450000}"/>
    <cellStyle name="40% - Accent4 5 2 7 2 2 3" xfId="17720" xr:uid="{00000000-0005-0000-0000-000034450000}"/>
    <cellStyle name="40% - Accent4 5 2 7 2 3" xfId="17721" xr:uid="{00000000-0005-0000-0000-000035450000}"/>
    <cellStyle name="40% - Accent4 5 2 7 2 3 2" xfId="17722" xr:uid="{00000000-0005-0000-0000-000036450000}"/>
    <cellStyle name="40% - Accent4 5 2 7 2 4" xfId="17723" xr:uid="{00000000-0005-0000-0000-000037450000}"/>
    <cellStyle name="40% - Accent4 5 2 7 3" xfId="17724" xr:uid="{00000000-0005-0000-0000-000038450000}"/>
    <cellStyle name="40% - Accent4 5 2 7 3 2" xfId="17725" xr:uid="{00000000-0005-0000-0000-000039450000}"/>
    <cellStyle name="40% - Accent4 5 2 7 3 2 2" xfId="17726" xr:uid="{00000000-0005-0000-0000-00003A450000}"/>
    <cellStyle name="40% - Accent4 5 2 7 3 3" xfId="17727" xr:uid="{00000000-0005-0000-0000-00003B450000}"/>
    <cellStyle name="40% - Accent4 5 2 7 4" xfId="17728" xr:uid="{00000000-0005-0000-0000-00003C450000}"/>
    <cellStyle name="40% - Accent4 5 2 7 4 2" xfId="17729" xr:uid="{00000000-0005-0000-0000-00003D450000}"/>
    <cellStyle name="40% - Accent4 5 2 7 4 2 2" xfId="17730" xr:uid="{00000000-0005-0000-0000-00003E450000}"/>
    <cellStyle name="40% - Accent4 5 2 7 4 3" xfId="17731" xr:uid="{00000000-0005-0000-0000-00003F450000}"/>
    <cellStyle name="40% - Accent4 5 2 7 5" xfId="17732" xr:uid="{00000000-0005-0000-0000-000040450000}"/>
    <cellStyle name="40% - Accent4 5 2 7 5 2" xfId="17733" xr:uid="{00000000-0005-0000-0000-000041450000}"/>
    <cellStyle name="40% - Accent4 5 2 7 5 2 2" xfId="17734" xr:uid="{00000000-0005-0000-0000-000042450000}"/>
    <cellStyle name="40% - Accent4 5 2 7 5 3" xfId="17735" xr:uid="{00000000-0005-0000-0000-000043450000}"/>
    <cellStyle name="40% - Accent4 5 2 7 6" xfId="17736" xr:uid="{00000000-0005-0000-0000-000044450000}"/>
    <cellStyle name="40% - Accent4 5 2 7 6 2" xfId="17737" xr:uid="{00000000-0005-0000-0000-000045450000}"/>
    <cellStyle name="40% - Accent4 5 2 7 6 2 2" xfId="17738" xr:uid="{00000000-0005-0000-0000-000046450000}"/>
    <cellStyle name="40% - Accent4 5 2 7 6 3" xfId="17739" xr:uid="{00000000-0005-0000-0000-000047450000}"/>
    <cellStyle name="40% - Accent4 5 2 7 7" xfId="17740" xr:uid="{00000000-0005-0000-0000-000048450000}"/>
    <cellStyle name="40% - Accent4 5 2 7 7 2" xfId="17741" xr:uid="{00000000-0005-0000-0000-000049450000}"/>
    <cellStyle name="40% - Accent4 5 2 7 8" xfId="17742" xr:uid="{00000000-0005-0000-0000-00004A450000}"/>
    <cellStyle name="40% - Accent4 5 2 8" xfId="17743" xr:uid="{00000000-0005-0000-0000-00004B450000}"/>
    <cellStyle name="40% - Accent4 5 2 8 2" xfId="17744" xr:uid="{00000000-0005-0000-0000-00004C450000}"/>
    <cellStyle name="40% - Accent4 5 2 8 2 2" xfId="17745" xr:uid="{00000000-0005-0000-0000-00004D450000}"/>
    <cellStyle name="40% - Accent4 5 2 8 2 2 2" xfId="17746" xr:uid="{00000000-0005-0000-0000-00004E450000}"/>
    <cellStyle name="40% - Accent4 5 2 8 2 2 2 2" xfId="17747" xr:uid="{00000000-0005-0000-0000-00004F450000}"/>
    <cellStyle name="40% - Accent4 5 2 8 2 2 3" xfId="17748" xr:uid="{00000000-0005-0000-0000-000050450000}"/>
    <cellStyle name="40% - Accent4 5 2 8 2 3" xfId="17749" xr:uid="{00000000-0005-0000-0000-000051450000}"/>
    <cellStyle name="40% - Accent4 5 2 8 2 3 2" xfId="17750" xr:uid="{00000000-0005-0000-0000-000052450000}"/>
    <cellStyle name="40% - Accent4 5 2 8 2 4" xfId="17751" xr:uid="{00000000-0005-0000-0000-000053450000}"/>
    <cellStyle name="40% - Accent4 5 2 8 3" xfId="17752" xr:uid="{00000000-0005-0000-0000-000054450000}"/>
    <cellStyle name="40% - Accent4 5 2 8 3 2" xfId="17753" xr:uid="{00000000-0005-0000-0000-000055450000}"/>
    <cellStyle name="40% - Accent4 5 2 8 3 2 2" xfId="17754" xr:uid="{00000000-0005-0000-0000-000056450000}"/>
    <cellStyle name="40% - Accent4 5 2 8 3 3" xfId="17755" xr:uid="{00000000-0005-0000-0000-000057450000}"/>
    <cellStyle name="40% - Accent4 5 2 8 4" xfId="17756" xr:uid="{00000000-0005-0000-0000-000058450000}"/>
    <cellStyle name="40% - Accent4 5 2 8 4 2" xfId="17757" xr:uid="{00000000-0005-0000-0000-000059450000}"/>
    <cellStyle name="40% - Accent4 5 2 8 4 2 2" xfId="17758" xr:uid="{00000000-0005-0000-0000-00005A450000}"/>
    <cellStyle name="40% - Accent4 5 2 8 4 3" xfId="17759" xr:uid="{00000000-0005-0000-0000-00005B450000}"/>
    <cellStyle name="40% - Accent4 5 2 8 5" xfId="17760" xr:uid="{00000000-0005-0000-0000-00005C450000}"/>
    <cellStyle name="40% - Accent4 5 2 8 5 2" xfId="17761" xr:uid="{00000000-0005-0000-0000-00005D450000}"/>
    <cellStyle name="40% - Accent4 5 2 8 5 2 2" xfId="17762" xr:uid="{00000000-0005-0000-0000-00005E450000}"/>
    <cellStyle name="40% - Accent4 5 2 8 5 3" xfId="17763" xr:uid="{00000000-0005-0000-0000-00005F450000}"/>
    <cellStyle name="40% - Accent4 5 2 8 6" xfId="17764" xr:uid="{00000000-0005-0000-0000-000060450000}"/>
    <cellStyle name="40% - Accent4 5 2 8 6 2" xfId="17765" xr:uid="{00000000-0005-0000-0000-000061450000}"/>
    <cellStyle name="40% - Accent4 5 2 8 6 2 2" xfId="17766" xr:uid="{00000000-0005-0000-0000-000062450000}"/>
    <cellStyle name="40% - Accent4 5 2 8 6 3" xfId="17767" xr:uid="{00000000-0005-0000-0000-000063450000}"/>
    <cellStyle name="40% - Accent4 5 2 8 7" xfId="17768" xr:uid="{00000000-0005-0000-0000-000064450000}"/>
    <cellStyle name="40% - Accent4 5 2 8 7 2" xfId="17769" xr:uid="{00000000-0005-0000-0000-000065450000}"/>
    <cellStyle name="40% - Accent4 5 2 8 8" xfId="17770" xr:uid="{00000000-0005-0000-0000-000066450000}"/>
    <cellStyle name="40% - Accent4 5 2 9" xfId="17771" xr:uid="{00000000-0005-0000-0000-000067450000}"/>
    <cellStyle name="40% - Accent4 5 2 9 2" xfId="17772" xr:uid="{00000000-0005-0000-0000-000068450000}"/>
    <cellStyle name="40% - Accent4 5 2 9 2 2" xfId="17773" xr:uid="{00000000-0005-0000-0000-000069450000}"/>
    <cellStyle name="40% - Accent4 5 2 9 2 2 2" xfId="17774" xr:uid="{00000000-0005-0000-0000-00006A450000}"/>
    <cellStyle name="40% - Accent4 5 2 9 2 2 2 2" xfId="17775" xr:uid="{00000000-0005-0000-0000-00006B450000}"/>
    <cellStyle name="40% - Accent4 5 2 9 2 2 3" xfId="17776" xr:uid="{00000000-0005-0000-0000-00006C450000}"/>
    <cellStyle name="40% - Accent4 5 2 9 2 3" xfId="17777" xr:uid="{00000000-0005-0000-0000-00006D450000}"/>
    <cellStyle name="40% - Accent4 5 2 9 2 3 2" xfId="17778" xr:uid="{00000000-0005-0000-0000-00006E450000}"/>
    <cellStyle name="40% - Accent4 5 2 9 2 4" xfId="17779" xr:uid="{00000000-0005-0000-0000-00006F450000}"/>
    <cellStyle name="40% - Accent4 5 2 9 3" xfId="17780" xr:uid="{00000000-0005-0000-0000-000070450000}"/>
    <cellStyle name="40% - Accent4 5 2 9 3 2" xfId="17781" xr:uid="{00000000-0005-0000-0000-000071450000}"/>
    <cellStyle name="40% - Accent4 5 2 9 3 2 2" xfId="17782" xr:uid="{00000000-0005-0000-0000-000072450000}"/>
    <cellStyle name="40% - Accent4 5 2 9 3 3" xfId="17783" xr:uid="{00000000-0005-0000-0000-000073450000}"/>
    <cellStyle name="40% - Accent4 5 2 9 4" xfId="17784" xr:uid="{00000000-0005-0000-0000-000074450000}"/>
    <cellStyle name="40% - Accent4 5 2 9 4 2" xfId="17785" xr:uid="{00000000-0005-0000-0000-000075450000}"/>
    <cellStyle name="40% - Accent4 5 2 9 4 2 2" xfId="17786" xr:uid="{00000000-0005-0000-0000-000076450000}"/>
    <cellStyle name="40% - Accent4 5 2 9 4 3" xfId="17787" xr:uid="{00000000-0005-0000-0000-000077450000}"/>
    <cellStyle name="40% - Accent4 5 2 9 5" xfId="17788" xr:uid="{00000000-0005-0000-0000-000078450000}"/>
    <cellStyle name="40% - Accent4 5 2 9 5 2" xfId="17789" xr:uid="{00000000-0005-0000-0000-000079450000}"/>
    <cellStyle name="40% - Accent4 5 2 9 5 2 2" xfId="17790" xr:uid="{00000000-0005-0000-0000-00007A450000}"/>
    <cellStyle name="40% - Accent4 5 2 9 5 3" xfId="17791" xr:uid="{00000000-0005-0000-0000-00007B450000}"/>
    <cellStyle name="40% - Accent4 5 2 9 6" xfId="17792" xr:uid="{00000000-0005-0000-0000-00007C450000}"/>
    <cellStyle name="40% - Accent4 5 2 9 6 2" xfId="17793" xr:uid="{00000000-0005-0000-0000-00007D450000}"/>
    <cellStyle name="40% - Accent4 5 2 9 6 2 2" xfId="17794" xr:uid="{00000000-0005-0000-0000-00007E450000}"/>
    <cellStyle name="40% - Accent4 5 2 9 6 3" xfId="17795" xr:uid="{00000000-0005-0000-0000-00007F450000}"/>
    <cellStyle name="40% - Accent4 5 2 9 7" xfId="17796" xr:uid="{00000000-0005-0000-0000-000080450000}"/>
    <cellStyle name="40% - Accent4 5 2 9 7 2" xfId="17797" xr:uid="{00000000-0005-0000-0000-000081450000}"/>
    <cellStyle name="40% - Accent4 5 2 9 8" xfId="17798" xr:uid="{00000000-0005-0000-0000-000082450000}"/>
    <cellStyle name="40% - Accent4 5 20" xfId="17799" xr:uid="{00000000-0005-0000-0000-000083450000}"/>
    <cellStyle name="40% - Accent4 5 20 2" xfId="17800" xr:uid="{00000000-0005-0000-0000-000084450000}"/>
    <cellStyle name="40% - Accent4 5 21" xfId="17801" xr:uid="{00000000-0005-0000-0000-000085450000}"/>
    <cellStyle name="40% - Accent4 5 3" xfId="17802" xr:uid="{00000000-0005-0000-0000-000086450000}"/>
    <cellStyle name="40% - Accent4 5 3 10" xfId="17803" xr:uid="{00000000-0005-0000-0000-000087450000}"/>
    <cellStyle name="40% - Accent4 5 3 10 2" xfId="17804" xr:uid="{00000000-0005-0000-0000-000088450000}"/>
    <cellStyle name="40% - Accent4 5 3 10 2 2" xfId="17805" xr:uid="{00000000-0005-0000-0000-000089450000}"/>
    <cellStyle name="40% - Accent4 5 3 10 3" xfId="17806" xr:uid="{00000000-0005-0000-0000-00008A450000}"/>
    <cellStyle name="40% - Accent4 5 3 11" xfId="17807" xr:uid="{00000000-0005-0000-0000-00008B450000}"/>
    <cellStyle name="40% - Accent4 5 3 11 2" xfId="17808" xr:uid="{00000000-0005-0000-0000-00008C450000}"/>
    <cellStyle name="40% - Accent4 5 3 11 2 2" xfId="17809" xr:uid="{00000000-0005-0000-0000-00008D450000}"/>
    <cellStyle name="40% - Accent4 5 3 11 3" xfId="17810" xr:uid="{00000000-0005-0000-0000-00008E450000}"/>
    <cellStyle name="40% - Accent4 5 3 12" xfId="17811" xr:uid="{00000000-0005-0000-0000-00008F450000}"/>
    <cellStyle name="40% - Accent4 5 3 12 2" xfId="17812" xr:uid="{00000000-0005-0000-0000-000090450000}"/>
    <cellStyle name="40% - Accent4 5 3 12 2 2" xfId="17813" xr:uid="{00000000-0005-0000-0000-000091450000}"/>
    <cellStyle name="40% - Accent4 5 3 12 3" xfId="17814" xr:uid="{00000000-0005-0000-0000-000092450000}"/>
    <cellStyle name="40% - Accent4 5 3 13" xfId="17815" xr:uid="{00000000-0005-0000-0000-000093450000}"/>
    <cellStyle name="40% - Accent4 5 3 13 2" xfId="17816" xr:uid="{00000000-0005-0000-0000-000094450000}"/>
    <cellStyle name="40% - Accent4 5 3 14" xfId="17817" xr:uid="{00000000-0005-0000-0000-000095450000}"/>
    <cellStyle name="40% - Accent4 5 3 2" xfId="17818" xr:uid="{00000000-0005-0000-0000-000096450000}"/>
    <cellStyle name="40% - Accent4 5 3 2 2" xfId="17819" xr:uid="{00000000-0005-0000-0000-000097450000}"/>
    <cellStyle name="40% - Accent4 5 3 2 2 2" xfId="17820" xr:uid="{00000000-0005-0000-0000-000098450000}"/>
    <cellStyle name="40% - Accent4 5 3 2 2 2 2" xfId="17821" xr:uid="{00000000-0005-0000-0000-000099450000}"/>
    <cellStyle name="40% - Accent4 5 3 2 2 2 2 2" xfId="17822" xr:uid="{00000000-0005-0000-0000-00009A450000}"/>
    <cellStyle name="40% - Accent4 5 3 2 2 2 3" xfId="17823" xr:uid="{00000000-0005-0000-0000-00009B450000}"/>
    <cellStyle name="40% - Accent4 5 3 2 2 3" xfId="17824" xr:uid="{00000000-0005-0000-0000-00009C450000}"/>
    <cellStyle name="40% - Accent4 5 3 2 2 3 2" xfId="17825" xr:uid="{00000000-0005-0000-0000-00009D450000}"/>
    <cellStyle name="40% - Accent4 5 3 2 2 4" xfId="17826" xr:uid="{00000000-0005-0000-0000-00009E450000}"/>
    <cellStyle name="40% - Accent4 5 3 2 3" xfId="17827" xr:uid="{00000000-0005-0000-0000-00009F450000}"/>
    <cellStyle name="40% - Accent4 5 3 2 3 2" xfId="17828" xr:uid="{00000000-0005-0000-0000-0000A0450000}"/>
    <cellStyle name="40% - Accent4 5 3 2 3 2 2" xfId="17829" xr:uid="{00000000-0005-0000-0000-0000A1450000}"/>
    <cellStyle name="40% - Accent4 5 3 2 3 3" xfId="17830" xr:uid="{00000000-0005-0000-0000-0000A2450000}"/>
    <cellStyle name="40% - Accent4 5 3 2 4" xfId="17831" xr:uid="{00000000-0005-0000-0000-0000A3450000}"/>
    <cellStyle name="40% - Accent4 5 3 2 4 2" xfId="17832" xr:uid="{00000000-0005-0000-0000-0000A4450000}"/>
    <cellStyle name="40% - Accent4 5 3 2 4 2 2" xfId="17833" xr:uid="{00000000-0005-0000-0000-0000A5450000}"/>
    <cellStyle name="40% - Accent4 5 3 2 4 3" xfId="17834" xr:uid="{00000000-0005-0000-0000-0000A6450000}"/>
    <cellStyle name="40% - Accent4 5 3 2 5" xfId="17835" xr:uid="{00000000-0005-0000-0000-0000A7450000}"/>
    <cellStyle name="40% - Accent4 5 3 2 5 2" xfId="17836" xr:uid="{00000000-0005-0000-0000-0000A8450000}"/>
    <cellStyle name="40% - Accent4 5 3 2 5 2 2" xfId="17837" xr:uid="{00000000-0005-0000-0000-0000A9450000}"/>
    <cellStyle name="40% - Accent4 5 3 2 5 3" xfId="17838" xr:uid="{00000000-0005-0000-0000-0000AA450000}"/>
    <cellStyle name="40% - Accent4 5 3 2 6" xfId="17839" xr:uid="{00000000-0005-0000-0000-0000AB450000}"/>
    <cellStyle name="40% - Accent4 5 3 2 6 2" xfId="17840" xr:uid="{00000000-0005-0000-0000-0000AC450000}"/>
    <cellStyle name="40% - Accent4 5 3 2 6 2 2" xfId="17841" xr:uid="{00000000-0005-0000-0000-0000AD450000}"/>
    <cellStyle name="40% - Accent4 5 3 2 6 3" xfId="17842" xr:uid="{00000000-0005-0000-0000-0000AE450000}"/>
    <cellStyle name="40% - Accent4 5 3 2 7" xfId="17843" xr:uid="{00000000-0005-0000-0000-0000AF450000}"/>
    <cellStyle name="40% - Accent4 5 3 2 7 2" xfId="17844" xr:uid="{00000000-0005-0000-0000-0000B0450000}"/>
    <cellStyle name="40% - Accent4 5 3 2 8" xfId="17845" xr:uid="{00000000-0005-0000-0000-0000B1450000}"/>
    <cellStyle name="40% - Accent4 5 3 3" xfId="17846" xr:uid="{00000000-0005-0000-0000-0000B2450000}"/>
    <cellStyle name="40% - Accent4 5 3 3 2" xfId="17847" xr:uid="{00000000-0005-0000-0000-0000B3450000}"/>
    <cellStyle name="40% - Accent4 5 3 3 2 2" xfId="17848" xr:uid="{00000000-0005-0000-0000-0000B4450000}"/>
    <cellStyle name="40% - Accent4 5 3 3 2 2 2" xfId="17849" xr:uid="{00000000-0005-0000-0000-0000B5450000}"/>
    <cellStyle name="40% - Accent4 5 3 3 2 2 2 2" xfId="17850" xr:uid="{00000000-0005-0000-0000-0000B6450000}"/>
    <cellStyle name="40% - Accent4 5 3 3 2 2 3" xfId="17851" xr:uid="{00000000-0005-0000-0000-0000B7450000}"/>
    <cellStyle name="40% - Accent4 5 3 3 2 3" xfId="17852" xr:uid="{00000000-0005-0000-0000-0000B8450000}"/>
    <cellStyle name="40% - Accent4 5 3 3 2 3 2" xfId="17853" xr:uid="{00000000-0005-0000-0000-0000B9450000}"/>
    <cellStyle name="40% - Accent4 5 3 3 2 4" xfId="17854" xr:uid="{00000000-0005-0000-0000-0000BA450000}"/>
    <cellStyle name="40% - Accent4 5 3 3 3" xfId="17855" xr:uid="{00000000-0005-0000-0000-0000BB450000}"/>
    <cellStyle name="40% - Accent4 5 3 3 3 2" xfId="17856" xr:uid="{00000000-0005-0000-0000-0000BC450000}"/>
    <cellStyle name="40% - Accent4 5 3 3 3 2 2" xfId="17857" xr:uid="{00000000-0005-0000-0000-0000BD450000}"/>
    <cellStyle name="40% - Accent4 5 3 3 3 3" xfId="17858" xr:uid="{00000000-0005-0000-0000-0000BE450000}"/>
    <cellStyle name="40% - Accent4 5 3 3 4" xfId="17859" xr:uid="{00000000-0005-0000-0000-0000BF450000}"/>
    <cellStyle name="40% - Accent4 5 3 3 4 2" xfId="17860" xr:uid="{00000000-0005-0000-0000-0000C0450000}"/>
    <cellStyle name="40% - Accent4 5 3 3 4 2 2" xfId="17861" xr:uid="{00000000-0005-0000-0000-0000C1450000}"/>
    <cellStyle name="40% - Accent4 5 3 3 4 3" xfId="17862" xr:uid="{00000000-0005-0000-0000-0000C2450000}"/>
    <cellStyle name="40% - Accent4 5 3 3 5" xfId="17863" xr:uid="{00000000-0005-0000-0000-0000C3450000}"/>
    <cellStyle name="40% - Accent4 5 3 3 5 2" xfId="17864" xr:uid="{00000000-0005-0000-0000-0000C4450000}"/>
    <cellStyle name="40% - Accent4 5 3 3 5 2 2" xfId="17865" xr:uid="{00000000-0005-0000-0000-0000C5450000}"/>
    <cellStyle name="40% - Accent4 5 3 3 5 3" xfId="17866" xr:uid="{00000000-0005-0000-0000-0000C6450000}"/>
    <cellStyle name="40% - Accent4 5 3 3 6" xfId="17867" xr:uid="{00000000-0005-0000-0000-0000C7450000}"/>
    <cellStyle name="40% - Accent4 5 3 3 6 2" xfId="17868" xr:uid="{00000000-0005-0000-0000-0000C8450000}"/>
    <cellStyle name="40% - Accent4 5 3 3 6 2 2" xfId="17869" xr:uid="{00000000-0005-0000-0000-0000C9450000}"/>
    <cellStyle name="40% - Accent4 5 3 3 6 3" xfId="17870" xr:uid="{00000000-0005-0000-0000-0000CA450000}"/>
    <cellStyle name="40% - Accent4 5 3 3 7" xfId="17871" xr:uid="{00000000-0005-0000-0000-0000CB450000}"/>
    <cellStyle name="40% - Accent4 5 3 3 7 2" xfId="17872" xr:uid="{00000000-0005-0000-0000-0000CC450000}"/>
    <cellStyle name="40% - Accent4 5 3 3 8" xfId="17873" xr:uid="{00000000-0005-0000-0000-0000CD450000}"/>
    <cellStyle name="40% - Accent4 5 3 4" xfId="17874" xr:uid="{00000000-0005-0000-0000-0000CE450000}"/>
    <cellStyle name="40% - Accent4 5 3 4 2" xfId="17875" xr:uid="{00000000-0005-0000-0000-0000CF450000}"/>
    <cellStyle name="40% - Accent4 5 3 4 2 2" xfId="17876" xr:uid="{00000000-0005-0000-0000-0000D0450000}"/>
    <cellStyle name="40% - Accent4 5 3 4 2 2 2" xfId="17877" xr:uid="{00000000-0005-0000-0000-0000D1450000}"/>
    <cellStyle name="40% - Accent4 5 3 4 2 2 2 2" xfId="17878" xr:uid="{00000000-0005-0000-0000-0000D2450000}"/>
    <cellStyle name="40% - Accent4 5 3 4 2 2 3" xfId="17879" xr:uid="{00000000-0005-0000-0000-0000D3450000}"/>
    <cellStyle name="40% - Accent4 5 3 4 2 3" xfId="17880" xr:uid="{00000000-0005-0000-0000-0000D4450000}"/>
    <cellStyle name="40% - Accent4 5 3 4 2 3 2" xfId="17881" xr:uid="{00000000-0005-0000-0000-0000D5450000}"/>
    <cellStyle name="40% - Accent4 5 3 4 2 4" xfId="17882" xr:uid="{00000000-0005-0000-0000-0000D6450000}"/>
    <cellStyle name="40% - Accent4 5 3 4 3" xfId="17883" xr:uid="{00000000-0005-0000-0000-0000D7450000}"/>
    <cellStyle name="40% - Accent4 5 3 4 3 2" xfId="17884" xr:uid="{00000000-0005-0000-0000-0000D8450000}"/>
    <cellStyle name="40% - Accent4 5 3 4 3 2 2" xfId="17885" xr:uid="{00000000-0005-0000-0000-0000D9450000}"/>
    <cellStyle name="40% - Accent4 5 3 4 3 3" xfId="17886" xr:uid="{00000000-0005-0000-0000-0000DA450000}"/>
    <cellStyle name="40% - Accent4 5 3 4 4" xfId="17887" xr:uid="{00000000-0005-0000-0000-0000DB450000}"/>
    <cellStyle name="40% - Accent4 5 3 4 4 2" xfId="17888" xr:uid="{00000000-0005-0000-0000-0000DC450000}"/>
    <cellStyle name="40% - Accent4 5 3 4 4 2 2" xfId="17889" xr:uid="{00000000-0005-0000-0000-0000DD450000}"/>
    <cellStyle name="40% - Accent4 5 3 4 4 3" xfId="17890" xr:uid="{00000000-0005-0000-0000-0000DE450000}"/>
    <cellStyle name="40% - Accent4 5 3 4 5" xfId="17891" xr:uid="{00000000-0005-0000-0000-0000DF450000}"/>
    <cellStyle name="40% - Accent4 5 3 4 5 2" xfId="17892" xr:uid="{00000000-0005-0000-0000-0000E0450000}"/>
    <cellStyle name="40% - Accent4 5 3 4 5 2 2" xfId="17893" xr:uid="{00000000-0005-0000-0000-0000E1450000}"/>
    <cellStyle name="40% - Accent4 5 3 4 5 3" xfId="17894" xr:uid="{00000000-0005-0000-0000-0000E2450000}"/>
    <cellStyle name="40% - Accent4 5 3 4 6" xfId="17895" xr:uid="{00000000-0005-0000-0000-0000E3450000}"/>
    <cellStyle name="40% - Accent4 5 3 4 6 2" xfId="17896" xr:uid="{00000000-0005-0000-0000-0000E4450000}"/>
    <cellStyle name="40% - Accent4 5 3 4 6 2 2" xfId="17897" xr:uid="{00000000-0005-0000-0000-0000E5450000}"/>
    <cellStyle name="40% - Accent4 5 3 4 6 3" xfId="17898" xr:uid="{00000000-0005-0000-0000-0000E6450000}"/>
    <cellStyle name="40% - Accent4 5 3 4 7" xfId="17899" xr:uid="{00000000-0005-0000-0000-0000E7450000}"/>
    <cellStyle name="40% - Accent4 5 3 4 7 2" xfId="17900" xr:uid="{00000000-0005-0000-0000-0000E8450000}"/>
    <cellStyle name="40% - Accent4 5 3 4 8" xfId="17901" xr:uid="{00000000-0005-0000-0000-0000E9450000}"/>
    <cellStyle name="40% - Accent4 5 3 5" xfId="17902" xr:uid="{00000000-0005-0000-0000-0000EA450000}"/>
    <cellStyle name="40% - Accent4 5 3 5 2" xfId="17903" xr:uid="{00000000-0005-0000-0000-0000EB450000}"/>
    <cellStyle name="40% - Accent4 5 3 5 2 2" xfId="17904" xr:uid="{00000000-0005-0000-0000-0000EC450000}"/>
    <cellStyle name="40% - Accent4 5 3 5 2 2 2" xfId="17905" xr:uid="{00000000-0005-0000-0000-0000ED450000}"/>
    <cellStyle name="40% - Accent4 5 3 5 2 2 2 2" xfId="17906" xr:uid="{00000000-0005-0000-0000-0000EE450000}"/>
    <cellStyle name="40% - Accent4 5 3 5 2 2 3" xfId="17907" xr:uid="{00000000-0005-0000-0000-0000EF450000}"/>
    <cellStyle name="40% - Accent4 5 3 5 2 3" xfId="17908" xr:uid="{00000000-0005-0000-0000-0000F0450000}"/>
    <cellStyle name="40% - Accent4 5 3 5 2 3 2" xfId="17909" xr:uid="{00000000-0005-0000-0000-0000F1450000}"/>
    <cellStyle name="40% - Accent4 5 3 5 2 4" xfId="17910" xr:uid="{00000000-0005-0000-0000-0000F2450000}"/>
    <cellStyle name="40% - Accent4 5 3 5 3" xfId="17911" xr:uid="{00000000-0005-0000-0000-0000F3450000}"/>
    <cellStyle name="40% - Accent4 5 3 5 3 2" xfId="17912" xr:uid="{00000000-0005-0000-0000-0000F4450000}"/>
    <cellStyle name="40% - Accent4 5 3 5 3 2 2" xfId="17913" xr:uid="{00000000-0005-0000-0000-0000F5450000}"/>
    <cellStyle name="40% - Accent4 5 3 5 3 3" xfId="17914" xr:uid="{00000000-0005-0000-0000-0000F6450000}"/>
    <cellStyle name="40% - Accent4 5 3 5 4" xfId="17915" xr:uid="{00000000-0005-0000-0000-0000F7450000}"/>
    <cellStyle name="40% - Accent4 5 3 5 4 2" xfId="17916" xr:uid="{00000000-0005-0000-0000-0000F8450000}"/>
    <cellStyle name="40% - Accent4 5 3 5 5" xfId="17917" xr:uid="{00000000-0005-0000-0000-0000F9450000}"/>
    <cellStyle name="40% - Accent4 5 3 6" xfId="17918" xr:uid="{00000000-0005-0000-0000-0000FA450000}"/>
    <cellStyle name="40% - Accent4 5 3 6 2" xfId="17919" xr:uid="{00000000-0005-0000-0000-0000FB450000}"/>
    <cellStyle name="40% - Accent4 5 3 6 2 2" xfId="17920" xr:uid="{00000000-0005-0000-0000-0000FC450000}"/>
    <cellStyle name="40% - Accent4 5 3 6 2 2 2" xfId="17921" xr:uid="{00000000-0005-0000-0000-0000FD450000}"/>
    <cellStyle name="40% - Accent4 5 3 6 2 2 2 2" xfId="17922" xr:uid="{00000000-0005-0000-0000-0000FE450000}"/>
    <cellStyle name="40% - Accent4 5 3 6 2 2 3" xfId="17923" xr:uid="{00000000-0005-0000-0000-0000FF450000}"/>
    <cellStyle name="40% - Accent4 5 3 6 2 3" xfId="17924" xr:uid="{00000000-0005-0000-0000-000000460000}"/>
    <cellStyle name="40% - Accent4 5 3 6 2 3 2" xfId="17925" xr:uid="{00000000-0005-0000-0000-000001460000}"/>
    <cellStyle name="40% - Accent4 5 3 6 2 4" xfId="17926" xr:uid="{00000000-0005-0000-0000-000002460000}"/>
    <cellStyle name="40% - Accent4 5 3 6 3" xfId="17927" xr:uid="{00000000-0005-0000-0000-000003460000}"/>
    <cellStyle name="40% - Accent4 5 3 6 3 2" xfId="17928" xr:uid="{00000000-0005-0000-0000-000004460000}"/>
    <cellStyle name="40% - Accent4 5 3 6 3 2 2" xfId="17929" xr:uid="{00000000-0005-0000-0000-000005460000}"/>
    <cellStyle name="40% - Accent4 5 3 6 3 3" xfId="17930" xr:uid="{00000000-0005-0000-0000-000006460000}"/>
    <cellStyle name="40% - Accent4 5 3 6 4" xfId="17931" xr:uid="{00000000-0005-0000-0000-000007460000}"/>
    <cellStyle name="40% - Accent4 5 3 6 4 2" xfId="17932" xr:uid="{00000000-0005-0000-0000-000008460000}"/>
    <cellStyle name="40% - Accent4 5 3 6 5" xfId="17933" xr:uid="{00000000-0005-0000-0000-000009460000}"/>
    <cellStyle name="40% - Accent4 5 3 7" xfId="17934" xr:uid="{00000000-0005-0000-0000-00000A460000}"/>
    <cellStyle name="40% - Accent4 5 3 7 2" xfId="17935" xr:uid="{00000000-0005-0000-0000-00000B460000}"/>
    <cellStyle name="40% - Accent4 5 3 7 2 2" xfId="17936" xr:uid="{00000000-0005-0000-0000-00000C460000}"/>
    <cellStyle name="40% - Accent4 5 3 7 2 2 2" xfId="17937" xr:uid="{00000000-0005-0000-0000-00000D460000}"/>
    <cellStyle name="40% - Accent4 5 3 7 2 3" xfId="17938" xr:uid="{00000000-0005-0000-0000-00000E460000}"/>
    <cellStyle name="40% - Accent4 5 3 7 3" xfId="17939" xr:uid="{00000000-0005-0000-0000-00000F460000}"/>
    <cellStyle name="40% - Accent4 5 3 7 3 2" xfId="17940" xr:uid="{00000000-0005-0000-0000-000010460000}"/>
    <cellStyle name="40% - Accent4 5 3 7 4" xfId="17941" xr:uid="{00000000-0005-0000-0000-000011460000}"/>
    <cellStyle name="40% - Accent4 5 3 8" xfId="17942" xr:uid="{00000000-0005-0000-0000-000012460000}"/>
    <cellStyle name="40% - Accent4 5 3 8 2" xfId="17943" xr:uid="{00000000-0005-0000-0000-000013460000}"/>
    <cellStyle name="40% - Accent4 5 3 8 2 2" xfId="17944" xr:uid="{00000000-0005-0000-0000-000014460000}"/>
    <cellStyle name="40% - Accent4 5 3 8 2 2 2" xfId="17945" xr:uid="{00000000-0005-0000-0000-000015460000}"/>
    <cellStyle name="40% - Accent4 5 3 8 2 3" xfId="17946" xr:uid="{00000000-0005-0000-0000-000016460000}"/>
    <cellStyle name="40% - Accent4 5 3 8 3" xfId="17947" xr:uid="{00000000-0005-0000-0000-000017460000}"/>
    <cellStyle name="40% - Accent4 5 3 8 3 2" xfId="17948" xr:uid="{00000000-0005-0000-0000-000018460000}"/>
    <cellStyle name="40% - Accent4 5 3 8 4" xfId="17949" xr:uid="{00000000-0005-0000-0000-000019460000}"/>
    <cellStyle name="40% - Accent4 5 3 9" xfId="17950" xr:uid="{00000000-0005-0000-0000-00001A460000}"/>
    <cellStyle name="40% - Accent4 5 3 9 2" xfId="17951" xr:uid="{00000000-0005-0000-0000-00001B460000}"/>
    <cellStyle name="40% - Accent4 5 3 9 2 2" xfId="17952" xr:uid="{00000000-0005-0000-0000-00001C460000}"/>
    <cellStyle name="40% - Accent4 5 3 9 3" xfId="17953" xr:uid="{00000000-0005-0000-0000-00001D460000}"/>
    <cellStyle name="40% - Accent4 5 4" xfId="17954" xr:uid="{00000000-0005-0000-0000-00001E460000}"/>
    <cellStyle name="40% - Accent4 5 4 10" xfId="17955" xr:uid="{00000000-0005-0000-0000-00001F460000}"/>
    <cellStyle name="40% - Accent4 5 4 10 2" xfId="17956" xr:uid="{00000000-0005-0000-0000-000020460000}"/>
    <cellStyle name="40% - Accent4 5 4 10 2 2" xfId="17957" xr:uid="{00000000-0005-0000-0000-000021460000}"/>
    <cellStyle name="40% - Accent4 5 4 10 3" xfId="17958" xr:uid="{00000000-0005-0000-0000-000022460000}"/>
    <cellStyle name="40% - Accent4 5 4 11" xfId="17959" xr:uid="{00000000-0005-0000-0000-000023460000}"/>
    <cellStyle name="40% - Accent4 5 4 11 2" xfId="17960" xr:uid="{00000000-0005-0000-0000-000024460000}"/>
    <cellStyle name="40% - Accent4 5 4 11 2 2" xfId="17961" xr:uid="{00000000-0005-0000-0000-000025460000}"/>
    <cellStyle name="40% - Accent4 5 4 11 3" xfId="17962" xr:uid="{00000000-0005-0000-0000-000026460000}"/>
    <cellStyle name="40% - Accent4 5 4 12" xfId="17963" xr:uid="{00000000-0005-0000-0000-000027460000}"/>
    <cellStyle name="40% - Accent4 5 4 12 2" xfId="17964" xr:uid="{00000000-0005-0000-0000-000028460000}"/>
    <cellStyle name="40% - Accent4 5 4 12 2 2" xfId="17965" xr:uid="{00000000-0005-0000-0000-000029460000}"/>
    <cellStyle name="40% - Accent4 5 4 12 3" xfId="17966" xr:uid="{00000000-0005-0000-0000-00002A460000}"/>
    <cellStyle name="40% - Accent4 5 4 13" xfId="17967" xr:uid="{00000000-0005-0000-0000-00002B460000}"/>
    <cellStyle name="40% - Accent4 5 4 13 2" xfId="17968" xr:uid="{00000000-0005-0000-0000-00002C460000}"/>
    <cellStyle name="40% - Accent4 5 4 14" xfId="17969" xr:uid="{00000000-0005-0000-0000-00002D460000}"/>
    <cellStyle name="40% - Accent4 5 4 2" xfId="17970" xr:uid="{00000000-0005-0000-0000-00002E460000}"/>
    <cellStyle name="40% - Accent4 5 4 2 2" xfId="17971" xr:uid="{00000000-0005-0000-0000-00002F460000}"/>
    <cellStyle name="40% - Accent4 5 4 2 2 2" xfId="17972" xr:uid="{00000000-0005-0000-0000-000030460000}"/>
    <cellStyle name="40% - Accent4 5 4 2 2 2 2" xfId="17973" xr:uid="{00000000-0005-0000-0000-000031460000}"/>
    <cellStyle name="40% - Accent4 5 4 2 2 2 2 2" xfId="17974" xr:uid="{00000000-0005-0000-0000-000032460000}"/>
    <cellStyle name="40% - Accent4 5 4 2 2 2 3" xfId="17975" xr:uid="{00000000-0005-0000-0000-000033460000}"/>
    <cellStyle name="40% - Accent4 5 4 2 2 3" xfId="17976" xr:uid="{00000000-0005-0000-0000-000034460000}"/>
    <cellStyle name="40% - Accent4 5 4 2 2 3 2" xfId="17977" xr:uid="{00000000-0005-0000-0000-000035460000}"/>
    <cellStyle name="40% - Accent4 5 4 2 2 4" xfId="17978" xr:uid="{00000000-0005-0000-0000-000036460000}"/>
    <cellStyle name="40% - Accent4 5 4 2 3" xfId="17979" xr:uid="{00000000-0005-0000-0000-000037460000}"/>
    <cellStyle name="40% - Accent4 5 4 2 3 2" xfId="17980" xr:uid="{00000000-0005-0000-0000-000038460000}"/>
    <cellStyle name="40% - Accent4 5 4 2 3 2 2" xfId="17981" xr:uid="{00000000-0005-0000-0000-000039460000}"/>
    <cellStyle name="40% - Accent4 5 4 2 3 3" xfId="17982" xr:uid="{00000000-0005-0000-0000-00003A460000}"/>
    <cellStyle name="40% - Accent4 5 4 2 4" xfId="17983" xr:uid="{00000000-0005-0000-0000-00003B460000}"/>
    <cellStyle name="40% - Accent4 5 4 2 4 2" xfId="17984" xr:uid="{00000000-0005-0000-0000-00003C460000}"/>
    <cellStyle name="40% - Accent4 5 4 2 4 2 2" xfId="17985" xr:uid="{00000000-0005-0000-0000-00003D460000}"/>
    <cellStyle name="40% - Accent4 5 4 2 4 3" xfId="17986" xr:uid="{00000000-0005-0000-0000-00003E460000}"/>
    <cellStyle name="40% - Accent4 5 4 2 5" xfId="17987" xr:uid="{00000000-0005-0000-0000-00003F460000}"/>
    <cellStyle name="40% - Accent4 5 4 2 5 2" xfId="17988" xr:uid="{00000000-0005-0000-0000-000040460000}"/>
    <cellStyle name="40% - Accent4 5 4 2 5 2 2" xfId="17989" xr:uid="{00000000-0005-0000-0000-000041460000}"/>
    <cellStyle name="40% - Accent4 5 4 2 5 3" xfId="17990" xr:uid="{00000000-0005-0000-0000-000042460000}"/>
    <cellStyle name="40% - Accent4 5 4 2 6" xfId="17991" xr:uid="{00000000-0005-0000-0000-000043460000}"/>
    <cellStyle name="40% - Accent4 5 4 2 6 2" xfId="17992" xr:uid="{00000000-0005-0000-0000-000044460000}"/>
    <cellStyle name="40% - Accent4 5 4 2 6 2 2" xfId="17993" xr:uid="{00000000-0005-0000-0000-000045460000}"/>
    <cellStyle name="40% - Accent4 5 4 2 6 3" xfId="17994" xr:uid="{00000000-0005-0000-0000-000046460000}"/>
    <cellStyle name="40% - Accent4 5 4 2 7" xfId="17995" xr:uid="{00000000-0005-0000-0000-000047460000}"/>
    <cellStyle name="40% - Accent4 5 4 2 7 2" xfId="17996" xr:uid="{00000000-0005-0000-0000-000048460000}"/>
    <cellStyle name="40% - Accent4 5 4 2 8" xfId="17997" xr:uid="{00000000-0005-0000-0000-000049460000}"/>
    <cellStyle name="40% - Accent4 5 4 3" xfId="17998" xr:uid="{00000000-0005-0000-0000-00004A460000}"/>
    <cellStyle name="40% - Accent4 5 4 3 2" xfId="17999" xr:uid="{00000000-0005-0000-0000-00004B460000}"/>
    <cellStyle name="40% - Accent4 5 4 3 2 2" xfId="18000" xr:uid="{00000000-0005-0000-0000-00004C460000}"/>
    <cellStyle name="40% - Accent4 5 4 3 2 2 2" xfId="18001" xr:uid="{00000000-0005-0000-0000-00004D460000}"/>
    <cellStyle name="40% - Accent4 5 4 3 2 2 2 2" xfId="18002" xr:uid="{00000000-0005-0000-0000-00004E460000}"/>
    <cellStyle name="40% - Accent4 5 4 3 2 2 3" xfId="18003" xr:uid="{00000000-0005-0000-0000-00004F460000}"/>
    <cellStyle name="40% - Accent4 5 4 3 2 3" xfId="18004" xr:uid="{00000000-0005-0000-0000-000050460000}"/>
    <cellStyle name="40% - Accent4 5 4 3 2 3 2" xfId="18005" xr:uid="{00000000-0005-0000-0000-000051460000}"/>
    <cellStyle name="40% - Accent4 5 4 3 2 4" xfId="18006" xr:uid="{00000000-0005-0000-0000-000052460000}"/>
    <cellStyle name="40% - Accent4 5 4 3 3" xfId="18007" xr:uid="{00000000-0005-0000-0000-000053460000}"/>
    <cellStyle name="40% - Accent4 5 4 3 3 2" xfId="18008" xr:uid="{00000000-0005-0000-0000-000054460000}"/>
    <cellStyle name="40% - Accent4 5 4 3 3 2 2" xfId="18009" xr:uid="{00000000-0005-0000-0000-000055460000}"/>
    <cellStyle name="40% - Accent4 5 4 3 3 3" xfId="18010" xr:uid="{00000000-0005-0000-0000-000056460000}"/>
    <cellStyle name="40% - Accent4 5 4 3 4" xfId="18011" xr:uid="{00000000-0005-0000-0000-000057460000}"/>
    <cellStyle name="40% - Accent4 5 4 3 4 2" xfId="18012" xr:uid="{00000000-0005-0000-0000-000058460000}"/>
    <cellStyle name="40% - Accent4 5 4 3 4 2 2" xfId="18013" xr:uid="{00000000-0005-0000-0000-000059460000}"/>
    <cellStyle name="40% - Accent4 5 4 3 4 3" xfId="18014" xr:uid="{00000000-0005-0000-0000-00005A460000}"/>
    <cellStyle name="40% - Accent4 5 4 3 5" xfId="18015" xr:uid="{00000000-0005-0000-0000-00005B460000}"/>
    <cellStyle name="40% - Accent4 5 4 3 5 2" xfId="18016" xr:uid="{00000000-0005-0000-0000-00005C460000}"/>
    <cellStyle name="40% - Accent4 5 4 3 5 2 2" xfId="18017" xr:uid="{00000000-0005-0000-0000-00005D460000}"/>
    <cellStyle name="40% - Accent4 5 4 3 5 3" xfId="18018" xr:uid="{00000000-0005-0000-0000-00005E460000}"/>
    <cellStyle name="40% - Accent4 5 4 3 6" xfId="18019" xr:uid="{00000000-0005-0000-0000-00005F460000}"/>
    <cellStyle name="40% - Accent4 5 4 3 6 2" xfId="18020" xr:uid="{00000000-0005-0000-0000-000060460000}"/>
    <cellStyle name="40% - Accent4 5 4 3 6 2 2" xfId="18021" xr:uid="{00000000-0005-0000-0000-000061460000}"/>
    <cellStyle name="40% - Accent4 5 4 3 6 3" xfId="18022" xr:uid="{00000000-0005-0000-0000-000062460000}"/>
    <cellStyle name="40% - Accent4 5 4 3 7" xfId="18023" xr:uid="{00000000-0005-0000-0000-000063460000}"/>
    <cellStyle name="40% - Accent4 5 4 3 7 2" xfId="18024" xr:uid="{00000000-0005-0000-0000-000064460000}"/>
    <cellStyle name="40% - Accent4 5 4 3 8" xfId="18025" xr:uid="{00000000-0005-0000-0000-000065460000}"/>
    <cellStyle name="40% - Accent4 5 4 4" xfId="18026" xr:uid="{00000000-0005-0000-0000-000066460000}"/>
    <cellStyle name="40% - Accent4 5 4 4 2" xfId="18027" xr:uid="{00000000-0005-0000-0000-000067460000}"/>
    <cellStyle name="40% - Accent4 5 4 4 2 2" xfId="18028" xr:uid="{00000000-0005-0000-0000-000068460000}"/>
    <cellStyle name="40% - Accent4 5 4 4 2 2 2" xfId="18029" xr:uid="{00000000-0005-0000-0000-000069460000}"/>
    <cellStyle name="40% - Accent4 5 4 4 2 2 2 2" xfId="18030" xr:uid="{00000000-0005-0000-0000-00006A460000}"/>
    <cellStyle name="40% - Accent4 5 4 4 2 2 3" xfId="18031" xr:uid="{00000000-0005-0000-0000-00006B460000}"/>
    <cellStyle name="40% - Accent4 5 4 4 2 3" xfId="18032" xr:uid="{00000000-0005-0000-0000-00006C460000}"/>
    <cellStyle name="40% - Accent4 5 4 4 2 3 2" xfId="18033" xr:uid="{00000000-0005-0000-0000-00006D460000}"/>
    <cellStyle name="40% - Accent4 5 4 4 2 4" xfId="18034" xr:uid="{00000000-0005-0000-0000-00006E460000}"/>
    <cellStyle name="40% - Accent4 5 4 4 3" xfId="18035" xr:uid="{00000000-0005-0000-0000-00006F460000}"/>
    <cellStyle name="40% - Accent4 5 4 4 3 2" xfId="18036" xr:uid="{00000000-0005-0000-0000-000070460000}"/>
    <cellStyle name="40% - Accent4 5 4 4 3 2 2" xfId="18037" xr:uid="{00000000-0005-0000-0000-000071460000}"/>
    <cellStyle name="40% - Accent4 5 4 4 3 3" xfId="18038" xr:uid="{00000000-0005-0000-0000-000072460000}"/>
    <cellStyle name="40% - Accent4 5 4 4 4" xfId="18039" xr:uid="{00000000-0005-0000-0000-000073460000}"/>
    <cellStyle name="40% - Accent4 5 4 4 4 2" xfId="18040" xr:uid="{00000000-0005-0000-0000-000074460000}"/>
    <cellStyle name="40% - Accent4 5 4 4 4 2 2" xfId="18041" xr:uid="{00000000-0005-0000-0000-000075460000}"/>
    <cellStyle name="40% - Accent4 5 4 4 4 3" xfId="18042" xr:uid="{00000000-0005-0000-0000-000076460000}"/>
    <cellStyle name="40% - Accent4 5 4 4 5" xfId="18043" xr:uid="{00000000-0005-0000-0000-000077460000}"/>
    <cellStyle name="40% - Accent4 5 4 4 5 2" xfId="18044" xr:uid="{00000000-0005-0000-0000-000078460000}"/>
    <cellStyle name="40% - Accent4 5 4 4 5 2 2" xfId="18045" xr:uid="{00000000-0005-0000-0000-000079460000}"/>
    <cellStyle name="40% - Accent4 5 4 4 5 3" xfId="18046" xr:uid="{00000000-0005-0000-0000-00007A460000}"/>
    <cellStyle name="40% - Accent4 5 4 4 6" xfId="18047" xr:uid="{00000000-0005-0000-0000-00007B460000}"/>
    <cellStyle name="40% - Accent4 5 4 4 6 2" xfId="18048" xr:uid="{00000000-0005-0000-0000-00007C460000}"/>
    <cellStyle name="40% - Accent4 5 4 4 6 2 2" xfId="18049" xr:uid="{00000000-0005-0000-0000-00007D460000}"/>
    <cellStyle name="40% - Accent4 5 4 4 6 3" xfId="18050" xr:uid="{00000000-0005-0000-0000-00007E460000}"/>
    <cellStyle name="40% - Accent4 5 4 4 7" xfId="18051" xr:uid="{00000000-0005-0000-0000-00007F460000}"/>
    <cellStyle name="40% - Accent4 5 4 4 7 2" xfId="18052" xr:uid="{00000000-0005-0000-0000-000080460000}"/>
    <cellStyle name="40% - Accent4 5 4 4 8" xfId="18053" xr:uid="{00000000-0005-0000-0000-000081460000}"/>
    <cellStyle name="40% - Accent4 5 4 5" xfId="18054" xr:uid="{00000000-0005-0000-0000-000082460000}"/>
    <cellStyle name="40% - Accent4 5 4 5 2" xfId="18055" xr:uid="{00000000-0005-0000-0000-000083460000}"/>
    <cellStyle name="40% - Accent4 5 4 5 2 2" xfId="18056" xr:uid="{00000000-0005-0000-0000-000084460000}"/>
    <cellStyle name="40% - Accent4 5 4 5 2 2 2" xfId="18057" xr:uid="{00000000-0005-0000-0000-000085460000}"/>
    <cellStyle name="40% - Accent4 5 4 5 2 2 2 2" xfId="18058" xr:uid="{00000000-0005-0000-0000-000086460000}"/>
    <cellStyle name="40% - Accent4 5 4 5 2 2 3" xfId="18059" xr:uid="{00000000-0005-0000-0000-000087460000}"/>
    <cellStyle name="40% - Accent4 5 4 5 2 3" xfId="18060" xr:uid="{00000000-0005-0000-0000-000088460000}"/>
    <cellStyle name="40% - Accent4 5 4 5 2 3 2" xfId="18061" xr:uid="{00000000-0005-0000-0000-000089460000}"/>
    <cellStyle name="40% - Accent4 5 4 5 2 4" xfId="18062" xr:uid="{00000000-0005-0000-0000-00008A460000}"/>
    <cellStyle name="40% - Accent4 5 4 5 3" xfId="18063" xr:uid="{00000000-0005-0000-0000-00008B460000}"/>
    <cellStyle name="40% - Accent4 5 4 5 3 2" xfId="18064" xr:uid="{00000000-0005-0000-0000-00008C460000}"/>
    <cellStyle name="40% - Accent4 5 4 5 3 2 2" xfId="18065" xr:uid="{00000000-0005-0000-0000-00008D460000}"/>
    <cellStyle name="40% - Accent4 5 4 5 3 3" xfId="18066" xr:uid="{00000000-0005-0000-0000-00008E460000}"/>
    <cellStyle name="40% - Accent4 5 4 5 4" xfId="18067" xr:uid="{00000000-0005-0000-0000-00008F460000}"/>
    <cellStyle name="40% - Accent4 5 4 5 4 2" xfId="18068" xr:uid="{00000000-0005-0000-0000-000090460000}"/>
    <cellStyle name="40% - Accent4 5 4 5 5" xfId="18069" xr:uid="{00000000-0005-0000-0000-000091460000}"/>
    <cellStyle name="40% - Accent4 5 4 6" xfId="18070" xr:uid="{00000000-0005-0000-0000-000092460000}"/>
    <cellStyle name="40% - Accent4 5 4 6 2" xfId="18071" xr:uid="{00000000-0005-0000-0000-000093460000}"/>
    <cellStyle name="40% - Accent4 5 4 6 2 2" xfId="18072" xr:uid="{00000000-0005-0000-0000-000094460000}"/>
    <cellStyle name="40% - Accent4 5 4 6 2 2 2" xfId="18073" xr:uid="{00000000-0005-0000-0000-000095460000}"/>
    <cellStyle name="40% - Accent4 5 4 6 2 2 2 2" xfId="18074" xr:uid="{00000000-0005-0000-0000-000096460000}"/>
    <cellStyle name="40% - Accent4 5 4 6 2 2 3" xfId="18075" xr:uid="{00000000-0005-0000-0000-000097460000}"/>
    <cellStyle name="40% - Accent4 5 4 6 2 3" xfId="18076" xr:uid="{00000000-0005-0000-0000-000098460000}"/>
    <cellStyle name="40% - Accent4 5 4 6 2 3 2" xfId="18077" xr:uid="{00000000-0005-0000-0000-000099460000}"/>
    <cellStyle name="40% - Accent4 5 4 6 2 4" xfId="18078" xr:uid="{00000000-0005-0000-0000-00009A460000}"/>
    <cellStyle name="40% - Accent4 5 4 6 3" xfId="18079" xr:uid="{00000000-0005-0000-0000-00009B460000}"/>
    <cellStyle name="40% - Accent4 5 4 6 3 2" xfId="18080" xr:uid="{00000000-0005-0000-0000-00009C460000}"/>
    <cellStyle name="40% - Accent4 5 4 6 3 2 2" xfId="18081" xr:uid="{00000000-0005-0000-0000-00009D460000}"/>
    <cellStyle name="40% - Accent4 5 4 6 3 3" xfId="18082" xr:uid="{00000000-0005-0000-0000-00009E460000}"/>
    <cellStyle name="40% - Accent4 5 4 6 4" xfId="18083" xr:uid="{00000000-0005-0000-0000-00009F460000}"/>
    <cellStyle name="40% - Accent4 5 4 6 4 2" xfId="18084" xr:uid="{00000000-0005-0000-0000-0000A0460000}"/>
    <cellStyle name="40% - Accent4 5 4 6 5" xfId="18085" xr:uid="{00000000-0005-0000-0000-0000A1460000}"/>
    <cellStyle name="40% - Accent4 5 4 7" xfId="18086" xr:uid="{00000000-0005-0000-0000-0000A2460000}"/>
    <cellStyle name="40% - Accent4 5 4 7 2" xfId="18087" xr:uid="{00000000-0005-0000-0000-0000A3460000}"/>
    <cellStyle name="40% - Accent4 5 4 7 2 2" xfId="18088" xr:uid="{00000000-0005-0000-0000-0000A4460000}"/>
    <cellStyle name="40% - Accent4 5 4 7 2 2 2" xfId="18089" xr:uid="{00000000-0005-0000-0000-0000A5460000}"/>
    <cellStyle name="40% - Accent4 5 4 7 2 3" xfId="18090" xr:uid="{00000000-0005-0000-0000-0000A6460000}"/>
    <cellStyle name="40% - Accent4 5 4 7 3" xfId="18091" xr:uid="{00000000-0005-0000-0000-0000A7460000}"/>
    <cellStyle name="40% - Accent4 5 4 7 3 2" xfId="18092" xr:uid="{00000000-0005-0000-0000-0000A8460000}"/>
    <cellStyle name="40% - Accent4 5 4 7 4" xfId="18093" xr:uid="{00000000-0005-0000-0000-0000A9460000}"/>
    <cellStyle name="40% - Accent4 5 4 8" xfId="18094" xr:uid="{00000000-0005-0000-0000-0000AA460000}"/>
    <cellStyle name="40% - Accent4 5 4 8 2" xfId="18095" xr:uid="{00000000-0005-0000-0000-0000AB460000}"/>
    <cellStyle name="40% - Accent4 5 4 8 2 2" xfId="18096" xr:uid="{00000000-0005-0000-0000-0000AC460000}"/>
    <cellStyle name="40% - Accent4 5 4 8 2 2 2" xfId="18097" xr:uid="{00000000-0005-0000-0000-0000AD460000}"/>
    <cellStyle name="40% - Accent4 5 4 8 2 3" xfId="18098" xr:uid="{00000000-0005-0000-0000-0000AE460000}"/>
    <cellStyle name="40% - Accent4 5 4 8 3" xfId="18099" xr:uid="{00000000-0005-0000-0000-0000AF460000}"/>
    <cellStyle name="40% - Accent4 5 4 8 3 2" xfId="18100" xr:uid="{00000000-0005-0000-0000-0000B0460000}"/>
    <cellStyle name="40% - Accent4 5 4 8 4" xfId="18101" xr:uid="{00000000-0005-0000-0000-0000B1460000}"/>
    <cellStyle name="40% - Accent4 5 4 9" xfId="18102" xr:uid="{00000000-0005-0000-0000-0000B2460000}"/>
    <cellStyle name="40% - Accent4 5 4 9 2" xfId="18103" xr:uid="{00000000-0005-0000-0000-0000B3460000}"/>
    <cellStyle name="40% - Accent4 5 4 9 2 2" xfId="18104" xr:uid="{00000000-0005-0000-0000-0000B4460000}"/>
    <cellStyle name="40% - Accent4 5 4 9 3" xfId="18105" xr:uid="{00000000-0005-0000-0000-0000B5460000}"/>
    <cellStyle name="40% - Accent4 5 5" xfId="18106" xr:uid="{00000000-0005-0000-0000-0000B6460000}"/>
    <cellStyle name="40% - Accent4 5 5 10" xfId="18107" xr:uid="{00000000-0005-0000-0000-0000B7460000}"/>
    <cellStyle name="40% - Accent4 5 5 10 2" xfId="18108" xr:uid="{00000000-0005-0000-0000-0000B8460000}"/>
    <cellStyle name="40% - Accent4 5 5 10 2 2" xfId="18109" xr:uid="{00000000-0005-0000-0000-0000B9460000}"/>
    <cellStyle name="40% - Accent4 5 5 10 3" xfId="18110" xr:uid="{00000000-0005-0000-0000-0000BA460000}"/>
    <cellStyle name="40% - Accent4 5 5 11" xfId="18111" xr:uid="{00000000-0005-0000-0000-0000BB460000}"/>
    <cellStyle name="40% - Accent4 5 5 11 2" xfId="18112" xr:uid="{00000000-0005-0000-0000-0000BC460000}"/>
    <cellStyle name="40% - Accent4 5 5 11 2 2" xfId="18113" xr:uid="{00000000-0005-0000-0000-0000BD460000}"/>
    <cellStyle name="40% - Accent4 5 5 11 3" xfId="18114" xr:uid="{00000000-0005-0000-0000-0000BE460000}"/>
    <cellStyle name="40% - Accent4 5 5 12" xfId="18115" xr:uid="{00000000-0005-0000-0000-0000BF460000}"/>
    <cellStyle name="40% - Accent4 5 5 12 2" xfId="18116" xr:uid="{00000000-0005-0000-0000-0000C0460000}"/>
    <cellStyle name="40% - Accent4 5 5 12 2 2" xfId="18117" xr:uid="{00000000-0005-0000-0000-0000C1460000}"/>
    <cellStyle name="40% - Accent4 5 5 12 3" xfId="18118" xr:uid="{00000000-0005-0000-0000-0000C2460000}"/>
    <cellStyle name="40% - Accent4 5 5 13" xfId="18119" xr:uid="{00000000-0005-0000-0000-0000C3460000}"/>
    <cellStyle name="40% - Accent4 5 5 13 2" xfId="18120" xr:uid="{00000000-0005-0000-0000-0000C4460000}"/>
    <cellStyle name="40% - Accent4 5 5 14" xfId="18121" xr:uid="{00000000-0005-0000-0000-0000C5460000}"/>
    <cellStyle name="40% - Accent4 5 5 2" xfId="18122" xr:uid="{00000000-0005-0000-0000-0000C6460000}"/>
    <cellStyle name="40% - Accent4 5 5 2 2" xfId="18123" xr:uid="{00000000-0005-0000-0000-0000C7460000}"/>
    <cellStyle name="40% - Accent4 5 5 2 2 2" xfId="18124" xr:uid="{00000000-0005-0000-0000-0000C8460000}"/>
    <cellStyle name="40% - Accent4 5 5 2 2 2 2" xfId="18125" xr:uid="{00000000-0005-0000-0000-0000C9460000}"/>
    <cellStyle name="40% - Accent4 5 5 2 2 2 2 2" xfId="18126" xr:uid="{00000000-0005-0000-0000-0000CA460000}"/>
    <cellStyle name="40% - Accent4 5 5 2 2 2 3" xfId="18127" xr:uid="{00000000-0005-0000-0000-0000CB460000}"/>
    <cellStyle name="40% - Accent4 5 5 2 2 3" xfId="18128" xr:uid="{00000000-0005-0000-0000-0000CC460000}"/>
    <cellStyle name="40% - Accent4 5 5 2 2 3 2" xfId="18129" xr:uid="{00000000-0005-0000-0000-0000CD460000}"/>
    <cellStyle name="40% - Accent4 5 5 2 2 4" xfId="18130" xr:uid="{00000000-0005-0000-0000-0000CE460000}"/>
    <cellStyle name="40% - Accent4 5 5 2 3" xfId="18131" xr:uid="{00000000-0005-0000-0000-0000CF460000}"/>
    <cellStyle name="40% - Accent4 5 5 2 3 2" xfId="18132" xr:uid="{00000000-0005-0000-0000-0000D0460000}"/>
    <cellStyle name="40% - Accent4 5 5 2 3 2 2" xfId="18133" xr:uid="{00000000-0005-0000-0000-0000D1460000}"/>
    <cellStyle name="40% - Accent4 5 5 2 3 3" xfId="18134" xr:uid="{00000000-0005-0000-0000-0000D2460000}"/>
    <cellStyle name="40% - Accent4 5 5 2 4" xfId="18135" xr:uid="{00000000-0005-0000-0000-0000D3460000}"/>
    <cellStyle name="40% - Accent4 5 5 2 4 2" xfId="18136" xr:uid="{00000000-0005-0000-0000-0000D4460000}"/>
    <cellStyle name="40% - Accent4 5 5 2 4 2 2" xfId="18137" xr:uid="{00000000-0005-0000-0000-0000D5460000}"/>
    <cellStyle name="40% - Accent4 5 5 2 4 3" xfId="18138" xr:uid="{00000000-0005-0000-0000-0000D6460000}"/>
    <cellStyle name="40% - Accent4 5 5 2 5" xfId="18139" xr:uid="{00000000-0005-0000-0000-0000D7460000}"/>
    <cellStyle name="40% - Accent4 5 5 2 5 2" xfId="18140" xr:uid="{00000000-0005-0000-0000-0000D8460000}"/>
    <cellStyle name="40% - Accent4 5 5 2 5 2 2" xfId="18141" xr:uid="{00000000-0005-0000-0000-0000D9460000}"/>
    <cellStyle name="40% - Accent4 5 5 2 5 3" xfId="18142" xr:uid="{00000000-0005-0000-0000-0000DA460000}"/>
    <cellStyle name="40% - Accent4 5 5 2 6" xfId="18143" xr:uid="{00000000-0005-0000-0000-0000DB460000}"/>
    <cellStyle name="40% - Accent4 5 5 2 6 2" xfId="18144" xr:uid="{00000000-0005-0000-0000-0000DC460000}"/>
    <cellStyle name="40% - Accent4 5 5 2 6 2 2" xfId="18145" xr:uid="{00000000-0005-0000-0000-0000DD460000}"/>
    <cellStyle name="40% - Accent4 5 5 2 6 3" xfId="18146" xr:uid="{00000000-0005-0000-0000-0000DE460000}"/>
    <cellStyle name="40% - Accent4 5 5 2 7" xfId="18147" xr:uid="{00000000-0005-0000-0000-0000DF460000}"/>
    <cellStyle name="40% - Accent4 5 5 2 7 2" xfId="18148" xr:uid="{00000000-0005-0000-0000-0000E0460000}"/>
    <cellStyle name="40% - Accent4 5 5 2 8" xfId="18149" xr:uid="{00000000-0005-0000-0000-0000E1460000}"/>
    <cellStyle name="40% - Accent4 5 5 3" xfId="18150" xr:uid="{00000000-0005-0000-0000-0000E2460000}"/>
    <cellStyle name="40% - Accent4 5 5 3 2" xfId="18151" xr:uid="{00000000-0005-0000-0000-0000E3460000}"/>
    <cellStyle name="40% - Accent4 5 5 3 2 2" xfId="18152" xr:uid="{00000000-0005-0000-0000-0000E4460000}"/>
    <cellStyle name="40% - Accent4 5 5 3 2 2 2" xfId="18153" xr:uid="{00000000-0005-0000-0000-0000E5460000}"/>
    <cellStyle name="40% - Accent4 5 5 3 2 2 2 2" xfId="18154" xr:uid="{00000000-0005-0000-0000-0000E6460000}"/>
    <cellStyle name="40% - Accent4 5 5 3 2 2 3" xfId="18155" xr:uid="{00000000-0005-0000-0000-0000E7460000}"/>
    <cellStyle name="40% - Accent4 5 5 3 2 3" xfId="18156" xr:uid="{00000000-0005-0000-0000-0000E8460000}"/>
    <cellStyle name="40% - Accent4 5 5 3 2 3 2" xfId="18157" xr:uid="{00000000-0005-0000-0000-0000E9460000}"/>
    <cellStyle name="40% - Accent4 5 5 3 2 4" xfId="18158" xr:uid="{00000000-0005-0000-0000-0000EA460000}"/>
    <cellStyle name="40% - Accent4 5 5 3 3" xfId="18159" xr:uid="{00000000-0005-0000-0000-0000EB460000}"/>
    <cellStyle name="40% - Accent4 5 5 3 3 2" xfId="18160" xr:uid="{00000000-0005-0000-0000-0000EC460000}"/>
    <cellStyle name="40% - Accent4 5 5 3 3 2 2" xfId="18161" xr:uid="{00000000-0005-0000-0000-0000ED460000}"/>
    <cellStyle name="40% - Accent4 5 5 3 3 3" xfId="18162" xr:uid="{00000000-0005-0000-0000-0000EE460000}"/>
    <cellStyle name="40% - Accent4 5 5 3 4" xfId="18163" xr:uid="{00000000-0005-0000-0000-0000EF460000}"/>
    <cellStyle name="40% - Accent4 5 5 3 4 2" xfId="18164" xr:uid="{00000000-0005-0000-0000-0000F0460000}"/>
    <cellStyle name="40% - Accent4 5 5 3 4 2 2" xfId="18165" xr:uid="{00000000-0005-0000-0000-0000F1460000}"/>
    <cellStyle name="40% - Accent4 5 5 3 4 3" xfId="18166" xr:uid="{00000000-0005-0000-0000-0000F2460000}"/>
    <cellStyle name="40% - Accent4 5 5 3 5" xfId="18167" xr:uid="{00000000-0005-0000-0000-0000F3460000}"/>
    <cellStyle name="40% - Accent4 5 5 3 5 2" xfId="18168" xr:uid="{00000000-0005-0000-0000-0000F4460000}"/>
    <cellStyle name="40% - Accent4 5 5 3 5 2 2" xfId="18169" xr:uid="{00000000-0005-0000-0000-0000F5460000}"/>
    <cellStyle name="40% - Accent4 5 5 3 5 3" xfId="18170" xr:uid="{00000000-0005-0000-0000-0000F6460000}"/>
    <cellStyle name="40% - Accent4 5 5 3 6" xfId="18171" xr:uid="{00000000-0005-0000-0000-0000F7460000}"/>
    <cellStyle name="40% - Accent4 5 5 3 6 2" xfId="18172" xr:uid="{00000000-0005-0000-0000-0000F8460000}"/>
    <cellStyle name="40% - Accent4 5 5 3 6 2 2" xfId="18173" xr:uid="{00000000-0005-0000-0000-0000F9460000}"/>
    <cellStyle name="40% - Accent4 5 5 3 6 3" xfId="18174" xr:uid="{00000000-0005-0000-0000-0000FA460000}"/>
    <cellStyle name="40% - Accent4 5 5 3 7" xfId="18175" xr:uid="{00000000-0005-0000-0000-0000FB460000}"/>
    <cellStyle name="40% - Accent4 5 5 3 7 2" xfId="18176" xr:uid="{00000000-0005-0000-0000-0000FC460000}"/>
    <cellStyle name="40% - Accent4 5 5 3 8" xfId="18177" xr:uid="{00000000-0005-0000-0000-0000FD460000}"/>
    <cellStyle name="40% - Accent4 5 5 4" xfId="18178" xr:uid="{00000000-0005-0000-0000-0000FE460000}"/>
    <cellStyle name="40% - Accent4 5 5 4 2" xfId="18179" xr:uid="{00000000-0005-0000-0000-0000FF460000}"/>
    <cellStyle name="40% - Accent4 5 5 4 2 2" xfId="18180" xr:uid="{00000000-0005-0000-0000-000000470000}"/>
    <cellStyle name="40% - Accent4 5 5 4 2 2 2" xfId="18181" xr:uid="{00000000-0005-0000-0000-000001470000}"/>
    <cellStyle name="40% - Accent4 5 5 4 2 2 2 2" xfId="18182" xr:uid="{00000000-0005-0000-0000-000002470000}"/>
    <cellStyle name="40% - Accent4 5 5 4 2 2 3" xfId="18183" xr:uid="{00000000-0005-0000-0000-000003470000}"/>
    <cellStyle name="40% - Accent4 5 5 4 2 3" xfId="18184" xr:uid="{00000000-0005-0000-0000-000004470000}"/>
    <cellStyle name="40% - Accent4 5 5 4 2 3 2" xfId="18185" xr:uid="{00000000-0005-0000-0000-000005470000}"/>
    <cellStyle name="40% - Accent4 5 5 4 2 4" xfId="18186" xr:uid="{00000000-0005-0000-0000-000006470000}"/>
    <cellStyle name="40% - Accent4 5 5 4 3" xfId="18187" xr:uid="{00000000-0005-0000-0000-000007470000}"/>
    <cellStyle name="40% - Accent4 5 5 4 3 2" xfId="18188" xr:uid="{00000000-0005-0000-0000-000008470000}"/>
    <cellStyle name="40% - Accent4 5 5 4 3 2 2" xfId="18189" xr:uid="{00000000-0005-0000-0000-000009470000}"/>
    <cellStyle name="40% - Accent4 5 5 4 3 3" xfId="18190" xr:uid="{00000000-0005-0000-0000-00000A470000}"/>
    <cellStyle name="40% - Accent4 5 5 4 4" xfId="18191" xr:uid="{00000000-0005-0000-0000-00000B470000}"/>
    <cellStyle name="40% - Accent4 5 5 4 4 2" xfId="18192" xr:uid="{00000000-0005-0000-0000-00000C470000}"/>
    <cellStyle name="40% - Accent4 5 5 4 4 2 2" xfId="18193" xr:uid="{00000000-0005-0000-0000-00000D470000}"/>
    <cellStyle name="40% - Accent4 5 5 4 4 3" xfId="18194" xr:uid="{00000000-0005-0000-0000-00000E470000}"/>
    <cellStyle name="40% - Accent4 5 5 4 5" xfId="18195" xr:uid="{00000000-0005-0000-0000-00000F470000}"/>
    <cellStyle name="40% - Accent4 5 5 4 5 2" xfId="18196" xr:uid="{00000000-0005-0000-0000-000010470000}"/>
    <cellStyle name="40% - Accent4 5 5 4 5 2 2" xfId="18197" xr:uid="{00000000-0005-0000-0000-000011470000}"/>
    <cellStyle name="40% - Accent4 5 5 4 5 3" xfId="18198" xr:uid="{00000000-0005-0000-0000-000012470000}"/>
    <cellStyle name="40% - Accent4 5 5 4 6" xfId="18199" xr:uid="{00000000-0005-0000-0000-000013470000}"/>
    <cellStyle name="40% - Accent4 5 5 4 6 2" xfId="18200" xr:uid="{00000000-0005-0000-0000-000014470000}"/>
    <cellStyle name="40% - Accent4 5 5 4 6 2 2" xfId="18201" xr:uid="{00000000-0005-0000-0000-000015470000}"/>
    <cellStyle name="40% - Accent4 5 5 4 6 3" xfId="18202" xr:uid="{00000000-0005-0000-0000-000016470000}"/>
    <cellStyle name="40% - Accent4 5 5 4 7" xfId="18203" xr:uid="{00000000-0005-0000-0000-000017470000}"/>
    <cellStyle name="40% - Accent4 5 5 4 7 2" xfId="18204" xr:uid="{00000000-0005-0000-0000-000018470000}"/>
    <cellStyle name="40% - Accent4 5 5 4 8" xfId="18205" xr:uid="{00000000-0005-0000-0000-000019470000}"/>
    <cellStyle name="40% - Accent4 5 5 5" xfId="18206" xr:uid="{00000000-0005-0000-0000-00001A470000}"/>
    <cellStyle name="40% - Accent4 5 5 5 2" xfId="18207" xr:uid="{00000000-0005-0000-0000-00001B470000}"/>
    <cellStyle name="40% - Accent4 5 5 5 2 2" xfId="18208" xr:uid="{00000000-0005-0000-0000-00001C470000}"/>
    <cellStyle name="40% - Accent4 5 5 5 2 2 2" xfId="18209" xr:uid="{00000000-0005-0000-0000-00001D470000}"/>
    <cellStyle name="40% - Accent4 5 5 5 2 2 2 2" xfId="18210" xr:uid="{00000000-0005-0000-0000-00001E470000}"/>
    <cellStyle name="40% - Accent4 5 5 5 2 2 3" xfId="18211" xr:uid="{00000000-0005-0000-0000-00001F470000}"/>
    <cellStyle name="40% - Accent4 5 5 5 2 3" xfId="18212" xr:uid="{00000000-0005-0000-0000-000020470000}"/>
    <cellStyle name="40% - Accent4 5 5 5 2 3 2" xfId="18213" xr:uid="{00000000-0005-0000-0000-000021470000}"/>
    <cellStyle name="40% - Accent4 5 5 5 2 4" xfId="18214" xr:uid="{00000000-0005-0000-0000-000022470000}"/>
    <cellStyle name="40% - Accent4 5 5 5 3" xfId="18215" xr:uid="{00000000-0005-0000-0000-000023470000}"/>
    <cellStyle name="40% - Accent4 5 5 5 3 2" xfId="18216" xr:uid="{00000000-0005-0000-0000-000024470000}"/>
    <cellStyle name="40% - Accent4 5 5 5 3 2 2" xfId="18217" xr:uid="{00000000-0005-0000-0000-000025470000}"/>
    <cellStyle name="40% - Accent4 5 5 5 3 3" xfId="18218" xr:uid="{00000000-0005-0000-0000-000026470000}"/>
    <cellStyle name="40% - Accent4 5 5 5 4" xfId="18219" xr:uid="{00000000-0005-0000-0000-000027470000}"/>
    <cellStyle name="40% - Accent4 5 5 5 4 2" xfId="18220" xr:uid="{00000000-0005-0000-0000-000028470000}"/>
    <cellStyle name="40% - Accent4 5 5 5 5" xfId="18221" xr:uid="{00000000-0005-0000-0000-000029470000}"/>
    <cellStyle name="40% - Accent4 5 5 6" xfId="18222" xr:uid="{00000000-0005-0000-0000-00002A470000}"/>
    <cellStyle name="40% - Accent4 5 5 6 2" xfId="18223" xr:uid="{00000000-0005-0000-0000-00002B470000}"/>
    <cellStyle name="40% - Accent4 5 5 6 2 2" xfId="18224" xr:uid="{00000000-0005-0000-0000-00002C470000}"/>
    <cellStyle name="40% - Accent4 5 5 6 2 2 2" xfId="18225" xr:uid="{00000000-0005-0000-0000-00002D470000}"/>
    <cellStyle name="40% - Accent4 5 5 6 2 2 2 2" xfId="18226" xr:uid="{00000000-0005-0000-0000-00002E470000}"/>
    <cellStyle name="40% - Accent4 5 5 6 2 2 3" xfId="18227" xr:uid="{00000000-0005-0000-0000-00002F470000}"/>
    <cellStyle name="40% - Accent4 5 5 6 2 3" xfId="18228" xr:uid="{00000000-0005-0000-0000-000030470000}"/>
    <cellStyle name="40% - Accent4 5 5 6 2 3 2" xfId="18229" xr:uid="{00000000-0005-0000-0000-000031470000}"/>
    <cellStyle name="40% - Accent4 5 5 6 2 4" xfId="18230" xr:uid="{00000000-0005-0000-0000-000032470000}"/>
    <cellStyle name="40% - Accent4 5 5 6 3" xfId="18231" xr:uid="{00000000-0005-0000-0000-000033470000}"/>
    <cellStyle name="40% - Accent4 5 5 6 3 2" xfId="18232" xr:uid="{00000000-0005-0000-0000-000034470000}"/>
    <cellStyle name="40% - Accent4 5 5 6 3 2 2" xfId="18233" xr:uid="{00000000-0005-0000-0000-000035470000}"/>
    <cellStyle name="40% - Accent4 5 5 6 3 3" xfId="18234" xr:uid="{00000000-0005-0000-0000-000036470000}"/>
    <cellStyle name="40% - Accent4 5 5 6 4" xfId="18235" xr:uid="{00000000-0005-0000-0000-000037470000}"/>
    <cellStyle name="40% - Accent4 5 5 6 4 2" xfId="18236" xr:uid="{00000000-0005-0000-0000-000038470000}"/>
    <cellStyle name="40% - Accent4 5 5 6 5" xfId="18237" xr:uid="{00000000-0005-0000-0000-000039470000}"/>
    <cellStyle name="40% - Accent4 5 5 7" xfId="18238" xr:uid="{00000000-0005-0000-0000-00003A470000}"/>
    <cellStyle name="40% - Accent4 5 5 7 2" xfId="18239" xr:uid="{00000000-0005-0000-0000-00003B470000}"/>
    <cellStyle name="40% - Accent4 5 5 7 2 2" xfId="18240" xr:uid="{00000000-0005-0000-0000-00003C470000}"/>
    <cellStyle name="40% - Accent4 5 5 7 2 2 2" xfId="18241" xr:uid="{00000000-0005-0000-0000-00003D470000}"/>
    <cellStyle name="40% - Accent4 5 5 7 2 3" xfId="18242" xr:uid="{00000000-0005-0000-0000-00003E470000}"/>
    <cellStyle name="40% - Accent4 5 5 7 3" xfId="18243" xr:uid="{00000000-0005-0000-0000-00003F470000}"/>
    <cellStyle name="40% - Accent4 5 5 7 3 2" xfId="18244" xr:uid="{00000000-0005-0000-0000-000040470000}"/>
    <cellStyle name="40% - Accent4 5 5 7 4" xfId="18245" xr:uid="{00000000-0005-0000-0000-000041470000}"/>
    <cellStyle name="40% - Accent4 5 5 8" xfId="18246" xr:uid="{00000000-0005-0000-0000-000042470000}"/>
    <cellStyle name="40% - Accent4 5 5 8 2" xfId="18247" xr:uid="{00000000-0005-0000-0000-000043470000}"/>
    <cellStyle name="40% - Accent4 5 5 8 2 2" xfId="18248" xr:uid="{00000000-0005-0000-0000-000044470000}"/>
    <cellStyle name="40% - Accent4 5 5 8 2 2 2" xfId="18249" xr:uid="{00000000-0005-0000-0000-000045470000}"/>
    <cellStyle name="40% - Accent4 5 5 8 2 3" xfId="18250" xr:uid="{00000000-0005-0000-0000-000046470000}"/>
    <cellStyle name="40% - Accent4 5 5 8 3" xfId="18251" xr:uid="{00000000-0005-0000-0000-000047470000}"/>
    <cellStyle name="40% - Accent4 5 5 8 3 2" xfId="18252" xr:uid="{00000000-0005-0000-0000-000048470000}"/>
    <cellStyle name="40% - Accent4 5 5 8 4" xfId="18253" xr:uid="{00000000-0005-0000-0000-000049470000}"/>
    <cellStyle name="40% - Accent4 5 5 9" xfId="18254" xr:uid="{00000000-0005-0000-0000-00004A470000}"/>
    <cellStyle name="40% - Accent4 5 5 9 2" xfId="18255" xr:uid="{00000000-0005-0000-0000-00004B470000}"/>
    <cellStyle name="40% - Accent4 5 5 9 2 2" xfId="18256" xr:uid="{00000000-0005-0000-0000-00004C470000}"/>
    <cellStyle name="40% - Accent4 5 5 9 3" xfId="18257" xr:uid="{00000000-0005-0000-0000-00004D470000}"/>
    <cellStyle name="40% - Accent4 5 6" xfId="18258" xr:uid="{00000000-0005-0000-0000-00004E470000}"/>
    <cellStyle name="40% - Accent4 5 6 10" xfId="18259" xr:uid="{00000000-0005-0000-0000-00004F470000}"/>
    <cellStyle name="40% - Accent4 5 6 10 2" xfId="18260" xr:uid="{00000000-0005-0000-0000-000050470000}"/>
    <cellStyle name="40% - Accent4 5 6 10 2 2" xfId="18261" xr:uid="{00000000-0005-0000-0000-000051470000}"/>
    <cellStyle name="40% - Accent4 5 6 10 3" xfId="18262" xr:uid="{00000000-0005-0000-0000-000052470000}"/>
    <cellStyle name="40% - Accent4 5 6 11" xfId="18263" xr:uid="{00000000-0005-0000-0000-000053470000}"/>
    <cellStyle name="40% - Accent4 5 6 11 2" xfId="18264" xr:uid="{00000000-0005-0000-0000-000054470000}"/>
    <cellStyle name="40% - Accent4 5 6 11 2 2" xfId="18265" xr:uid="{00000000-0005-0000-0000-000055470000}"/>
    <cellStyle name="40% - Accent4 5 6 11 3" xfId="18266" xr:uid="{00000000-0005-0000-0000-000056470000}"/>
    <cellStyle name="40% - Accent4 5 6 12" xfId="18267" xr:uid="{00000000-0005-0000-0000-000057470000}"/>
    <cellStyle name="40% - Accent4 5 6 12 2" xfId="18268" xr:uid="{00000000-0005-0000-0000-000058470000}"/>
    <cellStyle name="40% - Accent4 5 6 12 2 2" xfId="18269" xr:uid="{00000000-0005-0000-0000-000059470000}"/>
    <cellStyle name="40% - Accent4 5 6 12 3" xfId="18270" xr:uid="{00000000-0005-0000-0000-00005A470000}"/>
    <cellStyle name="40% - Accent4 5 6 13" xfId="18271" xr:uid="{00000000-0005-0000-0000-00005B470000}"/>
    <cellStyle name="40% - Accent4 5 6 13 2" xfId="18272" xr:uid="{00000000-0005-0000-0000-00005C470000}"/>
    <cellStyle name="40% - Accent4 5 6 14" xfId="18273" xr:uid="{00000000-0005-0000-0000-00005D470000}"/>
    <cellStyle name="40% - Accent4 5 6 2" xfId="18274" xr:uid="{00000000-0005-0000-0000-00005E470000}"/>
    <cellStyle name="40% - Accent4 5 6 2 2" xfId="18275" xr:uid="{00000000-0005-0000-0000-00005F470000}"/>
    <cellStyle name="40% - Accent4 5 6 2 2 2" xfId="18276" xr:uid="{00000000-0005-0000-0000-000060470000}"/>
    <cellStyle name="40% - Accent4 5 6 2 2 2 2" xfId="18277" xr:uid="{00000000-0005-0000-0000-000061470000}"/>
    <cellStyle name="40% - Accent4 5 6 2 2 2 2 2" xfId="18278" xr:uid="{00000000-0005-0000-0000-000062470000}"/>
    <cellStyle name="40% - Accent4 5 6 2 2 2 3" xfId="18279" xr:uid="{00000000-0005-0000-0000-000063470000}"/>
    <cellStyle name="40% - Accent4 5 6 2 2 3" xfId="18280" xr:uid="{00000000-0005-0000-0000-000064470000}"/>
    <cellStyle name="40% - Accent4 5 6 2 2 3 2" xfId="18281" xr:uid="{00000000-0005-0000-0000-000065470000}"/>
    <cellStyle name="40% - Accent4 5 6 2 2 4" xfId="18282" xr:uid="{00000000-0005-0000-0000-000066470000}"/>
    <cellStyle name="40% - Accent4 5 6 2 3" xfId="18283" xr:uid="{00000000-0005-0000-0000-000067470000}"/>
    <cellStyle name="40% - Accent4 5 6 2 3 2" xfId="18284" xr:uid="{00000000-0005-0000-0000-000068470000}"/>
    <cellStyle name="40% - Accent4 5 6 2 3 2 2" xfId="18285" xr:uid="{00000000-0005-0000-0000-000069470000}"/>
    <cellStyle name="40% - Accent4 5 6 2 3 3" xfId="18286" xr:uid="{00000000-0005-0000-0000-00006A470000}"/>
    <cellStyle name="40% - Accent4 5 6 2 4" xfId="18287" xr:uid="{00000000-0005-0000-0000-00006B470000}"/>
    <cellStyle name="40% - Accent4 5 6 2 4 2" xfId="18288" xr:uid="{00000000-0005-0000-0000-00006C470000}"/>
    <cellStyle name="40% - Accent4 5 6 2 4 2 2" xfId="18289" xr:uid="{00000000-0005-0000-0000-00006D470000}"/>
    <cellStyle name="40% - Accent4 5 6 2 4 3" xfId="18290" xr:uid="{00000000-0005-0000-0000-00006E470000}"/>
    <cellStyle name="40% - Accent4 5 6 2 5" xfId="18291" xr:uid="{00000000-0005-0000-0000-00006F470000}"/>
    <cellStyle name="40% - Accent4 5 6 2 5 2" xfId="18292" xr:uid="{00000000-0005-0000-0000-000070470000}"/>
    <cellStyle name="40% - Accent4 5 6 2 5 2 2" xfId="18293" xr:uid="{00000000-0005-0000-0000-000071470000}"/>
    <cellStyle name="40% - Accent4 5 6 2 5 3" xfId="18294" xr:uid="{00000000-0005-0000-0000-000072470000}"/>
    <cellStyle name="40% - Accent4 5 6 2 6" xfId="18295" xr:uid="{00000000-0005-0000-0000-000073470000}"/>
    <cellStyle name="40% - Accent4 5 6 2 6 2" xfId="18296" xr:uid="{00000000-0005-0000-0000-000074470000}"/>
    <cellStyle name="40% - Accent4 5 6 2 6 2 2" xfId="18297" xr:uid="{00000000-0005-0000-0000-000075470000}"/>
    <cellStyle name="40% - Accent4 5 6 2 6 3" xfId="18298" xr:uid="{00000000-0005-0000-0000-000076470000}"/>
    <cellStyle name="40% - Accent4 5 6 2 7" xfId="18299" xr:uid="{00000000-0005-0000-0000-000077470000}"/>
    <cellStyle name="40% - Accent4 5 6 2 7 2" xfId="18300" xr:uid="{00000000-0005-0000-0000-000078470000}"/>
    <cellStyle name="40% - Accent4 5 6 2 8" xfId="18301" xr:uid="{00000000-0005-0000-0000-000079470000}"/>
    <cellStyle name="40% - Accent4 5 6 3" xfId="18302" xr:uid="{00000000-0005-0000-0000-00007A470000}"/>
    <cellStyle name="40% - Accent4 5 6 3 2" xfId="18303" xr:uid="{00000000-0005-0000-0000-00007B470000}"/>
    <cellStyle name="40% - Accent4 5 6 3 2 2" xfId="18304" xr:uid="{00000000-0005-0000-0000-00007C470000}"/>
    <cellStyle name="40% - Accent4 5 6 3 2 2 2" xfId="18305" xr:uid="{00000000-0005-0000-0000-00007D470000}"/>
    <cellStyle name="40% - Accent4 5 6 3 2 2 2 2" xfId="18306" xr:uid="{00000000-0005-0000-0000-00007E470000}"/>
    <cellStyle name="40% - Accent4 5 6 3 2 2 3" xfId="18307" xr:uid="{00000000-0005-0000-0000-00007F470000}"/>
    <cellStyle name="40% - Accent4 5 6 3 2 3" xfId="18308" xr:uid="{00000000-0005-0000-0000-000080470000}"/>
    <cellStyle name="40% - Accent4 5 6 3 2 3 2" xfId="18309" xr:uid="{00000000-0005-0000-0000-000081470000}"/>
    <cellStyle name="40% - Accent4 5 6 3 2 4" xfId="18310" xr:uid="{00000000-0005-0000-0000-000082470000}"/>
    <cellStyle name="40% - Accent4 5 6 3 3" xfId="18311" xr:uid="{00000000-0005-0000-0000-000083470000}"/>
    <cellStyle name="40% - Accent4 5 6 3 3 2" xfId="18312" xr:uid="{00000000-0005-0000-0000-000084470000}"/>
    <cellStyle name="40% - Accent4 5 6 3 3 2 2" xfId="18313" xr:uid="{00000000-0005-0000-0000-000085470000}"/>
    <cellStyle name="40% - Accent4 5 6 3 3 3" xfId="18314" xr:uid="{00000000-0005-0000-0000-000086470000}"/>
    <cellStyle name="40% - Accent4 5 6 3 4" xfId="18315" xr:uid="{00000000-0005-0000-0000-000087470000}"/>
    <cellStyle name="40% - Accent4 5 6 3 4 2" xfId="18316" xr:uid="{00000000-0005-0000-0000-000088470000}"/>
    <cellStyle name="40% - Accent4 5 6 3 4 2 2" xfId="18317" xr:uid="{00000000-0005-0000-0000-000089470000}"/>
    <cellStyle name="40% - Accent4 5 6 3 4 3" xfId="18318" xr:uid="{00000000-0005-0000-0000-00008A470000}"/>
    <cellStyle name="40% - Accent4 5 6 3 5" xfId="18319" xr:uid="{00000000-0005-0000-0000-00008B470000}"/>
    <cellStyle name="40% - Accent4 5 6 3 5 2" xfId="18320" xr:uid="{00000000-0005-0000-0000-00008C470000}"/>
    <cellStyle name="40% - Accent4 5 6 3 5 2 2" xfId="18321" xr:uid="{00000000-0005-0000-0000-00008D470000}"/>
    <cellStyle name="40% - Accent4 5 6 3 5 3" xfId="18322" xr:uid="{00000000-0005-0000-0000-00008E470000}"/>
    <cellStyle name="40% - Accent4 5 6 3 6" xfId="18323" xr:uid="{00000000-0005-0000-0000-00008F470000}"/>
    <cellStyle name="40% - Accent4 5 6 3 6 2" xfId="18324" xr:uid="{00000000-0005-0000-0000-000090470000}"/>
    <cellStyle name="40% - Accent4 5 6 3 6 2 2" xfId="18325" xr:uid="{00000000-0005-0000-0000-000091470000}"/>
    <cellStyle name="40% - Accent4 5 6 3 6 3" xfId="18326" xr:uid="{00000000-0005-0000-0000-000092470000}"/>
    <cellStyle name="40% - Accent4 5 6 3 7" xfId="18327" xr:uid="{00000000-0005-0000-0000-000093470000}"/>
    <cellStyle name="40% - Accent4 5 6 3 7 2" xfId="18328" xr:uid="{00000000-0005-0000-0000-000094470000}"/>
    <cellStyle name="40% - Accent4 5 6 3 8" xfId="18329" xr:uid="{00000000-0005-0000-0000-000095470000}"/>
    <cellStyle name="40% - Accent4 5 6 4" xfId="18330" xr:uid="{00000000-0005-0000-0000-000096470000}"/>
    <cellStyle name="40% - Accent4 5 6 4 2" xfId="18331" xr:uid="{00000000-0005-0000-0000-000097470000}"/>
    <cellStyle name="40% - Accent4 5 6 4 2 2" xfId="18332" xr:uid="{00000000-0005-0000-0000-000098470000}"/>
    <cellStyle name="40% - Accent4 5 6 4 2 2 2" xfId="18333" xr:uid="{00000000-0005-0000-0000-000099470000}"/>
    <cellStyle name="40% - Accent4 5 6 4 2 2 2 2" xfId="18334" xr:uid="{00000000-0005-0000-0000-00009A470000}"/>
    <cellStyle name="40% - Accent4 5 6 4 2 2 3" xfId="18335" xr:uid="{00000000-0005-0000-0000-00009B470000}"/>
    <cellStyle name="40% - Accent4 5 6 4 2 3" xfId="18336" xr:uid="{00000000-0005-0000-0000-00009C470000}"/>
    <cellStyle name="40% - Accent4 5 6 4 2 3 2" xfId="18337" xr:uid="{00000000-0005-0000-0000-00009D470000}"/>
    <cellStyle name="40% - Accent4 5 6 4 2 4" xfId="18338" xr:uid="{00000000-0005-0000-0000-00009E470000}"/>
    <cellStyle name="40% - Accent4 5 6 4 3" xfId="18339" xr:uid="{00000000-0005-0000-0000-00009F470000}"/>
    <cellStyle name="40% - Accent4 5 6 4 3 2" xfId="18340" xr:uid="{00000000-0005-0000-0000-0000A0470000}"/>
    <cellStyle name="40% - Accent4 5 6 4 3 2 2" xfId="18341" xr:uid="{00000000-0005-0000-0000-0000A1470000}"/>
    <cellStyle name="40% - Accent4 5 6 4 3 3" xfId="18342" xr:uid="{00000000-0005-0000-0000-0000A2470000}"/>
    <cellStyle name="40% - Accent4 5 6 4 4" xfId="18343" xr:uid="{00000000-0005-0000-0000-0000A3470000}"/>
    <cellStyle name="40% - Accent4 5 6 4 4 2" xfId="18344" xr:uid="{00000000-0005-0000-0000-0000A4470000}"/>
    <cellStyle name="40% - Accent4 5 6 4 4 2 2" xfId="18345" xr:uid="{00000000-0005-0000-0000-0000A5470000}"/>
    <cellStyle name="40% - Accent4 5 6 4 4 3" xfId="18346" xr:uid="{00000000-0005-0000-0000-0000A6470000}"/>
    <cellStyle name="40% - Accent4 5 6 4 5" xfId="18347" xr:uid="{00000000-0005-0000-0000-0000A7470000}"/>
    <cellStyle name="40% - Accent4 5 6 4 5 2" xfId="18348" xr:uid="{00000000-0005-0000-0000-0000A8470000}"/>
    <cellStyle name="40% - Accent4 5 6 4 5 2 2" xfId="18349" xr:uid="{00000000-0005-0000-0000-0000A9470000}"/>
    <cellStyle name="40% - Accent4 5 6 4 5 3" xfId="18350" xr:uid="{00000000-0005-0000-0000-0000AA470000}"/>
    <cellStyle name="40% - Accent4 5 6 4 6" xfId="18351" xr:uid="{00000000-0005-0000-0000-0000AB470000}"/>
    <cellStyle name="40% - Accent4 5 6 4 6 2" xfId="18352" xr:uid="{00000000-0005-0000-0000-0000AC470000}"/>
    <cellStyle name="40% - Accent4 5 6 4 6 2 2" xfId="18353" xr:uid="{00000000-0005-0000-0000-0000AD470000}"/>
    <cellStyle name="40% - Accent4 5 6 4 6 3" xfId="18354" xr:uid="{00000000-0005-0000-0000-0000AE470000}"/>
    <cellStyle name="40% - Accent4 5 6 4 7" xfId="18355" xr:uid="{00000000-0005-0000-0000-0000AF470000}"/>
    <cellStyle name="40% - Accent4 5 6 4 7 2" xfId="18356" xr:uid="{00000000-0005-0000-0000-0000B0470000}"/>
    <cellStyle name="40% - Accent4 5 6 4 8" xfId="18357" xr:uid="{00000000-0005-0000-0000-0000B1470000}"/>
    <cellStyle name="40% - Accent4 5 6 5" xfId="18358" xr:uid="{00000000-0005-0000-0000-0000B2470000}"/>
    <cellStyle name="40% - Accent4 5 6 5 2" xfId="18359" xr:uid="{00000000-0005-0000-0000-0000B3470000}"/>
    <cellStyle name="40% - Accent4 5 6 5 2 2" xfId="18360" xr:uid="{00000000-0005-0000-0000-0000B4470000}"/>
    <cellStyle name="40% - Accent4 5 6 5 2 2 2" xfId="18361" xr:uid="{00000000-0005-0000-0000-0000B5470000}"/>
    <cellStyle name="40% - Accent4 5 6 5 2 2 2 2" xfId="18362" xr:uid="{00000000-0005-0000-0000-0000B6470000}"/>
    <cellStyle name="40% - Accent4 5 6 5 2 2 3" xfId="18363" xr:uid="{00000000-0005-0000-0000-0000B7470000}"/>
    <cellStyle name="40% - Accent4 5 6 5 2 3" xfId="18364" xr:uid="{00000000-0005-0000-0000-0000B8470000}"/>
    <cellStyle name="40% - Accent4 5 6 5 2 3 2" xfId="18365" xr:uid="{00000000-0005-0000-0000-0000B9470000}"/>
    <cellStyle name="40% - Accent4 5 6 5 2 4" xfId="18366" xr:uid="{00000000-0005-0000-0000-0000BA470000}"/>
    <cellStyle name="40% - Accent4 5 6 5 3" xfId="18367" xr:uid="{00000000-0005-0000-0000-0000BB470000}"/>
    <cellStyle name="40% - Accent4 5 6 5 3 2" xfId="18368" xr:uid="{00000000-0005-0000-0000-0000BC470000}"/>
    <cellStyle name="40% - Accent4 5 6 5 3 2 2" xfId="18369" xr:uid="{00000000-0005-0000-0000-0000BD470000}"/>
    <cellStyle name="40% - Accent4 5 6 5 3 3" xfId="18370" xr:uid="{00000000-0005-0000-0000-0000BE470000}"/>
    <cellStyle name="40% - Accent4 5 6 5 4" xfId="18371" xr:uid="{00000000-0005-0000-0000-0000BF470000}"/>
    <cellStyle name="40% - Accent4 5 6 5 4 2" xfId="18372" xr:uid="{00000000-0005-0000-0000-0000C0470000}"/>
    <cellStyle name="40% - Accent4 5 6 5 5" xfId="18373" xr:uid="{00000000-0005-0000-0000-0000C1470000}"/>
    <cellStyle name="40% - Accent4 5 6 6" xfId="18374" xr:uid="{00000000-0005-0000-0000-0000C2470000}"/>
    <cellStyle name="40% - Accent4 5 6 6 2" xfId="18375" xr:uid="{00000000-0005-0000-0000-0000C3470000}"/>
    <cellStyle name="40% - Accent4 5 6 6 2 2" xfId="18376" xr:uid="{00000000-0005-0000-0000-0000C4470000}"/>
    <cellStyle name="40% - Accent4 5 6 6 2 2 2" xfId="18377" xr:uid="{00000000-0005-0000-0000-0000C5470000}"/>
    <cellStyle name="40% - Accent4 5 6 6 2 2 2 2" xfId="18378" xr:uid="{00000000-0005-0000-0000-0000C6470000}"/>
    <cellStyle name="40% - Accent4 5 6 6 2 2 3" xfId="18379" xr:uid="{00000000-0005-0000-0000-0000C7470000}"/>
    <cellStyle name="40% - Accent4 5 6 6 2 3" xfId="18380" xr:uid="{00000000-0005-0000-0000-0000C8470000}"/>
    <cellStyle name="40% - Accent4 5 6 6 2 3 2" xfId="18381" xr:uid="{00000000-0005-0000-0000-0000C9470000}"/>
    <cellStyle name="40% - Accent4 5 6 6 2 4" xfId="18382" xr:uid="{00000000-0005-0000-0000-0000CA470000}"/>
    <cellStyle name="40% - Accent4 5 6 6 3" xfId="18383" xr:uid="{00000000-0005-0000-0000-0000CB470000}"/>
    <cellStyle name="40% - Accent4 5 6 6 3 2" xfId="18384" xr:uid="{00000000-0005-0000-0000-0000CC470000}"/>
    <cellStyle name="40% - Accent4 5 6 6 3 2 2" xfId="18385" xr:uid="{00000000-0005-0000-0000-0000CD470000}"/>
    <cellStyle name="40% - Accent4 5 6 6 3 3" xfId="18386" xr:uid="{00000000-0005-0000-0000-0000CE470000}"/>
    <cellStyle name="40% - Accent4 5 6 6 4" xfId="18387" xr:uid="{00000000-0005-0000-0000-0000CF470000}"/>
    <cellStyle name="40% - Accent4 5 6 6 4 2" xfId="18388" xr:uid="{00000000-0005-0000-0000-0000D0470000}"/>
    <cellStyle name="40% - Accent4 5 6 6 5" xfId="18389" xr:uid="{00000000-0005-0000-0000-0000D1470000}"/>
    <cellStyle name="40% - Accent4 5 6 7" xfId="18390" xr:uid="{00000000-0005-0000-0000-0000D2470000}"/>
    <cellStyle name="40% - Accent4 5 6 7 2" xfId="18391" xr:uid="{00000000-0005-0000-0000-0000D3470000}"/>
    <cellStyle name="40% - Accent4 5 6 7 2 2" xfId="18392" xr:uid="{00000000-0005-0000-0000-0000D4470000}"/>
    <cellStyle name="40% - Accent4 5 6 7 2 2 2" xfId="18393" xr:uid="{00000000-0005-0000-0000-0000D5470000}"/>
    <cellStyle name="40% - Accent4 5 6 7 2 3" xfId="18394" xr:uid="{00000000-0005-0000-0000-0000D6470000}"/>
    <cellStyle name="40% - Accent4 5 6 7 3" xfId="18395" xr:uid="{00000000-0005-0000-0000-0000D7470000}"/>
    <cellStyle name="40% - Accent4 5 6 7 3 2" xfId="18396" xr:uid="{00000000-0005-0000-0000-0000D8470000}"/>
    <cellStyle name="40% - Accent4 5 6 7 4" xfId="18397" xr:uid="{00000000-0005-0000-0000-0000D9470000}"/>
    <cellStyle name="40% - Accent4 5 6 8" xfId="18398" xr:uid="{00000000-0005-0000-0000-0000DA470000}"/>
    <cellStyle name="40% - Accent4 5 6 8 2" xfId="18399" xr:uid="{00000000-0005-0000-0000-0000DB470000}"/>
    <cellStyle name="40% - Accent4 5 6 8 2 2" xfId="18400" xr:uid="{00000000-0005-0000-0000-0000DC470000}"/>
    <cellStyle name="40% - Accent4 5 6 8 2 2 2" xfId="18401" xr:uid="{00000000-0005-0000-0000-0000DD470000}"/>
    <cellStyle name="40% - Accent4 5 6 8 2 3" xfId="18402" xr:uid="{00000000-0005-0000-0000-0000DE470000}"/>
    <cellStyle name="40% - Accent4 5 6 8 3" xfId="18403" xr:uid="{00000000-0005-0000-0000-0000DF470000}"/>
    <cellStyle name="40% - Accent4 5 6 8 3 2" xfId="18404" xr:uid="{00000000-0005-0000-0000-0000E0470000}"/>
    <cellStyle name="40% - Accent4 5 6 8 4" xfId="18405" xr:uid="{00000000-0005-0000-0000-0000E1470000}"/>
    <cellStyle name="40% - Accent4 5 6 9" xfId="18406" xr:uid="{00000000-0005-0000-0000-0000E2470000}"/>
    <cellStyle name="40% - Accent4 5 6 9 2" xfId="18407" xr:uid="{00000000-0005-0000-0000-0000E3470000}"/>
    <cellStyle name="40% - Accent4 5 6 9 2 2" xfId="18408" xr:uid="{00000000-0005-0000-0000-0000E4470000}"/>
    <cellStyle name="40% - Accent4 5 6 9 3" xfId="18409" xr:uid="{00000000-0005-0000-0000-0000E5470000}"/>
    <cellStyle name="40% - Accent4 5 7" xfId="18410" xr:uid="{00000000-0005-0000-0000-0000E6470000}"/>
    <cellStyle name="40% - Accent4 5 7 10" xfId="18411" xr:uid="{00000000-0005-0000-0000-0000E7470000}"/>
    <cellStyle name="40% - Accent4 5 7 10 2" xfId="18412" xr:uid="{00000000-0005-0000-0000-0000E8470000}"/>
    <cellStyle name="40% - Accent4 5 7 10 2 2" xfId="18413" xr:uid="{00000000-0005-0000-0000-0000E9470000}"/>
    <cellStyle name="40% - Accent4 5 7 10 3" xfId="18414" xr:uid="{00000000-0005-0000-0000-0000EA470000}"/>
    <cellStyle name="40% - Accent4 5 7 11" xfId="18415" xr:uid="{00000000-0005-0000-0000-0000EB470000}"/>
    <cellStyle name="40% - Accent4 5 7 11 2" xfId="18416" xr:uid="{00000000-0005-0000-0000-0000EC470000}"/>
    <cellStyle name="40% - Accent4 5 7 11 2 2" xfId="18417" xr:uid="{00000000-0005-0000-0000-0000ED470000}"/>
    <cellStyle name="40% - Accent4 5 7 11 3" xfId="18418" xr:uid="{00000000-0005-0000-0000-0000EE470000}"/>
    <cellStyle name="40% - Accent4 5 7 12" xfId="18419" xr:uid="{00000000-0005-0000-0000-0000EF470000}"/>
    <cellStyle name="40% - Accent4 5 7 12 2" xfId="18420" xr:uid="{00000000-0005-0000-0000-0000F0470000}"/>
    <cellStyle name="40% - Accent4 5 7 12 2 2" xfId="18421" xr:uid="{00000000-0005-0000-0000-0000F1470000}"/>
    <cellStyle name="40% - Accent4 5 7 12 3" xfId="18422" xr:uid="{00000000-0005-0000-0000-0000F2470000}"/>
    <cellStyle name="40% - Accent4 5 7 13" xfId="18423" xr:uid="{00000000-0005-0000-0000-0000F3470000}"/>
    <cellStyle name="40% - Accent4 5 7 13 2" xfId="18424" xr:uid="{00000000-0005-0000-0000-0000F4470000}"/>
    <cellStyle name="40% - Accent4 5 7 14" xfId="18425" xr:uid="{00000000-0005-0000-0000-0000F5470000}"/>
    <cellStyle name="40% - Accent4 5 7 2" xfId="18426" xr:uid="{00000000-0005-0000-0000-0000F6470000}"/>
    <cellStyle name="40% - Accent4 5 7 2 2" xfId="18427" xr:uid="{00000000-0005-0000-0000-0000F7470000}"/>
    <cellStyle name="40% - Accent4 5 7 2 2 2" xfId="18428" xr:uid="{00000000-0005-0000-0000-0000F8470000}"/>
    <cellStyle name="40% - Accent4 5 7 2 2 2 2" xfId="18429" xr:uid="{00000000-0005-0000-0000-0000F9470000}"/>
    <cellStyle name="40% - Accent4 5 7 2 2 2 2 2" xfId="18430" xr:uid="{00000000-0005-0000-0000-0000FA470000}"/>
    <cellStyle name="40% - Accent4 5 7 2 2 2 3" xfId="18431" xr:uid="{00000000-0005-0000-0000-0000FB470000}"/>
    <cellStyle name="40% - Accent4 5 7 2 2 3" xfId="18432" xr:uid="{00000000-0005-0000-0000-0000FC470000}"/>
    <cellStyle name="40% - Accent4 5 7 2 2 3 2" xfId="18433" xr:uid="{00000000-0005-0000-0000-0000FD470000}"/>
    <cellStyle name="40% - Accent4 5 7 2 2 4" xfId="18434" xr:uid="{00000000-0005-0000-0000-0000FE470000}"/>
    <cellStyle name="40% - Accent4 5 7 2 3" xfId="18435" xr:uid="{00000000-0005-0000-0000-0000FF470000}"/>
    <cellStyle name="40% - Accent4 5 7 2 3 2" xfId="18436" xr:uid="{00000000-0005-0000-0000-000000480000}"/>
    <cellStyle name="40% - Accent4 5 7 2 3 2 2" xfId="18437" xr:uid="{00000000-0005-0000-0000-000001480000}"/>
    <cellStyle name="40% - Accent4 5 7 2 3 3" xfId="18438" xr:uid="{00000000-0005-0000-0000-000002480000}"/>
    <cellStyle name="40% - Accent4 5 7 2 4" xfId="18439" xr:uid="{00000000-0005-0000-0000-000003480000}"/>
    <cellStyle name="40% - Accent4 5 7 2 4 2" xfId="18440" xr:uid="{00000000-0005-0000-0000-000004480000}"/>
    <cellStyle name="40% - Accent4 5 7 2 4 2 2" xfId="18441" xr:uid="{00000000-0005-0000-0000-000005480000}"/>
    <cellStyle name="40% - Accent4 5 7 2 4 3" xfId="18442" xr:uid="{00000000-0005-0000-0000-000006480000}"/>
    <cellStyle name="40% - Accent4 5 7 2 5" xfId="18443" xr:uid="{00000000-0005-0000-0000-000007480000}"/>
    <cellStyle name="40% - Accent4 5 7 2 5 2" xfId="18444" xr:uid="{00000000-0005-0000-0000-000008480000}"/>
    <cellStyle name="40% - Accent4 5 7 2 5 2 2" xfId="18445" xr:uid="{00000000-0005-0000-0000-000009480000}"/>
    <cellStyle name="40% - Accent4 5 7 2 5 3" xfId="18446" xr:uid="{00000000-0005-0000-0000-00000A480000}"/>
    <cellStyle name="40% - Accent4 5 7 2 6" xfId="18447" xr:uid="{00000000-0005-0000-0000-00000B480000}"/>
    <cellStyle name="40% - Accent4 5 7 2 6 2" xfId="18448" xr:uid="{00000000-0005-0000-0000-00000C480000}"/>
    <cellStyle name="40% - Accent4 5 7 2 6 2 2" xfId="18449" xr:uid="{00000000-0005-0000-0000-00000D480000}"/>
    <cellStyle name="40% - Accent4 5 7 2 6 3" xfId="18450" xr:uid="{00000000-0005-0000-0000-00000E480000}"/>
    <cellStyle name="40% - Accent4 5 7 2 7" xfId="18451" xr:uid="{00000000-0005-0000-0000-00000F480000}"/>
    <cellStyle name="40% - Accent4 5 7 2 7 2" xfId="18452" xr:uid="{00000000-0005-0000-0000-000010480000}"/>
    <cellStyle name="40% - Accent4 5 7 2 8" xfId="18453" xr:uid="{00000000-0005-0000-0000-000011480000}"/>
    <cellStyle name="40% - Accent4 5 7 3" xfId="18454" xr:uid="{00000000-0005-0000-0000-000012480000}"/>
    <cellStyle name="40% - Accent4 5 7 3 2" xfId="18455" xr:uid="{00000000-0005-0000-0000-000013480000}"/>
    <cellStyle name="40% - Accent4 5 7 3 2 2" xfId="18456" xr:uid="{00000000-0005-0000-0000-000014480000}"/>
    <cellStyle name="40% - Accent4 5 7 3 2 2 2" xfId="18457" xr:uid="{00000000-0005-0000-0000-000015480000}"/>
    <cellStyle name="40% - Accent4 5 7 3 2 2 2 2" xfId="18458" xr:uid="{00000000-0005-0000-0000-000016480000}"/>
    <cellStyle name="40% - Accent4 5 7 3 2 2 3" xfId="18459" xr:uid="{00000000-0005-0000-0000-000017480000}"/>
    <cellStyle name="40% - Accent4 5 7 3 2 3" xfId="18460" xr:uid="{00000000-0005-0000-0000-000018480000}"/>
    <cellStyle name="40% - Accent4 5 7 3 2 3 2" xfId="18461" xr:uid="{00000000-0005-0000-0000-000019480000}"/>
    <cellStyle name="40% - Accent4 5 7 3 2 4" xfId="18462" xr:uid="{00000000-0005-0000-0000-00001A480000}"/>
    <cellStyle name="40% - Accent4 5 7 3 3" xfId="18463" xr:uid="{00000000-0005-0000-0000-00001B480000}"/>
    <cellStyle name="40% - Accent4 5 7 3 3 2" xfId="18464" xr:uid="{00000000-0005-0000-0000-00001C480000}"/>
    <cellStyle name="40% - Accent4 5 7 3 3 2 2" xfId="18465" xr:uid="{00000000-0005-0000-0000-00001D480000}"/>
    <cellStyle name="40% - Accent4 5 7 3 3 3" xfId="18466" xr:uid="{00000000-0005-0000-0000-00001E480000}"/>
    <cellStyle name="40% - Accent4 5 7 3 4" xfId="18467" xr:uid="{00000000-0005-0000-0000-00001F480000}"/>
    <cellStyle name="40% - Accent4 5 7 3 4 2" xfId="18468" xr:uid="{00000000-0005-0000-0000-000020480000}"/>
    <cellStyle name="40% - Accent4 5 7 3 4 2 2" xfId="18469" xr:uid="{00000000-0005-0000-0000-000021480000}"/>
    <cellStyle name="40% - Accent4 5 7 3 4 3" xfId="18470" xr:uid="{00000000-0005-0000-0000-000022480000}"/>
    <cellStyle name="40% - Accent4 5 7 3 5" xfId="18471" xr:uid="{00000000-0005-0000-0000-000023480000}"/>
    <cellStyle name="40% - Accent4 5 7 3 5 2" xfId="18472" xr:uid="{00000000-0005-0000-0000-000024480000}"/>
    <cellStyle name="40% - Accent4 5 7 3 5 2 2" xfId="18473" xr:uid="{00000000-0005-0000-0000-000025480000}"/>
    <cellStyle name="40% - Accent4 5 7 3 5 3" xfId="18474" xr:uid="{00000000-0005-0000-0000-000026480000}"/>
    <cellStyle name="40% - Accent4 5 7 3 6" xfId="18475" xr:uid="{00000000-0005-0000-0000-000027480000}"/>
    <cellStyle name="40% - Accent4 5 7 3 6 2" xfId="18476" xr:uid="{00000000-0005-0000-0000-000028480000}"/>
    <cellStyle name="40% - Accent4 5 7 3 6 2 2" xfId="18477" xr:uid="{00000000-0005-0000-0000-000029480000}"/>
    <cellStyle name="40% - Accent4 5 7 3 6 3" xfId="18478" xr:uid="{00000000-0005-0000-0000-00002A480000}"/>
    <cellStyle name="40% - Accent4 5 7 3 7" xfId="18479" xr:uid="{00000000-0005-0000-0000-00002B480000}"/>
    <cellStyle name="40% - Accent4 5 7 3 7 2" xfId="18480" xr:uid="{00000000-0005-0000-0000-00002C480000}"/>
    <cellStyle name="40% - Accent4 5 7 3 8" xfId="18481" xr:uid="{00000000-0005-0000-0000-00002D480000}"/>
    <cellStyle name="40% - Accent4 5 7 4" xfId="18482" xr:uid="{00000000-0005-0000-0000-00002E480000}"/>
    <cellStyle name="40% - Accent4 5 7 4 2" xfId="18483" xr:uid="{00000000-0005-0000-0000-00002F480000}"/>
    <cellStyle name="40% - Accent4 5 7 4 2 2" xfId="18484" xr:uid="{00000000-0005-0000-0000-000030480000}"/>
    <cellStyle name="40% - Accent4 5 7 4 2 2 2" xfId="18485" xr:uid="{00000000-0005-0000-0000-000031480000}"/>
    <cellStyle name="40% - Accent4 5 7 4 2 2 2 2" xfId="18486" xr:uid="{00000000-0005-0000-0000-000032480000}"/>
    <cellStyle name="40% - Accent4 5 7 4 2 2 3" xfId="18487" xr:uid="{00000000-0005-0000-0000-000033480000}"/>
    <cellStyle name="40% - Accent4 5 7 4 2 3" xfId="18488" xr:uid="{00000000-0005-0000-0000-000034480000}"/>
    <cellStyle name="40% - Accent4 5 7 4 2 3 2" xfId="18489" xr:uid="{00000000-0005-0000-0000-000035480000}"/>
    <cellStyle name="40% - Accent4 5 7 4 2 4" xfId="18490" xr:uid="{00000000-0005-0000-0000-000036480000}"/>
    <cellStyle name="40% - Accent4 5 7 4 3" xfId="18491" xr:uid="{00000000-0005-0000-0000-000037480000}"/>
    <cellStyle name="40% - Accent4 5 7 4 3 2" xfId="18492" xr:uid="{00000000-0005-0000-0000-000038480000}"/>
    <cellStyle name="40% - Accent4 5 7 4 3 2 2" xfId="18493" xr:uid="{00000000-0005-0000-0000-000039480000}"/>
    <cellStyle name="40% - Accent4 5 7 4 3 3" xfId="18494" xr:uid="{00000000-0005-0000-0000-00003A480000}"/>
    <cellStyle name="40% - Accent4 5 7 4 4" xfId="18495" xr:uid="{00000000-0005-0000-0000-00003B480000}"/>
    <cellStyle name="40% - Accent4 5 7 4 4 2" xfId="18496" xr:uid="{00000000-0005-0000-0000-00003C480000}"/>
    <cellStyle name="40% - Accent4 5 7 4 4 2 2" xfId="18497" xr:uid="{00000000-0005-0000-0000-00003D480000}"/>
    <cellStyle name="40% - Accent4 5 7 4 4 3" xfId="18498" xr:uid="{00000000-0005-0000-0000-00003E480000}"/>
    <cellStyle name="40% - Accent4 5 7 4 5" xfId="18499" xr:uid="{00000000-0005-0000-0000-00003F480000}"/>
    <cellStyle name="40% - Accent4 5 7 4 5 2" xfId="18500" xr:uid="{00000000-0005-0000-0000-000040480000}"/>
    <cellStyle name="40% - Accent4 5 7 4 5 2 2" xfId="18501" xr:uid="{00000000-0005-0000-0000-000041480000}"/>
    <cellStyle name="40% - Accent4 5 7 4 5 3" xfId="18502" xr:uid="{00000000-0005-0000-0000-000042480000}"/>
    <cellStyle name="40% - Accent4 5 7 4 6" xfId="18503" xr:uid="{00000000-0005-0000-0000-000043480000}"/>
    <cellStyle name="40% - Accent4 5 7 4 6 2" xfId="18504" xr:uid="{00000000-0005-0000-0000-000044480000}"/>
    <cellStyle name="40% - Accent4 5 7 4 6 2 2" xfId="18505" xr:uid="{00000000-0005-0000-0000-000045480000}"/>
    <cellStyle name="40% - Accent4 5 7 4 6 3" xfId="18506" xr:uid="{00000000-0005-0000-0000-000046480000}"/>
    <cellStyle name="40% - Accent4 5 7 4 7" xfId="18507" xr:uid="{00000000-0005-0000-0000-000047480000}"/>
    <cellStyle name="40% - Accent4 5 7 4 7 2" xfId="18508" xr:uid="{00000000-0005-0000-0000-000048480000}"/>
    <cellStyle name="40% - Accent4 5 7 4 8" xfId="18509" xr:uid="{00000000-0005-0000-0000-000049480000}"/>
    <cellStyle name="40% - Accent4 5 7 5" xfId="18510" xr:uid="{00000000-0005-0000-0000-00004A480000}"/>
    <cellStyle name="40% - Accent4 5 7 5 2" xfId="18511" xr:uid="{00000000-0005-0000-0000-00004B480000}"/>
    <cellStyle name="40% - Accent4 5 7 5 2 2" xfId="18512" xr:uid="{00000000-0005-0000-0000-00004C480000}"/>
    <cellStyle name="40% - Accent4 5 7 5 2 2 2" xfId="18513" xr:uid="{00000000-0005-0000-0000-00004D480000}"/>
    <cellStyle name="40% - Accent4 5 7 5 2 2 2 2" xfId="18514" xr:uid="{00000000-0005-0000-0000-00004E480000}"/>
    <cellStyle name="40% - Accent4 5 7 5 2 2 3" xfId="18515" xr:uid="{00000000-0005-0000-0000-00004F480000}"/>
    <cellStyle name="40% - Accent4 5 7 5 2 3" xfId="18516" xr:uid="{00000000-0005-0000-0000-000050480000}"/>
    <cellStyle name="40% - Accent4 5 7 5 2 3 2" xfId="18517" xr:uid="{00000000-0005-0000-0000-000051480000}"/>
    <cellStyle name="40% - Accent4 5 7 5 2 4" xfId="18518" xr:uid="{00000000-0005-0000-0000-000052480000}"/>
    <cellStyle name="40% - Accent4 5 7 5 3" xfId="18519" xr:uid="{00000000-0005-0000-0000-000053480000}"/>
    <cellStyle name="40% - Accent4 5 7 5 3 2" xfId="18520" xr:uid="{00000000-0005-0000-0000-000054480000}"/>
    <cellStyle name="40% - Accent4 5 7 5 3 2 2" xfId="18521" xr:uid="{00000000-0005-0000-0000-000055480000}"/>
    <cellStyle name="40% - Accent4 5 7 5 3 3" xfId="18522" xr:uid="{00000000-0005-0000-0000-000056480000}"/>
    <cellStyle name="40% - Accent4 5 7 5 4" xfId="18523" xr:uid="{00000000-0005-0000-0000-000057480000}"/>
    <cellStyle name="40% - Accent4 5 7 5 4 2" xfId="18524" xr:uid="{00000000-0005-0000-0000-000058480000}"/>
    <cellStyle name="40% - Accent4 5 7 5 5" xfId="18525" xr:uid="{00000000-0005-0000-0000-000059480000}"/>
    <cellStyle name="40% - Accent4 5 7 6" xfId="18526" xr:uid="{00000000-0005-0000-0000-00005A480000}"/>
    <cellStyle name="40% - Accent4 5 7 6 2" xfId="18527" xr:uid="{00000000-0005-0000-0000-00005B480000}"/>
    <cellStyle name="40% - Accent4 5 7 6 2 2" xfId="18528" xr:uid="{00000000-0005-0000-0000-00005C480000}"/>
    <cellStyle name="40% - Accent4 5 7 6 2 2 2" xfId="18529" xr:uid="{00000000-0005-0000-0000-00005D480000}"/>
    <cellStyle name="40% - Accent4 5 7 6 2 2 2 2" xfId="18530" xr:uid="{00000000-0005-0000-0000-00005E480000}"/>
    <cellStyle name="40% - Accent4 5 7 6 2 2 3" xfId="18531" xr:uid="{00000000-0005-0000-0000-00005F480000}"/>
    <cellStyle name="40% - Accent4 5 7 6 2 3" xfId="18532" xr:uid="{00000000-0005-0000-0000-000060480000}"/>
    <cellStyle name="40% - Accent4 5 7 6 2 3 2" xfId="18533" xr:uid="{00000000-0005-0000-0000-000061480000}"/>
    <cellStyle name="40% - Accent4 5 7 6 2 4" xfId="18534" xr:uid="{00000000-0005-0000-0000-000062480000}"/>
    <cellStyle name="40% - Accent4 5 7 6 3" xfId="18535" xr:uid="{00000000-0005-0000-0000-000063480000}"/>
    <cellStyle name="40% - Accent4 5 7 6 3 2" xfId="18536" xr:uid="{00000000-0005-0000-0000-000064480000}"/>
    <cellStyle name="40% - Accent4 5 7 6 3 2 2" xfId="18537" xr:uid="{00000000-0005-0000-0000-000065480000}"/>
    <cellStyle name="40% - Accent4 5 7 6 3 3" xfId="18538" xr:uid="{00000000-0005-0000-0000-000066480000}"/>
    <cellStyle name="40% - Accent4 5 7 6 4" xfId="18539" xr:uid="{00000000-0005-0000-0000-000067480000}"/>
    <cellStyle name="40% - Accent4 5 7 6 4 2" xfId="18540" xr:uid="{00000000-0005-0000-0000-000068480000}"/>
    <cellStyle name="40% - Accent4 5 7 6 5" xfId="18541" xr:uid="{00000000-0005-0000-0000-000069480000}"/>
    <cellStyle name="40% - Accent4 5 7 7" xfId="18542" xr:uid="{00000000-0005-0000-0000-00006A480000}"/>
    <cellStyle name="40% - Accent4 5 7 7 2" xfId="18543" xr:uid="{00000000-0005-0000-0000-00006B480000}"/>
    <cellStyle name="40% - Accent4 5 7 7 2 2" xfId="18544" xr:uid="{00000000-0005-0000-0000-00006C480000}"/>
    <cellStyle name="40% - Accent4 5 7 7 2 2 2" xfId="18545" xr:uid="{00000000-0005-0000-0000-00006D480000}"/>
    <cellStyle name="40% - Accent4 5 7 7 2 3" xfId="18546" xr:uid="{00000000-0005-0000-0000-00006E480000}"/>
    <cellStyle name="40% - Accent4 5 7 7 3" xfId="18547" xr:uid="{00000000-0005-0000-0000-00006F480000}"/>
    <cellStyle name="40% - Accent4 5 7 7 3 2" xfId="18548" xr:uid="{00000000-0005-0000-0000-000070480000}"/>
    <cellStyle name="40% - Accent4 5 7 7 4" xfId="18549" xr:uid="{00000000-0005-0000-0000-000071480000}"/>
    <cellStyle name="40% - Accent4 5 7 8" xfId="18550" xr:uid="{00000000-0005-0000-0000-000072480000}"/>
    <cellStyle name="40% - Accent4 5 7 8 2" xfId="18551" xr:uid="{00000000-0005-0000-0000-000073480000}"/>
    <cellStyle name="40% - Accent4 5 7 8 2 2" xfId="18552" xr:uid="{00000000-0005-0000-0000-000074480000}"/>
    <cellStyle name="40% - Accent4 5 7 8 2 2 2" xfId="18553" xr:uid="{00000000-0005-0000-0000-000075480000}"/>
    <cellStyle name="40% - Accent4 5 7 8 2 3" xfId="18554" xr:uid="{00000000-0005-0000-0000-000076480000}"/>
    <cellStyle name="40% - Accent4 5 7 8 3" xfId="18555" xr:uid="{00000000-0005-0000-0000-000077480000}"/>
    <cellStyle name="40% - Accent4 5 7 8 3 2" xfId="18556" xr:uid="{00000000-0005-0000-0000-000078480000}"/>
    <cellStyle name="40% - Accent4 5 7 8 4" xfId="18557" xr:uid="{00000000-0005-0000-0000-000079480000}"/>
    <cellStyle name="40% - Accent4 5 7 9" xfId="18558" xr:uid="{00000000-0005-0000-0000-00007A480000}"/>
    <cellStyle name="40% - Accent4 5 7 9 2" xfId="18559" xr:uid="{00000000-0005-0000-0000-00007B480000}"/>
    <cellStyle name="40% - Accent4 5 7 9 2 2" xfId="18560" xr:uid="{00000000-0005-0000-0000-00007C480000}"/>
    <cellStyle name="40% - Accent4 5 7 9 3" xfId="18561" xr:uid="{00000000-0005-0000-0000-00007D480000}"/>
    <cellStyle name="40% - Accent4 5 8" xfId="18562" xr:uid="{00000000-0005-0000-0000-00007E480000}"/>
    <cellStyle name="40% - Accent4 5 8 2" xfId="18563" xr:uid="{00000000-0005-0000-0000-00007F480000}"/>
    <cellStyle name="40% - Accent4 5 8 2 2" xfId="18564" xr:uid="{00000000-0005-0000-0000-000080480000}"/>
    <cellStyle name="40% - Accent4 5 8 2 2 2" xfId="18565" xr:uid="{00000000-0005-0000-0000-000081480000}"/>
    <cellStyle name="40% - Accent4 5 8 2 2 2 2" xfId="18566" xr:uid="{00000000-0005-0000-0000-000082480000}"/>
    <cellStyle name="40% - Accent4 5 8 2 2 3" xfId="18567" xr:uid="{00000000-0005-0000-0000-000083480000}"/>
    <cellStyle name="40% - Accent4 5 8 2 3" xfId="18568" xr:uid="{00000000-0005-0000-0000-000084480000}"/>
    <cellStyle name="40% - Accent4 5 8 2 3 2" xfId="18569" xr:uid="{00000000-0005-0000-0000-000085480000}"/>
    <cellStyle name="40% - Accent4 5 8 2 4" xfId="18570" xr:uid="{00000000-0005-0000-0000-000086480000}"/>
    <cellStyle name="40% - Accent4 5 8 3" xfId="18571" xr:uid="{00000000-0005-0000-0000-000087480000}"/>
    <cellStyle name="40% - Accent4 5 8 3 2" xfId="18572" xr:uid="{00000000-0005-0000-0000-000088480000}"/>
    <cellStyle name="40% - Accent4 5 8 3 2 2" xfId="18573" xr:uid="{00000000-0005-0000-0000-000089480000}"/>
    <cellStyle name="40% - Accent4 5 8 3 3" xfId="18574" xr:uid="{00000000-0005-0000-0000-00008A480000}"/>
    <cellStyle name="40% - Accent4 5 8 4" xfId="18575" xr:uid="{00000000-0005-0000-0000-00008B480000}"/>
    <cellStyle name="40% - Accent4 5 8 4 2" xfId="18576" xr:uid="{00000000-0005-0000-0000-00008C480000}"/>
    <cellStyle name="40% - Accent4 5 8 4 2 2" xfId="18577" xr:uid="{00000000-0005-0000-0000-00008D480000}"/>
    <cellStyle name="40% - Accent4 5 8 4 3" xfId="18578" xr:uid="{00000000-0005-0000-0000-00008E480000}"/>
    <cellStyle name="40% - Accent4 5 8 5" xfId="18579" xr:uid="{00000000-0005-0000-0000-00008F480000}"/>
    <cellStyle name="40% - Accent4 5 8 5 2" xfId="18580" xr:uid="{00000000-0005-0000-0000-000090480000}"/>
    <cellStyle name="40% - Accent4 5 8 5 2 2" xfId="18581" xr:uid="{00000000-0005-0000-0000-000091480000}"/>
    <cellStyle name="40% - Accent4 5 8 5 3" xfId="18582" xr:uid="{00000000-0005-0000-0000-000092480000}"/>
    <cellStyle name="40% - Accent4 5 8 6" xfId="18583" xr:uid="{00000000-0005-0000-0000-000093480000}"/>
    <cellStyle name="40% - Accent4 5 8 6 2" xfId="18584" xr:uid="{00000000-0005-0000-0000-000094480000}"/>
    <cellStyle name="40% - Accent4 5 8 6 2 2" xfId="18585" xr:uid="{00000000-0005-0000-0000-000095480000}"/>
    <cellStyle name="40% - Accent4 5 8 6 3" xfId="18586" xr:uid="{00000000-0005-0000-0000-000096480000}"/>
    <cellStyle name="40% - Accent4 5 8 7" xfId="18587" xr:uid="{00000000-0005-0000-0000-000097480000}"/>
    <cellStyle name="40% - Accent4 5 8 7 2" xfId="18588" xr:uid="{00000000-0005-0000-0000-000098480000}"/>
    <cellStyle name="40% - Accent4 5 8 8" xfId="18589" xr:uid="{00000000-0005-0000-0000-000099480000}"/>
    <cellStyle name="40% - Accent4 5 9" xfId="18590" xr:uid="{00000000-0005-0000-0000-00009A480000}"/>
    <cellStyle name="40% - Accent4 5 9 2" xfId="18591" xr:uid="{00000000-0005-0000-0000-00009B480000}"/>
    <cellStyle name="40% - Accent4 5 9 2 2" xfId="18592" xr:uid="{00000000-0005-0000-0000-00009C480000}"/>
    <cellStyle name="40% - Accent4 5 9 2 2 2" xfId="18593" xr:uid="{00000000-0005-0000-0000-00009D480000}"/>
    <cellStyle name="40% - Accent4 5 9 2 2 2 2" xfId="18594" xr:uid="{00000000-0005-0000-0000-00009E480000}"/>
    <cellStyle name="40% - Accent4 5 9 2 2 3" xfId="18595" xr:uid="{00000000-0005-0000-0000-00009F480000}"/>
    <cellStyle name="40% - Accent4 5 9 2 3" xfId="18596" xr:uid="{00000000-0005-0000-0000-0000A0480000}"/>
    <cellStyle name="40% - Accent4 5 9 2 3 2" xfId="18597" xr:uid="{00000000-0005-0000-0000-0000A1480000}"/>
    <cellStyle name="40% - Accent4 5 9 2 4" xfId="18598" xr:uid="{00000000-0005-0000-0000-0000A2480000}"/>
    <cellStyle name="40% - Accent4 5 9 3" xfId="18599" xr:uid="{00000000-0005-0000-0000-0000A3480000}"/>
    <cellStyle name="40% - Accent4 5 9 3 2" xfId="18600" xr:uid="{00000000-0005-0000-0000-0000A4480000}"/>
    <cellStyle name="40% - Accent4 5 9 3 2 2" xfId="18601" xr:uid="{00000000-0005-0000-0000-0000A5480000}"/>
    <cellStyle name="40% - Accent4 5 9 3 3" xfId="18602" xr:uid="{00000000-0005-0000-0000-0000A6480000}"/>
    <cellStyle name="40% - Accent4 5 9 4" xfId="18603" xr:uid="{00000000-0005-0000-0000-0000A7480000}"/>
    <cellStyle name="40% - Accent4 5 9 4 2" xfId="18604" xr:uid="{00000000-0005-0000-0000-0000A8480000}"/>
    <cellStyle name="40% - Accent4 5 9 4 2 2" xfId="18605" xr:uid="{00000000-0005-0000-0000-0000A9480000}"/>
    <cellStyle name="40% - Accent4 5 9 4 3" xfId="18606" xr:uid="{00000000-0005-0000-0000-0000AA480000}"/>
    <cellStyle name="40% - Accent4 5 9 5" xfId="18607" xr:uid="{00000000-0005-0000-0000-0000AB480000}"/>
    <cellStyle name="40% - Accent4 5 9 5 2" xfId="18608" xr:uid="{00000000-0005-0000-0000-0000AC480000}"/>
    <cellStyle name="40% - Accent4 5 9 5 2 2" xfId="18609" xr:uid="{00000000-0005-0000-0000-0000AD480000}"/>
    <cellStyle name="40% - Accent4 5 9 5 3" xfId="18610" xr:uid="{00000000-0005-0000-0000-0000AE480000}"/>
    <cellStyle name="40% - Accent4 5 9 6" xfId="18611" xr:uid="{00000000-0005-0000-0000-0000AF480000}"/>
    <cellStyle name="40% - Accent4 5 9 6 2" xfId="18612" xr:uid="{00000000-0005-0000-0000-0000B0480000}"/>
    <cellStyle name="40% - Accent4 5 9 6 2 2" xfId="18613" xr:uid="{00000000-0005-0000-0000-0000B1480000}"/>
    <cellStyle name="40% - Accent4 5 9 6 3" xfId="18614" xr:uid="{00000000-0005-0000-0000-0000B2480000}"/>
    <cellStyle name="40% - Accent4 5 9 7" xfId="18615" xr:uid="{00000000-0005-0000-0000-0000B3480000}"/>
    <cellStyle name="40% - Accent4 5 9 7 2" xfId="18616" xr:uid="{00000000-0005-0000-0000-0000B4480000}"/>
    <cellStyle name="40% - Accent4 5 9 8" xfId="18617" xr:uid="{00000000-0005-0000-0000-0000B5480000}"/>
    <cellStyle name="40% - Accent4 6" xfId="18618" xr:uid="{00000000-0005-0000-0000-0000B6480000}"/>
    <cellStyle name="40% - Accent5 2" xfId="18619" xr:uid="{00000000-0005-0000-0000-0000B7480000}"/>
    <cellStyle name="40% - Accent5 3" xfId="18620" xr:uid="{00000000-0005-0000-0000-0000B8480000}"/>
    <cellStyle name="40% - Accent5 4" xfId="18621" xr:uid="{00000000-0005-0000-0000-0000B9480000}"/>
    <cellStyle name="40% - Accent5 5" xfId="18622" xr:uid="{00000000-0005-0000-0000-0000BA480000}"/>
    <cellStyle name="40% - Accent5 5 10" xfId="18623" xr:uid="{00000000-0005-0000-0000-0000BB480000}"/>
    <cellStyle name="40% - Accent5 5 10 2" xfId="18624" xr:uid="{00000000-0005-0000-0000-0000BC480000}"/>
    <cellStyle name="40% - Accent5 5 10 2 2" xfId="18625" xr:uid="{00000000-0005-0000-0000-0000BD480000}"/>
    <cellStyle name="40% - Accent5 5 10 2 2 2" xfId="18626" xr:uid="{00000000-0005-0000-0000-0000BE480000}"/>
    <cellStyle name="40% - Accent5 5 10 2 2 2 2" xfId="18627" xr:uid="{00000000-0005-0000-0000-0000BF480000}"/>
    <cellStyle name="40% - Accent5 5 10 2 2 3" xfId="18628" xr:uid="{00000000-0005-0000-0000-0000C0480000}"/>
    <cellStyle name="40% - Accent5 5 10 2 3" xfId="18629" xr:uid="{00000000-0005-0000-0000-0000C1480000}"/>
    <cellStyle name="40% - Accent5 5 10 2 3 2" xfId="18630" xr:uid="{00000000-0005-0000-0000-0000C2480000}"/>
    <cellStyle name="40% - Accent5 5 10 2 4" xfId="18631" xr:uid="{00000000-0005-0000-0000-0000C3480000}"/>
    <cellStyle name="40% - Accent5 5 10 3" xfId="18632" xr:uid="{00000000-0005-0000-0000-0000C4480000}"/>
    <cellStyle name="40% - Accent5 5 10 3 2" xfId="18633" xr:uid="{00000000-0005-0000-0000-0000C5480000}"/>
    <cellStyle name="40% - Accent5 5 10 3 2 2" xfId="18634" xr:uid="{00000000-0005-0000-0000-0000C6480000}"/>
    <cellStyle name="40% - Accent5 5 10 3 3" xfId="18635" xr:uid="{00000000-0005-0000-0000-0000C7480000}"/>
    <cellStyle name="40% - Accent5 5 10 4" xfId="18636" xr:uid="{00000000-0005-0000-0000-0000C8480000}"/>
    <cellStyle name="40% - Accent5 5 10 4 2" xfId="18637" xr:uid="{00000000-0005-0000-0000-0000C9480000}"/>
    <cellStyle name="40% - Accent5 5 10 4 2 2" xfId="18638" xr:uid="{00000000-0005-0000-0000-0000CA480000}"/>
    <cellStyle name="40% - Accent5 5 10 4 3" xfId="18639" xr:uid="{00000000-0005-0000-0000-0000CB480000}"/>
    <cellStyle name="40% - Accent5 5 10 5" xfId="18640" xr:uid="{00000000-0005-0000-0000-0000CC480000}"/>
    <cellStyle name="40% - Accent5 5 10 5 2" xfId="18641" xr:uid="{00000000-0005-0000-0000-0000CD480000}"/>
    <cellStyle name="40% - Accent5 5 10 5 2 2" xfId="18642" xr:uid="{00000000-0005-0000-0000-0000CE480000}"/>
    <cellStyle name="40% - Accent5 5 10 5 3" xfId="18643" xr:uid="{00000000-0005-0000-0000-0000CF480000}"/>
    <cellStyle name="40% - Accent5 5 10 6" xfId="18644" xr:uid="{00000000-0005-0000-0000-0000D0480000}"/>
    <cellStyle name="40% - Accent5 5 10 6 2" xfId="18645" xr:uid="{00000000-0005-0000-0000-0000D1480000}"/>
    <cellStyle name="40% - Accent5 5 10 6 2 2" xfId="18646" xr:uid="{00000000-0005-0000-0000-0000D2480000}"/>
    <cellStyle name="40% - Accent5 5 10 6 3" xfId="18647" xr:uid="{00000000-0005-0000-0000-0000D3480000}"/>
    <cellStyle name="40% - Accent5 5 10 7" xfId="18648" xr:uid="{00000000-0005-0000-0000-0000D4480000}"/>
    <cellStyle name="40% - Accent5 5 10 7 2" xfId="18649" xr:uid="{00000000-0005-0000-0000-0000D5480000}"/>
    <cellStyle name="40% - Accent5 5 10 8" xfId="18650" xr:uid="{00000000-0005-0000-0000-0000D6480000}"/>
    <cellStyle name="40% - Accent5 5 11" xfId="18651" xr:uid="{00000000-0005-0000-0000-0000D7480000}"/>
    <cellStyle name="40% - Accent5 5 11 2" xfId="18652" xr:uid="{00000000-0005-0000-0000-0000D8480000}"/>
    <cellStyle name="40% - Accent5 5 11 2 2" xfId="18653" xr:uid="{00000000-0005-0000-0000-0000D9480000}"/>
    <cellStyle name="40% - Accent5 5 11 2 2 2" xfId="18654" xr:uid="{00000000-0005-0000-0000-0000DA480000}"/>
    <cellStyle name="40% - Accent5 5 11 2 2 2 2" xfId="18655" xr:uid="{00000000-0005-0000-0000-0000DB480000}"/>
    <cellStyle name="40% - Accent5 5 11 2 2 3" xfId="18656" xr:uid="{00000000-0005-0000-0000-0000DC480000}"/>
    <cellStyle name="40% - Accent5 5 11 2 3" xfId="18657" xr:uid="{00000000-0005-0000-0000-0000DD480000}"/>
    <cellStyle name="40% - Accent5 5 11 2 3 2" xfId="18658" xr:uid="{00000000-0005-0000-0000-0000DE480000}"/>
    <cellStyle name="40% - Accent5 5 11 2 4" xfId="18659" xr:uid="{00000000-0005-0000-0000-0000DF480000}"/>
    <cellStyle name="40% - Accent5 5 11 3" xfId="18660" xr:uid="{00000000-0005-0000-0000-0000E0480000}"/>
    <cellStyle name="40% - Accent5 5 11 3 2" xfId="18661" xr:uid="{00000000-0005-0000-0000-0000E1480000}"/>
    <cellStyle name="40% - Accent5 5 11 3 2 2" xfId="18662" xr:uid="{00000000-0005-0000-0000-0000E2480000}"/>
    <cellStyle name="40% - Accent5 5 11 3 3" xfId="18663" xr:uid="{00000000-0005-0000-0000-0000E3480000}"/>
    <cellStyle name="40% - Accent5 5 11 4" xfId="18664" xr:uid="{00000000-0005-0000-0000-0000E4480000}"/>
    <cellStyle name="40% - Accent5 5 11 4 2" xfId="18665" xr:uid="{00000000-0005-0000-0000-0000E5480000}"/>
    <cellStyle name="40% - Accent5 5 11 5" xfId="18666" xr:uid="{00000000-0005-0000-0000-0000E6480000}"/>
    <cellStyle name="40% - Accent5 5 12" xfId="18667" xr:uid="{00000000-0005-0000-0000-0000E7480000}"/>
    <cellStyle name="40% - Accent5 5 12 2" xfId="18668" xr:uid="{00000000-0005-0000-0000-0000E8480000}"/>
    <cellStyle name="40% - Accent5 5 12 2 2" xfId="18669" xr:uid="{00000000-0005-0000-0000-0000E9480000}"/>
    <cellStyle name="40% - Accent5 5 12 2 2 2" xfId="18670" xr:uid="{00000000-0005-0000-0000-0000EA480000}"/>
    <cellStyle name="40% - Accent5 5 12 2 2 2 2" xfId="18671" xr:uid="{00000000-0005-0000-0000-0000EB480000}"/>
    <cellStyle name="40% - Accent5 5 12 2 2 3" xfId="18672" xr:uid="{00000000-0005-0000-0000-0000EC480000}"/>
    <cellStyle name="40% - Accent5 5 12 2 3" xfId="18673" xr:uid="{00000000-0005-0000-0000-0000ED480000}"/>
    <cellStyle name="40% - Accent5 5 12 2 3 2" xfId="18674" xr:uid="{00000000-0005-0000-0000-0000EE480000}"/>
    <cellStyle name="40% - Accent5 5 12 2 4" xfId="18675" xr:uid="{00000000-0005-0000-0000-0000EF480000}"/>
    <cellStyle name="40% - Accent5 5 12 3" xfId="18676" xr:uid="{00000000-0005-0000-0000-0000F0480000}"/>
    <cellStyle name="40% - Accent5 5 12 3 2" xfId="18677" xr:uid="{00000000-0005-0000-0000-0000F1480000}"/>
    <cellStyle name="40% - Accent5 5 12 3 2 2" xfId="18678" xr:uid="{00000000-0005-0000-0000-0000F2480000}"/>
    <cellStyle name="40% - Accent5 5 12 3 3" xfId="18679" xr:uid="{00000000-0005-0000-0000-0000F3480000}"/>
    <cellStyle name="40% - Accent5 5 12 4" xfId="18680" xr:uid="{00000000-0005-0000-0000-0000F4480000}"/>
    <cellStyle name="40% - Accent5 5 12 4 2" xfId="18681" xr:uid="{00000000-0005-0000-0000-0000F5480000}"/>
    <cellStyle name="40% - Accent5 5 12 5" xfId="18682" xr:uid="{00000000-0005-0000-0000-0000F6480000}"/>
    <cellStyle name="40% - Accent5 5 13" xfId="18683" xr:uid="{00000000-0005-0000-0000-0000F7480000}"/>
    <cellStyle name="40% - Accent5 5 13 2" xfId="18684" xr:uid="{00000000-0005-0000-0000-0000F8480000}"/>
    <cellStyle name="40% - Accent5 5 13 2 2" xfId="18685" xr:uid="{00000000-0005-0000-0000-0000F9480000}"/>
    <cellStyle name="40% - Accent5 5 13 2 2 2" xfId="18686" xr:uid="{00000000-0005-0000-0000-0000FA480000}"/>
    <cellStyle name="40% - Accent5 5 13 2 2 2 2" xfId="18687" xr:uid="{00000000-0005-0000-0000-0000FB480000}"/>
    <cellStyle name="40% - Accent5 5 13 2 2 3" xfId="18688" xr:uid="{00000000-0005-0000-0000-0000FC480000}"/>
    <cellStyle name="40% - Accent5 5 13 2 3" xfId="18689" xr:uid="{00000000-0005-0000-0000-0000FD480000}"/>
    <cellStyle name="40% - Accent5 5 13 2 3 2" xfId="18690" xr:uid="{00000000-0005-0000-0000-0000FE480000}"/>
    <cellStyle name="40% - Accent5 5 13 2 4" xfId="18691" xr:uid="{00000000-0005-0000-0000-0000FF480000}"/>
    <cellStyle name="40% - Accent5 5 13 3" xfId="18692" xr:uid="{00000000-0005-0000-0000-000000490000}"/>
    <cellStyle name="40% - Accent5 5 13 3 2" xfId="18693" xr:uid="{00000000-0005-0000-0000-000001490000}"/>
    <cellStyle name="40% - Accent5 5 13 3 2 2" xfId="18694" xr:uid="{00000000-0005-0000-0000-000002490000}"/>
    <cellStyle name="40% - Accent5 5 13 3 3" xfId="18695" xr:uid="{00000000-0005-0000-0000-000003490000}"/>
    <cellStyle name="40% - Accent5 5 13 4" xfId="18696" xr:uid="{00000000-0005-0000-0000-000004490000}"/>
    <cellStyle name="40% - Accent5 5 13 4 2" xfId="18697" xr:uid="{00000000-0005-0000-0000-000005490000}"/>
    <cellStyle name="40% - Accent5 5 13 5" xfId="18698" xr:uid="{00000000-0005-0000-0000-000006490000}"/>
    <cellStyle name="40% - Accent5 5 14" xfId="18699" xr:uid="{00000000-0005-0000-0000-000007490000}"/>
    <cellStyle name="40% - Accent5 5 14 2" xfId="18700" xr:uid="{00000000-0005-0000-0000-000008490000}"/>
    <cellStyle name="40% - Accent5 5 14 2 2" xfId="18701" xr:uid="{00000000-0005-0000-0000-000009490000}"/>
    <cellStyle name="40% - Accent5 5 14 2 2 2" xfId="18702" xr:uid="{00000000-0005-0000-0000-00000A490000}"/>
    <cellStyle name="40% - Accent5 5 14 2 3" xfId="18703" xr:uid="{00000000-0005-0000-0000-00000B490000}"/>
    <cellStyle name="40% - Accent5 5 14 3" xfId="18704" xr:uid="{00000000-0005-0000-0000-00000C490000}"/>
    <cellStyle name="40% - Accent5 5 14 3 2" xfId="18705" xr:uid="{00000000-0005-0000-0000-00000D490000}"/>
    <cellStyle name="40% - Accent5 5 14 4" xfId="18706" xr:uid="{00000000-0005-0000-0000-00000E490000}"/>
    <cellStyle name="40% - Accent5 5 15" xfId="18707" xr:uid="{00000000-0005-0000-0000-00000F490000}"/>
    <cellStyle name="40% - Accent5 5 15 2" xfId="18708" xr:uid="{00000000-0005-0000-0000-000010490000}"/>
    <cellStyle name="40% - Accent5 5 15 2 2" xfId="18709" xr:uid="{00000000-0005-0000-0000-000011490000}"/>
    <cellStyle name="40% - Accent5 5 15 2 2 2" xfId="18710" xr:uid="{00000000-0005-0000-0000-000012490000}"/>
    <cellStyle name="40% - Accent5 5 15 2 3" xfId="18711" xr:uid="{00000000-0005-0000-0000-000013490000}"/>
    <cellStyle name="40% - Accent5 5 15 3" xfId="18712" xr:uid="{00000000-0005-0000-0000-000014490000}"/>
    <cellStyle name="40% - Accent5 5 15 3 2" xfId="18713" xr:uid="{00000000-0005-0000-0000-000015490000}"/>
    <cellStyle name="40% - Accent5 5 15 4" xfId="18714" xr:uid="{00000000-0005-0000-0000-000016490000}"/>
    <cellStyle name="40% - Accent5 5 16" xfId="18715" xr:uid="{00000000-0005-0000-0000-000017490000}"/>
    <cellStyle name="40% - Accent5 5 16 2" xfId="18716" xr:uid="{00000000-0005-0000-0000-000018490000}"/>
    <cellStyle name="40% - Accent5 5 16 2 2" xfId="18717" xr:uid="{00000000-0005-0000-0000-000019490000}"/>
    <cellStyle name="40% - Accent5 5 16 3" xfId="18718" xr:uid="{00000000-0005-0000-0000-00001A490000}"/>
    <cellStyle name="40% - Accent5 5 17" xfId="18719" xr:uid="{00000000-0005-0000-0000-00001B490000}"/>
    <cellStyle name="40% - Accent5 5 17 2" xfId="18720" xr:uid="{00000000-0005-0000-0000-00001C490000}"/>
    <cellStyle name="40% - Accent5 5 17 2 2" xfId="18721" xr:uid="{00000000-0005-0000-0000-00001D490000}"/>
    <cellStyle name="40% - Accent5 5 17 3" xfId="18722" xr:uid="{00000000-0005-0000-0000-00001E490000}"/>
    <cellStyle name="40% - Accent5 5 18" xfId="18723" xr:uid="{00000000-0005-0000-0000-00001F490000}"/>
    <cellStyle name="40% - Accent5 5 18 2" xfId="18724" xr:uid="{00000000-0005-0000-0000-000020490000}"/>
    <cellStyle name="40% - Accent5 5 18 2 2" xfId="18725" xr:uid="{00000000-0005-0000-0000-000021490000}"/>
    <cellStyle name="40% - Accent5 5 18 3" xfId="18726" xr:uid="{00000000-0005-0000-0000-000022490000}"/>
    <cellStyle name="40% - Accent5 5 19" xfId="18727" xr:uid="{00000000-0005-0000-0000-000023490000}"/>
    <cellStyle name="40% - Accent5 5 19 2" xfId="18728" xr:uid="{00000000-0005-0000-0000-000024490000}"/>
    <cellStyle name="40% - Accent5 5 19 2 2" xfId="18729" xr:uid="{00000000-0005-0000-0000-000025490000}"/>
    <cellStyle name="40% - Accent5 5 19 3" xfId="18730" xr:uid="{00000000-0005-0000-0000-000026490000}"/>
    <cellStyle name="40% - Accent5 5 2" xfId="18731" xr:uid="{00000000-0005-0000-0000-000027490000}"/>
    <cellStyle name="40% - Accent5 5 2 10" xfId="18732" xr:uid="{00000000-0005-0000-0000-000028490000}"/>
    <cellStyle name="40% - Accent5 5 2 10 2" xfId="18733" xr:uid="{00000000-0005-0000-0000-000029490000}"/>
    <cellStyle name="40% - Accent5 5 2 10 2 2" xfId="18734" xr:uid="{00000000-0005-0000-0000-00002A490000}"/>
    <cellStyle name="40% - Accent5 5 2 10 2 2 2" xfId="18735" xr:uid="{00000000-0005-0000-0000-00002B490000}"/>
    <cellStyle name="40% - Accent5 5 2 10 2 2 2 2" xfId="18736" xr:uid="{00000000-0005-0000-0000-00002C490000}"/>
    <cellStyle name="40% - Accent5 5 2 10 2 2 3" xfId="18737" xr:uid="{00000000-0005-0000-0000-00002D490000}"/>
    <cellStyle name="40% - Accent5 5 2 10 2 3" xfId="18738" xr:uid="{00000000-0005-0000-0000-00002E490000}"/>
    <cellStyle name="40% - Accent5 5 2 10 2 3 2" xfId="18739" xr:uid="{00000000-0005-0000-0000-00002F490000}"/>
    <cellStyle name="40% - Accent5 5 2 10 2 4" xfId="18740" xr:uid="{00000000-0005-0000-0000-000030490000}"/>
    <cellStyle name="40% - Accent5 5 2 10 3" xfId="18741" xr:uid="{00000000-0005-0000-0000-000031490000}"/>
    <cellStyle name="40% - Accent5 5 2 10 3 2" xfId="18742" xr:uid="{00000000-0005-0000-0000-000032490000}"/>
    <cellStyle name="40% - Accent5 5 2 10 3 2 2" xfId="18743" xr:uid="{00000000-0005-0000-0000-000033490000}"/>
    <cellStyle name="40% - Accent5 5 2 10 3 3" xfId="18744" xr:uid="{00000000-0005-0000-0000-000034490000}"/>
    <cellStyle name="40% - Accent5 5 2 10 4" xfId="18745" xr:uid="{00000000-0005-0000-0000-000035490000}"/>
    <cellStyle name="40% - Accent5 5 2 10 4 2" xfId="18746" xr:uid="{00000000-0005-0000-0000-000036490000}"/>
    <cellStyle name="40% - Accent5 5 2 10 5" xfId="18747" xr:uid="{00000000-0005-0000-0000-000037490000}"/>
    <cellStyle name="40% - Accent5 5 2 11" xfId="18748" xr:uid="{00000000-0005-0000-0000-000038490000}"/>
    <cellStyle name="40% - Accent5 5 2 11 2" xfId="18749" xr:uid="{00000000-0005-0000-0000-000039490000}"/>
    <cellStyle name="40% - Accent5 5 2 11 2 2" xfId="18750" xr:uid="{00000000-0005-0000-0000-00003A490000}"/>
    <cellStyle name="40% - Accent5 5 2 11 2 2 2" xfId="18751" xr:uid="{00000000-0005-0000-0000-00003B490000}"/>
    <cellStyle name="40% - Accent5 5 2 11 2 2 2 2" xfId="18752" xr:uid="{00000000-0005-0000-0000-00003C490000}"/>
    <cellStyle name="40% - Accent5 5 2 11 2 2 3" xfId="18753" xr:uid="{00000000-0005-0000-0000-00003D490000}"/>
    <cellStyle name="40% - Accent5 5 2 11 2 3" xfId="18754" xr:uid="{00000000-0005-0000-0000-00003E490000}"/>
    <cellStyle name="40% - Accent5 5 2 11 2 3 2" xfId="18755" xr:uid="{00000000-0005-0000-0000-00003F490000}"/>
    <cellStyle name="40% - Accent5 5 2 11 2 4" xfId="18756" xr:uid="{00000000-0005-0000-0000-000040490000}"/>
    <cellStyle name="40% - Accent5 5 2 11 3" xfId="18757" xr:uid="{00000000-0005-0000-0000-000041490000}"/>
    <cellStyle name="40% - Accent5 5 2 11 3 2" xfId="18758" xr:uid="{00000000-0005-0000-0000-000042490000}"/>
    <cellStyle name="40% - Accent5 5 2 11 3 2 2" xfId="18759" xr:uid="{00000000-0005-0000-0000-000043490000}"/>
    <cellStyle name="40% - Accent5 5 2 11 3 3" xfId="18760" xr:uid="{00000000-0005-0000-0000-000044490000}"/>
    <cellStyle name="40% - Accent5 5 2 11 4" xfId="18761" xr:uid="{00000000-0005-0000-0000-000045490000}"/>
    <cellStyle name="40% - Accent5 5 2 11 4 2" xfId="18762" xr:uid="{00000000-0005-0000-0000-000046490000}"/>
    <cellStyle name="40% - Accent5 5 2 11 5" xfId="18763" xr:uid="{00000000-0005-0000-0000-000047490000}"/>
    <cellStyle name="40% - Accent5 5 2 12" xfId="18764" xr:uid="{00000000-0005-0000-0000-000048490000}"/>
    <cellStyle name="40% - Accent5 5 2 12 2" xfId="18765" xr:uid="{00000000-0005-0000-0000-000049490000}"/>
    <cellStyle name="40% - Accent5 5 2 12 2 2" xfId="18766" xr:uid="{00000000-0005-0000-0000-00004A490000}"/>
    <cellStyle name="40% - Accent5 5 2 12 2 2 2" xfId="18767" xr:uid="{00000000-0005-0000-0000-00004B490000}"/>
    <cellStyle name="40% - Accent5 5 2 12 2 2 2 2" xfId="18768" xr:uid="{00000000-0005-0000-0000-00004C490000}"/>
    <cellStyle name="40% - Accent5 5 2 12 2 2 3" xfId="18769" xr:uid="{00000000-0005-0000-0000-00004D490000}"/>
    <cellStyle name="40% - Accent5 5 2 12 2 3" xfId="18770" xr:uid="{00000000-0005-0000-0000-00004E490000}"/>
    <cellStyle name="40% - Accent5 5 2 12 2 3 2" xfId="18771" xr:uid="{00000000-0005-0000-0000-00004F490000}"/>
    <cellStyle name="40% - Accent5 5 2 12 2 4" xfId="18772" xr:uid="{00000000-0005-0000-0000-000050490000}"/>
    <cellStyle name="40% - Accent5 5 2 12 3" xfId="18773" xr:uid="{00000000-0005-0000-0000-000051490000}"/>
    <cellStyle name="40% - Accent5 5 2 12 3 2" xfId="18774" xr:uid="{00000000-0005-0000-0000-000052490000}"/>
    <cellStyle name="40% - Accent5 5 2 12 3 2 2" xfId="18775" xr:uid="{00000000-0005-0000-0000-000053490000}"/>
    <cellStyle name="40% - Accent5 5 2 12 3 3" xfId="18776" xr:uid="{00000000-0005-0000-0000-000054490000}"/>
    <cellStyle name="40% - Accent5 5 2 12 4" xfId="18777" xr:uid="{00000000-0005-0000-0000-000055490000}"/>
    <cellStyle name="40% - Accent5 5 2 12 4 2" xfId="18778" xr:uid="{00000000-0005-0000-0000-000056490000}"/>
    <cellStyle name="40% - Accent5 5 2 12 5" xfId="18779" xr:uid="{00000000-0005-0000-0000-000057490000}"/>
    <cellStyle name="40% - Accent5 5 2 13" xfId="18780" xr:uid="{00000000-0005-0000-0000-000058490000}"/>
    <cellStyle name="40% - Accent5 5 2 13 2" xfId="18781" xr:uid="{00000000-0005-0000-0000-000059490000}"/>
    <cellStyle name="40% - Accent5 5 2 13 2 2" xfId="18782" xr:uid="{00000000-0005-0000-0000-00005A490000}"/>
    <cellStyle name="40% - Accent5 5 2 13 2 2 2" xfId="18783" xr:uid="{00000000-0005-0000-0000-00005B490000}"/>
    <cellStyle name="40% - Accent5 5 2 13 2 3" xfId="18784" xr:uid="{00000000-0005-0000-0000-00005C490000}"/>
    <cellStyle name="40% - Accent5 5 2 13 3" xfId="18785" xr:uid="{00000000-0005-0000-0000-00005D490000}"/>
    <cellStyle name="40% - Accent5 5 2 13 3 2" xfId="18786" xr:uid="{00000000-0005-0000-0000-00005E490000}"/>
    <cellStyle name="40% - Accent5 5 2 13 4" xfId="18787" xr:uid="{00000000-0005-0000-0000-00005F490000}"/>
    <cellStyle name="40% - Accent5 5 2 14" xfId="18788" xr:uid="{00000000-0005-0000-0000-000060490000}"/>
    <cellStyle name="40% - Accent5 5 2 14 2" xfId="18789" xr:uid="{00000000-0005-0000-0000-000061490000}"/>
    <cellStyle name="40% - Accent5 5 2 14 2 2" xfId="18790" xr:uid="{00000000-0005-0000-0000-000062490000}"/>
    <cellStyle name="40% - Accent5 5 2 14 2 2 2" xfId="18791" xr:uid="{00000000-0005-0000-0000-000063490000}"/>
    <cellStyle name="40% - Accent5 5 2 14 2 3" xfId="18792" xr:uid="{00000000-0005-0000-0000-000064490000}"/>
    <cellStyle name="40% - Accent5 5 2 14 3" xfId="18793" xr:uid="{00000000-0005-0000-0000-000065490000}"/>
    <cellStyle name="40% - Accent5 5 2 14 3 2" xfId="18794" xr:uid="{00000000-0005-0000-0000-000066490000}"/>
    <cellStyle name="40% - Accent5 5 2 14 4" xfId="18795" xr:uid="{00000000-0005-0000-0000-000067490000}"/>
    <cellStyle name="40% - Accent5 5 2 15" xfId="18796" xr:uid="{00000000-0005-0000-0000-000068490000}"/>
    <cellStyle name="40% - Accent5 5 2 15 2" xfId="18797" xr:uid="{00000000-0005-0000-0000-000069490000}"/>
    <cellStyle name="40% - Accent5 5 2 15 2 2" xfId="18798" xr:uid="{00000000-0005-0000-0000-00006A490000}"/>
    <cellStyle name="40% - Accent5 5 2 15 3" xfId="18799" xr:uid="{00000000-0005-0000-0000-00006B490000}"/>
    <cellStyle name="40% - Accent5 5 2 16" xfId="18800" xr:uid="{00000000-0005-0000-0000-00006C490000}"/>
    <cellStyle name="40% - Accent5 5 2 16 2" xfId="18801" xr:uid="{00000000-0005-0000-0000-00006D490000}"/>
    <cellStyle name="40% - Accent5 5 2 16 2 2" xfId="18802" xr:uid="{00000000-0005-0000-0000-00006E490000}"/>
    <cellStyle name="40% - Accent5 5 2 16 3" xfId="18803" xr:uid="{00000000-0005-0000-0000-00006F490000}"/>
    <cellStyle name="40% - Accent5 5 2 17" xfId="18804" xr:uid="{00000000-0005-0000-0000-000070490000}"/>
    <cellStyle name="40% - Accent5 5 2 17 2" xfId="18805" xr:uid="{00000000-0005-0000-0000-000071490000}"/>
    <cellStyle name="40% - Accent5 5 2 17 2 2" xfId="18806" xr:uid="{00000000-0005-0000-0000-000072490000}"/>
    <cellStyle name="40% - Accent5 5 2 17 3" xfId="18807" xr:uid="{00000000-0005-0000-0000-000073490000}"/>
    <cellStyle name="40% - Accent5 5 2 18" xfId="18808" xr:uid="{00000000-0005-0000-0000-000074490000}"/>
    <cellStyle name="40% - Accent5 5 2 18 2" xfId="18809" xr:uid="{00000000-0005-0000-0000-000075490000}"/>
    <cellStyle name="40% - Accent5 5 2 18 2 2" xfId="18810" xr:uid="{00000000-0005-0000-0000-000076490000}"/>
    <cellStyle name="40% - Accent5 5 2 18 3" xfId="18811" xr:uid="{00000000-0005-0000-0000-000077490000}"/>
    <cellStyle name="40% - Accent5 5 2 19" xfId="18812" xr:uid="{00000000-0005-0000-0000-000078490000}"/>
    <cellStyle name="40% - Accent5 5 2 19 2" xfId="18813" xr:uid="{00000000-0005-0000-0000-000079490000}"/>
    <cellStyle name="40% - Accent5 5 2 2" xfId="18814" xr:uid="{00000000-0005-0000-0000-00007A490000}"/>
    <cellStyle name="40% - Accent5 5 2 2 10" xfId="18815" xr:uid="{00000000-0005-0000-0000-00007B490000}"/>
    <cellStyle name="40% - Accent5 5 2 2 10 2" xfId="18816" xr:uid="{00000000-0005-0000-0000-00007C490000}"/>
    <cellStyle name="40% - Accent5 5 2 2 10 2 2" xfId="18817" xr:uid="{00000000-0005-0000-0000-00007D490000}"/>
    <cellStyle name="40% - Accent5 5 2 2 10 3" xfId="18818" xr:uid="{00000000-0005-0000-0000-00007E490000}"/>
    <cellStyle name="40% - Accent5 5 2 2 11" xfId="18819" xr:uid="{00000000-0005-0000-0000-00007F490000}"/>
    <cellStyle name="40% - Accent5 5 2 2 11 2" xfId="18820" xr:uid="{00000000-0005-0000-0000-000080490000}"/>
    <cellStyle name="40% - Accent5 5 2 2 11 2 2" xfId="18821" xr:uid="{00000000-0005-0000-0000-000081490000}"/>
    <cellStyle name="40% - Accent5 5 2 2 11 3" xfId="18822" xr:uid="{00000000-0005-0000-0000-000082490000}"/>
    <cellStyle name="40% - Accent5 5 2 2 12" xfId="18823" xr:uid="{00000000-0005-0000-0000-000083490000}"/>
    <cellStyle name="40% - Accent5 5 2 2 12 2" xfId="18824" xr:uid="{00000000-0005-0000-0000-000084490000}"/>
    <cellStyle name="40% - Accent5 5 2 2 12 2 2" xfId="18825" xr:uid="{00000000-0005-0000-0000-000085490000}"/>
    <cellStyle name="40% - Accent5 5 2 2 12 3" xfId="18826" xr:uid="{00000000-0005-0000-0000-000086490000}"/>
    <cellStyle name="40% - Accent5 5 2 2 13" xfId="18827" xr:uid="{00000000-0005-0000-0000-000087490000}"/>
    <cellStyle name="40% - Accent5 5 2 2 13 2" xfId="18828" xr:uid="{00000000-0005-0000-0000-000088490000}"/>
    <cellStyle name="40% - Accent5 5 2 2 14" xfId="18829" xr:uid="{00000000-0005-0000-0000-000089490000}"/>
    <cellStyle name="40% - Accent5 5 2 2 2" xfId="18830" xr:uid="{00000000-0005-0000-0000-00008A490000}"/>
    <cellStyle name="40% - Accent5 5 2 2 2 2" xfId="18831" xr:uid="{00000000-0005-0000-0000-00008B490000}"/>
    <cellStyle name="40% - Accent5 5 2 2 2 2 2" xfId="18832" xr:uid="{00000000-0005-0000-0000-00008C490000}"/>
    <cellStyle name="40% - Accent5 5 2 2 2 2 2 2" xfId="18833" xr:uid="{00000000-0005-0000-0000-00008D490000}"/>
    <cellStyle name="40% - Accent5 5 2 2 2 2 2 2 2" xfId="18834" xr:uid="{00000000-0005-0000-0000-00008E490000}"/>
    <cellStyle name="40% - Accent5 5 2 2 2 2 2 3" xfId="18835" xr:uid="{00000000-0005-0000-0000-00008F490000}"/>
    <cellStyle name="40% - Accent5 5 2 2 2 2 3" xfId="18836" xr:uid="{00000000-0005-0000-0000-000090490000}"/>
    <cellStyle name="40% - Accent5 5 2 2 2 2 3 2" xfId="18837" xr:uid="{00000000-0005-0000-0000-000091490000}"/>
    <cellStyle name="40% - Accent5 5 2 2 2 2 4" xfId="18838" xr:uid="{00000000-0005-0000-0000-000092490000}"/>
    <cellStyle name="40% - Accent5 5 2 2 2 3" xfId="18839" xr:uid="{00000000-0005-0000-0000-000093490000}"/>
    <cellStyle name="40% - Accent5 5 2 2 2 3 2" xfId="18840" xr:uid="{00000000-0005-0000-0000-000094490000}"/>
    <cellStyle name="40% - Accent5 5 2 2 2 3 2 2" xfId="18841" xr:uid="{00000000-0005-0000-0000-000095490000}"/>
    <cellStyle name="40% - Accent5 5 2 2 2 3 3" xfId="18842" xr:uid="{00000000-0005-0000-0000-000096490000}"/>
    <cellStyle name="40% - Accent5 5 2 2 2 4" xfId="18843" xr:uid="{00000000-0005-0000-0000-000097490000}"/>
    <cellStyle name="40% - Accent5 5 2 2 2 4 2" xfId="18844" xr:uid="{00000000-0005-0000-0000-000098490000}"/>
    <cellStyle name="40% - Accent5 5 2 2 2 4 2 2" xfId="18845" xr:uid="{00000000-0005-0000-0000-000099490000}"/>
    <cellStyle name="40% - Accent5 5 2 2 2 4 3" xfId="18846" xr:uid="{00000000-0005-0000-0000-00009A490000}"/>
    <cellStyle name="40% - Accent5 5 2 2 2 5" xfId="18847" xr:uid="{00000000-0005-0000-0000-00009B490000}"/>
    <cellStyle name="40% - Accent5 5 2 2 2 5 2" xfId="18848" xr:uid="{00000000-0005-0000-0000-00009C490000}"/>
    <cellStyle name="40% - Accent5 5 2 2 2 5 2 2" xfId="18849" xr:uid="{00000000-0005-0000-0000-00009D490000}"/>
    <cellStyle name="40% - Accent5 5 2 2 2 5 3" xfId="18850" xr:uid="{00000000-0005-0000-0000-00009E490000}"/>
    <cellStyle name="40% - Accent5 5 2 2 2 6" xfId="18851" xr:uid="{00000000-0005-0000-0000-00009F490000}"/>
    <cellStyle name="40% - Accent5 5 2 2 2 6 2" xfId="18852" xr:uid="{00000000-0005-0000-0000-0000A0490000}"/>
    <cellStyle name="40% - Accent5 5 2 2 2 6 2 2" xfId="18853" xr:uid="{00000000-0005-0000-0000-0000A1490000}"/>
    <cellStyle name="40% - Accent5 5 2 2 2 6 3" xfId="18854" xr:uid="{00000000-0005-0000-0000-0000A2490000}"/>
    <cellStyle name="40% - Accent5 5 2 2 2 7" xfId="18855" xr:uid="{00000000-0005-0000-0000-0000A3490000}"/>
    <cellStyle name="40% - Accent5 5 2 2 2 7 2" xfId="18856" xr:uid="{00000000-0005-0000-0000-0000A4490000}"/>
    <cellStyle name="40% - Accent5 5 2 2 2 8" xfId="18857" xr:uid="{00000000-0005-0000-0000-0000A5490000}"/>
    <cellStyle name="40% - Accent5 5 2 2 3" xfId="18858" xr:uid="{00000000-0005-0000-0000-0000A6490000}"/>
    <cellStyle name="40% - Accent5 5 2 2 3 2" xfId="18859" xr:uid="{00000000-0005-0000-0000-0000A7490000}"/>
    <cellStyle name="40% - Accent5 5 2 2 3 2 2" xfId="18860" xr:uid="{00000000-0005-0000-0000-0000A8490000}"/>
    <cellStyle name="40% - Accent5 5 2 2 3 2 2 2" xfId="18861" xr:uid="{00000000-0005-0000-0000-0000A9490000}"/>
    <cellStyle name="40% - Accent5 5 2 2 3 2 2 2 2" xfId="18862" xr:uid="{00000000-0005-0000-0000-0000AA490000}"/>
    <cellStyle name="40% - Accent5 5 2 2 3 2 2 3" xfId="18863" xr:uid="{00000000-0005-0000-0000-0000AB490000}"/>
    <cellStyle name="40% - Accent5 5 2 2 3 2 3" xfId="18864" xr:uid="{00000000-0005-0000-0000-0000AC490000}"/>
    <cellStyle name="40% - Accent5 5 2 2 3 2 3 2" xfId="18865" xr:uid="{00000000-0005-0000-0000-0000AD490000}"/>
    <cellStyle name="40% - Accent5 5 2 2 3 2 4" xfId="18866" xr:uid="{00000000-0005-0000-0000-0000AE490000}"/>
    <cellStyle name="40% - Accent5 5 2 2 3 3" xfId="18867" xr:uid="{00000000-0005-0000-0000-0000AF490000}"/>
    <cellStyle name="40% - Accent5 5 2 2 3 3 2" xfId="18868" xr:uid="{00000000-0005-0000-0000-0000B0490000}"/>
    <cellStyle name="40% - Accent5 5 2 2 3 3 2 2" xfId="18869" xr:uid="{00000000-0005-0000-0000-0000B1490000}"/>
    <cellStyle name="40% - Accent5 5 2 2 3 3 3" xfId="18870" xr:uid="{00000000-0005-0000-0000-0000B2490000}"/>
    <cellStyle name="40% - Accent5 5 2 2 3 4" xfId="18871" xr:uid="{00000000-0005-0000-0000-0000B3490000}"/>
    <cellStyle name="40% - Accent5 5 2 2 3 4 2" xfId="18872" xr:uid="{00000000-0005-0000-0000-0000B4490000}"/>
    <cellStyle name="40% - Accent5 5 2 2 3 4 2 2" xfId="18873" xr:uid="{00000000-0005-0000-0000-0000B5490000}"/>
    <cellStyle name="40% - Accent5 5 2 2 3 4 3" xfId="18874" xr:uid="{00000000-0005-0000-0000-0000B6490000}"/>
    <cellStyle name="40% - Accent5 5 2 2 3 5" xfId="18875" xr:uid="{00000000-0005-0000-0000-0000B7490000}"/>
    <cellStyle name="40% - Accent5 5 2 2 3 5 2" xfId="18876" xr:uid="{00000000-0005-0000-0000-0000B8490000}"/>
    <cellStyle name="40% - Accent5 5 2 2 3 5 2 2" xfId="18877" xr:uid="{00000000-0005-0000-0000-0000B9490000}"/>
    <cellStyle name="40% - Accent5 5 2 2 3 5 3" xfId="18878" xr:uid="{00000000-0005-0000-0000-0000BA490000}"/>
    <cellStyle name="40% - Accent5 5 2 2 3 6" xfId="18879" xr:uid="{00000000-0005-0000-0000-0000BB490000}"/>
    <cellStyle name="40% - Accent5 5 2 2 3 6 2" xfId="18880" xr:uid="{00000000-0005-0000-0000-0000BC490000}"/>
    <cellStyle name="40% - Accent5 5 2 2 3 6 2 2" xfId="18881" xr:uid="{00000000-0005-0000-0000-0000BD490000}"/>
    <cellStyle name="40% - Accent5 5 2 2 3 6 3" xfId="18882" xr:uid="{00000000-0005-0000-0000-0000BE490000}"/>
    <cellStyle name="40% - Accent5 5 2 2 3 7" xfId="18883" xr:uid="{00000000-0005-0000-0000-0000BF490000}"/>
    <cellStyle name="40% - Accent5 5 2 2 3 7 2" xfId="18884" xr:uid="{00000000-0005-0000-0000-0000C0490000}"/>
    <cellStyle name="40% - Accent5 5 2 2 3 8" xfId="18885" xr:uid="{00000000-0005-0000-0000-0000C1490000}"/>
    <cellStyle name="40% - Accent5 5 2 2 4" xfId="18886" xr:uid="{00000000-0005-0000-0000-0000C2490000}"/>
    <cellStyle name="40% - Accent5 5 2 2 4 2" xfId="18887" xr:uid="{00000000-0005-0000-0000-0000C3490000}"/>
    <cellStyle name="40% - Accent5 5 2 2 4 2 2" xfId="18888" xr:uid="{00000000-0005-0000-0000-0000C4490000}"/>
    <cellStyle name="40% - Accent5 5 2 2 4 2 2 2" xfId="18889" xr:uid="{00000000-0005-0000-0000-0000C5490000}"/>
    <cellStyle name="40% - Accent5 5 2 2 4 2 2 2 2" xfId="18890" xr:uid="{00000000-0005-0000-0000-0000C6490000}"/>
    <cellStyle name="40% - Accent5 5 2 2 4 2 2 3" xfId="18891" xr:uid="{00000000-0005-0000-0000-0000C7490000}"/>
    <cellStyle name="40% - Accent5 5 2 2 4 2 3" xfId="18892" xr:uid="{00000000-0005-0000-0000-0000C8490000}"/>
    <cellStyle name="40% - Accent5 5 2 2 4 2 3 2" xfId="18893" xr:uid="{00000000-0005-0000-0000-0000C9490000}"/>
    <cellStyle name="40% - Accent5 5 2 2 4 2 4" xfId="18894" xr:uid="{00000000-0005-0000-0000-0000CA490000}"/>
    <cellStyle name="40% - Accent5 5 2 2 4 3" xfId="18895" xr:uid="{00000000-0005-0000-0000-0000CB490000}"/>
    <cellStyle name="40% - Accent5 5 2 2 4 3 2" xfId="18896" xr:uid="{00000000-0005-0000-0000-0000CC490000}"/>
    <cellStyle name="40% - Accent5 5 2 2 4 3 2 2" xfId="18897" xr:uid="{00000000-0005-0000-0000-0000CD490000}"/>
    <cellStyle name="40% - Accent5 5 2 2 4 3 3" xfId="18898" xr:uid="{00000000-0005-0000-0000-0000CE490000}"/>
    <cellStyle name="40% - Accent5 5 2 2 4 4" xfId="18899" xr:uid="{00000000-0005-0000-0000-0000CF490000}"/>
    <cellStyle name="40% - Accent5 5 2 2 4 4 2" xfId="18900" xr:uid="{00000000-0005-0000-0000-0000D0490000}"/>
    <cellStyle name="40% - Accent5 5 2 2 4 4 2 2" xfId="18901" xr:uid="{00000000-0005-0000-0000-0000D1490000}"/>
    <cellStyle name="40% - Accent5 5 2 2 4 4 3" xfId="18902" xr:uid="{00000000-0005-0000-0000-0000D2490000}"/>
    <cellStyle name="40% - Accent5 5 2 2 4 5" xfId="18903" xr:uid="{00000000-0005-0000-0000-0000D3490000}"/>
    <cellStyle name="40% - Accent5 5 2 2 4 5 2" xfId="18904" xr:uid="{00000000-0005-0000-0000-0000D4490000}"/>
    <cellStyle name="40% - Accent5 5 2 2 4 5 2 2" xfId="18905" xr:uid="{00000000-0005-0000-0000-0000D5490000}"/>
    <cellStyle name="40% - Accent5 5 2 2 4 5 3" xfId="18906" xr:uid="{00000000-0005-0000-0000-0000D6490000}"/>
    <cellStyle name="40% - Accent5 5 2 2 4 6" xfId="18907" xr:uid="{00000000-0005-0000-0000-0000D7490000}"/>
    <cellStyle name="40% - Accent5 5 2 2 4 6 2" xfId="18908" xr:uid="{00000000-0005-0000-0000-0000D8490000}"/>
    <cellStyle name="40% - Accent5 5 2 2 4 6 2 2" xfId="18909" xr:uid="{00000000-0005-0000-0000-0000D9490000}"/>
    <cellStyle name="40% - Accent5 5 2 2 4 6 3" xfId="18910" xr:uid="{00000000-0005-0000-0000-0000DA490000}"/>
    <cellStyle name="40% - Accent5 5 2 2 4 7" xfId="18911" xr:uid="{00000000-0005-0000-0000-0000DB490000}"/>
    <cellStyle name="40% - Accent5 5 2 2 4 7 2" xfId="18912" xr:uid="{00000000-0005-0000-0000-0000DC490000}"/>
    <cellStyle name="40% - Accent5 5 2 2 4 8" xfId="18913" xr:uid="{00000000-0005-0000-0000-0000DD490000}"/>
    <cellStyle name="40% - Accent5 5 2 2 5" xfId="18914" xr:uid="{00000000-0005-0000-0000-0000DE490000}"/>
    <cellStyle name="40% - Accent5 5 2 2 5 2" xfId="18915" xr:uid="{00000000-0005-0000-0000-0000DF490000}"/>
    <cellStyle name="40% - Accent5 5 2 2 5 2 2" xfId="18916" xr:uid="{00000000-0005-0000-0000-0000E0490000}"/>
    <cellStyle name="40% - Accent5 5 2 2 5 2 2 2" xfId="18917" xr:uid="{00000000-0005-0000-0000-0000E1490000}"/>
    <cellStyle name="40% - Accent5 5 2 2 5 2 2 2 2" xfId="18918" xr:uid="{00000000-0005-0000-0000-0000E2490000}"/>
    <cellStyle name="40% - Accent5 5 2 2 5 2 2 3" xfId="18919" xr:uid="{00000000-0005-0000-0000-0000E3490000}"/>
    <cellStyle name="40% - Accent5 5 2 2 5 2 3" xfId="18920" xr:uid="{00000000-0005-0000-0000-0000E4490000}"/>
    <cellStyle name="40% - Accent5 5 2 2 5 2 3 2" xfId="18921" xr:uid="{00000000-0005-0000-0000-0000E5490000}"/>
    <cellStyle name="40% - Accent5 5 2 2 5 2 4" xfId="18922" xr:uid="{00000000-0005-0000-0000-0000E6490000}"/>
    <cellStyle name="40% - Accent5 5 2 2 5 3" xfId="18923" xr:uid="{00000000-0005-0000-0000-0000E7490000}"/>
    <cellStyle name="40% - Accent5 5 2 2 5 3 2" xfId="18924" xr:uid="{00000000-0005-0000-0000-0000E8490000}"/>
    <cellStyle name="40% - Accent5 5 2 2 5 3 2 2" xfId="18925" xr:uid="{00000000-0005-0000-0000-0000E9490000}"/>
    <cellStyle name="40% - Accent5 5 2 2 5 3 3" xfId="18926" xr:uid="{00000000-0005-0000-0000-0000EA490000}"/>
    <cellStyle name="40% - Accent5 5 2 2 5 4" xfId="18927" xr:uid="{00000000-0005-0000-0000-0000EB490000}"/>
    <cellStyle name="40% - Accent5 5 2 2 5 4 2" xfId="18928" xr:uid="{00000000-0005-0000-0000-0000EC490000}"/>
    <cellStyle name="40% - Accent5 5 2 2 5 5" xfId="18929" xr:uid="{00000000-0005-0000-0000-0000ED490000}"/>
    <cellStyle name="40% - Accent5 5 2 2 6" xfId="18930" xr:uid="{00000000-0005-0000-0000-0000EE490000}"/>
    <cellStyle name="40% - Accent5 5 2 2 6 2" xfId="18931" xr:uid="{00000000-0005-0000-0000-0000EF490000}"/>
    <cellStyle name="40% - Accent5 5 2 2 6 2 2" xfId="18932" xr:uid="{00000000-0005-0000-0000-0000F0490000}"/>
    <cellStyle name="40% - Accent5 5 2 2 6 2 2 2" xfId="18933" xr:uid="{00000000-0005-0000-0000-0000F1490000}"/>
    <cellStyle name="40% - Accent5 5 2 2 6 2 2 2 2" xfId="18934" xr:uid="{00000000-0005-0000-0000-0000F2490000}"/>
    <cellStyle name="40% - Accent5 5 2 2 6 2 2 3" xfId="18935" xr:uid="{00000000-0005-0000-0000-0000F3490000}"/>
    <cellStyle name="40% - Accent5 5 2 2 6 2 3" xfId="18936" xr:uid="{00000000-0005-0000-0000-0000F4490000}"/>
    <cellStyle name="40% - Accent5 5 2 2 6 2 3 2" xfId="18937" xr:uid="{00000000-0005-0000-0000-0000F5490000}"/>
    <cellStyle name="40% - Accent5 5 2 2 6 2 4" xfId="18938" xr:uid="{00000000-0005-0000-0000-0000F6490000}"/>
    <cellStyle name="40% - Accent5 5 2 2 6 3" xfId="18939" xr:uid="{00000000-0005-0000-0000-0000F7490000}"/>
    <cellStyle name="40% - Accent5 5 2 2 6 3 2" xfId="18940" xr:uid="{00000000-0005-0000-0000-0000F8490000}"/>
    <cellStyle name="40% - Accent5 5 2 2 6 3 2 2" xfId="18941" xr:uid="{00000000-0005-0000-0000-0000F9490000}"/>
    <cellStyle name="40% - Accent5 5 2 2 6 3 3" xfId="18942" xr:uid="{00000000-0005-0000-0000-0000FA490000}"/>
    <cellStyle name="40% - Accent5 5 2 2 6 4" xfId="18943" xr:uid="{00000000-0005-0000-0000-0000FB490000}"/>
    <cellStyle name="40% - Accent5 5 2 2 6 4 2" xfId="18944" xr:uid="{00000000-0005-0000-0000-0000FC490000}"/>
    <cellStyle name="40% - Accent5 5 2 2 6 5" xfId="18945" xr:uid="{00000000-0005-0000-0000-0000FD490000}"/>
    <cellStyle name="40% - Accent5 5 2 2 7" xfId="18946" xr:uid="{00000000-0005-0000-0000-0000FE490000}"/>
    <cellStyle name="40% - Accent5 5 2 2 7 2" xfId="18947" xr:uid="{00000000-0005-0000-0000-0000FF490000}"/>
    <cellStyle name="40% - Accent5 5 2 2 7 2 2" xfId="18948" xr:uid="{00000000-0005-0000-0000-0000004A0000}"/>
    <cellStyle name="40% - Accent5 5 2 2 7 2 2 2" xfId="18949" xr:uid="{00000000-0005-0000-0000-0000014A0000}"/>
    <cellStyle name="40% - Accent5 5 2 2 7 2 3" xfId="18950" xr:uid="{00000000-0005-0000-0000-0000024A0000}"/>
    <cellStyle name="40% - Accent5 5 2 2 7 3" xfId="18951" xr:uid="{00000000-0005-0000-0000-0000034A0000}"/>
    <cellStyle name="40% - Accent5 5 2 2 7 3 2" xfId="18952" xr:uid="{00000000-0005-0000-0000-0000044A0000}"/>
    <cellStyle name="40% - Accent5 5 2 2 7 4" xfId="18953" xr:uid="{00000000-0005-0000-0000-0000054A0000}"/>
    <cellStyle name="40% - Accent5 5 2 2 8" xfId="18954" xr:uid="{00000000-0005-0000-0000-0000064A0000}"/>
    <cellStyle name="40% - Accent5 5 2 2 8 2" xfId="18955" xr:uid="{00000000-0005-0000-0000-0000074A0000}"/>
    <cellStyle name="40% - Accent5 5 2 2 8 2 2" xfId="18956" xr:uid="{00000000-0005-0000-0000-0000084A0000}"/>
    <cellStyle name="40% - Accent5 5 2 2 8 2 2 2" xfId="18957" xr:uid="{00000000-0005-0000-0000-0000094A0000}"/>
    <cellStyle name="40% - Accent5 5 2 2 8 2 3" xfId="18958" xr:uid="{00000000-0005-0000-0000-00000A4A0000}"/>
    <cellStyle name="40% - Accent5 5 2 2 8 3" xfId="18959" xr:uid="{00000000-0005-0000-0000-00000B4A0000}"/>
    <cellStyle name="40% - Accent5 5 2 2 8 3 2" xfId="18960" xr:uid="{00000000-0005-0000-0000-00000C4A0000}"/>
    <cellStyle name="40% - Accent5 5 2 2 8 4" xfId="18961" xr:uid="{00000000-0005-0000-0000-00000D4A0000}"/>
    <cellStyle name="40% - Accent5 5 2 2 9" xfId="18962" xr:uid="{00000000-0005-0000-0000-00000E4A0000}"/>
    <cellStyle name="40% - Accent5 5 2 2 9 2" xfId="18963" xr:uid="{00000000-0005-0000-0000-00000F4A0000}"/>
    <cellStyle name="40% - Accent5 5 2 2 9 2 2" xfId="18964" xr:uid="{00000000-0005-0000-0000-0000104A0000}"/>
    <cellStyle name="40% - Accent5 5 2 2 9 3" xfId="18965" xr:uid="{00000000-0005-0000-0000-0000114A0000}"/>
    <cellStyle name="40% - Accent5 5 2 20" xfId="18966" xr:uid="{00000000-0005-0000-0000-0000124A0000}"/>
    <cellStyle name="40% - Accent5 5 2 3" xfId="18967" xr:uid="{00000000-0005-0000-0000-0000134A0000}"/>
    <cellStyle name="40% - Accent5 5 2 3 10" xfId="18968" xr:uid="{00000000-0005-0000-0000-0000144A0000}"/>
    <cellStyle name="40% - Accent5 5 2 3 10 2" xfId="18969" xr:uid="{00000000-0005-0000-0000-0000154A0000}"/>
    <cellStyle name="40% - Accent5 5 2 3 10 2 2" xfId="18970" xr:uid="{00000000-0005-0000-0000-0000164A0000}"/>
    <cellStyle name="40% - Accent5 5 2 3 10 3" xfId="18971" xr:uid="{00000000-0005-0000-0000-0000174A0000}"/>
    <cellStyle name="40% - Accent5 5 2 3 11" xfId="18972" xr:uid="{00000000-0005-0000-0000-0000184A0000}"/>
    <cellStyle name="40% - Accent5 5 2 3 11 2" xfId="18973" xr:uid="{00000000-0005-0000-0000-0000194A0000}"/>
    <cellStyle name="40% - Accent5 5 2 3 11 2 2" xfId="18974" xr:uid="{00000000-0005-0000-0000-00001A4A0000}"/>
    <cellStyle name="40% - Accent5 5 2 3 11 3" xfId="18975" xr:uid="{00000000-0005-0000-0000-00001B4A0000}"/>
    <cellStyle name="40% - Accent5 5 2 3 12" xfId="18976" xr:uid="{00000000-0005-0000-0000-00001C4A0000}"/>
    <cellStyle name="40% - Accent5 5 2 3 12 2" xfId="18977" xr:uid="{00000000-0005-0000-0000-00001D4A0000}"/>
    <cellStyle name="40% - Accent5 5 2 3 12 2 2" xfId="18978" xr:uid="{00000000-0005-0000-0000-00001E4A0000}"/>
    <cellStyle name="40% - Accent5 5 2 3 12 3" xfId="18979" xr:uid="{00000000-0005-0000-0000-00001F4A0000}"/>
    <cellStyle name="40% - Accent5 5 2 3 13" xfId="18980" xr:uid="{00000000-0005-0000-0000-0000204A0000}"/>
    <cellStyle name="40% - Accent5 5 2 3 13 2" xfId="18981" xr:uid="{00000000-0005-0000-0000-0000214A0000}"/>
    <cellStyle name="40% - Accent5 5 2 3 14" xfId="18982" xr:uid="{00000000-0005-0000-0000-0000224A0000}"/>
    <cellStyle name="40% - Accent5 5 2 3 2" xfId="18983" xr:uid="{00000000-0005-0000-0000-0000234A0000}"/>
    <cellStyle name="40% - Accent5 5 2 3 2 2" xfId="18984" xr:uid="{00000000-0005-0000-0000-0000244A0000}"/>
    <cellStyle name="40% - Accent5 5 2 3 2 2 2" xfId="18985" xr:uid="{00000000-0005-0000-0000-0000254A0000}"/>
    <cellStyle name="40% - Accent5 5 2 3 2 2 2 2" xfId="18986" xr:uid="{00000000-0005-0000-0000-0000264A0000}"/>
    <cellStyle name="40% - Accent5 5 2 3 2 2 2 2 2" xfId="18987" xr:uid="{00000000-0005-0000-0000-0000274A0000}"/>
    <cellStyle name="40% - Accent5 5 2 3 2 2 2 3" xfId="18988" xr:uid="{00000000-0005-0000-0000-0000284A0000}"/>
    <cellStyle name="40% - Accent5 5 2 3 2 2 3" xfId="18989" xr:uid="{00000000-0005-0000-0000-0000294A0000}"/>
    <cellStyle name="40% - Accent5 5 2 3 2 2 3 2" xfId="18990" xr:uid="{00000000-0005-0000-0000-00002A4A0000}"/>
    <cellStyle name="40% - Accent5 5 2 3 2 2 4" xfId="18991" xr:uid="{00000000-0005-0000-0000-00002B4A0000}"/>
    <cellStyle name="40% - Accent5 5 2 3 2 3" xfId="18992" xr:uid="{00000000-0005-0000-0000-00002C4A0000}"/>
    <cellStyle name="40% - Accent5 5 2 3 2 3 2" xfId="18993" xr:uid="{00000000-0005-0000-0000-00002D4A0000}"/>
    <cellStyle name="40% - Accent5 5 2 3 2 3 2 2" xfId="18994" xr:uid="{00000000-0005-0000-0000-00002E4A0000}"/>
    <cellStyle name="40% - Accent5 5 2 3 2 3 3" xfId="18995" xr:uid="{00000000-0005-0000-0000-00002F4A0000}"/>
    <cellStyle name="40% - Accent5 5 2 3 2 4" xfId="18996" xr:uid="{00000000-0005-0000-0000-0000304A0000}"/>
    <cellStyle name="40% - Accent5 5 2 3 2 4 2" xfId="18997" xr:uid="{00000000-0005-0000-0000-0000314A0000}"/>
    <cellStyle name="40% - Accent5 5 2 3 2 4 2 2" xfId="18998" xr:uid="{00000000-0005-0000-0000-0000324A0000}"/>
    <cellStyle name="40% - Accent5 5 2 3 2 4 3" xfId="18999" xr:uid="{00000000-0005-0000-0000-0000334A0000}"/>
    <cellStyle name="40% - Accent5 5 2 3 2 5" xfId="19000" xr:uid="{00000000-0005-0000-0000-0000344A0000}"/>
    <cellStyle name="40% - Accent5 5 2 3 2 5 2" xfId="19001" xr:uid="{00000000-0005-0000-0000-0000354A0000}"/>
    <cellStyle name="40% - Accent5 5 2 3 2 5 2 2" xfId="19002" xr:uid="{00000000-0005-0000-0000-0000364A0000}"/>
    <cellStyle name="40% - Accent5 5 2 3 2 5 3" xfId="19003" xr:uid="{00000000-0005-0000-0000-0000374A0000}"/>
    <cellStyle name="40% - Accent5 5 2 3 2 6" xfId="19004" xr:uid="{00000000-0005-0000-0000-0000384A0000}"/>
    <cellStyle name="40% - Accent5 5 2 3 2 6 2" xfId="19005" xr:uid="{00000000-0005-0000-0000-0000394A0000}"/>
    <cellStyle name="40% - Accent5 5 2 3 2 6 2 2" xfId="19006" xr:uid="{00000000-0005-0000-0000-00003A4A0000}"/>
    <cellStyle name="40% - Accent5 5 2 3 2 6 3" xfId="19007" xr:uid="{00000000-0005-0000-0000-00003B4A0000}"/>
    <cellStyle name="40% - Accent5 5 2 3 2 7" xfId="19008" xr:uid="{00000000-0005-0000-0000-00003C4A0000}"/>
    <cellStyle name="40% - Accent5 5 2 3 2 7 2" xfId="19009" xr:uid="{00000000-0005-0000-0000-00003D4A0000}"/>
    <cellStyle name="40% - Accent5 5 2 3 2 8" xfId="19010" xr:uid="{00000000-0005-0000-0000-00003E4A0000}"/>
    <cellStyle name="40% - Accent5 5 2 3 3" xfId="19011" xr:uid="{00000000-0005-0000-0000-00003F4A0000}"/>
    <cellStyle name="40% - Accent5 5 2 3 3 2" xfId="19012" xr:uid="{00000000-0005-0000-0000-0000404A0000}"/>
    <cellStyle name="40% - Accent5 5 2 3 3 2 2" xfId="19013" xr:uid="{00000000-0005-0000-0000-0000414A0000}"/>
    <cellStyle name="40% - Accent5 5 2 3 3 2 2 2" xfId="19014" xr:uid="{00000000-0005-0000-0000-0000424A0000}"/>
    <cellStyle name="40% - Accent5 5 2 3 3 2 2 2 2" xfId="19015" xr:uid="{00000000-0005-0000-0000-0000434A0000}"/>
    <cellStyle name="40% - Accent5 5 2 3 3 2 2 3" xfId="19016" xr:uid="{00000000-0005-0000-0000-0000444A0000}"/>
    <cellStyle name="40% - Accent5 5 2 3 3 2 3" xfId="19017" xr:uid="{00000000-0005-0000-0000-0000454A0000}"/>
    <cellStyle name="40% - Accent5 5 2 3 3 2 3 2" xfId="19018" xr:uid="{00000000-0005-0000-0000-0000464A0000}"/>
    <cellStyle name="40% - Accent5 5 2 3 3 2 4" xfId="19019" xr:uid="{00000000-0005-0000-0000-0000474A0000}"/>
    <cellStyle name="40% - Accent5 5 2 3 3 3" xfId="19020" xr:uid="{00000000-0005-0000-0000-0000484A0000}"/>
    <cellStyle name="40% - Accent5 5 2 3 3 3 2" xfId="19021" xr:uid="{00000000-0005-0000-0000-0000494A0000}"/>
    <cellStyle name="40% - Accent5 5 2 3 3 3 2 2" xfId="19022" xr:uid="{00000000-0005-0000-0000-00004A4A0000}"/>
    <cellStyle name="40% - Accent5 5 2 3 3 3 3" xfId="19023" xr:uid="{00000000-0005-0000-0000-00004B4A0000}"/>
    <cellStyle name="40% - Accent5 5 2 3 3 4" xfId="19024" xr:uid="{00000000-0005-0000-0000-00004C4A0000}"/>
    <cellStyle name="40% - Accent5 5 2 3 3 4 2" xfId="19025" xr:uid="{00000000-0005-0000-0000-00004D4A0000}"/>
    <cellStyle name="40% - Accent5 5 2 3 3 4 2 2" xfId="19026" xr:uid="{00000000-0005-0000-0000-00004E4A0000}"/>
    <cellStyle name="40% - Accent5 5 2 3 3 4 3" xfId="19027" xr:uid="{00000000-0005-0000-0000-00004F4A0000}"/>
    <cellStyle name="40% - Accent5 5 2 3 3 5" xfId="19028" xr:uid="{00000000-0005-0000-0000-0000504A0000}"/>
    <cellStyle name="40% - Accent5 5 2 3 3 5 2" xfId="19029" xr:uid="{00000000-0005-0000-0000-0000514A0000}"/>
    <cellStyle name="40% - Accent5 5 2 3 3 5 2 2" xfId="19030" xr:uid="{00000000-0005-0000-0000-0000524A0000}"/>
    <cellStyle name="40% - Accent5 5 2 3 3 5 3" xfId="19031" xr:uid="{00000000-0005-0000-0000-0000534A0000}"/>
    <cellStyle name="40% - Accent5 5 2 3 3 6" xfId="19032" xr:uid="{00000000-0005-0000-0000-0000544A0000}"/>
    <cellStyle name="40% - Accent5 5 2 3 3 6 2" xfId="19033" xr:uid="{00000000-0005-0000-0000-0000554A0000}"/>
    <cellStyle name="40% - Accent5 5 2 3 3 6 2 2" xfId="19034" xr:uid="{00000000-0005-0000-0000-0000564A0000}"/>
    <cellStyle name="40% - Accent5 5 2 3 3 6 3" xfId="19035" xr:uid="{00000000-0005-0000-0000-0000574A0000}"/>
    <cellStyle name="40% - Accent5 5 2 3 3 7" xfId="19036" xr:uid="{00000000-0005-0000-0000-0000584A0000}"/>
    <cellStyle name="40% - Accent5 5 2 3 3 7 2" xfId="19037" xr:uid="{00000000-0005-0000-0000-0000594A0000}"/>
    <cellStyle name="40% - Accent5 5 2 3 3 8" xfId="19038" xr:uid="{00000000-0005-0000-0000-00005A4A0000}"/>
    <cellStyle name="40% - Accent5 5 2 3 4" xfId="19039" xr:uid="{00000000-0005-0000-0000-00005B4A0000}"/>
    <cellStyle name="40% - Accent5 5 2 3 4 2" xfId="19040" xr:uid="{00000000-0005-0000-0000-00005C4A0000}"/>
    <cellStyle name="40% - Accent5 5 2 3 4 2 2" xfId="19041" xr:uid="{00000000-0005-0000-0000-00005D4A0000}"/>
    <cellStyle name="40% - Accent5 5 2 3 4 2 2 2" xfId="19042" xr:uid="{00000000-0005-0000-0000-00005E4A0000}"/>
    <cellStyle name="40% - Accent5 5 2 3 4 2 2 2 2" xfId="19043" xr:uid="{00000000-0005-0000-0000-00005F4A0000}"/>
    <cellStyle name="40% - Accent5 5 2 3 4 2 2 3" xfId="19044" xr:uid="{00000000-0005-0000-0000-0000604A0000}"/>
    <cellStyle name="40% - Accent5 5 2 3 4 2 3" xfId="19045" xr:uid="{00000000-0005-0000-0000-0000614A0000}"/>
    <cellStyle name="40% - Accent5 5 2 3 4 2 3 2" xfId="19046" xr:uid="{00000000-0005-0000-0000-0000624A0000}"/>
    <cellStyle name="40% - Accent5 5 2 3 4 2 4" xfId="19047" xr:uid="{00000000-0005-0000-0000-0000634A0000}"/>
    <cellStyle name="40% - Accent5 5 2 3 4 3" xfId="19048" xr:uid="{00000000-0005-0000-0000-0000644A0000}"/>
    <cellStyle name="40% - Accent5 5 2 3 4 3 2" xfId="19049" xr:uid="{00000000-0005-0000-0000-0000654A0000}"/>
    <cellStyle name="40% - Accent5 5 2 3 4 3 2 2" xfId="19050" xr:uid="{00000000-0005-0000-0000-0000664A0000}"/>
    <cellStyle name="40% - Accent5 5 2 3 4 3 3" xfId="19051" xr:uid="{00000000-0005-0000-0000-0000674A0000}"/>
    <cellStyle name="40% - Accent5 5 2 3 4 4" xfId="19052" xr:uid="{00000000-0005-0000-0000-0000684A0000}"/>
    <cellStyle name="40% - Accent5 5 2 3 4 4 2" xfId="19053" xr:uid="{00000000-0005-0000-0000-0000694A0000}"/>
    <cellStyle name="40% - Accent5 5 2 3 4 4 2 2" xfId="19054" xr:uid="{00000000-0005-0000-0000-00006A4A0000}"/>
    <cellStyle name="40% - Accent5 5 2 3 4 4 3" xfId="19055" xr:uid="{00000000-0005-0000-0000-00006B4A0000}"/>
    <cellStyle name="40% - Accent5 5 2 3 4 5" xfId="19056" xr:uid="{00000000-0005-0000-0000-00006C4A0000}"/>
    <cellStyle name="40% - Accent5 5 2 3 4 5 2" xfId="19057" xr:uid="{00000000-0005-0000-0000-00006D4A0000}"/>
    <cellStyle name="40% - Accent5 5 2 3 4 5 2 2" xfId="19058" xr:uid="{00000000-0005-0000-0000-00006E4A0000}"/>
    <cellStyle name="40% - Accent5 5 2 3 4 5 3" xfId="19059" xr:uid="{00000000-0005-0000-0000-00006F4A0000}"/>
    <cellStyle name="40% - Accent5 5 2 3 4 6" xfId="19060" xr:uid="{00000000-0005-0000-0000-0000704A0000}"/>
    <cellStyle name="40% - Accent5 5 2 3 4 6 2" xfId="19061" xr:uid="{00000000-0005-0000-0000-0000714A0000}"/>
    <cellStyle name="40% - Accent5 5 2 3 4 6 2 2" xfId="19062" xr:uid="{00000000-0005-0000-0000-0000724A0000}"/>
    <cellStyle name="40% - Accent5 5 2 3 4 6 3" xfId="19063" xr:uid="{00000000-0005-0000-0000-0000734A0000}"/>
    <cellStyle name="40% - Accent5 5 2 3 4 7" xfId="19064" xr:uid="{00000000-0005-0000-0000-0000744A0000}"/>
    <cellStyle name="40% - Accent5 5 2 3 4 7 2" xfId="19065" xr:uid="{00000000-0005-0000-0000-0000754A0000}"/>
    <cellStyle name="40% - Accent5 5 2 3 4 8" xfId="19066" xr:uid="{00000000-0005-0000-0000-0000764A0000}"/>
    <cellStyle name="40% - Accent5 5 2 3 5" xfId="19067" xr:uid="{00000000-0005-0000-0000-0000774A0000}"/>
    <cellStyle name="40% - Accent5 5 2 3 5 2" xfId="19068" xr:uid="{00000000-0005-0000-0000-0000784A0000}"/>
    <cellStyle name="40% - Accent5 5 2 3 5 2 2" xfId="19069" xr:uid="{00000000-0005-0000-0000-0000794A0000}"/>
    <cellStyle name="40% - Accent5 5 2 3 5 2 2 2" xfId="19070" xr:uid="{00000000-0005-0000-0000-00007A4A0000}"/>
    <cellStyle name="40% - Accent5 5 2 3 5 2 2 2 2" xfId="19071" xr:uid="{00000000-0005-0000-0000-00007B4A0000}"/>
    <cellStyle name="40% - Accent5 5 2 3 5 2 2 3" xfId="19072" xr:uid="{00000000-0005-0000-0000-00007C4A0000}"/>
    <cellStyle name="40% - Accent5 5 2 3 5 2 3" xfId="19073" xr:uid="{00000000-0005-0000-0000-00007D4A0000}"/>
    <cellStyle name="40% - Accent5 5 2 3 5 2 3 2" xfId="19074" xr:uid="{00000000-0005-0000-0000-00007E4A0000}"/>
    <cellStyle name="40% - Accent5 5 2 3 5 2 4" xfId="19075" xr:uid="{00000000-0005-0000-0000-00007F4A0000}"/>
    <cellStyle name="40% - Accent5 5 2 3 5 3" xfId="19076" xr:uid="{00000000-0005-0000-0000-0000804A0000}"/>
    <cellStyle name="40% - Accent5 5 2 3 5 3 2" xfId="19077" xr:uid="{00000000-0005-0000-0000-0000814A0000}"/>
    <cellStyle name="40% - Accent5 5 2 3 5 3 2 2" xfId="19078" xr:uid="{00000000-0005-0000-0000-0000824A0000}"/>
    <cellStyle name="40% - Accent5 5 2 3 5 3 3" xfId="19079" xr:uid="{00000000-0005-0000-0000-0000834A0000}"/>
    <cellStyle name="40% - Accent5 5 2 3 5 4" xfId="19080" xr:uid="{00000000-0005-0000-0000-0000844A0000}"/>
    <cellStyle name="40% - Accent5 5 2 3 5 4 2" xfId="19081" xr:uid="{00000000-0005-0000-0000-0000854A0000}"/>
    <cellStyle name="40% - Accent5 5 2 3 5 5" xfId="19082" xr:uid="{00000000-0005-0000-0000-0000864A0000}"/>
    <cellStyle name="40% - Accent5 5 2 3 6" xfId="19083" xr:uid="{00000000-0005-0000-0000-0000874A0000}"/>
    <cellStyle name="40% - Accent5 5 2 3 6 2" xfId="19084" xr:uid="{00000000-0005-0000-0000-0000884A0000}"/>
    <cellStyle name="40% - Accent5 5 2 3 6 2 2" xfId="19085" xr:uid="{00000000-0005-0000-0000-0000894A0000}"/>
    <cellStyle name="40% - Accent5 5 2 3 6 2 2 2" xfId="19086" xr:uid="{00000000-0005-0000-0000-00008A4A0000}"/>
    <cellStyle name="40% - Accent5 5 2 3 6 2 2 2 2" xfId="19087" xr:uid="{00000000-0005-0000-0000-00008B4A0000}"/>
    <cellStyle name="40% - Accent5 5 2 3 6 2 2 3" xfId="19088" xr:uid="{00000000-0005-0000-0000-00008C4A0000}"/>
    <cellStyle name="40% - Accent5 5 2 3 6 2 3" xfId="19089" xr:uid="{00000000-0005-0000-0000-00008D4A0000}"/>
    <cellStyle name="40% - Accent5 5 2 3 6 2 3 2" xfId="19090" xr:uid="{00000000-0005-0000-0000-00008E4A0000}"/>
    <cellStyle name="40% - Accent5 5 2 3 6 2 4" xfId="19091" xr:uid="{00000000-0005-0000-0000-00008F4A0000}"/>
    <cellStyle name="40% - Accent5 5 2 3 6 3" xfId="19092" xr:uid="{00000000-0005-0000-0000-0000904A0000}"/>
    <cellStyle name="40% - Accent5 5 2 3 6 3 2" xfId="19093" xr:uid="{00000000-0005-0000-0000-0000914A0000}"/>
    <cellStyle name="40% - Accent5 5 2 3 6 3 2 2" xfId="19094" xr:uid="{00000000-0005-0000-0000-0000924A0000}"/>
    <cellStyle name="40% - Accent5 5 2 3 6 3 3" xfId="19095" xr:uid="{00000000-0005-0000-0000-0000934A0000}"/>
    <cellStyle name="40% - Accent5 5 2 3 6 4" xfId="19096" xr:uid="{00000000-0005-0000-0000-0000944A0000}"/>
    <cellStyle name="40% - Accent5 5 2 3 6 4 2" xfId="19097" xr:uid="{00000000-0005-0000-0000-0000954A0000}"/>
    <cellStyle name="40% - Accent5 5 2 3 6 5" xfId="19098" xr:uid="{00000000-0005-0000-0000-0000964A0000}"/>
    <cellStyle name="40% - Accent5 5 2 3 7" xfId="19099" xr:uid="{00000000-0005-0000-0000-0000974A0000}"/>
    <cellStyle name="40% - Accent5 5 2 3 7 2" xfId="19100" xr:uid="{00000000-0005-0000-0000-0000984A0000}"/>
    <cellStyle name="40% - Accent5 5 2 3 7 2 2" xfId="19101" xr:uid="{00000000-0005-0000-0000-0000994A0000}"/>
    <cellStyle name="40% - Accent5 5 2 3 7 2 2 2" xfId="19102" xr:uid="{00000000-0005-0000-0000-00009A4A0000}"/>
    <cellStyle name="40% - Accent5 5 2 3 7 2 3" xfId="19103" xr:uid="{00000000-0005-0000-0000-00009B4A0000}"/>
    <cellStyle name="40% - Accent5 5 2 3 7 3" xfId="19104" xr:uid="{00000000-0005-0000-0000-00009C4A0000}"/>
    <cellStyle name="40% - Accent5 5 2 3 7 3 2" xfId="19105" xr:uid="{00000000-0005-0000-0000-00009D4A0000}"/>
    <cellStyle name="40% - Accent5 5 2 3 7 4" xfId="19106" xr:uid="{00000000-0005-0000-0000-00009E4A0000}"/>
    <cellStyle name="40% - Accent5 5 2 3 8" xfId="19107" xr:uid="{00000000-0005-0000-0000-00009F4A0000}"/>
    <cellStyle name="40% - Accent5 5 2 3 8 2" xfId="19108" xr:uid="{00000000-0005-0000-0000-0000A04A0000}"/>
    <cellStyle name="40% - Accent5 5 2 3 8 2 2" xfId="19109" xr:uid="{00000000-0005-0000-0000-0000A14A0000}"/>
    <cellStyle name="40% - Accent5 5 2 3 8 2 2 2" xfId="19110" xr:uid="{00000000-0005-0000-0000-0000A24A0000}"/>
    <cellStyle name="40% - Accent5 5 2 3 8 2 3" xfId="19111" xr:uid="{00000000-0005-0000-0000-0000A34A0000}"/>
    <cellStyle name="40% - Accent5 5 2 3 8 3" xfId="19112" xr:uid="{00000000-0005-0000-0000-0000A44A0000}"/>
    <cellStyle name="40% - Accent5 5 2 3 8 3 2" xfId="19113" xr:uid="{00000000-0005-0000-0000-0000A54A0000}"/>
    <cellStyle name="40% - Accent5 5 2 3 8 4" xfId="19114" xr:uid="{00000000-0005-0000-0000-0000A64A0000}"/>
    <cellStyle name="40% - Accent5 5 2 3 9" xfId="19115" xr:uid="{00000000-0005-0000-0000-0000A74A0000}"/>
    <cellStyle name="40% - Accent5 5 2 3 9 2" xfId="19116" xr:uid="{00000000-0005-0000-0000-0000A84A0000}"/>
    <cellStyle name="40% - Accent5 5 2 3 9 2 2" xfId="19117" xr:uid="{00000000-0005-0000-0000-0000A94A0000}"/>
    <cellStyle name="40% - Accent5 5 2 3 9 3" xfId="19118" xr:uid="{00000000-0005-0000-0000-0000AA4A0000}"/>
    <cellStyle name="40% - Accent5 5 2 4" xfId="19119" xr:uid="{00000000-0005-0000-0000-0000AB4A0000}"/>
    <cellStyle name="40% - Accent5 5 2 4 10" xfId="19120" xr:uid="{00000000-0005-0000-0000-0000AC4A0000}"/>
    <cellStyle name="40% - Accent5 5 2 4 10 2" xfId="19121" xr:uid="{00000000-0005-0000-0000-0000AD4A0000}"/>
    <cellStyle name="40% - Accent5 5 2 4 10 2 2" xfId="19122" xr:uid="{00000000-0005-0000-0000-0000AE4A0000}"/>
    <cellStyle name="40% - Accent5 5 2 4 10 3" xfId="19123" xr:uid="{00000000-0005-0000-0000-0000AF4A0000}"/>
    <cellStyle name="40% - Accent5 5 2 4 11" xfId="19124" xr:uid="{00000000-0005-0000-0000-0000B04A0000}"/>
    <cellStyle name="40% - Accent5 5 2 4 11 2" xfId="19125" xr:uid="{00000000-0005-0000-0000-0000B14A0000}"/>
    <cellStyle name="40% - Accent5 5 2 4 11 2 2" xfId="19126" xr:uid="{00000000-0005-0000-0000-0000B24A0000}"/>
    <cellStyle name="40% - Accent5 5 2 4 11 3" xfId="19127" xr:uid="{00000000-0005-0000-0000-0000B34A0000}"/>
    <cellStyle name="40% - Accent5 5 2 4 12" xfId="19128" xr:uid="{00000000-0005-0000-0000-0000B44A0000}"/>
    <cellStyle name="40% - Accent5 5 2 4 12 2" xfId="19129" xr:uid="{00000000-0005-0000-0000-0000B54A0000}"/>
    <cellStyle name="40% - Accent5 5 2 4 12 2 2" xfId="19130" xr:uid="{00000000-0005-0000-0000-0000B64A0000}"/>
    <cellStyle name="40% - Accent5 5 2 4 12 3" xfId="19131" xr:uid="{00000000-0005-0000-0000-0000B74A0000}"/>
    <cellStyle name="40% - Accent5 5 2 4 13" xfId="19132" xr:uid="{00000000-0005-0000-0000-0000B84A0000}"/>
    <cellStyle name="40% - Accent5 5 2 4 13 2" xfId="19133" xr:uid="{00000000-0005-0000-0000-0000B94A0000}"/>
    <cellStyle name="40% - Accent5 5 2 4 14" xfId="19134" xr:uid="{00000000-0005-0000-0000-0000BA4A0000}"/>
    <cellStyle name="40% - Accent5 5 2 4 2" xfId="19135" xr:uid="{00000000-0005-0000-0000-0000BB4A0000}"/>
    <cellStyle name="40% - Accent5 5 2 4 2 2" xfId="19136" xr:uid="{00000000-0005-0000-0000-0000BC4A0000}"/>
    <cellStyle name="40% - Accent5 5 2 4 2 2 2" xfId="19137" xr:uid="{00000000-0005-0000-0000-0000BD4A0000}"/>
    <cellStyle name="40% - Accent5 5 2 4 2 2 2 2" xfId="19138" xr:uid="{00000000-0005-0000-0000-0000BE4A0000}"/>
    <cellStyle name="40% - Accent5 5 2 4 2 2 2 2 2" xfId="19139" xr:uid="{00000000-0005-0000-0000-0000BF4A0000}"/>
    <cellStyle name="40% - Accent5 5 2 4 2 2 2 3" xfId="19140" xr:uid="{00000000-0005-0000-0000-0000C04A0000}"/>
    <cellStyle name="40% - Accent5 5 2 4 2 2 3" xfId="19141" xr:uid="{00000000-0005-0000-0000-0000C14A0000}"/>
    <cellStyle name="40% - Accent5 5 2 4 2 2 3 2" xfId="19142" xr:uid="{00000000-0005-0000-0000-0000C24A0000}"/>
    <cellStyle name="40% - Accent5 5 2 4 2 2 4" xfId="19143" xr:uid="{00000000-0005-0000-0000-0000C34A0000}"/>
    <cellStyle name="40% - Accent5 5 2 4 2 3" xfId="19144" xr:uid="{00000000-0005-0000-0000-0000C44A0000}"/>
    <cellStyle name="40% - Accent5 5 2 4 2 3 2" xfId="19145" xr:uid="{00000000-0005-0000-0000-0000C54A0000}"/>
    <cellStyle name="40% - Accent5 5 2 4 2 3 2 2" xfId="19146" xr:uid="{00000000-0005-0000-0000-0000C64A0000}"/>
    <cellStyle name="40% - Accent5 5 2 4 2 3 3" xfId="19147" xr:uid="{00000000-0005-0000-0000-0000C74A0000}"/>
    <cellStyle name="40% - Accent5 5 2 4 2 4" xfId="19148" xr:uid="{00000000-0005-0000-0000-0000C84A0000}"/>
    <cellStyle name="40% - Accent5 5 2 4 2 4 2" xfId="19149" xr:uid="{00000000-0005-0000-0000-0000C94A0000}"/>
    <cellStyle name="40% - Accent5 5 2 4 2 4 2 2" xfId="19150" xr:uid="{00000000-0005-0000-0000-0000CA4A0000}"/>
    <cellStyle name="40% - Accent5 5 2 4 2 4 3" xfId="19151" xr:uid="{00000000-0005-0000-0000-0000CB4A0000}"/>
    <cellStyle name="40% - Accent5 5 2 4 2 5" xfId="19152" xr:uid="{00000000-0005-0000-0000-0000CC4A0000}"/>
    <cellStyle name="40% - Accent5 5 2 4 2 5 2" xfId="19153" xr:uid="{00000000-0005-0000-0000-0000CD4A0000}"/>
    <cellStyle name="40% - Accent5 5 2 4 2 5 2 2" xfId="19154" xr:uid="{00000000-0005-0000-0000-0000CE4A0000}"/>
    <cellStyle name="40% - Accent5 5 2 4 2 5 3" xfId="19155" xr:uid="{00000000-0005-0000-0000-0000CF4A0000}"/>
    <cellStyle name="40% - Accent5 5 2 4 2 6" xfId="19156" xr:uid="{00000000-0005-0000-0000-0000D04A0000}"/>
    <cellStyle name="40% - Accent5 5 2 4 2 6 2" xfId="19157" xr:uid="{00000000-0005-0000-0000-0000D14A0000}"/>
    <cellStyle name="40% - Accent5 5 2 4 2 6 2 2" xfId="19158" xr:uid="{00000000-0005-0000-0000-0000D24A0000}"/>
    <cellStyle name="40% - Accent5 5 2 4 2 6 3" xfId="19159" xr:uid="{00000000-0005-0000-0000-0000D34A0000}"/>
    <cellStyle name="40% - Accent5 5 2 4 2 7" xfId="19160" xr:uid="{00000000-0005-0000-0000-0000D44A0000}"/>
    <cellStyle name="40% - Accent5 5 2 4 2 7 2" xfId="19161" xr:uid="{00000000-0005-0000-0000-0000D54A0000}"/>
    <cellStyle name="40% - Accent5 5 2 4 2 8" xfId="19162" xr:uid="{00000000-0005-0000-0000-0000D64A0000}"/>
    <cellStyle name="40% - Accent5 5 2 4 3" xfId="19163" xr:uid="{00000000-0005-0000-0000-0000D74A0000}"/>
    <cellStyle name="40% - Accent5 5 2 4 3 2" xfId="19164" xr:uid="{00000000-0005-0000-0000-0000D84A0000}"/>
    <cellStyle name="40% - Accent5 5 2 4 3 2 2" xfId="19165" xr:uid="{00000000-0005-0000-0000-0000D94A0000}"/>
    <cellStyle name="40% - Accent5 5 2 4 3 2 2 2" xfId="19166" xr:uid="{00000000-0005-0000-0000-0000DA4A0000}"/>
    <cellStyle name="40% - Accent5 5 2 4 3 2 2 2 2" xfId="19167" xr:uid="{00000000-0005-0000-0000-0000DB4A0000}"/>
    <cellStyle name="40% - Accent5 5 2 4 3 2 2 3" xfId="19168" xr:uid="{00000000-0005-0000-0000-0000DC4A0000}"/>
    <cellStyle name="40% - Accent5 5 2 4 3 2 3" xfId="19169" xr:uid="{00000000-0005-0000-0000-0000DD4A0000}"/>
    <cellStyle name="40% - Accent5 5 2 4 3 2 3 2" xfId="19170" xr:uid="{00000000-0005-0000-0000-0000DE4A0000}"/>
    <cellStyle name="40% - Accent5 5 2 4 3 2 4" xfId="19171" xr:uid="{00000000-0005-0000-0000-0000DF4A0000}"/>
    <cellStyle name="40% - Accent5 5 2 4 3 3" xfId="19172" xr:uid="{00000000-0005-0000-0000-0000E04A0000}"/>
    <cellStyle name="40% - Accent5 5 2 4 3 3 2" xfId="19173" xr:uid="{00000000-0005-0000-0000-0000E14A0000}"/>
    <cellStyle name="40% - Accent5 5 2 4 3 3 2 2" xfId="19174" xr:uid="{00000000-0005-0000-0000-0000E24A0000}"/>
    <cellStyle name="40% - Accent5 5 2 4 3 3 3" xfId="19175" xr:uid="{00000000-0005-0000-0000-0000E34A0000}"/>
    <cellStyle name="40% - Accent5 5 2 4 3 4" xfId="19176" xr:uid="{00000000-0005-0000-0000-0000E44A0000}"/>
    <cellStyle name="40% - Accent5 5 2 4 3 4 2" xfId="19177" xr:uid="{00000000-0005-0000-0000-0000E54A0000}"/>
    <cellStyle name="40% - Accent5 5 2 4 3 4 2 2" xfId="19178" xr:uid="{00000000-0005-0000-0000-0000E64A0000}"/>
    <cellStyle name="40% - Accent5 5 2 4 3 4 3" xfId="19179" xr:uid="{00000000-0005-0000-0000-0000E74A0000}"/>
    <cellStyle name="40% - Accent5 5 2 4 3 5" xfId="19180" xr:uid="{00000000-0005-0000-0000-0000E84A0000}"/>
    <cellStyle name="40% - Accent5 5 2 4 3 5 2" xfId="19181" xr:uid="{00000000-0005-0000-0000-0000E94A0000}"/>
    <cellStyle name="40% - Accent5 5 2 4 3 5 2 2" xfId="19182" xr:uid="{00000000-0005-0000-0000-0000EA4A0000}"/>
    <cellStyle name="40% - Accent5 5 2 4 3 5 3" xfId="19183" xr:uid="{00000000-0005-0000-0000-0000EB4A0000}"/>
    <cellStyle name="40% - Accent5 5 2 4 3 6" xfId="19184" xr:uid="{00000000-0005-0000-0000-0000EC4A0000}"/>
    <cellStyle name="40% - Accent5 5 2 4 3 6 2" xfId="19185" xr:uid="{00000000-0005-0000-0000-0000ED4A0000}"/>
    <cellStyle name="40% - Accent5 5 2 4 3 6 2 2" xfId="19186" xr:uid="{00000000-0005-0000-0000-0000EE4A0000}"/>
    <cellStyle name="40% - Accent5 5 2 4 3 6 3" xfId="19187" xr:uid="{00000000-0005-0000-0000-0000EF4A0000}"/>
    <cellStyle name="40% - Accent5 5 2 4 3 7" xfId="19188" xr:uid="{00000000-0005-0000-0000-0000F04A0000}"/>
    <cellStyle name="40% - Accent5 5 2 4 3 7 2" xfId="19189" xr:uid="{00000000-0005-0000-0000-0000F14A0000}"/>
    <cellStyle name="40% - Accent5 5 2 4 3 8" xfId="19190" xr:uid="{00000000-0005-0000-0000-0000F24A0000}"/>
    <cellStyle name="40% - Accent5 5 2 4 4" xfId="19191" xr:uid="{00000000-0005-0000-0000-0000F34A0000}"/>
    <cellStyle name="40% - Accent5 5 2 4 4 2" xfId="19192" xr:uid="{00000000-0005-0000-0000-0000F44A0000}"/>
    <cellStyle name="40% - Accent5 5 2 4 4 2 2" xfId="19193" xr:uid="{00000000-0005-0000-0000-0000F54A0000}"/>
    <cellStyle name="40% - Accent5 5 2 4 4 2 2 2" xfId="19194" xr:uid="{00000000-0005-0000-0000-0000F64A0000}"/>
    <cellStyle name="40% - Accent5 5 2 4 4 2 2 2 2" xfId="19195" xr:uid="{00000000-0005-0000-0000-0000F74A0000}"/>
    <cellStyle name="40% - Accent5 5 2 4 4 2 2 3" xfId="19196" xr:uid="{00000000-0005-0000-0000-0000F84A0000}"/>
    <cellStyle name="40% - Accent5 5 2 4 4 2 3" xfId="19197" xr:uid="{00000000-0005-0000-0000-0000F94A0000}"/>
    <cellStyle name="40% - Accent5 5 2 4 4 2 3 2" xfId="19198" xr:uid="{00000000-0005-0000-0000-0000FA4A0000}"/>
    <cellStyle name="40% - Accent5 5 2 4 4 2 4" xfId="19199" xr:uid="{00000000-0005-0000-0000-0000FB4A0000}"/>
    <cellStyle name="40% - Accent5 5 2 4 4 3" xfId="19200" xr:uid="{00000000-0005-0000-0000-0000FC4A0000}"/>
    <cellStyle name="40% - Accent5 5 2 4 4 3 2" xfId="19201" xr:uid="{00000000-0005-0000-0000-0000FD4A0000}"/>
    <cellStyle name="40% - Accent5 5 2 4 4 3 2 2" xfId="19202" xr:uid="{00000000-0005-0000-0000-0000FE4A0000}"/>
    <cellStyle name="40% - Accent5 5 2 4 4 3 3" xfId="19203" xr:uid="{00000000-0005-0000-0000-0000FF4A0000}"/>
    <cellStyle name="40% - Accent5 5 2 4 4 4" xfId="19204" xr:uid="{00000000-0005-0000-0000-0000004B0000}"/>
    <cellStyle name="40% - Accent5 5 2 4 4 4 2" xfId="19205" xr:uid="{00000000-0005-0000-0000-0000014B0000}"/>
    <cellStyle name="40% - Accent5 5 2 4 4 4 2 2" xfId="19206" xr:uid="{00000000-0005-0000-0000-0000024B0000}"/>
    <cellStyle name="40% - Accent5 5 2 4 4 4 3" xfId="19207" xr:uid="{00000000-0005-0000-0000-0000034B0000}"/>
    <cellStyle name="40% - Accent5 5 2 4 4 5" xfId="19208" xr:uid="{00000000-0005-0000-0000-0000044B0000}"/>
    <cellStyle name="40% - Accent5 5 2 4 4 5 2" xfId="19209" xr:uid="{00000000-0005-0000-0000-0000054B0000}"/>
    <cellStyle name="40% - Accent5 5 2 4 4 5 2 2" xfId="19210" xr:uid="{00000000-0005-0000-0000-0000064B0000}"/>
    <cellStyle name="40% - Accent5 5 2 4 4 5 3" xfId="19211" xr:uid="{00000000-0005-0000-0000-0000074B0000}"/>
    <cellStyle name="40% - Accent5 5 2 4 4 6" xfId="19212" xr:uid="{00000000-0005-0000-0000-0000084B0000}"/>
    <cellStyle name="40% - Accent5 5 2 4 4 6 2" xfId="19213" xr:uid="{00000000-0005-0000-0000-0000094B0000}"/>
    <cellStyle name="40% - Accent5 5 2 4 4 6 2 2" xfId="19214" xr:uid="{00000000-0005-0000-0000-00000A4B0000}"/>
    <cellStyle name="40% - Accent5 5 2 4 4 6 3" xfId="19215" xr:uid="{00000000-0005-0000-0000-00000B4B0000}"/>
    <cellStyle name="40% - Accent5 5 2 4 4 7" xfId="19216" xr:uid="{00000000-0005-0000-0000-00000C4B0000}"/>
    <cellStyle name="40% - Accent5 5 2 4 4 7 2" xfId="19217" xr:uid="{00000000-0005-0000-0000-00000D4B0000}"/>
    <cellStyle name="40% - Accent5 5 2 4 4 8" xfId="19218" xr:uid="{00000000-0005-0000-0000-00000E4B0000}"/>
    <cellStyle name="40% - Accent5 5 2 4 5" xfId="19219" xr:uid="{00000000-0005-0000-0000-00000F4B0000}"/>
    <cellStyle name="40% - Accent5 5 2 4 5 2" xfId="19220" xr:uid="{00000000-0005-0000-0000-0000104B0000}"/>
    <cellStyle name="40% - Accent5 5 2 4 5 2 2" xfId="19221" xr:uid="{00000000-0005-0000-0000-0000114B0000}"/>
    <cellStyle name="40% - Accent5 5 2 4 5 2 2 2" xfId="19222" xr:uid="{00000000-0005-0000-0000-0000124B0000}"/>
    <cellStyle name="40% - Accent5 5 2 4 5 2 2 2 2" xfId="19223" xr:uid="{00000000-0005-0000-0000-0000134B0000}"/>
    <cellStyle name="40% - Accent5 5 2 4 5 2 2 3" xfId="19224" xr:uid="{00000000-0005-0000-0000-0000144B0000}"/>
    <cellStyle name="40% - Accent5 5 2 4 5 2 3" xfId="19225" xr:uid="{00000000-0005-0000-0000-0000154B0000}"/>
    <cellStyle name="40% - Accent5 5 2 4 5 2 3 2" xfId="19226" xr:uid="{00000000-0005-0000-0000-0000164B0000}"/>
    <cellStyle name="40% - Accent5 5 2 4 5 2 4" xfId="19227" xr:uid="{00000000-0005-0000-0000-0000174B0000}"/>
    <cellStyle name="40% - Accent5 5 2 4 5 3" xfId="19228" xr:uid="{00000000-0005-0000-0000-0000184B0000}"/>
    <cellStyle name="40% - Accent5 5 2 4 5 3 2" xfId="19229" xr:uid="{00000000-0005-0000-0000-0000194B0000}"/>
    <cellStyle name="40% - Accent5 5 2 4 5 3 2 2" xfId="19230" xr:uid="{00000000-0005-0000-0000-00001A4B0000}"/>
    <cellStyle name="40% - Accent5 5 2 4 5 3 3" xfId="19231" xr:uid="{00000000-0005-0000-0000-00001B4B0000}"/>
    <cellStyle name="40% - Accent5 5 2 4 5 4" xfId="19232" xr:uid="{00000000-0005-0000-0000-00001C4B0000}"/>
    <cellStyle name="40% - Accent5 5 2 4 5 4 2" xfId="19233" xr:uid="{00000000-0005-0000-0000-00001D4B0000}"/>
    <cellStyle name="40% - Accent5 5 2 4 5 5" xfId="19234" xr:uid="{00000000-0005-0000-0000-00001E4B0000}"/>
    <cellStyle name="40% - Accent5 5 2 4 6" xfId="19235" xr:uid="{00000000-0005-0000-0000-00001F4B0000}"/>
    <cellStyle name="40% - Accent5 5 2 4 6 2" xfId="19236" xr:uid="{00000000-0005-0000-0000-0000204B0000}"/>
    <cellStyle name="40% - Accent5 5 2 4 6 2 2" xfId="19237" xr:uid="{00000000-0005-0000-0000-0000214B0000}"/>
    <cellStyle name="40% - Accent5 5 2 4 6 2 2 2" xfId="19238" xr:uid="{00000000-0005-0000-0000-0000224B0000}"/>
    <cellStyle name="40% - Accent5 5 2 4 6 2 2 2 2" xfId="19239" xr:uid="{00000000-0005-0000-0000-0000234B0000}"/>
    <cellStyle name="40% - Accent5 5 2 4 6 2 2 3" xfId="19240" xr:uid="{00000000-0005-0000-0000-0000244B0000}"/>
    <cellStyle name="40% - Accent5 5 2 4 6 2 3" xfId="19241" xr:uid="{00000000-0005-0000-0000-0000254B0000}"/>
    <cellStyle name="40% - Accent5 5 2 4 6 2 3 2" xfId="19242" xr:uid="{00000000-0005-0000-0000-0000264B0000}"/>
    <cellStyle name="40% - Accent5 5 2 4 6 2 4" xfId="19243" xr:uid="{00000000-0005-0000-0000-0000274B0000}"/>
    <cellStyle name="40% - Accent5 5 2 4 6 3" xfId="19244" xr:uid="{00000000-0005-0000-0000-0000284B0000}"/>
    <cellStyle name="40% - Accent5 5 2 4 6 3 2" xfId="19245" xr:uid="{00000000-0005-0000-0000-0000294B0000}"/>
    <cellStyle name="40% - Accent5 5 2 4 6 3 2 2" xfId="19246" xr:uid="{00000000-0005-0000-0000-00002A4B0000}"/>
    <cellStyle name="40% - Accent5 5 2 4 6 3 3" xfId="19247" xr:uid="{00000000-0005-0000-0000-00002B4B0000}"/>
    <cellStyle name="40% - Accent5 5 2 4 6 4" xfId="19248" xr:uid="{00000000-0005-0000-0000-00002C4B0000}"/>
    <cellStyle name="40% - Accent5 5 2 4 6 4 2" xfId="19249" xr:uid="{00000000-0005-0000-0000-00002D4B0000}"/>
    <cellStyle name="40% - Accent5 5 2 4 6 5" xfId="19250" xr:uid="{00000000-0005-0000-0000-00002E4B0000}"/>
    <cellStyle name="40% - Accent5 5 2 4 7" xfId="19251" xr:uid="{00000000-0005-0000-0000-00002F4B0000}"/>
    <cellStyle name="40% - Accent5 5 2 4 7 2" xfId="19252" xr:uid="{00000000-0005-0000-0000-0000304B0000}"/>
    <cellStyle name="40% - Accent5 5 2 4 7 2 2" xfId="19253" xr:uid="{00000000-0005-0000-0000-0000314B0000}"/>
    <cellStyle name="40% - Accent5 5 2 4 7 2 2 2" xfId="19254" xr:uid="{00000000-0005-0000-0000-0000324B0000}"/>
    <cellStyle name="40% - Accent5 5 2 4 7 2 3" xfId="19255" xr:uid="{00000000-0005-0000-0000-0000334B0000}"/>
    <cellStyle name="40% - Accent5 5 2 4 7 3" xfId="19256" xr:uid="{00000000-0005-0000-0000-0000344B0000}"/>
    <cellStyle name="40% - Accent5 5 2 4 7 3 2" xfId="19257" xr:uid="{00000000-0005-0000-0000-0000354B0000}"/>
    <cellStyle name="40% - Accent5 5 2 4 7 4" xfId="19258" xr:uid="{00000000-0005-0000-0000-0000364B0000}"/>
    <cellStyle name="40% - Accent5 5 2 4 8" xfId="19259" xr:uid="{00000000-0005-0000-0000-0000374B0000}"/>
    <cellStyle name="40% - Accent5 5 2 4 8 2" xfId="19260" xr:uid="{00000000-0005-0000-0000-0000384B0000}"/>
    <cellStyle name="40% - Accent5 5 2 4 8 2 2" xfId="19261" xr:uid="{00000000-0005-0000-0000-0000394B0000}"/>
    <cellStyle name="40% - Accent5 5 2 4 8 2 2 2" xfId="19262" xr:uid="{00000000-0005-0000-0000-00003A4B0000}"/>
    <cellStyle name="40% - Accent5 5 2 4 8 2 3" xfId="19263" xr:uid="{00000000-0005-0000-0000-00003B4B0000}"/>
    <cellStyle name="40% - Accent5 5 2 4 8 3" xfId="19264" xr:uid="{00000000-0005-0000-0000-00003C4B0000}"/>
    <cellStyle name="40% - Accent5 5 2 4 8 3 2" xfId="19265" xr:uid="{00000000-0005-0000-0000-00003D4B0000}"/>
    <cellStyle name="40% - Accent5 5 2 4 8 4" xfId="19266" xr:uid="{00000000-0005-0000-0000-00003E4B0000}"/>
    <cellStyle name="40% - Accent5 5 2 4 9" xfId="19267" xr:uid="{00000000-0005-0000-0000-00003F4B0000}"/>
    <cellStyle name="40% - Accent5 5 2 4 9 2" xfId="19268" xr:uid="{00000000-0005-0000-0000-0000404B0000}"/>
    <cellStyle name="40% - Accent5 5 2 4 9 2 2" xfId="19269" xr:uid="{00000000-0005-0000-0000-0000414B0000}"/>
    <cellStyle name="40% - Accent5 5 2 4 9 3" xfId="19270" xr:uid="{00000000-0005-0000-0000-0000424B0000}"/>
    <cellStyle name="40% - Accent5 5 2 5" xfId="19271" xr:uid="{00000000-0005-0000-0000-0000434B0000}"/>
    <cellStyle name="40% - Accent5 5 2 5 10" xfId="19272" xr:uid="{00000000-0005-0000-0000-0000444B0000}"/>
    <cellStyle name="40% - Accent5 5 2 5 10 2" xfId="19273" xr:uid="{00000000-0005-0000-0000-0000454B0000}"/>
    <cellStyle name="40% - Accent5 5 2 5 10 2 2" xfId="19274" xr:uid="{00000000-0005-0000-0000-0000464B0000}"/>
    <cellStyle name="40% - Accent5 5 2 5 10 3" xfId="19275" xr:uid="{00000000-0005-0000-0000-0000474B0000}"/>
    <cellStyle name="40% - Accent5 5 2 5 11" xfId="19276" xr:uid="{00000000-0005-0000-0000-0000484B0000}"/>
    <cellStyle name="40% - Accent5 5 2 5 11 2" xfId="19277" xr:uid="{00000000-0005-0000-0000-0000494B0000}"/>
    <cellStyle name="40% - Accent5 5 2 5 11 2 2" xfId="19278" xr:uid="{00000000-0005-0000-0000-00004A4B0000}"/>
    <cellStyle name="40% - Accent5 5 2 5 11 3" xfId="19279" xr:uid="{00000000-0005-0000-0000-00004B4B0000}"/>
    <cellStyle name="40% - Accent5 5 2 5 12" xfId="19280" xr:uid="{00000000-0005-0000-0000-00004C4B0000}"/>
    <cellStyle name="40% - Accent5 5 2 5 12 2" xfId="19281" xr:uid="{00000000-0005-0000-0000-00004D4B0000}"/>
    <cellStyle name="40% - Accent5 5 2 5 12 2 2" xfId="19282" xr:uid="{00000000-0005-0000-0000-00004E4B0000}"/>
    <cellStyle name="40% - Accent5 5 2 5 12 3" xfId="19283" xr:uid="{00000000-0005-0000-0000-00004F4B0000}"/>
    <cellStyle name="40% - Accent5 5 2 5 13" xfId="19284" xr:uid="{00000000-0005-0000-0000-0000504B0000}"/>
    <cellStyle name="40% - Accent5 5 2 5 13 2" xfId="19285" xr:uid="{00000000-0005-0000-0000-0000514B0000}"/>
    <cellStyle name="40% - Accent5 5 2 5 14" xfId="19286" xr:uid="{00000000-0005-0000-0000-0000524B0000}"/>
    <cellStyle name="40% - Accent5 5 2 5 2" xfId="19287" xr:uid="{00000000-0005-0000-0000-0000534B0000}"/>
    <cellStyle name="40% - Accent5 5 2 5 2 2" xfId="19288" xr:uid="{00000000-0005-0000-0000-0000544B0000}"/>
    <cellStyle name="40% - Accent5 5 2 5 2 2 2" xfId="19289" xr:uid="{00000000-0005-0000-0000-0000554B0000}"/>
    <cellStyle name="40% - Accent5 5 2 5 2 2 2 2" xfId="19290" xr:uid="{00000000-0005-0000-0000-0000564B0000}"/>
    <cellStyle name="40% - Accent5 5 2 5 2 2 2 2 2" xfId="19291" xr:uid="{00000000-0005-0000-0000-0000574B0000}"/>
    <cellStyle name="40% - Accent5 5 2 5 2 2 2 3" xfId="19292" xr:uid="{00000000-0005-0000-0000-0000584B0000}"/>
    <cellStyle name="40% - Accent5 5 2 5 2 2 3" xfId="19293" xr:uid="{00000000-0005-0000-0000-0000594B0000}"/>
    <cellStyle name="40% - Accent5 5 2 5 2 2 3 2" xfId="19294" xr:uid="{00000000-0005-0000-0000-00005A4B0000}"/>
    <cellStyle name="40% - Accent5 5 2 5 2 2 4" xfId="19295" xr:uid="{00000000-0005-0000-0000-00005B4B0000}"/>
    <cellStyle name="40% - Accent5 5 2 5 2 3" xfId="19296" xr:uid="{00000000-0005-0000-0000-00005C4B0000}"/>
    <cellStyle name="40% - Accent5 5 2 5 2 3 2" xfId="19297" xr:uid="{00000000-0005-0000-0000-00005D4B0000}"/>
    <cellStyle name="40% - Accent5 5 2 5 2 3 2 2" xfId="19298" xr:uid="{00000000-0005-0000-0000-00005E4B0000}"/>
    <cellStyle name="40% - Accent5 5 2 5 2 3 3" xfId="19299" xr:uid="{00000000-0005-0000-0000-00005F4B0000}"/>
    <cellStyle name="40% - Accent5 5 2 5 2 4" xfId="19300" xr:uid="{00000000-0005-0000-0000-0000604B0000}"/>
    <cellStyle name="40% - Accent5 5 2 5 2 4 2" xfId="19301" xr:uid="{00000000-0005-0000-0000-0000614B0000}"/>
    <cellStyle name="40% - Accent5 5 2 5 2 4 2 2" xfId="19302" xr:uid="{00000000-0005-0000-0000-0000624B0000}"/>
    <cellStyle name="40% - Accent5 5 2 5 2 4 3" xfId="19303" xr:uid="{00000000-0005-0000-0000-0000634B0000}"/>
    <cellStyle name="40% - Accent5 5 2 5 2 5" xfId="19304" xr:uid="{00000000-0005-0000-0000-0000644B0000}"/>
    <cellStyle name="40% - Accent5 5 2 5 2 5 2" xfId="19305" xr:uid="{00000000-0005-0000-0000-0000654B0000}"/>
    <cellStyle name="40% - Accent5 5 2 5 2 5 2 2" xfId="19306" xr:uid="{00000000-0005-0000-0000-0000664B0000}"/>
    <cellStyle name="40% - Accent5 5 2 5 2 5 3" xfId="19307" xr:uid="{00000000-0005-0000-0000-0000674B0000}"/>
    <cellStyle name="40% - Accent5 5 2 5 2 6" xfId="19308" xr:uid="{00000000-0005-0000-0000-0000684B0000}"/>
    <cellStyle name="40% - Accent5 5 2 5 2 6 2" xfId="19309" xr:uid="{00000000-0005-0000-0000-0000694B0000}"/>
    <cellStyle name="40% - Accent5 5 2 5 2 6 2 2" xfId="19310" xr:uid="{00000000-0005-0000-0000-00006A4B0000}"/>
    <cellStyle name="40% - Accent5 5 2 5 2 6 3" xfId="19311" xr:uid="{00000000-0005-0000-0000-00006B4B0000}"/>
    <cellStyle name="40% - Accent5 5 2 5 2 7" xfId="19312" xr:uid="{00000000-0005-0000-0000-00006C4B0000}"/>
    <cellStyle name="40% - Accent5 5 2 5 2 7 2" xfId="19313" xr:uid="{00000000-0005-0000-0000-00006D4B0000}"/>
    <cellStyle name="40% - Accent5 5 2 5 2 8" xfId="19314" xr:uid="{00000000-0005-0000-0000-00006E4B0000}"/>
    <cellStyle name="40% - Accent5 5 2 5 3" xfId="19315" xr:uid="{00000000-0005-0000-0000-00006F4B0000}"/>
    <cellStyle name="40% - Accent5 5 2 5 3 2" xfId="19316" xr:uid="{00000000-0005-0000-0000-0000704B0000}"/>
    <cellStyle name="40% - Accent5 5 2 5 3 2 2" xfId="19317" xr:uid="{00000000-0005-0000-0000-0000714B0000}"/>
    <cellStyle name="40% - Accent5 5 2 5 3 2 2 2" xfId="19318" xr:uid="{00000000-0005-0000-0000-0000724B0000}"/>
    <cellStyle name="40% - Accent5 5 2 5 3 2 2 2 2" xfId="19319" xr:uid="{00000000-0005-0000-0000-0000734B0000}"/>
    <cellStyle name="40% - Accent5 5 2 5 3 2 2 3" xfId="19320" xr:uid="{00000000-0005-0000-0000-0000744B0000}"/>
    <cellStyle name="40% - Accent5 5 2 5 3 2 3" xfId="19321" xr:uid="{00000000-0005-0000-0000-0000754B0000}"/>
    <cellStyle name="40% - Accent5 5 2 5 3 2 3 2" xfId="19322" xr:uid="{00000000-0005-0000-0000-0000764B0000}"/>
    <cellStyle name="40% - Accent5 5 2 5 3 2 4" xfId="19323" xr:uid="{00000000-0005-0000-0000-0000774B0000}"/>
    <cellStyle name="40% - Accent5 5 2 5 3 3" xfId="19324" xr:uid="{00000000-0005-0000-0000-0000784B0000}"/>
    <cellStyle name="40% - Accent5 5 2 5 3 3 2" xfId="19325" xr:uid="{00000000-0005-0000-0000-0000794B0000}"/>
    <cellStyle name="40% - Accent5 5 2 5 3 3 2 2" xfId="19326" xr:uid="{00000000-0005-0000-0000-00007A4B0000}"/>
    <cellStyle name="40% - Accent5 5 2 5 3 3 3" xfId="19327" xr:uid="{00000000-0005-0000-0000-00007B4B0000}"/>
    <cellStyle name="40% - Accent5 5 2 5 3 4" xfId="19328" xr:uid="{00000000-0005-0000-0000-00007C4B0000}"/>
    <cellStyle name="40% - Accent5 5 2 5 3 4 2" xfId="19329" xr:uid="{00000000-0005-0000-0000-00007D4B0000}"/>
    <cellStyle name="40% - Accent5 5 2 5 3 4 2 2" xfId="19330" xr:uid="{00000000-0005-0000-0000-00007E4B0000}"/>
    <cellStyle name="40% - Accent5 5 2 5 3 4 3" xfId="19331" xr:uid="{00000000-0005-0000-0000-00007F4B0000}"/>
    <cellStyle name="40% - Accent5 5 2 5 3 5" xfId="19332" xr:uid="{00000000-0005-0000-0000-0000804B0000}"/>
    <cellStyle name="40% - Accent5 5 2 5 3 5 2" xfId="19333" xr:uid="{00000000-0005-0000-0000-0000814B0000}"/>
    <cellStyle name="40% - Accent5 5 2 5 3 5 2 2" xfId="19334" xr:uid="{00000000-0005-0000-0000-0000824B0000}"/>
    <cellStyle name="40% - Accent5 5 2 5 3 5 3" xfId="19335" xr:uid="{00000000-0005-0000-0000-0000834B0000}"/>
    <cellStyle name="40% - Accent5 5 2 5 3 6" xfId="19336" xr:uid="{00000000-0005-0000-0000-0000844B0000}"/>
    <cellStyle name="40% - Accent5 5 2 5 3 6 2" xfId="19337" xr:uid="{00000000-0005-0000-0000-0000854B0000}"/>
    <cellStyle name="40% - Accent5 5 2 5 3 6 2 2" xfId="19338" xr:uid="{00000000-0005-0000-0000-0000864B0000}"/>
    <cellStyle name="40% - Accent5 5 2 5 3 6 3" xfId="19339" xr:uid="{00000000-0005-0000-0000-0000874B0000}"/>
    <cellStyle name="40% - Accent5 5 2 5 3 7" xfId="19340" xr:uid="{00000000-0005-0000-0000-0000884B0000}"/>
    <cellStyle name="40% - Accent5 5 2 5 3 7 2" xfId="19341" xr:uid="{00000000-0005-0000-0000-0000894B0000}"/>
    <cellStyle name="40% - Accent5 5 2 5 3 8" xfId="19342" xr:uid="{00000000-0005-0000-0000-00008A4B0000}"/>
    <cellStyle name="40% - Accent5 5 2 5 4" xfId="19343" xr:uid="{00000000-0005-0000-0000-00008B4B0000}"/>
    <cellStyle name="40% - Accent5 5 2 5 4 2" xfId="19344" xr:uid="{00000000-0005-0000-0000-00008C4B0000}"/>
    <cellStyle name="40% - Accent5 5 2 5 4 2 2" xfId="19345" xr:uid="{00000000-0005-0000-0000-00008D4B0000}"/>
    <cellStyle name="40% - Accent5 5 2 5 4 2 2 2" xfId="19346" xr:uid="{00000000-0005-0000-0000-00008E4B0000}"/>
    <cellStyle name="40% - Accent5 5 2 5 4 2 2 2 2" xfId="19347" xr:uid="{00000000-0005-0000-0000-00008F4B0000}"/>
    <cellStyle name="40% - Accent5 5 2 5 4 2 2 3" xfId="19348" xr:uid="{00000000-0005-0000-0000-0000904B0000}"/>
    <cellStyle name="40% - Accent5 5 2 5 4 2 3" xfId="19349" xr:uid="{00000000-0005-0000-0000-0000914B0000}"/>
    <cellStyle name="40% - Accent5 5 2 5 4 2 3 2" xfId="19350" xr:uid="{00000000-0005-0000-0000-0000924B0000}"/>
    <cellStyle name="40% - Accent5 5 2 5 4 2 4" xfId="19351" xr:uid="{00000000-0005-0000-0000-0000934B0000}"/>
    <cellStyle name="40% - Accent5 5 2 5 4 3" xfId="19352" xr:uid="{00000000-0005-0000-0000-0000944B0000}"/>
    <cellStyle name="40% - Accent5 5 2 5 4 3 2" xfId="19353" xr:uid="{00000000-0005-0000-0000-0000954B0000}"/>
    <cellStyle name="40% - Accent5 5 2 5 4 3 2 2" xfId="19354" xr:uid="{00000000-0005-0000-0000-0000964B0000}"/>
    <cellStyle name="40% - Accent5 5 2 5 4 3 3" xfId="19355" xr:uid="{00000000-0005-0000-0000-0000974B0000}"/>
    <cellStyle name="40% - Accent5 5 2 5 4 4" xfId="19356" xr:uid="{00000000-0005-0000-0000-0000984B0000}"/>
    <cellStyle name="40% - Accent5 5 2 5 4 4 2" xfId="19357" xr:uid="{00000000-0005-0000-0000-0000994B0000}"/>
    <cellStyle name="40% - Accent5 5 2 5 4 4 2 2" xfId="19358" xr:uid="{00000000-0005-0000-0000-00009A4B0000}"/>
    <cellStyle name="40% - Accent5 5 2 5 4 4 3" xfId="19359" xr:uid="{00000000-0005-0000-0000-00009B4B0000}"/>
    <cellStyle name="40% - Accent5 5 2 5 4 5" xfId="19360" xr:uid="{00000000-0005-0000-0000-00009C4B0000}"/>
    <cellStyle name="40% - Accent5 5 2 5 4 5 2" xfId="19361" xr:uid="{00000000-0005-0000-0000-00009D4B0000}"/>
    <cellStyle name="40% - Accent5 5 2 5 4 5 2 2" xfId="19362" xr:uid="{00000000-0005-0000-0000-00009E4B0000}"/>
    <cellStyle name="40% - Accent5 5 2 5 4 5 3" xfId="19363" xr:uid="{00000000-0005-0000-0000-00009F4B0000}"/>
    <cellStyle name="40% - Accent5 5 2 5 4 6" xfId="19364" xr:uid="{00000000-0005-0000-0000-0000A04B0000}"/>
    <cellStyle name="40% - Accent5 5 2 5 4 6 2" xfId="19365" xr:uid="{00000000-0005-0000-0000-0000A14B0000}"/>
    <cellStyle name="40% - Accent5 5 2 5 4 6 2 2" xfId="19366" xr:uid="{00000000-0005-0000-0000-0000A24B0000}"/>
    <cellStyle name="40% - Accent5 5 2 5 4 6 3" xfId="19367" xr:uid="{00000000-0005-0000-0000-0000A34B0000}"/>
    <cellStyle name="40% - Accent5 5 2 5 4 7" xfId="19368" xr:uid="{00000000-0005-0000-0000-0000A44B0000}"/>
    <cellStyle name="40% - Accent5 5 2 5 4 7 2" xfId="19369" xr:uid="{00000000-0005-0000-0000-0000A54B0000}"/>
    <cellStyle name="40% - Accent5 5 2 5 4 8" xfId="19370" xr:uid="{00000000-0005-0000-0000-0000A64B0000}"/>
    <cellStyle name="40% - Accent5 5 2 5 5" xfId="19371" xr:uid="{00000000-0005-0000-0000-0000A74B0000}"/>
    <cellStyle name="40% - Accent5 5 2 5 5 2" xfId="19372" xr:uid="{00000000-0005-0000-0000-0000A84B0000}"/>
    <cellStyle name="40% - Accent5 5 2 5 5 2 2" xfId="19373" xr:uid="{00000000-0005-0000-0000-0000A94B0000}"/>
    <cellStyle name="40% - Accent5 5 2 5 5 2 2 2" xfId="19374" xr:uid="{00000000-0005-0000-0000-0000AA4B0000}"/>
    <cellStyle name="40% - Accent5 5 2 5 5 2 2 2 2" xfId="19375" xr:uid="{00000000-0005-0000-0000-0000AB4B0000}"/>
    <cellStyle name="40% - Accent5 5 2 5 5 2 2 3" xfId="19376" xr:uid="{00000000-0005-0000-0000-0000AC4B0000}"/>
    <cellStyle name="40% - Accent5 5 2 5 5 2 3" xfId="19377" xr:uid="{00000000-0005-0000-0000-0000AD4B0000}"/>
    <cellStyle name="40% - Accent5 5 2 5 5 2 3 2" xfId="19378" xr:uid="{00000000-0005-0000-0000-0000AE4B0000}"/>
    <cellStyle name="40% - Accent5 5 2 5 5 2 4" xfId="19379" xr:uid="{00000000-0005-0000-0000-0000AF4B0000}"/>
    <cellStyle name="40% - Accent5 5 2 5 5 3" xfId="19380" xr:uid="{00000000-0005-0000-0000-0000B04B0000}"/>
    <cellStyle name="40% - Accent5 5 2 5 5 3 2" xfId="19381" xr:uid="{00000000-0005-0000-0000-0000B14B0000}"/>
    <cellStyle name="40% - Accent5 5 2 5 5 3 2 2" xfId="19382" xr:uid="{00000000-0005-0000-0000-0000B24B0000}"/>
    <cellStyle name="40% - Accent5 5 2 5 5 3 3" xfId="19383" xr:uid="{00000000-0005-0000-0000-0000B34B0000}"/>
    <cellStyle name="40% - Accent5 5 2 5 5 4" xfId="19384" xr:uid="{00000000-0005-0000-0000-0000B44B0000}"/>
    <cellStyle name="40% - Accent5 5 2 5 5 4 2" xfId="19385" xr:uid="{00000000-0005-0000-0000-0000B54B0000}"/>
    <cellStyle name="40% - Accent5 5 2 5 5 5" xfId="19386" xr:uid="{00000000-0005-0000-0000-0000B64B0000}"/>
    <cellStyle name="40% - Accent5 5 2 5 6" xfId="19387" xr:uid="{00000000-0005-0000-0000-0000B74B0000}"/>
    <cellStyle name="40% - Accent5 5 2 5 6 2" xfId="19388" xr:uid="{00000000-0005-0000-0000-0000B84B0000}"/>
    <cellStyle name="40% - Accent5 5 2 5 6 2 2" xfId="19389" xr:uid="{00000000-0005-0000-0000-0000B94B0000}"/>
    <cellStyle name="40% - Accent5 5 2 5 6 2 2 2" xfId="19390" xr:uid="{00000000-0005-0000-0000-0000BA4B0000}"/>
    <cellStyle name="40% - Accent5 5 2 5 6 2 2 2 2" xfId="19391" xr:uid="{00000000-0005-0000-0000-0000BB4B0000}"/>
    <cellStyle name="40% - Accent5 5 2 5 6 2 2 3" xfId="19392" xr:uid="{00000000-0005-0000-0000-0000BC4B0000}"/>
    <cellStyle name="40% - Accent5 5 2 5 6 2 3" xfId="19393" xr:uid="{00000000-0005-0000-0000-0000BD4B0000}"/>
    <cellStyle name="40% - Accent5 5 2 5 6 2 3 2" xfId="19394" xr:uid="{00000000-0005-0000-0000-0000BE4B0000}"/>
    <cellStyle name="40% - Accent5 5 2 5 6 2 4" xfId="19395" xr:uid="{00000000-0005-0000-0000-0000BF4B0000}"/>
    <cellStyle name="40% - Accent5 5 2 5 6 3" xfId="19396" xr:uid="{00000000-0005-0000-0000-0000C04B0000}"/>
    <cellStyle name="40% - Accent5 5 2 5 6 3 2" xfId="19397" xr:uid="{00000000-0005-0000-0000-0000C14B0000}"/>
    <cellStyle name="40% - Accent5 5 2 5 6 3 2 2" xfId="19398" xr:uid="{00000000-0005-0000-0000-0000C24B0000}"/>
    <cellStyle name="40% - Accent5 5 2 5 6 3 3" xfId="19399" xr:uid="{00000000-0005-0000-0000-0000C34B0000}"/>
    <cellStyle name="40% - Accent5 5 2 5 6 4" xfId="19400" xr:uid="{00000000-0005-0000-0000-0000C44B0000}"/>
    <cellStyle name="40% - Accent5 5 2 5 6 4 2" xfId="19401" xr:uid="{00000000-0005-0000-0000-0000C54B0000}"/>
    <cellStyle name="40% - Accent5 5 2 5 6 5" xfId="19402" xr:uid="{00000000-0005-0000-0000-0000C64B0000}"/>
    <cellStyle name="40% - Accent5 5 2 5 7" xfId="19403" xr:uid="{00000000-0005-0000-0000-0000C74B0000}"/>
    <cellStyle name="40% - Accent5 5 2 5 7 2" xfId="19404" xr:uid="{00000000-0005-0000-0000-0000C84B0000}"/>
    <cellStyle name="40% - Accent5 5 2 5 7 2 2" xfId="19405" xr:uid="{00000000-0005-0000-0000-0000C94B0000}"/>
    <cellStyle name="40% - Accent5 5 2 5 7 2 2 2" xfId="19406" xr:uid="{00000000-0005-0000-0000-0000CA4B0000}"/>
    <cellStyle name="40% - Accent5 5 2 5 7 2 3" xfId="19407" xr:uid="{00000000-0005-0000-0000-0000CB4B0000}"/>
    <cellStyle name="40% - Accent5 5 2 5 7 3" xfId="19408" xr:uid="{00000000-0005-0000-0000-0000CC4B0000}"/>
    <cellStyle name="40% - Accent5 5 2 5 7 3 2" xfId="19409" xr:uid="{00000000-0005-0000-0000-0000CD4B0000}"/>
    <cellStyle name="40% - Accent5 5 2 5 7 4" xfId="19410" xr:uid="{00000000-0005-0000-0000-0000CE4B0000}"/>
    <cellStyle name="40% - Accent5 5 2 5 8" xfId="19411" xr:uid="{00000000-0005-0000-0000-0000CF4B0000}"/>
    <cellStyle name="40% - Accent5 5 2 5 8 2" xfId="19412" xr:uid="{00000000-0005-0000-0000-0000D04B0000}"/>
    <cellStyle name="40% - Accent5 5 2 5 8 2 2" xfId="19413" xr:uid="{00000000-0005-0000-0000-0000D14B0000}"/>
    <cellStyle name="40% - Accent5 5 2 5 8 2 2 2" xfId="19414" xr:uid="{00000000-0005-0000-0000-0000D24B0000}"/>
    <cellStyle name="40% - Accent5 5 2 5 8 2 3" xfId="19415" xr:uid="{00000000-0005-0000-0000-0000D34B0000}"/>
    <cellStyle name="40% - Accent5 5 2 5 8 3" xfId="19416" xr:uid="{00000000-0005-0000-0000-0000D44B0000}"/>
    <cellStyle name="40% - Accent5 5 2 5 8 3 2" xfId="19417" xr:uid="{00000000-0005-0000-0000-0000D54B0000}"/>
    <cellStyle name="40% - Accent5 5 2 5 8 4" xfId="19418" xr:uid="{00000000-0005-0000-0000-0000D64B0000}"/>
    <cellStyle name="40% - Accent5 5 2 5 9" xfId="19419" xr:uid="{00000000-0005-0000-0000-0000D74B0000}"/>
    <cellStyle name="40% - Accent5 5 2 5 9 2" xfId="19420" xr:uid="{00000000-0005-0000-0000-0000D84B0000}"/>
    <cellStyle name="40% - Accent5 5 2 5 9 2 2" xfId="19421" xr:uid="{00000000-0005-0000-0000-0000D94B0000}"/>
    <cellStyle name="40% - Accent5 5 2 5 9 3" xfId="19422" xr:uid="{00000000-0005-0000-0000-0000DA4B0000}"/>
    <cellStyle name="40% - Accent5 5 2 6" xfId="19423" xr:uid="{00000000-0005-0000-0000-0000DB4B0000}"/>
    <cellStyle name="40% - Accent5 5 2 6 10" xfId="19424" xr:uid="{00000000-0005-0000-0000-0000DC4B0000}"/>
    <cellStyle name="40% - Accent5 5 2 6 10 2" xfId="19425" xr:uid="{00000000-0005-0000-0000-0000DD4B0000}"/>
    <cellStyle name="40% - Accent5 5 2 6 10 2 2" xfId="19426" xr:uid="{00000000-0005-0000-0000-0000DE4B0000}"/>
    <cellStyle name="40% - Accent5 5 2 6 10 3" xfId="19427" xr:uid="{00000000-0005-0000-0000-0000DF4B0000}"/>
    <cellStyle name="40% - Accent5 5 2 6 11" xfId="19428" xr:uid="{00000000-0005-0000-0000-0000E04B0000}"/>
    <cellStyle name="40% - Accent5 5 2 6 11 2" xfId="19429" xr:uid="{00000000-0005-0000-0000-0000E14B0000}"/>
    <cellStyle name="40% - Accent5 5 2 6 11 2 2" xfId="19430" xr:uid="{00000000-0005-0000-0000-0000E24B0000}"/>
    <cellStyle name="40% - Accent5 5 2 6 11 3" xfId="19431" xr:uid="{00000000-0005-0000-0000-0000E34B0000}"/>
    <cellStyle name="40% - Accent5 5 2 6 12" xfId="19432" xr:uid="{00000000-0005-0000-0000-0000E44B0000}"/>
    <cellStyle name="40% - Accent5 5 2 6 12 2" xfId="19433" xr:uid="{00000000-0005-0000-0000-0000E54B0000}"/>
    <cellStyle name="40% - Accent5 5 2 6 12 2 2" xfId="19434" xr:uid="{00000000-0005-0000-0000-0000E64B0000}"/>
    <cellStyle name="40% - Accent5 5 2 6 12 3" xfId="19435" xr:uid="{00000000-0005-0000-0000-0000E74B0000}"/>
    <cellStyle name="40% - Accent5 5 2 6 13" xfId="19436" xr:uid="{00000000-0005-0000-0000-0000E84B0000}"/>
    <cellStyle name="40% - Accent5 5 2 6 13 2" xfId="19437" xr:uid="{00000000-0005-0000-0000-0000E94B0000}"/>
    <cellStyle name="40% - Accent5 5 2 6 14" xfId="19438" xr:uid="{00000000-0005-0000-0000-0000EA4B0000}"/>
    <cellStyle name="40% - Accent5 5 2 6 2" xfId="19439" xr:uid="{00000000-0005-0000-0000-0000EB4B0000}"/>
    <cellStyle name="40% - Accent5 5 2 6 2 2" xfId="19440" xr:uid="{00000000-0005-0000-0000-0000EC4B0000}"/>
    <cellStyle name="40% - Accent5 5 2 6 2 2 2" xfId="19441" xr:uid="{00000000-0005-0000-0000-0000ED4B0000}"/>
    <cellStyle name="40% - Accent5 5 2 6 2 2 2 2" xfId="19442" xr:uid="{00000000-0005-0000-0000-0000EE4B0000}"/>
    <cellStyle name="40% - Accent5 5 2 6 2 2 2 2 2" xfId="19443" xr:uid="{00000000-0005-0000-0000-0000EF4B0000}"/>
    <cellStyle name="40% - Accent5 5 2 6 2 2 2 3" xfId="19444" xr:uid="{00000000-0005-0000-0000-0000F04B0000}"/>
    <cellStyle name="40% - Accent5 5 2 6 2 2 3" xfId="19445" xr:uid="{00000000-0005-0000-0000-0000F14B0000}"/>
    <cellStyle name="40% - Accent5 5 2 6 2 2 3 2" xfId="19446" xr:uid="{00000000-0005-0000-0000-0000F24B0000}"/>
    <cellStyle name="40% - Accent5 5 2 6 2 2 4" xfId="19447" xr:uid="{00000000-0005-0000-0000-0000F34B0000}"/>
    <cellStyle name="40% - Accent5 5 2 6 2 3" xfId="19448" xr:uid="{00000000-0005-0000-0000-0000F44B0000}"/>
    <cellStyle name="40% - Accent5 5 2 6 2 3 2" xfId="19449" xr:uid="{00000000-0005-0000-0000-0000F54B0000}"/>
    <cellStyle name="40% - Accent5 5 2 6 2 3 2 2" xfId="19450" xr:uid="{00000000-0005-0000-0000-0000F64B0000}"/>
    <cellStyle name="40% - Accent5 5 2 6 2 3 3" xfId="19451" xr:uid="{00000000-0005-0000-0000-0000F74B0000}"/>
    <cellStyle name="40% - Accent5 5 2 6 2 4" xfId="19452" xr:uid="{00000000-0005-0000-0000-0000F84B0000}"/>
    <cellStyle name="40% - Accent5 5 2 6 2 4 2" xfId="19453" xr:uid="{00000000-0005-0000-0000-0000F94B0000}"/>
    <cellStyle name="40% - Accent5 5 2 6 2 4 2 2" xfId="19454" xr:uid="{00000000-0005-0000-0000-0000FA4B0000}"/>
    <cellStyle name="40% - Accent5 5 2 6 2 4 3" xfId="19455" xr:uid="{00000000-0005-0000-0000-0000FB4B0000}"/>
    <cellStyle name="40% - Accent5 5 2 6 2 5" xfId="19456" xr:uid="{00000000-0005-0000-0000-0000FC4B0000}"/>
    <cellStyle name="40% - Accent5 5 2 6 2 5 2" xfId="19457" xr:uid="{00000000-0005-0000-0000-0000FD4B0000}"/>
    <cellStyle name="40% - Accent5 5 2 6 2 5 2 2" xfId="19458" xr:uid="{00000000-0005-0000-0000-0000FE4B0000}"/>
    <cellStyle name="40% - Accent5 5 2 6 2 5 3" xfId="19459" xr:uid="{00000000-0005-0000-0000-0000FF4B0000}"/>
    <cellStyle name="40% - Accent5 5 2 6 2 6" xfId="19460" xr:uid="{00000000-0005-0000-0000-0000004C0000}"/>
    <cellStyle name="40% - Accent5 5 2 6 2 6 2" xfId="19461" xr:uid="{00000000-0005-0000-0000-0000014C0000}"/>
    <cellStyle name="40% - Accent5 5 2 6 2 6 2 2" xfId="19462" xr:uid="{00000000-0005-0000-0000-0000024C0000}"/>
    <cellStyle name="40% - Accent5 5 2 6 2 6 3" xfId="19463" xr:uid="{00000000-0005-0000-0000-0000034C0000}"/>
    <cellStyle name="40% - Accent5 5 2 6 2 7" xfId="19464" xr:uid="{00000000-0005-0000-0000-0000044C0000}"/>
    <cellStyle name="40% - Accent5 5 2 6 2 7 2" xfId="19465" xr:uid="{00000000-0005-0000-0000-0000054C0000}"/>
    <cellStyle name="40% - Accent5 5 2 6 2 8" xfId="19466" xr:uid="{00000000-0005-0000-0000-0000064C0000}"/>
    <cellStyle name="40% - Accent5 5 2 6 3" xfId="19467" xr:uid="{00000000-0005-0000-0000-0000074C0000}"/>
    <cellStyle name="40% - Accent5 5 2 6 3 2" xfId="19468" xr:uid="{00000000-0005-0000-0000-0000084C0000}"/>
    <cellStyle name="40% - Accent5 5 2 6 3 2 2" xfId="19469" xr:uid="{00000000-0005-0000-0000-0000094C0000}"/>
    <cellStyle name="40% - Accent5 5 2 6 3 2 2 2" xfId="19470" xr:uid="{00000000-0005-0000-0000-00000A4C0000}"/>
    <cellStyle name="40% - Accent5 5 2 6 3 2 2 2 2" xfId="19471" xr:uid="{00000000-0005-0000-0000-00000B4C0000}"/>
    <cellStyle name="40% - Accent5 5 2 6 3 2 2 3" xfId="19472" xr:uid="{00000000-0005-0000-0000-00000C4C0000}"/>
    <cellStyle name="40% - Accent5 5 2 6 3 2 3" xfId="19473" xr:uid="{00000000-0005-0000-0000-00000D4C0000}"/>
    <cellStyle name="40% - Accent5 5 2 6 3 2 3 2" xfId="19474" xr:uid="{00000000-0005-0000-0000-00000E4C0000}"/>
    <cellStyle name="40% - Accent5 5 2 6 3 2 4" xfId="19475" xr:uid="{00000000-0005-0000-0000-00000F4C0000}"/>
    <cellStyle name="40% - Accent5 5 2 6 3 3" xfId="19476" xr:uid="{00000000-0005-0000-0000-0000104C0000}"/>
    <cellStyle name="40% - Accent5 5 2 6 3 3 2" xfId="19477" xr:uid="{00000000-0005-0000-0000-0000114C0000}"/>
    <cellStyle name="40% - Accent5 5 2 6 3 3 2 2" xfId="19478" xr:uid="{00000000-0005-0000-0000-0000124C0000}"/>
    <cellStyle name="40% - Accent5 5 2 6 3 3 3" xfId="19479" xr:uid="{00000000-0005-0000-0000-0000134C0000}"/>
    <cellStyle name="40% - Accent5 5 2 6 3 4" xfId="19480" xr:uid="{00000000-0005-0000-0000-0000144C0000}"/>
    <cellStyle name="40% - Accent5 5 2 6 3 4 2" xfId="19481" xr:uid="{00000000-0005-0000-0000-0000154C0000}"/>
    <cellStyle name="40% - Accent5 5 2 6 3 4 2 2" xfId="19482" xr:uid="{00000000-0005-0000-0000-0000164C0000}"/>
    <cellStyle name="40% - Accent5 5 2 6 3 4 3" xfId="19483" xr:uid="{00000000-0005-0000-0000-0000174C0000}"/>
    <cellStyle name="40% - Accent5 5 2 6 3 5" xfId="19484" xr:uid="{00000000-0005-0000-0000-0000184C0000}"/>
    <cellStyle name="40% - Accent5 5 2 6 3 5 2" xfId="19485" xr:uid="{00000000-0005-0000-0000-0000194C0000}"/>
    <cellStyle name="40% - Accent5 5 2 6 3 5 2 2" xfId="19486" xr:uid="{00000000-0005-0000-0000-00001A4C0000}"/>
    <cellStyle name="40% - Accent5 5 2 6 3 5 3" xfId="19487" xr:uid="{00000000-0005-0000-0000-00001B4C0000}"/>
    <cellStyle name="40% - Accent5 5 2 6 3 6" xfId="19488" xr:uid="{00000000-0005-0000-0000-00001C4C0000}"/>
    <cellStyle name="40% - Accent5 5 2 6 3 6 2" xfId="19489" xr:uid="{00000000-0005-0000-0000-00001D4C0000}"/>
    <cellStyle name="40% - Accent5 5 2 6 3 6 2 2" xfId="19490" xr:uid="{00000000-0005-0000-0000-00001E4C0000}"/>
    <cellStyle name="40% - Accent5 5 2 6 3 6 3" xfId="19491" xr:uid="{00000000-0005-0000-0000-00001F4C0000}"/>
    <cellStyle name="40% - Accent5 5 2 6 3 7" xfId="19492" xr:uid="{00000000-0005-0000-0000-0000204C0000}"/>
    <cellStyle name="40% - Accent5 5 2 6 3 7 2" xfId="19493" xr:uid="{00000000-0005-0000-0000-0000214C0000}"/>
    <cellStyle name="40% - Accent5 5 2 6 3 8" xfId="19494" xr:uid="{00000000-0005-0000-0000-0000224C0000}"/>
    <cellStyle name="40% - Accent5 5 2 6 4" xfId="19495" xr:uid="{00000000-0005-0000-0000-0000234C0000}"/>
    <cellStyle name="40% - Accent5 5 2 6 4 2" xfId="19496" xr:uid="{00000000-0005-0000-0000-0000244C0000}"/>
    <cellStyle name="40% - Accent5 5 2 6 4 2 2" xfId="19497" xr:uid="{00000000-0005-0000-0000-0000254C0000}"/>
    <cellStyle name="40% - Accent5 5 2 6 4 2 2 2" xfId="19498" xr:uid="{00000000-0005-0000-0000-0000264C0000}"/>
    <cellStyle name="40% - Accent5 5 2 6 4 2 2 2 2" xfId="19499" xr:uid="{00000000-0005-0000-0000-0000274C0000}"/>
    <cellStyle name="40% - Accent5 5 2 6 4 2 2 3" xfId="19500" xr:uid="{00000000-0005-0000-0000-0000284C0000}"/>
    <cellStyle name="40% - Accent5 5 2 6 4 2 3" xfId="19501" xr:uid="{00000000-0005-0000-0000-0000294C0000}"/>
    <cellStyle name="40% - Accent5 5 2 6 4 2 3 2" xfId="19502" xr:uid="{00000000-0005-0000-0000-00002A4C0000}"/>
    <cellStyle name="40% - Accent5 5 2 6 4 2 4" xfId="19503" xr:uid="{00000000-0005-0000-0000-00002B4C0000}"/>
    <cellStyle name="40% - Accent5 5 2 6 4 3" xfId="19504" xr:uid="{00000000-0005-0000-0000-00002C4C0000}"/>
    <cellStyle name="40% - Accent5 5 2 6 4 3 2" xfId="19505" xr:uid="{00000000-0005-0000-0000-00002D4C0000}"/>
    <cellStyle name="40% - Accent5 5 2 6 4 3 2 2" xfId="19506" xr:uid="{00000000-0005-0000-0000-00002E4C0000}"/>
    <cellStyle name="40% - Accent5 5 2 6 4 3 3" xfId="19507" xr:uid="{00000000-0005-0000-0000-00002F4C0000}"/>
    <cellStyle name="40% - Accent5 5 2 6 4 4" xfId="19508" xr:uid="{00000000-0005-0000-0000-0000304C0000}"/>
    <cellStyle name="40% - Accent5 5 2 6 4 4 2" xfId="19509" xr:uid="{00000000-0005-0000-0000-0000314C0000}"/>
    <cellStyle name="40% - Accent5 5 2 6 4 4 2 2" xfId="19510" xr:uid="{00000000-0005-0000-0000-0000324C0000}"/>
    <cellStyle name="40% - Accent5 5 2 6 4 4 3" xfId="19511" xr:uid="{00000000-0005-0000-0000-0000334C0000}"/>
    <cellStyle name="40% - Accent5 5 2 6 4 5" xfId="19512" xr:uid="{00000000-0005-0000-0000-0000344C0000}"/>
    <cellStyle name="40% - Accent5 5 2 6 4 5 2" xfId="19513" xr:uid="{00000000-0005-0000-0000-0000354C0000}"/>
    <cellStyle name="40% - Accent5 5 2 6 4 5 2 2" xfId="19514" xr:uid="{00000000-0005-0000-0000-0000364C0000}"/>
    <cellStyle name="40% - Accent5 5 2 6 4 5 3" xfId="19515" xr:uid="{00000000-0005-0000-0000-0000374C0000}"/>
    <cellStyle name="40% - Accent5 5 2 6 4 6" xfId="19516" xr:uid="{00000000-0005-0000-0000-0000384C0000}"/>
    <cellStyle name="40% - Accent5 5 2 6 4 6 2" xfId="19517" xr:uid="{00000000-0005-0000-0000-0000394C0000}"/>
    <cellStyle name="40% - Accent5 5 2 6 4 6 2 2" xfId="19518" xr:uid="{00000000-0005-0000-0000-00003A4C0000}"/>
    <cellStyle name="40% - Accent5 5 2 6 4 6 3" xfId="19519" xr:uid="{00000000-0005-0000-0000-00003B4C0000}"/>
    <cellStyle name="40% - Accent5 5 2 6 4 7" xfId="19520" xr:uid="{00000000-0005-0000-0000-00003C4C0000}"/>
    <cellStyle name="40% - Accent5 5 2 6 4 7 2" xfId="19521" xr:uid="{00000000-0005-0000-0000-00003D4C0000}"/>
    <cellStyle name="40% - Accent5 5 2 6 4 8" xfId="19522" xr:uid="{00000000-0005-0000-0000-00003E4C0000}"/>
    <cellStyle name="40% - Accent5 5 2 6 5" xfId="19523" xr:uid="{00000000-0005-0000-0000-00003F4C0000}"/>
    <cellStyle name="40% - Accent5 5 2 6 5 2" xfId="19524" xr:uid="{00000000-0005-0000-0000-0000404C0000}"/>
    <cellStyle name="40% - Accent5 5 2 6 5 2 2" xfId="19525" xr:uid="{00000000-0005-0000-0000-0000414C0000}"/>
    <cellStyle name="40% - Accent5 5 2 6 5 2 2 2" xfId="19526" xr:uid="{00000000-0005-0000-0000-0000424C0000}"/>
    <cellStyle name="40% - Accent5 5 2 6 5 2 2 2 2" xfId="19527" xr:uid="{00000000-0005-0000-0000-0000434C0000}"/>
    <cellStyle name="40% - Accent5 5 2 6 5 2 2 3" xfId="19528" xr:uid="{00000000-0005-0000-0000-0000444C0000}"/>
    <cellStyle name="40% - Accent5 5 2 6 5 2 3" xfId="19529" xr:uid="{00000000-0005-0000-0000-0000454C0000}"/>
    <cellStyle name="40% - Accent5 5 2 6 5 2 3 2" xfId="19530" xr:uid="{00000000-0005-0000-0000-0000464C0000}"/>
    <cellStyle name="40% - Accent5 5 2 6 5 2 4" xfId="19531" xr:uid="{00000000-0005-0000-0000-0000474C0000}"/>
    <cellStyle name="40% - Accent5 5 2 6 5 3" xfId="19532" xr:uid="{00000000-0005-0000-0000-0000484C0000}"/>
    <cellStyle name="40% - Accent5 5 2 6 5 3 2" xfId="19533" xr:uid="{00000000-0005-0000-0000-0000494C0000}"/>
    <cellStyle name="40% - Accent5 5 2 6 5 3 2 2" xfId="19534" xr:uid="{00000000-0005-0000-0000-00004A4C0000}"/>
    <cellStyle name="40% - Accent5 5 2 6 5 3 3" xfId="19535" xr:uid="{00000000-0005-0000-0000-00004B4C0000}"/>
    <cellStyle name="40% - Accent5 5 2 6 5 4" xfId="19536" xr:uid="{00000000-0005-0000-0000-00004C4C0000}"/>
    <cellStyle name="40% - Accent5 5 2 6 5 4 2" xfId="19537" xr:uid="{00000000-0005-0000-0000-00004D4C0000}"/>
    <cellStyle name="40% - Accent5 5 2 6 5 5" xfId="19538" xr:uid="{00000000-0005-0000-0000-00004E4C0000}"/>
    <cellStyle name="40% - Accent5 5 2 6 6" xfId="19539" xr:uid="{00000000-0005-0000-0000-00004F4C0000}"/>
    <cellStyle name="40% - Accent5 5 2 6 6 2" xfId="19540" xr:uid="{00000000-0005-0000-0000-0000504C0000}"/>
    <cellStyle name="40% - Accent5 5 2 6 6 2 2" xfId="19541" xr:uid="{00000000-0005-0000-0000-0000514C0000}"/>
    <cellStyle name="40% - Accent5 5 2 6 6 2 2 2" xfId="19542" xr:uid="{00000000-0005-0000-0000-0000524C0000}"/>
    <cellStyle name="40% - Accent5 5 2 6 6 2 2 2 2" xfId="19543" xr:uid="{00000000-0005-0000-0000-0000534C0000}"/>
    <cellStyle name="40% - Accent5 5 2 6 6 2 2 3" xfId="19544" xr:uid="{00000000-0005-0000-0000-0000544C0000}"/>
    <cellStyle name="40% - Accent5 5 2 6 6 2 3" xfId="19545" xr:uid="{00000000-0005-0000-0000-0000554C0000}"/>
    <cellStyle name="40% - Accent5 5 2 6 6 2 3 2" xfId="19546" xr:uid="{00000000-0005-0000-0000-0000564C0000}"/>
    <cellStyle name="40% - Accent5 5 2 6 6 2 4" xfId="19547" xr:uid="{00000000-0005-0000-0000-0000574C0000}"/>
    <cellStyle name="40% - Accent5 5 2 6 6 3" xfId="19548" xr:uid="{00000000-0005-0000-0000-0000584C0000}"/>
    <cellStyle name="40% - Accent5 5 2 6 6 3 2" xfId="19549" xr:uid="{00000000-0005-0000-0000-0000594C0000}"/>
    <cellStyle name="40% - Accent5 5 2 6 6 3 2 2" xfId="19550" xr:uid="{00000000-0005-0000-0000-00005A4C0000}"/>
    <cellStyle name="40% - Accent5 5 2 6 6 3 3" xfId="19551" xr:uid="{00000000-0005-0000-0000-00005B4C0000}"/>
    <cellStyle name="40% - Accent5 5 2 6 6 4" xfId="19552" xr:uid="{00000000-0005-0000-0000-00005C4C0000}"/>
    <cellStyle name="40% - Accent5 5 2 6 6 4 2" xfId="19553" xr:uid="{00000000-0005-0000-0000-00005D4C0000}"/>
    <cellStyle name="40% - Accent5 5 2 6 6 5" xfId="19554" xr:uid="{00000000-0005-0000-0000-00005E4C0000}"/>
    <cellStyle name="40% - Accent5 5 2 6 7" xfId="19555" xr:uid="{00000000-0005-0000-0000-00005F4C0000}"/>
    <cellStyle name="40% - Accent5 5 2 6 7 2" xfId="19556" xr:uid="{00000000-0005-0000-0000-0000604C0000}"/>
    <cellStyle name="40% - Accent5 5 2 6 7 2 2" xfId="19557" xr:uid="{00000000-0005-0000-0000-0000614C0000}"/>
    <cellStyle name="40% - Accent5 5 2 6 7 2 2 2" xfId="19558" xr:uid="{00000000-0005-0000-0000-0000624C0000}"/>
    <cellStyle name="40% - Accent5 5 2 6 7 2 3" xfId="19559" xr:uid="{00000000-0005-0000-0000-0000634C0000}"/>
    <cellStyle name="40% - Accent5 5 2 6 7 3" xfId="19560" xr:uid="{00000000-0005-0000-0000-0000644C0000}"/>
    <cellStyle name="40% - Accent5 5 2 6 7 3 2" xfId="19561" xr:uid="{00000000-0005-0000-0000-0000654C0000}"/>
    <cellStyle name="40% - Accent5 5 2 6 7 4" xfId="19562" xr:uid="{00000000-0005-0000-0000-0000664C0000}"/>
    <cellStyle name="40% - Accent5 5 2 6 8" xfId="19563" xr:uid="{00000000-0005-0000-0000-0000674C0000}"/>
    <cellStyle name="40% - Accent5 5 2 6 8 2" xfId="19564" xr:uid="{00000000-0005-0000-0000-0000684C0000}"/>
    <cellStyle name="40% - Accent5 5 2 6 8 2 2" xfId="19565" xr:uid="{00000000-0005-0000-0000-0000694C0000}"/>
    <cellStyle name="40% - Accent5 5 2 6 8 2 2 2" xfId="19566" xr:uid="{00000000-0005-0000-0000-00006A4C0000}"/>
    <cellStyle name="40% - Accent5 5 2 6 8 2 3" xfId="19567" xr:uid="{00000000-0005-0000-0000-00006B4C0000}"/>
    <cellStyle name="40% - Accent5 5 2 6 8 3" xfId="19568" xr:uid="{00000000-0005-0000-0000-00006C4C0000}"/>
    <cellStyle name="40% - Accent5 5 2 6 8 3 2" xfId="19569" xr:uid="{00000000-0005-0000-0000-00006D4C0000}"/>
    <cellStyle name="40% - Accent5 5 2 6 8 4" xfId="19570" xr:uid="{00000000-0005-0000-0000-00006E4C0000}"/>
    <cellStyle name="40% - Accent5 5 2 6 9" xfId="19571" xr:uid="{00000000-0005-0000-0000-00006F4C0000}"/>
    <cellStyle name="40% - Accent5 5 2 6 9 2" xfId="19572" xr:uid="{00000000-0005-0000-0000-0000704C0000}"/>
    <cellStyle name="40% - Accent5 5 2 6 9 2 2" xfId="19573" xr:uid="{00000000-0005-0000-0000-0000714C0000}"/>
    <cellStyle name="40% - Accent5 5 2 6 9 3" xfId="19574" xr:uid="{00000000-0005-0000-0000-0000724C0000}"/>
    <cellStyle name="40% - Accent5 5 2 7" xfId="19575" xr:uid="{00000000-0005-0000-0000-0000734C0000}"/>
    <cellStyle name="40% - Accent5 5 2 7 2" xfId="19576" xr:uid="{00000000-0005-0000-0000-0000744C0000}"/>
    <cellStyle name="40% - Accent5 5 2 7 2 2" xfId="19577" xr:uid="{00000000-0005-0000-0000-0000754C0000}"/>
    <cellStyle name="40% - Accent5 5 2 7 2 2 2" xfId="19578" xr:uid="{00000000-0005-0000-0000-0000764C0000}"/>
    <cellStyle name="40% - Accent5 5 2 7 2 2 2 2" xfId="19579" xr:uid="{00000000-0005-0000-0000-0000774C0000}"/>
    <cellStyle name="40% - Accent5 5 2 7 2 2 3" xfId="19580" xr:uid="{00000000-0005-0000-0000-0000784C0000}"/>
    <cellStyle name="40% - Accent5 5 2 7 2 3" xfId="19581" xr:uid="{00000000-0005-0000-0000-0000794C0000}"/>
    <cellStyle name="40% - Accent5 5 2 7 2 3 2" xfId="19582" xr:uid="{00000000-0005-0000-0000-00007A4C0000}"/>
    <cellStyle name="40% - Accent5 5 2 7 2 4" xfId="19583" xr:uid="{00000000-0005-0000-0000-00007B4C0000}"/>
    <cellStyle name="40% - Accent5 5 2 7 3" xfId="19584" xr:uid="{00000000-0005-0000-0000-00007C4C0000}"/>
    <cellStyle name="40% - Accent5 5 2 7 3 2" xfId="19585" xr:uid="{00000000-0005-0000-0000-00007D4C0000}"/>
    <cellStyle name="40% - Accent5 5 2 7 3 2 2" xfId="19586" xr:uid="{00000000-0005-0000-0000-00007E4C0000}"/>
    <cellStyle name="40% - Accent5 5 2 7 3 3" xfId="19587" xr:uid="{00000000-0005-0000-0000-00007F4C0000}"/>
    <cellStyle name="40% - Accent5 5 2 7 4" xfId="19588" xr:uid="{00000000-0005-0000-0000-0000804C0000}"/>
    <cellStyle name="40% - Accent5 5 2 7 4 2" xfId="19589" xr:uid="{00000000-0005-0000-0000-0000814C0000}"/>
    <cellStyle name="40% - Accent5 5 2 7 4 2 2" xfId="19590" xr:uid="{00000000-0005-0000-0000-0000824C0000}"/>
    <cellStyle name="40% - Accent5 5 2 7 4 3" xfId="19591" xr:uid="{00000000-0005-0000-0000-0000834C0000}"/>
    <cellStyle name="40% - Accent5 5 2 7 5" xfId="19592" xr:uid="{00000000-0005-0000-0000-0000844C0000}"/>
    <cellStyle name="40% - Accent5 5 2 7 5 2" xfId="19593" xr:uid="{00000000-0005-0000-0000-0000854C0000}"/>
    <cellStyle name="40% - Accent5 5 2 7 5 2 2" xfId="19594" xr:uid="{00000000-0005-0000-0000-0000864C0000}"/>
    <cellStyle name="40% - Accent5 5 2 7 5 3" xfId="19595" xr:uid="{00000000-0005-0000-0000-0000874C0000}"/>
    <cellStyle name="40% - Accent5 5 2 7 6" xfId="19596" xr:uid="{00000000-0005-0000-0000-0000884C0000}"/>
    <cellStyle name="40% - Accent5 5 2 7 6 2" xfId="19597" xr:uid="{00000000-0005-0000-0000-0000894C0000}"/>
    <cellStyle name="40% - Accent5 5 2 7 6 2 2" xfId="19598" xr:uid="{00000000-0005-0000-0000-00008A4C0000}"/>
    <cellStyle name="40% - Accent5 5 2 7 6 3" xfId="19599" xr:uid="{00000000-0005-0000-0000-00008B4C0000}"/>
    <cellStyle name="40% - Accent5 5 2 7 7" xfId="19600" xr:uid="{00000000-0005-0000-0000-00008C4C0000}"/>
    <cellStyle name="40% - Accent5 5 2 7 7 2" xfId="19601" xr:uid="{00000000-0005-0000-0000-00008D4C0000}"/>
    <cellStyle name="40% - Accent5 5 2 7 8" xfId="19602" xr:uid="{00000000-0005-0000-0000-00008E4C0000}"/>
    <cellStyle name="40% - Accent5 5 2 8" xfId="19603" xr:uid="{00000000-0005-0000-0000-00008F4C0000}"/>
    <cellStyle name="40% - Accent5 5 2 8 2" xfId="19604" xr:uid="{00000000-0005-0000-0000-0000904C0000}"/>
    <cellStyle name="40% - Accent5 5 2 8 2 2" xfId="19605" xr:uid="{00000000-0005-0000-0000-0000914C0000}"/>
    <cellStyle name="40% - Accent5 5 2 8 2 2 2" xfId="19606" xr:uid="{00000000-0005-0000-0000-0000924C0000}"/>
    <cellStyle name="40% - Accent5 5 2 8 2 2 2 2" xfId="19607" xr:uid="{00000000-0005-0000-0000-0000934C0000}"/>
    <cellStyle name="40% - Accent5 5 2 8 2 2 3" xfId="19608" xr:uid="{00000000-0005-0000-0000-0000944C0000}"/>
    <cellStyle name="40% - Accent5 5 2 8 2 3" xfId="19609" xr:uid="{00000000-0005-0000-0000-0000954C0000}"/>
    <cellStyle name="40% - Accent5 5 2 8 2 3 2" xfId="19610" xr:uid="{00000000-0005-0000-0000-0000964C0000}"/>
    <cellStyle name="40% - Accent5 5 2 8 2 4" xfId="19611" xr:uid="{00000000-0005-0000-0000-0000974C0000}"/>
    <cellStyle name="40% - Accent5 5 2 8 3" xfId="19612" xr:uid="{00000000-0005-0000-0000-0000984C0000}"/>
    <cellStyle name="40% - Accent5 5 2 8 3 2" xfId="19613" xr:uid="{00000000-0005-0000-0000-0000994C0000}"/>
    <cellStyle name="40% - Accent5 5 2 8 3 2 2" xfId="19614" xr:uid="{00000000-0005-0000-0000-00009A4C0000}"/>
    <cellStyle name="40% - Accent5 5 2 8 3 3" xfId="19615" xr:uid="{00000000-0005-0000-0000-00009B4C0000}"/>
    <cellStyle name="40% - Accent5 5 2 8 4" xfId="19616" xr:uid="{00000000-0005-0000-0000-00009C4C0000}"/>
    <cellStyle name="40% - Accent5 5 2 8 4 2" xfId="19617" xr:uid="{00000000-0005-0000-0000-00009D4C0000}"/>
    <cellStyle name="40% - Accent5 5 2 8 4 2 2" xfId="19618" xr:uid="{00000000-0005-0000-0000-00009E4C0000}"/>
    <cellStyle name="40% - Accent5 5 2 8 4 3" xfId="19619" xr:uid="{00000000-0005-0000-0000-00009F4C0000}"/>
    <cellStyle name="40% - Accent5 5 2 8 5" xfId="19620" xr:uid="{00000000-0005-0000-0000-0000A04C0000}"/>
    <cellStyle name="40% - Accent5 5 2 8 5 2" xfId="19621" xr:uid="{00000000-0005-0000-0000-0000A14C0000}"/>
    <cellStyle name="40% - Accent5 5 2 8 5 2 2" xfId="19622" xr:uid="{00000000-0005-0000-0000-0000A24C0000}"/>
    <cellStyle name="40% - Accent5 5 2 8 5 3" xfId="19623" xr:uid="{00000000-0005-0000-0000-0000A34C0000}"/>
    <cellStyle name="40% - Accent5 5 2 8 6" xfId="19624" xr:uid="{00000000-0005-0000-0000-0000A44C0000}"/>
    <cellStyle name="40% - Accent5 5 2 8 6 2" xfId="19625" xr:uid="{00000000-0005-0000-0000-0000A54C0000}"/>
    <cellStyle name="40% - Accent5 5 2 8 6 2 2" xfId="19626" xr:uid="{00000000-0005-0000-0000-0000A64C0000}"/>
    <cellStyle name="40% - Accent5 5 2 8 6 3" xfId="19627" xr:uid="{00000000-0005-0000-0000-0000A74C0000}"/>
    <cellStyle name="40% - Accent5 5 2 8 7" xfId="19628" xr:uid="{00000000-0005-0000-0000-0000A84C0000}"/>
    <cellStyle name="40% - Accent5 5 2 8 7 2" xfId="19629" xr:uid="{00000000-0005-0000-0000-0000A94C0000}"/>
    <cellStyle name="40% - Accent5 5 2 8 8" xfId="19630" xr:uid="{00000000-0005-0000-0000-0000AA4C0000}"/>
    <cellStyle name="40% - Accent5 5 2 9" xfId="19631" xr:uid="{00000000-0005-0000-0000-0000AB4C0000}"/>
    <cellStyle name="40% - Accent5 5 2 9 2" xfId="19632" xr:uid="{00000000-0005-0000-0000-0000AC4C0000}"/>
    <cellStyle name="40% - Accent5 5 2 9 2 2" xfId="19633" xr:uid="{00000000-0005-0000-0000-0000AD4C0000}"/>
    <cellStyle name="40% - Accent5 5 2 9 2 2 2" xfId="19634" xr:uid="{00000000-0005-0000-0000-0000AE4C0000}"/>
    <cellStyle name="40% - Accent5 5 2 9 2 2 2 2" xfId="19635" xr:uid="{00000000-0005-0000-0000-0000AF4C0000}"/>
    <cellStyle name="40% - Accent5 5 2 9 2 2 3" xfId="19636" xr:uid="{00000000-0005-0000-0000-0000B04C0000}"/>
    <cellStyle name="40% - Accent5 5 2 9 2 3" xfId="19637" xr:uid="{00000000-0005-0000-0000-0000B14C0000}"/>
    <cellStyle name="40% - Accent5 5 2 9 2 3 2" xfId="19638" xr:uid="{00000000-0005-0000-0000-0000B24C0000}"/>
    <cellStyle name="40% - Accent5 5 2 9 2 4" xfId="19639" xr:uid="{00000000-0005-0000-0000-0000B34C0000}"/>
    <cellStyle name="40% - Accent5 5 2 9 3" xfId="19640" xr:uid="{00000000-0005-0000-0000-0000B44C0000}"/>
    <cellStyle name="40% - Accent5 5 2 9 3 2" xfId="19641" xr:uid="{00000000-0005-0000-0000-0000B54C0000}"/>
    <cellStyle name="40% - Accent5 5 2 9 3 2 2" xfId="19642" xr:uid="{00000000-0005-0000-0000-0000B64C0000}"/>
    <cellStyle name="40% - Accent5 5 2 9 3 3" xfId="19643" xr:uid="{00000000-0005-0000-0000-0000B74C0000}"/>
    <cellStyle name="40% - Accent5 5 2 9 4" xfId="19644" xr:uid="{00000000-0005-0000-0000-0000B84C0000}"/>
    <cellStyle name="40% - Accent5 5 2 9 4 2" xfId="19645" xr:uid="{00000000-0005-0000-0000-0000B94C0000}"/>
    <cellStyle name="40% - Accent5 5 2 9 4 2 2" xfId="19646" xr:uid="{00000000-0005-0000-0000-0000BA4C0000}"/>
    <cellStyle name="40% - Accent5 5 2 9 4 3" xfId="19647" xr:uid="{00000000-0005-0000-0000-0000BB4C0000}"/>
    <cellStyle name="40% - Accent5 5 2 9 5" xfId="19648" xr:uid="{00000000-0005-0000-0000-0000BC4C0000}"/>
    <cellStyle name="40% - Accent5 5 2 9 5 2" xfId="19649" xr:uid="{00000000-0005-0000-0000-0000BD4C0000}"/>
    <cellStyle name="40% - Accent5 5 2 9 5 2 2" xfId="19650" xr:uid="{00000000-0005-0000-0000-0000BE4C0000}"/>
    <cellStyle name="40% - Accent5 5 2 9 5 3" xfId="19651" xr:uid="{00000000-0005-0000-0000-0000BF4C0000}"/>
    <cellStyle name="40% - Accent5 5 2 9 6" xfId="19652" xr:uid="{00000000-0005-0000-0000-0000C04C0000}"/>
    <cellStyle name="40% - Accent5 5 2 9 6 2" xfId="19653" xr:uid="{00000000-0005-0000-0000-0000C14C0000}"/>
    <cellStyle name="40% - Accent5 5 2 9 6 2 2" xfId="19654" xr:uid="{00000000-0005-0000-0000-0000C24C0000}"/>
    <cellStyle name="40% - Accent5 5 2 9 6 3" xfId="19655" xr:uid="{00000000-0005-0000-0000-0000C34C0000}"/>
    <cellStyle name="40% - Accent5 5 2 9 7" xfId="19656" xr:uid="{00000000-0005-0000-0000-0000C44C0000}"/>
    <cellStyle name="40% - Accent5 5 2 9 7 2" xfId="19657" xr:uid="{00000000-0005-0000-0000-0000C54C0000}"/>
    <cellStyle name="40% - Accent5 5 2 9 8" xfId="19658" xr:uid="{00000000-0005-0000-0000-0000C64C0000}"/>
    <cellStyle name="40% - Accent5 5 20" xfId="19659" xr:uid="{00000000-0005-0000-0000-0000C74C0000}"/>
    <cellStyle name="40% - Accent5 5 20 2" xfId="19660" xr:uid="{00000000-0005-0000-0000-0000C84C0000}"/>
    <cellStyle name="40% - Accent5 5 21" xfId="19661" xr:uid="{00000000-0005-0000-0000-0000C94C0000}"/>
    <cellStyle name="40% - Accent5 5 3" xfId="19662" xr:uid="{00000000-0005-0000-0000-0000CA4C0000}"/>
    <cellStyle name="40% - Accent5 5 3 10" xfId="19663" xr:uid="{00000000-0005-0000-0000-0000CB4C0000}"/>
    <cellStyle name="40% - Accent5 5 3 10 2" xfId="19664" xr:uid="{00000000-0005-0000-0000-0000CC4C0000}"/>
    <cellStyle name="40% - Accent5 5 3 10 2 2" xfId="19665" xr:uid="{00000000-0005-0000-0000-0000CD4C0000}"/>
    <cellStyle name="40% - Accent5 5 3 10 3" xfId="19666" xr:uid="{00000000-0005-0000-0000-0000CE4C0000}"/>
    <cellStyle name="40% - Accent5 5 3 11" xfId="19667" xr:uid="{00000000-0005-0000-0000-0000CF4C0000}"/>
    <cellStyle name="40% - Accent5 5 3 11 2" xfId="19668" xr:uid="{00000000-0005-0000-0000-0000D04C0000}"/>
    <cellStyle name="40% - Accent5 5 3 11 2 2" xfId="19669" xr:uid="{00000000-0005-0000-0000-0000D14C0000}"/>
    <cellStyle name="40% - Accent5 5 3 11 3" xfId="19670" xr:uid="{00000000-0005-0000-0000-0000D24C0000}"/>
    <cellStyle name="40% - Accent5 5 3 12" xfId="19671" xr:uid="{00000000-0005-0000-0000-0000D34C0000}"/>
    <cellStyle name="40% - Accent5 5 3 12 2" xfId="19672" xr:uid="{00000000-0005-0000-0000-0000D44C0000}"/>
    <cellStyle name="40% - Accent5 5 3 12 2 2" xfId="19673" xr:uid="{00000000-0005-0000-0000-0000D54C0000}"/>
    <cellStyle name="40% - Accent5 5 3 12 3" xfId="19674" xr:uid="{00000000-0005-0000-0000-0000D64C0000}"/>
    <cellStyle name="40% - Accent5 5 3 13" xfId="19675" xr:uid="{00000000-0005-0000-0000-0000D74C0000}"/>
    <cellStyle name="40% - Accent5 5 3 13 2" xfId="19676" xr:uid="{00000000-0005-0000-0000-0000D84C0000}"/>
    <cellStyle name="40% - Accent5 5 3 14" xfId="19677" xr:uid="{00000000-0005-0000-0000-0000D94C0000}"/>
    <cellStyle name="40% - Accent5 5 3 2" xfId="19678" xr:uid="{00000000-0005-0000-0000-0000DA4C0000}"/>
    <cellStyle name="40% - Accent5 5 3 2 2" xfId="19679" xr:uid="{00000000-0005-0000-0000-0000DB4C0000}"/>
    <cellStyle name="40% - Accent5 5 3 2 2 2" xfId="19680" xr:uid="{00000000-0005-0000-0000-0000DC4C0000}"/>
    <cellStyle name="40% - Accent5 5 3 2 2 2 2" xfId="19681" xr:uid="{00000000-0005-0000-0000-0000DD4C0000}"/>
    <cellStyle name="40% - Accent5 5 3 2 2 2 2 2" xfId="19682" xr:uid="{00000000-0005-0000-0000-0000DE4C0000}"/>
    <cellStyle name="40% - Accent5 5 3 2 2 2 3" xfId="19683" xr:uid="{00000000-0005-0000-0000-0000DF4C0000}"/>
    <cellStyle name="40% - Accent5 5 3 2 2 3" xfId="19684" xr:uid="{00000000-0005-0000-0000-0000E04C0000}"/>
    <cellStyle name="40% - Accent5 5 3 2 2 3 2" xfId="19685" xr:uid="{00000000-0005-0000-0000-0000E14C0000}"/>
    <cellStyle name="40% - Accent5 5 3 2 2 4" xfId="19686" xr:uid="{00000000-0005-0000-0000-0000E24C0000}"/>
    <cellStyle name="40% - Accent5 5 3 2 3" xfId="19687" xr:uid="{00000000-0005-0000-0000-0000E34C0000}"/>
    <cellStyle name="40% - Accent5 5 3 2 3 2" xfId="19688" xr:uid="{00000000-0005-0000-0000-0000E44C0000}"/>
    <cellStyle name="40% - Accent5 5 3 2 3 2 2" xfId="19689" xr:uid="{00000000-0005-0000-0000-0000E54C0000}"/>
    <cellStyle name="40% - Accent5 5 3 2 3 3" xfId="19690" xr:uid="{00000000-0005-0000-0000-0000E64C0000}"/>
    <cellStyle name="40% - Accent5 5 3 2 4" xfId="19691" xr:uid="{00000000-0005-0000-0000-0000E74C0000}"/>
    <cellStyle name="40% - Accent5 5 3 2 4 2" xfId="19692" xr:uid="{00000000-0005-0000-0000-0000E84C0000}"/>
    <cellStyle name="40% - Accent5 5 3 2 4 2 2" xfId="19693" xr:uid="{00000000-0005-0000-0000-0000E94C0000}"/>
    <cellStyle name="40% - Accent5 5 3 2 4 3" xfId="19694" xr:uid="{00000000-0005-0000-0000-0000EA4C0000}"/>
    <cellStyle name="40% - Accent5 5 3 2 5" xfId="19695" xr:uid="{00000000-0005-0000-0000-0000EB4C0000}"/>
    <cellStyle name="40% - Accent5 5 3 2 5 2" xfId="19696" xr:uid="{00000000-0005-0000-0000-0000EC4C0000}"/>
    <cellStyle name="40% - Accent5 5 3 2 5 2 2" xfId="19697" xr:uid="{00000000-0005-0000-0000-0000ED4C0000}"/>
    <cellStyle name="40% - Accent5 5 3 2 5 3" xfId="19698" xr:uid="{00000000-0005-0000-0000-0000EE4C0000}"/>
    <cellStyle name="40% - Accent5 5 3 2 6" xfId="19699" xr:uid="{00000000-0005-0000-0000-0000EF4C0000}"/>
    <cellStyle name="40% - Accent5 5 3 2 6 2" xfId="19700" xr:uid="{00000000-0005-0000-0000-0000F04C0000}"/>
    <cellStyle name="40% - Accent5 5 3 2 6 2 2" xfId="19701" xr:uid="{00000000-0005-0000-0000-0000F14C0000}"/>
    <cellStyle name="40% - Accent5 5 3 2 6 3" xfId="19702" xr:uid="{00000000-0005-0000-0000-0000F24C0000}"/>
    <cellStyle name="40% - Accent5 5 3 2 7" xfId="19703" xr:uid="{00000000-0005-0000-0000-0000F34C0000}"/>
    <cellStyle name="40% - Accent5 5 3 2 7 2" xfId="19704" xr:uid="{00000000-0005-0000-0000-0000F44C0000}"/>
    <cellStyle name="40% - Accent5 5 3 2 8" xfId="19705" xr:uid="{00000000-0005-0000-0000-0000F54C0000}"/>
    <cellStyle name="40% - Accent5 5 3 3" xfId="19706" xr:uid="{00000000-0005-0000-0000-0000F64C0000}"/>
    <cellStyle name="40% - Accent5 5 3 3 2" xfId="19707" xr:uid="{00000000-0005-0000-0000-0000F74C0000}"/>
    <cellStyle name="40% - Accent5 5 3 3 2 2" xfId="19708" xr:uid="{00000000-0005-0000-0000-0000F84C0000}"/>
    <cellStyle name="40% - Accent5 5 3 3 2 2 2" xfId="19709" xr:uid="{00000000-0005-0000-0000-0000F94C0000}"/>
    <cellStyle name="40% - Accent5 5 3 3 2 2 2 2" xfId="19710" xr:uid="{00000000-0005-0000-0000-0000FA4C0000}"/>
    <cellStyle name="40% - Accent5 5 3 3 2 2 3" xfId="19711" xr:uid="{00000000-0005-0000-0000-0000FB4C0000}"/>
    <cellStyle name="40% - Accent5 5 3 3 2 3" xfId="19712" xr:uid="{00000000-0005-0000-0000-0000FC4C0000}"/>
    <cellStyle name="40% - Accent5 5 3 3 2 3 2" xfId="19713" xr:uid="{00000000-0005-0000-0000-0000FD4C0000}"/>
    <cellStyle name="40% - Accent5 5 3 3 2 4" xfId="19714" xr:uid="{00000000-0005-0000-0000-0000FE4C0000}"/>
    <cellStyle name="40% - Accent5 5 3 3 3" xfId="19715" xr:uid="{00000000-0005-0000-0000-0000FF4C0000}"/>
    <cellStyle name="40% - Accent5 5 3 3 3 2" xfId="19716" xr:uid="{00000000-0005-0000-0000-0000004D0000}"/>
    <cellStyle name="40% - Accent5 5 3 3 3 2 2" xfId="19717" xr:uid="{00000000-0005-0000-0000-0000014D0000}"/>
    <cellStyle name="40% - Accent5 5 3 3 3 3" xfId="19718" xr:uid="{00000000-0005-0000-0000-0000024D0000}"/>
    <cellStyle name="40% - Accent5 5 3 3 4" xfId="19719" xr:uid="{00000000-0005-0000-0000-0000034D0000}"/>
    <cellStyle name="40% - Accent5 5 3 3 4 2" xfId="19720" xr:uid="{00000000-0005-0000-0000-0000044D0000}"/>
    <cellStyle name="40% - Accent5 5 3 3 4 2 2" xfId="19721" xr:uid="{00000000-0005-0000-0000-0000054D0000}"/>
    <cellStyle name="40% - Accent5 5 3 3 4 3" xfId="19722" xr:uid="{00000000-0005-0000-0000-0000064D0000}"/>
    <cellStyle name="40% - Accent5 5 3 3 5" xfId="19723" xr:uid="{00000000-0005-0000-0000-0000074D0000}"/>
    <cellStyle name="40% - Accent5 5 3 3 5 2" xfId="19724" xr:uid="{00000000-0005-0000-0000-0000084D0000}"/>
    <cellStyle name="40% - Accent5 5 3 3 5 2 2" xfId="19725" xr:uid="{00000000-0005-0000-0000-0000094D0000}"/>
    <cellStyle name="40% - Accent5 5 3 3 5 3" xfId="19726" xr:uid="{00000000-0005-0000-0000-00000A4D0000}"/>
    <cellStyle name="40% - Accent5 5 3 3 6" xfId="19727" xr:uid="{00000000-0005-0000-0000-00000B4D0000}"/>
    <cellStyle name="40% - Accent5 5 3 3 6 2" xfId="19728" xr:uid="{00000000-0005-0000-0000-00000C4D0000}"/>
    <cellStyle name="40% - Accent5 5 3 3 6 2 2" xfId="19729" xr:uid="{00000000-0005-0000-0000-00000D4D0000}"/>
    <cellStyle name="40% - Accent5 5 3 3 6 3" xfId="19730" xr:uid="{00000000-0005-0000-0000-00000E4D0000}"/>
    <cellStyle name="40% - Accent5 5 3 3 7" xfId="19731" xr:uid="{00000000-0005-0000-0000-00000F4D0000}"/>
    <cellStyle name="40% - Accent5 5 3 3 7 2" xfId="19732" xr:uid="{00000000-0005-0000-0000-0000104D0000}"/>
    <cellStyle name="40% - Accent5 5 3 3 8" xfId="19733" xr:uid="{00000000-0005-0000-0000-0000114D0000}"/>
    <cellStyle name="40% - Accent5 5 3 4" xfId="19734" xr:uid="{00000000-0005-0000-0000-0000124D0000}"/>
    <cellStyle name="40% - Accent5 5 3 4 2" xfId="19735" xr:uid="{00000000-0005-0000-0000-0000134D0000}"/>
    <cellStyle name="40% - Accent5 5 3 4 2 2" xfId="19736" xr:uid="{00000000-0005-0000-0000-0000144D0000}"/>
    <cellStyle name="40% - Accent5 5 3 4 2 2 2" xfId="19737" xr:uid="{00000000-0005-0000-0000-0000154D0000}"/>
    <cellStyle name="40% - Accent5 5 3 4 2 2 2 2" xfId="19738" xr:uid="{00000000-0005-0000-0000-0000164D0000}"/>
    <cellStyle name="40% - Accent5 5 3 4 2 2 3" xfId="19739" xr:uid="{00000000-0005-0000-0000-0000174D0000}"/>
    <cellStyle name="40% - Accent5 5 3 4 2 3" xfId="19740" xr:uid="{00000000-0005-0000-0000-0000184D0000}"/>
    <cellStyle name="40% - Accent5 5 3 4 2 3 2" xfId="19741" xr:uid="{00000000-0005-0000-0000-0000194D0000}"/>
    <cellStyle name="40% - Accent5 5 3 4 2 4" xfId="19742" xr:uid="{00000000-0005-0000-0000-00001A4D0000}"/>
    <cellStyle name="40% - Accent5 5 3 4 3" xfId="19743" xr:uid="{00000000-0005-0000-0000-00001B4D0000}"/>
    <cellStyle name="40% - Accent5 5 3 4 3 2" xfId="19744" xr:uid="{00000000-0005-0000-0000-00001C4D0000}"/>
    <cellStyle name="40% - Accent5 5 3 4 3 2 2" xfId="19745" xr:uid="{00000000-0005-0000-0000-00001D4D0000}"/>
    <cellStyle name="40% - Accent5 5 3 4 3 3" xfId="19746" xr:uid="{00000000-0005-0000-0000-00001E4D0000}"/>
    <cellStyle name="40% - Accent5 5 3 4 4" xfId="19747" xr:uid="{00000000-0005-0000-0000-00001F4D0000}"/>
    <cellStyle name="40% - Accent5 5 3 4 4 2" xfId="19748" xr:uid="{00000000-0005-0000-0000-0000204D0000}"/>
    <cellStyle name="40% - Accent5 5 3 4 4 2 2" xfId="19749" xr:uid="{00000000-0005-0000-0000-0000214D0000}"/>
    <cellStyle name="40% - Accent5 5 3 4 4 3" xfId="19750" xr:uid="{00000000-0005-0000-0000-0000224D0000}"/>
    <cellStyle name="40% - Accent5 5 3 4 5" xfId="19751" xr:uid="{00000000-0005-0000-0000-0000234D0000}"/>
    <cellStyle name="40% - Accent5 5 3 4 5 2" xfId="19752" xr:uid="{00000000-0005-0000-0000-0000244D0000}"/>
    <cellStyle name="40% - Accent5 5 3 4 5 2 2" xfId="19753" xr:uid="{00000000-0005-0000-0000-0000254D0000}"/>
    <cellStyle name="40% - Accent5 5 3 4 5 3" xfId="19754" xr:uid="{00000000-0005-0000-0000-0000264D0000}"/>
    <cellStyle name="40% - Accent5 5 3 4 6" xfId="19755" xr:uid="{00000000-0005-0000-0000-0000274D0000}"/>
    <cellStyle name="40% - Accent5 5 3 4 6 2" xfId="19756" xr:uid="{00000000-0005-0000-0000-0000284D0000}"/>
    <cellStyle name="40% - Accent5 5 3 4 6 2 2" xfId="19757" xr:uid="{00000000-0005-0000-0000-0000294D0000}"/>
    <cellStyle name="40% - Accent5 5 3 4 6 3" xfId="19758" xr:uid="{00000000-0005-0000-0000-00002A4D0000}"/>
    <cellStyle name="40% - Accent5 5 3 4 7" xfId="19759" xr:uid="{00000000-0005-0000-0000-00002B4D0000}"/>
    <cellStyle name="40% - Accent5 5 3 4 7 2" xfId="19760" xr:uid="{00000000-0005-0000-0000-00002C4D0000}"/>
    <cellStyle name="40% - Accent5 5 3 4 8" xfId="19761" xr:uid="{00000000-0005-0000-0000-00002D4D0000}"/>
    <cellStyle name="40% - Accent5 5 3 5" xfId="19762" xr:uid="{00000000-0005-0000-0000-00002E4D0000}"/>
    <cellStyle name="40% - Accent5 5 3 5 2" xfId="19763" xr:uid="{00000000-0005-0000-0000-00002F4D0000}"/>
    <cellStyle name="40% - Accent5 5 3 5 2 2" xfId="19764" xr:uid="{00000000-0005-0000-0000-0000304D0000}"/>
    <cellStyle name="40% - Accent5 5 3 5 2 2 2" xfId="19765" xr:uid="{00000000-0005-0000-0000-0000314D0000}"/>
    <cellStyle name="40% - Accent5 5 3 5 2 2 2 2" xfId="19766" xr:uid="{00000000-0005-0000-0000-0000324D0000}"/>
    <cellStyle name="40% - Accent5 5 3 5 2 2 3" xfId="19767" xr:uid="{00000000-0005-0000-0000-0000334D0000}"/>
    <cellStyle name="40% - Accent5 5 3 5 2 3" xfId="19768" xr:uid="{00000000-0005-0000-0000-0000344D0000}"/>
    <cellStyle name="40% - Accent5 5 3 5 2 3 2" xfId="19769" xr:uid="{00000000-0005-0000-0000-0000354D0000}"/>
    <cellStyle name="40% - Accent5 5 3 5 2 4" xfId="19770" xr:uid="{00000000-0005-0000-0000-0000364D0000}"/>
    <cellStyle name="40% - Accent5 5 3 5 3" xfId="19771" xr:uid="{00000000-0005-0000-0000-0000374D0000}"/>
    <cellStyle name="40% - Accent5 5 3 5 3 2" xfId="19772" xr:uid="{00000000-0005-0000-0000-0000384D0000}"/>
    <cellStyle name="40% - Accent5 5 3 5 3 2 2" xfId="19773" xr:uid="{00000000-0005-0000-0000-0000394D0000}"/>
    <cellStyle name="40% - Accent5 5 3 5 3 3" xfId="19774" xr:uid="{00000000-0005-0000-0000-00003A4D0000}"/>
    <cellStyle name="40% - Accent5 5 3 5 4" xfId="19775" xr:uid="{00000000-0005-0000-0000-00003B4D0000}"/>
    <cellStyle name="40% - Accent5 5 3 5 4 2" xfId="19776" xr:uid="{00000000-0005-0000-0000-00003C4D0000}"/>
    <cellStyle name="40% - Accent5 5 3 5 5" xfId="19777" xr:uid="{00000000-0005-0000-0000-00003D4D0000}"/>
    <cellStyle name="40% - Accent5 5 3 6" xfId="19778" xr:uid="{00000000-0005-0000-0000-00003E4D0000}"/>
    <cellStyle name="40% - Accent5 5 3 6 2" xfId="19779" xr:uid="{00000000-0005-0000-0000-00003F4D0000}"/>
    <cellStyle name="40% - Accent5 5 3 6 2 2" xfId="19780" xr:uid="{00000000-0005-0000-0000-0000404D0000}"/>
    <cellStyle name="40% - Accent5 5 3 6 2 2 2" xfId="19781" xr:uid="{00000000-0005-0000-0000-0000414D0000}"/>
    <cellStyle name="40% - Accent5 5 3 6 2 2 2 2" xfId="19782" xr:uid="{00000000-0005-0000-0000-0000424D0000}"/>
    <cellStyle name="40% - Accent5 5 3 6 2 2 3" xfId="19783" xr:uid="{00000000-0005-0000-0000-0000434D0000}"/>
    <cellStyle name="40% - Accent5 5 3 6 2 3" xfId="19784" xr:uid="{00000000-0005-0000-0000-0000444D0000}"/>
    <cellStyle name="40% - Accent5 5 3 6 2 3 2" xfId="19785" xr:uid="{00000000-0005-0000-0000-0000454D0000}"/>
    <cellStyle name="40% - Accent5 5 3 6 2 4" xfId="19786" xr:uid="{00000000-0005-0000-0000-0000464D0000}"/>
    <cellStyle name="40% - Accent5 5 3 6 3" xfId="19787" xr:uid="{00000000-0005-0000-0000-0000474D0000}"/>
    <cellStyle name="40% - Accent5 5 3 6 3 2" xfId="19788" xr:uid="{00000000-0005-0000-0000-0000484D0000}"/>
    <cellStyle name="40% - Accent5 5 3 6 3 2 2" xfId="19789" xr:uid="{00000000-0005-0000-0000-0000494D0000}"/>
    <cellStyle name="40% - Accent5 5 3 6 3 3" xfId="19790" xr:uid="{00000000-0005-0000-0000-00004A4D0000}"/>
    <cellStyle name="40% - Accent5 5 3 6 4" xfId="19791" xr:uid="{00000000-0005-0000-0000-00004B4D0000}"/>
    <cellStyle name="40% - Accent5 5 3 6 4 2" xfId="19792" xr:uid="{00000000-0005-0000-0000-00004C4D0000}"/>
    <cellStyle name="40% - Accent5 5 3 6 5" xfId="19793" xr:uid="{00000000-0005-0000-0000-00004D4D0000}"/>
    <cellStyle name="40% - Accent5 5 3 7" xfId="19794" xr:uid="{00000000-0005-0000-0000-00004E4D0000}"/>
    <cellStyle name="40% - Accent5 5 3 7 2" xfId="19795" xr:uid="{00000000-0005-0000-0000-00004F4D0000}"/>
    <cellStyle name="40% - Accent5 5 3 7 2 2" xfId="19796" xr:uid="{00000000-0005-0000-0000-0000504D0000}"/>
    <cellStyle name="40% - Accent5 5 3 7 2 2 2" xfId="19797" xr:uid="{00000000-0005-0000-0000-0000514D0000}"/>
    <cellStyle name="40% - Accent5 5 3 7 2 3" xfId="19798" xr:uid="{00000000-0005-0000-0000-0000524D0000}"/>
    <cellStyle name="40% - Accent5 5 3 7 3" xfId="19799" xr:uid="{00000000-0005-0000-0000-0000534D0000}"/>
    <cellStyle name="40% - Accent5 5 3 7 3 2" xfId="19800" xr:uid="{00000000-0005-0000-0000-0000544D0000}"/>
    <cellStyle name="40% - Accent5 5 3 7 4" xfId="19801" xr:uid="{00000000-0005-0000-0000-0000554D0000}"/>
    <cellStyle name="40% - Accent5 5 3 8" xfId="19802" xr:uid="{00000000-0005-0000-0000-0000564D0000}"/>
    <cellStyle name="40% - Accent5 5 3 8 2" xfId="19803" xr:uid="{00000000-0005-0000-0000-0000574D0000}"/>
    <cellStyle name="40% - Accent5 5 3 8 2 2" xfId="19804" xr:uid="{00000000-0005-0000-0000-0000584D0000}"/>
    <cellStyle name="40% - Accent5 5 3 8 2 2 2" xfId="19805" xr:uid="{00000000-0005-0000-0000-0000594D0000}"/>
    <cellStyle name="40% - Accent5 5 3 8 2 3" xfId="19806" xr:uid="{00000000-0005-0000-0000-00005A4D0000}"/>
    <cellStyle name="40% - Accent5 5 3 8 3" xfId="19807" xr:uid="{00000000-0005-0000-0000-00005B4D0000}"/>
    <cellStyle name="40% - Accent5 5 3 8 3 2" xfId="19808" xr:uid="{00000000-0005-0000-0000-00005C4D0000}"/>
    <cellStyle name="40% - Accent5 5 3 8 4" xfId="19809" xr:uid="{00000000-0005-0000-0000-00005D4D0000}"/>
    <cellStyle name="40% - Accent5 5 3 9" xfId="19810" xr:uid="{00000000-0005-0000-0000-00005E4D0000}"/>
    <cellStyle name="40% - Accent5 5 3 9 2" xfId="19811" xr:uid="{00000000-0005-0000-0000-00005F4D0000}"/>
    <cellStyle name="40% - Accent5 5 3 9 2 2" xfId="19812" xr:uid="{00000000-0005-0000-0000-0000604D0000}"/>
    <cellStyle name="40% - Accent5 5 3 9 3" xfId="19813" xr:uid="{00000000-0005-0000-0000-0000614D0000}"/>
    <cellStyle name="40% - Accent5 5 4" xfId="19814" xr:uid="{00000000-0005-0000-0000-0000624D0000}"/>
    <cellStyle name="40% - Accent5 5 4 10" xfId="19815" xr:uid="{00000000-0005-0000-0000-0000634D0000}"/>
    <cellStyle name="40% - Accent5 5 4 10 2" xfId="19816" xr:uid="{00000000-0005-0000-0000-0000644D0000}"/>
    <cellStyle name="40% - Accent5 5 4 10 2 2" xfId="19817" xr:uid="{00000000-0005-0000-0000-0000654D0000}"/>
    <cellStyle name="40% - Accent5 5 4 10 3" xfId="19818" xr:uid="{00000000-0005-0000-0000-0000664D0000}"/>
    <cellStyle name="40% - Accent5 5 4 11" xfId="19819" xr:uid="{00000000-0005-0000-0000-0000674D0000}"/>
    <cellStyle name="40% - Accent5 5 4 11 2" xfId="19820" xr:uid="{00000000-0005-0000-0000-0000684D0000}"/>
    <cellStyle name="40% - Accent5 5 4 11 2 2" xfId="19821" xr:uid="{00000000-0005-0000-0000-0000694D0000}"/>
    <cellStyle name="40% - Accent5 5 4 11 3" xfId="19822" xr:uid="{00000000-0005-0000-0000-00006A4D0000}"/>
    <cellStyle name="40% - Accent5 5 4 12" xfId="19823" xr:uid="{00000000-0005-0000-0000-00006B4D0000}"/>
    <cellStyle name="40% - Accent5 5 4 12 2" xfId="19824" xr:uid="{00000000-0005-0000-0000-00006C4D0000}"/>
    <cellStyle name="40% - Accent5 5 4 12 2 2" xfId="19825" xr:uid="{00000000-0005-0000-0000-00006D4D0000}"/>
    <cellStyle name="40% - Accent5 5 4 12 3" xfId="19826" xr:uid="{00000000-0005-0000-0000-00006E4D0000}"/>
    <cellStyle name="40% - Accent5 5 4 13" xfId="19827" xr:uid="{00000000-0005-0000-0000-00006F4D0000}"/>
    <cellStyle name="40% - Accent5 5 4 13 2" xfId="19828" xr:uid="{00000000-0005-0000-0000-0000704D0000}"/>
    <cellStyle name="40% - Accent5 5 4 14" xfId="19829" xr:uid="{00000000-0005-0000-0000-0000714D0000}"/>
    <cellStyle name="40% - Accent5 5 4 2" xfId="19830" xr:uid="{00000000-0005-0000-0000-0000724D0000}"/>
    <cellStyle name="40% - Accent5 5 4 2 2" xfId="19831" xr:uid="{00000000-0005-0000-0000-0000734D0000}"/>
    <cellStyle name="40% - Accent5 5 4 2 2 2" xfId="19832" xr:uid="{00000000-0005-0000-0000-0000744D0000}"/>
    <cellStyle name="40% - Accent5 5 4 2 2 2 2" xfId="19833" xr:uid="{00000000-0005-0000-0000-0000754D0000}"/>
    <cellStyle name="40% - Accent5 5 4 2 2 2 2 2" xfId="19834" xr:uid="{00000000-0005-0000-0000-0000764D0000}"/>
    <cellStyle name="40% - Accent5 5 4 2 2 2 3" xfId="19835" xr:uid="{00000000-0005-0000-0000-0000774D0000}"/>
    <cellStyle name="40% - Accent5 5 4 2 2 3" xfId="19836" xr:uid="{00000000-0005-0000-0000-0000784D0000}"/>
    <cellStyle name="40% - Accent5 5 4 2 2 3 2" xfId="19837" xr:uid="{00000000-0005-0000-0000-0000794D0000}"/>
    <cellStyle name="40% - Accent5 5 4 2 2 4" xfId="19838" xr:uid="{00000000-0005-0000-0000-00007A4D0000}"/>
    <cellStyle name="40% - Accent5 5 4 2 3" xfId="19839" xr:uid="{00000000-0005-0000-0000-00007B4D0000}"/>
    <cellStyle name="40% - Accent5 5 4 2 3 2" xfId="19840" xr:uid="{00000000-0005-0000-0000-00007C4D0000}"/>
    <cellStyle name="40% - Accent5 5 4 2 3 2 2" xfId="19841" xr:uid="{00000000-0005-0000-0000-00007D4D0000}"/>
    <cellStyle name="40% - Accent5 5 4 2 3 3" xfId="19842" xr:uid="{00000000-0005-0000-0000-00007E4D0000}"/>
    <cellStyle name="40% - Accent5 5 4 2 4" xfId="19843" xr:uid="{00000000-0005-0000-0000-00007F4D0000}"/>
    <cellStyle name="40% - Accent5 5 4 2 4 2" xfId="19844" xr:uid="{00000000-0005-0000-0000-0000804D0000}"/>
    <cellStyle name="40% - Accent5 5 4 2 4 2 2" xfId="19845" xr:uid="{00000000-0005-0000-0000-0000814D0000}"/>
    <cellStyle name="40% - Accent5 5 4 2 4 3" xfId="19846" xr:uid="{00000000-0005-0000-0000-0000824D0000}"/>
    <cellStyle name="40% - Accent5 5 4 2 5" xfId="19847" xr:uid="{00000000-0005-0000-0000-0000834D0000}"/>
    <cellStyle name="40% - Accent5 5 4 2 5 2" xfId="19848" xr:uid="{00000000-0005-0000-0000-0000844D0000}"/>
    <cellStyle name="40% - Accent5 5 4 2 5 2 2" xfId="19849" xr:uid="{00000000-0005-0000-0000-0000854D0000}"/>
    <cellStyle name="40% - Accent5 5 4 2 5 3" xfId="19850" xr:uid="{00000000-0005-0000-0000-0000864D0000}"/>
    <cellStyle name="40% - Accent5 5 4 2 6" xfId="19851" xr:uid="{00000000-0005-0000-0000-0000874D0000}"/>
    <cellStyle name="40% - Accent5 5 4 2 6 2" xfId="19852" xr:uid="{00000000-0005-0000-0000-0000884D0000}"/>
    <cellStyle name="40% - Accent5 5 4 2 6 2 2" xfId="19853" xr:uid="{00000000-0005-0000-0000-0000894D0000}"/>
    <cellStyle name="40% - Accent5 5 4 2 6 3" xfId="19854" xr:uid="{00000000-0005-0000-0000-00008A4D0000}"/>
    <cellStyle name="40% - Accent5 5 4 2 7" xfId="19855" xr:uid="{00000000-0005-0000-0000-00008B4D0000}"/>
    <cellStyle name="40% - Accent5 5 4 2 7 2" xfId="19856" xr:uid="{00000000-0005-0000-0000-00008C4D0000}"/>
    <cellStyle name="40% - Accent5 5 4 2 8" xfId="19857" xr:uid="{00000000-0005-0000-0000-00008D4D0000}"/>
    <cellStyle name="40% - Accent5 5 4 3" xfId="19858" xr:uid="{00000000-0005-0000-0000-00008E4D0000}"/>
    <cellStyle name="40% - Accent5 5 4 3 2" xfId="19859" xr:uid="{00000000-0005-0000-0000-00008F4D0000}"/>
    <cellStyle name="40% - Accent5 5 4 3 2 2" xfId="19860" xr:uid="{00000000-0005-0000-0000-0000904D0000}"/>
    <cellStyle name="40% - Accent5 5 4 3 2 2 2" xfId="19861" xr:uid="{00000000-0005-0000-0000-0000914D0000}"/>
    <cellStyle name="40% - Accent5 5 4 3 2 2 2 2" xfId="19862" xr:uid="{00000000-0005-0000-0000-0000924D0000}"/>
    <cellStyle name="40% - Accent5 5 4 3 2 2 3" xfId="19863" xr:uid="{00000000-0005-0000-0000-0000934D0000}"/>
    <cellStyle name="40% - Accent5 5 4 3 2 3" xfId="19864" xr:uid="{00000000-0005-0000-0000-0000944D0000}"/>
    <cellStyle name="40% - Accent5 5 4 3 2 3 2" xfId="19865" xr:uid="{00000000-0005-0000-0000-0000954D0000}"/>
    <cellStyle name="40% - Accent5 5 4 3 2 4" xfId="19866" xr:uid="{00000000-0005-0000-0000-0000964D0000}"/>
    <cellStyle name="40% - Accent5 5 4 3 3" xfId="19867" xr:uid="{00000000-0005-0000-0000-0000974D0000}"/>
    <cellStyle name="40% - Accent5 5 4 3 3 2" xfId="19868" xr:uid="{00000000-0005-0000-0000-0000984D0000}"/>
    <cellStyle name="40% - Accent5 5 4 3 3 2 2" xfId="19869" xr:uid="{00000000-0005-0000-0000-0000994D0000}"/>
    <cellStyle name="40% - Accent5 5 4 3 3 3" xfId="19870" xr:uid="{00000000-0005-0000-0000-00009A4D0000}"/>
    <cellStyle name="40% - Accent5 5 4 3 4" xfId="19871" xr:uid="{00000000-0005-0000-0000-00009B4D0000}"/>
    <cellStyle name="40% - Accent5 5 4 3 4 2" xfId="19872" xr:uid="{00000000-0005-0000-0000-00009C4D0000}"/>
    <cellStyle name="40% - Accent5 5 4 3 4 2 2" xfId="19873" xr:uid="{00000000-0005-0000-0000-00009D4D0000}"/>
    <cellStyle name="40% - Accent5 5 4 3 4 3" xfId="19874" xr:uid="{00000000-0005-0000-0000-00009E4D0000}"/>
    <cellStyle name="40% - Accent5 5 4 3 5" xfId="19875" xr:uid="{00000000-0005-0000-0000-00009F4D0000}"/>
    <cellStyle name="40% - Accent5 5 4 3 5 2" xfId="19876" xr:uid="{00000000-0005-0000-0000-0000A04D0000}"/>
    <cellStyle name="40% - Accent5 5 4 3 5 2 2" xfId="19877" xr:uid="{00000000-0005-0000-0000-0000A14D0000}"/>
    <cellStyle name="40% - Accent5 5 4 3 5 3" xfId="19878" xr:uid="{00000000-0005-0000-0000-0000A24D0000}"/>
    <cellStyle name="40% - Accent5 5 4 3 6" xfId="19879" xr:uid="{00000000-0005-0000-0000-0000A34D0000}"/>
    <cellStyle name="40% - Accent5 5 4 3 6 2" xfId="19880" xr:uid="{00000000-0005-0000-0000-0000A44D0000}"/>
    <cellStyle name="40% - Accent5 5 4 3 6 2 2" xfId="19881" xr:uid="{00000000-0005-0000-0000-0000A54D0000}"/>
    <cellStyle name="40% - Accent5 5 4 3 6 3" xfId="19882" xr:uid="{00000000-0005-0000-0000-0000A64D0000}"/>
    <cellStyle name="40% - Accent5 5 4 3 7" xfId="19883" xr:uid="{00000000-0005-0000-0000-0000A74D0000}"/>
    <cellStyle name="40% - Accent5 5 4 3 7 2" xfId="19884" xr:uid="{00000000-0005-0000-0000-0000A84D0000}"/>
    <cellStyle name="40% - Accent5 5 4 3 8" xfId="19885" xr:uid="{00000000-0005-0000-0000-0000A94D0000}"/>
    <cellStyle name="40% - Accent5 5 4 4" xfId="19886" xr:uid="{00000000-0005-0000-0000-0000AA4D0000}"/>
    <cellStyle name="40% - Accent5 5 4 4 2" xfId="19887" xr:uid="{00000000-0005-0000-0000-0000AB4D0000}"/>
    <cellStyle name="40% - Accent5 5 4 4 2 2" xfId="19888" xr:uid="{00000000-0005-0000-0000-0000AC4D0000}"/>
    <cellStyle name="40% - Accent5 5 4 4 2 2 2" xfId="19889" xr:uid="{00000000-0005-0000-0000-0000AD4D0000}"/>
    <cellStyle name="40% - Accent5 5 4 4 2 2 2 2" xfId="19890" xr:uid="{00000000-0005-0000-0000-0000AE4D0000}"/>
    <cellStyle name="40% - Accent5 5 4 4 2 2 3" xfId="19891" xr:uid="{00000000-0005-0000-0000-0000AF4D0000}"/>
    <cellStyle name="40% - Accent5 5 4 4 2 3" xfId="19892" xr:uid="{00000000-0005-0000-0000-0000B04D0000}"/>
    <cellStyle name="40% - Accent5 5 4 4 2 3 2" xfId="19893" xr:uid="{00000000-0005-0000-0000-0000B14D0000}"/>
    <cellStyle name="40% - Accent5 5 4 4 2 4" xfId="19894" xr:uid="{00000000-0005-0000-0000-0000B24D0000}"/>
    <cellStyle name="40% - Accent5 5 4 4 3" xfId="19895" xr:uid="{00000000-0005-0000-0000-0000B34D0000}"/>
    <cellStyle name="40% - Accent5 5 4 4 3 2" xfId="19896" xr:uid="{00000000-0005-0000-0000-0000B44D0000}"/>
    <cellStyle name="40% - Accent5 5 4 4 3 2 2" xfId="19897" xr:uid="{00000000-0005-0000-0000-0000B54D0000}"/>
    <cellStyle name="40% - Accent5 5 4 4 3 3" xfId="19898" xr:uid="{00000000-0005-0000-0000-0000B64D0000}"/>
    <cellStyle name="40% - Accent5 5 4 4 4" xfId="19899" xr:uid="{00000000-0005-0000-0000-0000B74D0000}"/>
    <cellStyle name="40% - Accent5 5 4 4 4 2" xfId="19900" xr:uid="{00000000-0005-0000-0000-0000B84D0000}"/>
    <cellStyle name="40% - Accent5 5 4 4 4 2 2" xfId="19901" xr:uid="{00000000-0005-0000-0000-0000B94D0000}"/>
    <cellStyle name="40% - Accent5 5 4 4 4 3" xfId="19902" xr:uid="{00000000-0005-0000-0000-0000BA4D0000}"/>
    <cellStyle name="40% - Accent5 5 4 4 5" xfId="19903" xr:uid="{00000000-0005-0000-0000-0000BB4D0000}"/>
    <cellStyle name="40% - Accent5 5 4 4 5 2" xfId="19904" xr:uid="{00000000-0005-0000-0000-0000BC4D0000}"/>
    <cellStyle name="40% - Accent5 5 4 4 5 2 2" xfId="19905" xr:uid="{00000000-0005-0000-0000-0000BD4D0000}"/>
    <cellStyle name="40% - Accent5 5 4 4 5 3" xfId="19906" xr:uid="{00000000-0005-0000-0000-0000BE4D0000}"/>
    <cellStyle name="40% - Accent5 5 4 4 6" xfId="19907" xr:uid="{00000000-0005-0000-0000-0000BF4D0000}"/>
    <cellStyle name="40% - Accent5 5 4 4 6 2" xfId="19908" xr:uid="{00000000-0005-0000-0000-0000C04D0000}"/>
    <cellStyle name="40% - Accent5 5 4 4 6 2 2" xfId="19909" xr:uid="{00000000-0005-0000-0000-0000C14D0000}"/>
    <cellStyle name="40% - Accent5 5 4 4 6 3" xfId="19910" xr:uid="{00000000-0005-0000-0000-0000C24D0000}"/>
    <cellStyle name="40% - Accent5 5 4 4 7" xfId="19911" xr:uid="{00000000-0005-0000-0000-0000C34D0000}"/>
    <cellStyle name="40% - Accent5 5 4 4 7 2" xfId="19912" xr:uid="{00000000-0005-0000-0000-0000C44D0000}"/>
    <cellStyle name="40% - Accent5 5 4 4 8" xfId="19913" xr:uid="{00000000-0005-0000-0000-0000C54D0000}"/>
    <cellStyle name="40% - Accent5 5 4 5" xfId="19914" xr:uid="{00000000-0005-0000-0000-0000C64D0000}"/>
    <cellStyle name="40% - Accent5 5 4 5 2" xfId="19915" xr:uid="{00000000-0005-0000-0000-0000C74D0000}"/>
    <cellStyle name="40% - Accent5 5 4 5 2 2" xfId="19916" xr:uid="{00000000-0005-0000-0000-0000C84D0000}"/>
    <cellStyle name="40% - Accent5 5 4 5 2 2 2" xfId="19917" xr:uid="{00000000-0005-0000-0000-0000C94D0000}"/>
    <cellStyle name="40% - Accent5 5 4 5 2 2 2 2" xfId="19918" xr:uid="{00000000-0005-0000-0000-0000CA4D0000}"/>
    <cellStyle name="40% - Accent5 5 4 5 2 2 3" xfId="19919" xr:uid="{00000000-0005-0000-0000-0000CB4D0000}"/>
    <cellStyle name="40% - Accent5 5 4 5 2 3" xfId="19920" xr:uid="{00000000-0005-0000-0000-0000CC4D0000}"/>
    <cellStyle name="40% - Accent5 5 4 5 2 3 2" xfId="19921" xr:uid="{00000000-0005-0000-0000-0000CD4D0000}"/>
    <cellStyle name="40% - Accent5 5 4 5 2 4" xfId="19922" xr:uid="{00000000-0005-0000-0000-0000CE4D0000}"/>
    <cellStyle name="40% - Accent5 5 4 5 3" xfId="19923" xr:uid="{00000000-0005-0000-0000-0000CF4D0000}"/>
    <cellStyle name="40% - Accent5 5 4 5 3 2" xfId="19924" xr:uid="{00000000-0005-0000-0000-0000D04D0000}"/>
    <cellStyle name="40% - Accent5 5 4 5 3 2 2" xfId="19925" xr:uid="{00000000-0005-0000-0000-0000D14D0000}"/>
    <cellStyle name="40% - Accent5 5 4 5 3 3" xfId="19926" xr:uid="{00000000-0005-0000-0000-0000D24D0000}"/>
    <cellStyle name="40% - Accent5 5 4 5 4" xfId="19927" xr:uid="{00000000-0005-0000-0000-0000D34D0000}"/>
    <cellStyle name="40% - Accent5 5 4 5 4 2" xfId="19928" xr:uid="{00000000-0005-0000-0000-0000D44D0000}"/>
    <cellStyle name="40% - Accent5 5 4 5 5" xfId="19929" xr:uid="{00000000-0005-0000-0000-0000D54D0000}"/>
    <cellStyle name="40% - Accent5 5 4 6" xfId="19930" xr:uid="{00000000-0005-0000-0000-0000D64D0000}"/>
    <cellStyle name="40% - Accent5 5 4 6 2" xfId="19931" xr:uid="{00000000-0005-0000-0000-0000D74D0000}"/>
    <cellStyle name="40% - Accent5 5 4 6 2 2" xfId="19932" xr:uid="{00000000-0005-0000-0000-0000D84D0000}"/>
    <cellStyle name="40% - Accent5 5 4 6 2 2 2" xfId="19933" xr:uid="{00000000-0005-0000-0000-0000D94D0000}"/>
    <cellStyle name="40% - Accent5 5 4 6 2 2 2 2" xfId="19934" xr:uid="{00000000-0005-0000-0000-0000DA4D0000}"/>
    <cellStyle name="40% - Accent5 5 4 6 2 2 3" xfId="19935" xr:uid="{00000000-0005-0000-0000-0000DB4D0000}"/>
    <cellStyle name="40% - Accent5 5 4 6 2 3" xfId="19936" xr:uid="{00000000-0005-0000-0000-0000DC4D0000}"/>
    <cellStyle name="40% - Accent5 5 4 6 2 3 2" xfId="19937" xr:uid="{00000000-0005-0000-0000-0000DD4D0000}"/>
    <cellStyle name="40% - Accent5 5 4 6 2 4" xfId="19938" xr:uid="{00000000-0005-0000-0000-0000DE4D0000}"/>
    <cellStyle name="40% - Accent5 5 4 6 3" xfId="19939" xr:uid="{00000000-0005-0000-0000-0000DF4D0000}"/>
    <cellStyle name="40% - Accent5 5 4 6 3 2" xfId="19940" xr:uid="{00000000-0005-0000-0000-0000E04D0000}"/>
    <cellStyle name="40% - Accent5 5 4 6 3 2 2" xfId="19941" xr:uid="{00000000-0005-0000-0000-0000E14D0000}"/>
    <cellStyle name="40% - Accent5 5 4 6 3 3" xfId="19942" xr:uid="{00000000-0005-0000-0000-0000E24D0000}"/>
    <cellStyle name="40% - Accent5 5 4 6 4" xfId="19943" xr:uid="{00000000-0005-0000-0000-0000E34D0000}"/>
    <cellStyle name="40% - Accent5 5 4 6 4 2" xfId="19944" xr:uid="{00000000-0005-0000-0000-0000E44D0000}"/>
    <cellStyle name="40% - Accent5 5 4 6 5" xfId="19945" xr:uid="{00000000-0005-0000-0000-0000E54D0000}"/>
    <cellStyle name="40% - Accent5 5 4 7" xfId="19946" xr:uid="{00000000-0005-0000-0000-0000E64D0000}"/>
    <cellStyle name="40% - Accent5 5 4 7 2" xfId="19947" xr:uid="{00000000-0005-0000-0000-0000E74D0000}"/>
    <cellStyle name="40% - Accent5 5 4 7 2 2" xfId="19948" xr:uid="{00000000-0005-0000-0000-0000E84D0000}"/>
    <cellStyle name="40% - Accent5 5 4 7 2 2 2" xfId="19949" xr:uid="{00000000-0005-0000-0000-0000E94D0000}"/>
    <cellStyle name="40% - Accent5 5 4 7 2 3" xfId="19950" xr:uid="{00000000-0005-0000-0000-0000EA4D0000}"/>
    <cellStyle name="40% - Accent5 5 4 7 3" xfId="19951" xr:uid="{00000000-0005-0000-0000-0000EB4D0000}"/>
    <cellStyle name="40% - Accent5 5 4 7 3 2" xfId="19952" xr:uid="{00000000-0005-0000-0000-0000EC4D0000}"/>
    <cellStyle name="40% - Accent5 5 4 7 4" xfId="19953" xr:uid="{00000000-0005-0000-0000-0000ED4D0000}"/>
    <cellStyle name="40% - Accent5 5 4 8" xfId="19954" xr:uid="{00000000-0005-0000-0000-0000EE4D0000}"/>
    <cellStyle name="40% - Accent5 5 4 8 2" xfId="19955" xr:uid="{00000000-0005-0000-0000-0000EF4D0000}"/>
    <cellStyle name="40% - Accent5 5 4 8 2 2" xfId="19956" xr:uid="{00000000-0005-0000-0000-0000F04D0000}"/>
    <cellStyle name="40% - Accent5 5 4 8 2 2 2" xfId="19957" xr:uid="{00000000-0005-0000-0000-0000F14D0000}"/>
    <cellStyle name="40% - Accent5 5 4 8 2 3" xfId="19958" xr:uid="{00000000-0005-0000-0000-0000F24D0000}"/>
    <cellStyle name="40% - Accent5 5 4 8 3" xfId="19959" xr:uid="{00000000-0005-0000-0000-0000F34D0000}"/>
    <cellStyle name="40% - Accent5 5 4 8 3 2" xfId="19960" xr:uid="{00000000-0005-0000-0000-0000F44D0000}"/>
    <cellStyle name="40% - Accent5 5 4 8 4" xfId="19961" xr:uid="{00000000-0005-0000-0000-0000F54D0000}"/>
    <cellStyle name="40% - Accent5 5 4 9" xfId="19962" xr:uid="{00000000-0005-0000-0000-0000F64D0000}"/>
    <cellStyle name="40% - Accent5 5 4 9 2" xfId="19963" xr:uid="{00000000-0005-0000-0000-0000F74D0000}"/>
    <cellStyle name="40% - Accent5 5 4 9 2 2" xfId="19964" xr:uid="{00000000-0005-0000-0000-0000F84D0000}"/>
    <cellStyle name="40% - Accent5 5 4 9 3" xfId="19965" xr:uid="{00000000-0005-0000-0000-0000F94D0000}"/>
    <cellStyle name="40% - Accent5 5 5" xfId="19966" xr:uid="{00000000-0005-0000-0000-0000FA4D0000}"/>
    <cellStyle name="40% - Accent5 5 5 10" xfId="19967" xr:uid="{00000000-0005-0000-0000-0000FB4D0000}"/>
    <cellStyle name="40% - Accent5 5 5 10 2" xfId="19968" xr:uid="{00000000-0005-0000-0000-0000FC4D0000}"/>
    <cellStyle name="40% - Accent5 5 5 10 2 2" xfId="19969" xr:uid="{00000000-0005-0000-0000-0000FD4D0000}"/>
    <cellStyle name="40% - Accent5 5 5 10 3" xfId="19970" xr:uid="{00000000-0005-0000-0000-0000FE4D0000}"/>
    <cellStyle name="40% - Accent5 5 5 11" xfId="19971" xr:uid="{00000000-0005-0000-0000-0000FF4D0000}"/>
    <cellStyle name="40% - Accent5 5 5 11 2" xfId="19972" xr:uid="{00000000-0005-0000-0000-0000004E0000}"/>
    <cellStyle name="40% - Accent5 5 5 11 2 2" xfId="19973" xr:uid="{00000000-0005-0000-0000-0000014E0000}"/>
    <cellStyle name="40% - Accent5 5 5 11 3" xfId="19974" xr:uid="{00000000-0005-0000-0000-0000024E0000}"/>
    <cellStyle name="40% - Accent5 5 5 12" xfId="19975" xr:uid="{00000000-0005-0000-0000-0000034E0000}"/>
    <cellStyle name="40% - Accent5 5 5 12 2" xfId="19976" xr:uid="{00000000-0005-0000-0000-0000044E0000}"/>
    <cellStyle name="40% - Accent5 5 5 12 2 2" xfId="19977" xr:uid="{00000000-0005-0000-0000-0000054E0000}"/>
    <cellStyle name="40% - Accent5 5 5 12 3" xfId="19978" xr:uid="{00000000-0005-0000-0000-0000064E0000}"/>
    <cellStyle name="40% - Accent5 5 5 13" xfId="19979" xr:uid="{00000000-0005-0000-0000-0000074E0000}"/>
    <cellStyle name="40% - Accent5 5 5 13 2" xfId="19980" xr:uid="{00000000-0005-0000-0000-0000084E0000}"/>
    <cellStyle name="40% - Accent5 5 5 14" xfId="19981" xr:uid="{00000000-0005-0000-0000-0000094E0000}"/>
    <cellStyle name="40% - Accent5 5 5 2" xfId="19982" xr:uid="{00000000-0005-0000-0000-00000A4E0000}"/>
    <cellStyle name="40% - Accent5 5 5 2 2" xfId="19983" xr:uid="{00000000-0005-0000-0000-00000B4E0000}"/>
    <cellStyle name="40% - Accent5 5 5 2 2 2" xfId="19984" xr:uid="{00000000-0005-0000-0000-00000C4E0000}"/>
    <cellStyle name="40% - Accent5 5 5 2 2 2 2" xfId="19985" xr:uid="{00000000-0005-0000-0000-00000D4E0000}"/>
    <cellStyle name="40% - Accent5 5 5 2 2 2 2 2" xfId="19986" xr:uid="{00000000-0005-0000-0000-00000E4E0000}"/>
    <cellStyle name="40% - Accent5 5 5 2 2 2 3" xfId="19987" xr:uid="{00000000-0005-0000-0000-00000F4E0000}"/>
    <cellStyle name="40% - Accent5 5 5 2 2 3" xfId="19988" xr:uid="{00000000-0005-0000-0000-0000104E0000}"/>
    <cellStyle name="40% - Accent5 5 5 2 2 3 2" xfId="19989" xr:uid="{00000000-0005-0000-0000-0000114E0000}"/>
    <cellStyle name="40% - Accent5 5 5 2 2 4" xfId="19990" xr:uid="{00000000-0005-0000-0000-0000124E0000}"/>
    <cellStyle name="40% - Accent5 5 5 2 3" xfId="19991" xr:uid="{00000000-0005-0000-0000-0000134E0000}"/>
    <cellStyle name="40% - Accent5 5 5 2 3 2" xfId="19992" xr:uid="{00000000-0005-0000-0000-0000144E0000}"/>
    <cellStyle name="40% - Accent5 5 5 2 3 2 2" xfId="19993" xr:uid="{00000000-0005-0000-0000-0000154E0000}"/>
    <cellStyle name="40% - Accent5 5 5 2 3 3" xfId="19994" xr:uid="{00000000-0005-0000-0000-0000164E0000}"/>
    <cellStyle name="40% - Accent5 5 5 2 4" xfId="19995" xr:uid="{00000000-0005-0000-0000-0000174E0000}"/>
    <cellStyle name="40% - Accent5 5 5 2 4 2" xfId="19996" xr:uid="{00000000-0005-0000-0000-0000184E0000}"/>
    <cellStyle name="40% - Accent5 5 5 2 4 2 2" xfId="19997" xr:uid="{00000000-0005-0000-0000-0000194E0000}"/>
    <cellStyle name="40% - Accent5 5 5 2 4 3" xfId="19998" xr:uid="{00000000-0005-0000-0000-00001A4E0000}"/>
    <cellStyle name="40% - Accent5 5 5 2 5" xfId="19999" xr:uid="{00000000-0005-0000-0000-00001B4E0000}"/>
    <cellStyle name="40% - Accent5 5 5 2 5 2" xfId="20000" xr:uid="{00000000-0005-0000-0000-00001C4E0000}"/>
    <cellStyle name="40% - Accent5 5 5 2 5 2 2" xfId="20001" xr:uid="{00000000-0005-0000-0000-00001D4E0000}"/>
    <cellStyle name="40% - Accent5 5 5 2 5 3" xfId="20002" xr:uid="{00000000-0005-0000-0000-00001E4E0000}"/>
    <cellStyle name="40% - Accent5 5 5 2 6" xfId="20003" xr:uid="{00000000-0005-0000-0000-00001F4E0000}"/>
    <cellStyle name="40% - Accent5 5 5 2 6 2" xfId="20004" xr:uid="{00000000-0005-0000-0000-0000204E0000}"/>
    <cellStyle name="40% - Accent5 5 5 2 6 2 2" xfId="20005" xr:uid="{00000000-0005-0000-0000-0000214E0000}"/>
    <cellStyle name="40% - Accent5 5 5 2 6 3" xfId="20006" xr:uid="{00000000-0005-0000-0000-0000224E0000}"/>
    <cellStyle name="40% - Accent5 5 5 2 7" xfId="20007" xr:uid="{00000000-0005-0000-0000-0000234E0000}"/>
    <cellStyle name="40% - Accent5 5 5 2 7 2" xfId="20008" xr:uid="{00000000-0005-0000-0000-0000244E0000}"/>
    <cellStyle name="40% - Accent5 5 5 2 8" xfId="20009" xr:uid="{00000000-0005-0000-0000-0000254E0000}"/>
    <cellStyle name="40% - Accent5 5 5 3" xfId="20010" xr:uid="{00000000-0005-0000-0000-0000264E0000}"/>
    <cellStyle name="40% - Accent5 5 5 3 2" xfId="20011" xr:uid="{00000000-0005-0000-0000-0000274E0000}"/>
    <cellStyle name="40% - Accent5 5 5 3 2 2" xfId="20012" xr:uid="{00000000-0005-0000-0000-0000284E0000}"/>
    <cellStyle name="40% - Accent5 5 5 3 2 2 2" xfId="20013" xr:uid="{00000000-0005-0000-0000-0000294E0000}"/>
    <cellStyle name="40% - Accent5 5 5 3 2 2 2 2" xfId="20014" xr:uid="{00000000-0005-0000-0000-00002A4E0000}"/>
    <cellStyle name="40% - Accent5 5 5 3 2 2 3" xfId="20015" xr:uid="{00000000-0005-0000-0000-00002B4E0000}"/>
    <cellStyle name="40% - Accent5 5 5 3 2 3" xfId="20016" xr:uid="{00000000-0005-0000-0000-00002C4E0000}"/>
    <cellStyle name="40% - Accent5 5 5 3 2 3 2" xfId="20017" xr:uid="{00000000-0005-0000-0000-00002D4E0000}"/>
    <cellStyle name="40% - Accent5 5 5 3 2 4" xfId="20018" xr:uid="{00000000-0005-0000-0000-00002E4E0000}"/>
    <cellStyle name="40% - Accent5 5 5 3 3" xfId="20019" xr:uid="{00000000-0005-0000-0000-00002F4E0000}"/>
    <cellStyle name="40% - Accent5 5 5 3 3 2" xfId="20020" xr:uid="{00000000-0005-0000-0000-0000304E0000}"/>
    <cellStyle name="40% - Accent5 5 5 3 3 2 2" xfId="20021" xr:uid="{00000000-0005-0000-0000-0000314E0000}"/>
    <cellStyle name="40% - Accent5 5 5 3 3 3" xfId="20022" xr:uid="{00000000-0005-0000-0000-0000324E0000}"/>
    <cellStyle name="40% - Accent5 5 5 3 4" xfId="20023" xr:uid="{00000000-0005-0000-0000-0000334E0000}"/>
    <cellStyle name="40% - Accent5 5 5 3 4 2" xfId="20024" xr:uid="{00000000-0005-0000-0000-0000344E0000}"/>
    <cellStyle name="40% - Accent5 5 5 3 4 2 2" xfId="20025" xr:uid="{00000000-0005-0000-0000-0000354E0000}"/>
    <cellStyle name="40% - Accent5 5 5 3 4 3" xfId="20026" xr:uid="{00000000-0005-0000-0000-0000364E0000}"/>
    <cellStyle name="40% - Accent5 5 5 3 5" xfId="20027" xr:uid="{00000000-0005-0000-0000-0000374E0000}"/>
    <cellStyle name="40% - Accent5 5 5 3 5 2" xfId="20028" xr:uid="{00000000-0005-0000-0000-0000384E0000}"/>
    <cellStyle name="40% - Accent5 5 5 3 5 2 2" xfId="20029" xr:uid="{00000000-0005-0000-0000-0000394E0000}"/>
    <cellStyle name="40% - Accent5 5 5 3 5 3" xfId="20030" xr:uid="{00000000-0005-0000-0000-00003A4E0000}"/>
    <cellStyle name="40% - Accent5 5 5 3 6" xfId="20031" xr:uid="{00000000-0005-0000-0000-00003B4E0000}"/>
    <cellStyle name="40% - Accent5 5 5 3 6 2" xfId="20032" xr:uid="{00000000-0005-0000-0000-00003C4E0000}"/>
    <cellStyle name="40% - Accent5 5 5 3 6 2 2" xfId="20033" xr:uid="{00000000-0005-0000-0000-00003D4E0000}"/>
    <cellStyle name="40% - Accent5 5 5 3 6 3" xfId="20034" xr:uid="{00000000-0005-0000-0000-00003E4E0000}"/>
    <cellStyle name="40% - Accent5 5 5 3 7" xfId="20035" xr:uid="{00000000-0005-0000-0000-00003F4E0000}"/>
    <cellStyle name="40% - Accent5 5 5 3 7 2" xfId="20036" xr:uid="{00000000-0005-0000-0000-0000404E0000}"/>
    <cellStyle name="40% - Accent5 5 5 3 8" xfId="20037" xr:uid="{00000000-0005-0000-0000-0000414E0000}"/>
    <cellStyle name="40% - Accent5 5 5 4" xfId="20038" xr:uid="{00000000-0005-0000-0000-0000424E0000}"/>
    <cellStyle name="40% - Accent5 5 5 4 2" xfId="20039" xr:uid="{00000000-0005-0000-0000-0000434E0000}"/>
    <cellStyle name="40% - Accent5 5 5 4 2 2" xfId="20040" xr:uid="{00000000-0005-0000-0000-0000444E0000}"/>
    <cellStyle name="40% - Accent5 5 5 4 2 2 2" xfId="20041" xr:uid="{00000000-0005-0000-0000-0000454E0000}"/>
    <cellStyle name="40% - Accent5 5 5 4 2 2 2 2" xfId="20042" xr:uid="{00000000-0005-0000-0000-0000464E0000}"/>
    <cellStyle name="40% - Accent5 5 5 4 2 2 3" xfId="20043" xr:uid="{00000000-0005-0000-0000-0000474E0000}"/>
    <cellStyle name="40% - Accent5 5 5 4 2 3" xfId="20044" xr:uid="{00000000-0005-0000-0000-0000484E0000}"/>
    <cellStyle name="40% - Accent5 5 5 4 2 3 2" xfId="20045" xr:uid="{00000000-0005-0000-0000-0000494E0000}"/>
    <cellStyle name="40% - Accent5 5 5 4 2 4" xfId="20046" xr:uid="{00000000-0005-0000-0000-00004A4E0000}"/>
    <cellStyle name="40% - Accent5 5 5 4 3" xfId="20047" xr:uid="{00000000-0005-0000-0000-00004B4E0000}"/>
    <cellStyle name="40% - Accent5 5 5 4 3 2" xfId="20048" xr:uid="{00000000-0005-0000-0000-00004C4E0000}"/>
    <cellStyle name="40% - Accent5 5 5 4 3 2 2" xfId="20049" xr:uid="{00000000-0005-0000-0000-00004D4E0000}"/>
    <cellStyle name="40% - Accent5 5 5 4 3 3" xfId="20050" xr:uid="{00000000-0005-0000-0000-00004E4E0000}"/>
    <cellStyle name="40% - Accent5 5 5 4 4" xfId="20051" xr:uid="{00000000-0005-0000-0000-00004F4E0000}"/>
    <cellStyle name="40% - Accent5 5 5 4 4 2" xfId="20052" xr:uid="{00000000-0005-0000-0000-0000504E0000}"/>
    <cellStyle name="40% - Accent5 5 5 4 4 2 2" xfId="20053" xr:uid="{00000000-0005-0000-0000-0000514E0000}"/>
    <cellStyle name="40% - Accent5 5 5 4 4 3" xfId="20054" xr:uid="{00000000-0005-0000-0000-0000524E0000}"/>
    <cellStyle name="40% - Accent5 5 5 4 5" xfId="20055" xr:uid="{00000000-0005-0000-0000-0000534E0000}"/>
    <cellStyle name="40% - Accent5 5 5 4 5 2" xfId="20056" xr:uid="{00000000-0005-0000-0000-0000544E0000}"/>
    <cellStyle name="40% - Accent5 5 5 4 5 2 2" xfId="20057" xr:uid="{00000000-0005-0000-0000-0000554E0000}"/>
    <cellStyle name="40% - Accent5 5 5 4 5 3" xfId="20058" xr:uid="{00000000-0005-0000-0000-0000564E0000}"/>
    <cellStyle name="40% - Accent5 5 5 4 6" xfId="20059" xr:uid="{00000000-0005-0000-0000-0000574E0000}"/>
    <cellStyle name="40% - Accent5 5 5 4 6 2" xfId="20060" xr:uid="{00000000-0005-0000-0000-0000584E0000}"/>
    <cellStyle name="40% - Accent5 5 5 4 6 2 2" xfId="20061" xr:uid="{00000000-0005-0000-0000-0000594E0000}"/>
    <cellStyle name="40% - Accent5 5 5 4 6 3" xfId="20062" xr:uid="{00000000-0005-0000-0000-00005A4E0000}"/>
    <cellStyle name="40% - Accent5 5 5 4 7" xfId="20063" xr:uid="{00000000-0005-0000-0000-00005B4E0000}"/>
    <cellStyle name="40% - Accent5 5 5 4 7 2" xfId="20064" xr:uid="{00000000-0005-0000-0000-00005C4E0000}"/>
    <cellStyle name="40% - Accent5 5 5 4 8" xfId="20065" xr:uid="{00000000-0005-0000-0000-00005D4E0000}"/>
    <cellStyle name="40% - Accent5 5 5 5" xfId="20066" xr:uid="{00000000-0005-0000-0000-00005E4E0000}"/>
    <cellStyle name="40% - Accent5 5 5 5 2" xfId="20067" xr:uid="{00000000-0005-0000-0000-00005F4E0000}"/>
    <cellStyle name="40% - Accent5 5 5 5 2 2" xfId="20068" xr:uid="{00000000-0005-0000-0000-0000604E0000}"/>
    <cellStyle name="40% - Accent5 5 5 5 2 2 2" xfId="20069" xr:uid="{00000000-0005-0000-0000-0000614E0000}"/>
    <cellStyle name="40% - Accent5 5 5 5 2 2 2 2" xfId="20070" xr:uid="{00000000-0005-0000-0000-0000624E0000}"/>
    <cellStyle name="40% - Accent5 5 5 5 2 2 3" xfId="20071" xr:uid="{00000000-0005-0000-0000-0000634E0000}"/>
    <cellStyle name="40% - Accent5 5 5 5 2 3" xfId="20072" xr:uid="{00000000-0005-0000-0000-0000644E0000}"/>
    <cellStyle name="40% - Accent5 5 5 5 2 3 2" xfId="20073" xr:uid="{00000000-0005-0000-0000-0000654E0000}"/>
    <cellStyle name="40% - Accent5 5 5 5 2 4" xfId="20074" xr:uid="{00000000-0005-0000-0000-0000664E0000}"/>
    <cellStyle name="40% - Accent5 5 5 5 3" xfId="20075" xr:uid="{00000000-0005-0000-0000-0000674E0000}"/>
    <cellStyle name="40% - Accent5 5 5 5 3 2" xfId="20076" xr:uid="{00000000-0005-0000-0000-0000684E0000}"/>
    <cellStyle name="40% - Accent5 5 5 5 3 2 2" xfId="20077" xr:uid="{00000000-0005-0000-0000-0000694E0000}"/>
    <cellStyle name="40% - Accent5 5 5 5 3 3" xfId="20078" xr:uid="{00000000-0005-0000-0000-00006A4E0000}"/>
    <cellStyle name="40% - Accent5 5 5 5 4" xfId="20079" xr:uid="{00000000-0005-0000-0000-00006B4E0000}"/>
    <cellStyle name="40% - Accent5 5 5 5 4 2" xfId="20080" xr:uid="{00000000-0005-0000-0000-00006C4E0000}"/>
    <cellStyle name="40% - Accent5 5 5 5 5" xfId="20081" xr:uid="{00000000-0005-0000-0000-00006D4E0000}"/>
    <cellStyle name="40% - Accent5 5 5 6" xfId="20082" xr:uid="{00000000-0005-0000-0000-00006E4E0000}"/>
    <cellStyle name="40% - Accent5 5 5 6 2" xfId="20083" xr:uid="{00000000-0005-0000-0000-00006F4E0000}"/>
    <cellStyle name="40% - Accent5 5 5 6 2 2" xfId="20084" xr:uid="{00000000-0005-0000-0000-0000704E0000}"/>
    <cellStyle name="40% - Accent5 5 5 6 2 2 2" xfId="20085" xr:uid="{00000000-0005-0000-0000-0000714E0000}"/>
    <cellStyle name="40% - Accent5 5 5 6 2 2 2 2" xfId="20086" xr:uid="{00000000-0005-0000-0000-0000724E0000}"/>
    <cellStyle name="40% - Accent5 5 5 6 2 2 3" xfId="20087" xr:uid="{00000000-0005-0000-0000-0000734E0000}"/>
    <cellStyle name="40% - Accent5 5 5 6 2 3" xfId="20088" xr:uid="{00000000-0005-0000-0000-0000744E0000}"/>
    <cellStyle name="40% - Accent5 5 5 6 2 3 2" xfId="20089" xr:uid="{00000000-0005-0000-0000-0000754E0000}"/>
    <cellStyle name="40% - Accent5 5 5 6 2 4" xfId="20090" xr:uid="{00000000-0005-0000-0000-0000764E0000}"/>
    <cellStyle name="40% - Accent5 5 5 6 3" xfId="20091" xr:uid="{00000000-0005-0000-0000-0000774E0000}"/>
    <cellStyle name="40% - Accent5 5 5 6 3 2" xfId="20092" xr:uid="{00000000-0005-0000-0000-0000784E0000}"/>
    <cellStyle name="40% - Accent5 5 5 6 3 2 2" xfId="20093" xr:uid="{00000000-0005-0000-0000-0000794E0000}"/>
    <cellStyle name="40% - Accent5 5 5 6 3 3" xfId="20094" xr:uid="{00000000-0005-0000-0000-00007A4E0000}"/>
    <cellStyle name="40% - Accent5 5 5 6 4" xfId="20095" xr:uid="{00000000-0005-0000-0000-00007B4E0000}"/>
    <cellStyle name="40% - Accent5 5 5 6 4 2" xfId="20096" xr:uid="{00000000-0005-0000-0000-00007C4E0000}"/>
    <cellStyle name="40% - Accent5 5 5 6 5" xfId="20097" xr:uid="{00000000-0005-0000-0000-00007D4E0000}"/>
    <cellStyle name="40% - Accent5 5 5 7" xfId="20098" xr:uid="{00000000-0005-0000-0000-00007E4E0000}"/>
    <cellStyle name="40% - Accent5 5 5 7 2" xfId="20099" xr:uid="{00000000-0005-0000-0000-00007F4E0000}"/>
    <cellStyle name="40% - Accent5 5 5 7 2 2" xfId="20100" xr:uid="{00000000-0005-0000-0000-0000804E0000}"/>
    <cellStyle name="40% - Accent5 5 5 7 2 2 2" xfId="20101" xr:uid="{00000000-0005-0000-0000-0000814E0000}"/>
    <cellStyle name="40% - Accent5 5 5 7 2 3" xfId="20102" xr:uid="{00000000-0005-0000-0000-0000824E0000}"/>
    <cellStyle name="40% - Accent5 5 5 7 3" xfId="20103" xr:uid="{00000000-0005-0000-0000-0000834E0000}"/>
    <cellStyle name="40% - Accent5 5 5 7 3 2" xfId="20104" xr:uid="{00000000-0005-0000-0000-0000844E0000}"/>
    <cellStyle name="40% - Accent5 5 5 7 4" xfId="20105" xr:uid="{00000000-0005-0000-0000-0000854E0000}"/>
    <cellStyle name="40% - Accent5 5 5 8" xfId="20106" xr:uid="{00000000-0005-0000-0000-0000864E0000}"/>
    <cellStyle name="40% - Accent5 5 5 8 2" xfId="20107" xr:uid="{00000000-0005-0000-0000-0000874E0000}"/>
    <cellStyle name="40% - Accent5 5 5 8 2 2" xfId="20108" xr:uid="{00000000-0005-0000-0000-0000884E0000}"/>
    <cellStyle name="40% - Accent5 5 5 8 2 2 2" xfId="20109" xr:uid="{00000000-0005-0000-0000-0000894E0000}"/>
    <cellStyle name="40% - Accent5 5 5 8 2 3" xfId="20110" xr:uid="{00000000-0005-0000-0000-00008A4E0000}"/>
    <cellStyle name="40% - Accent5 5 5 8 3" xfId="20111" xr:uid="{00000000-0005-0000-0000-00008B4E0000}"/>
    <cellStyle name="40% - Accent5 5 5 8 3 2" xfId="20112" xr:uid="{00000000-0005-0000-0000-00008C4E0000}"/>
    <cellStyle name="40% - Accent5 5 5 8 4" xfId="20113" xr:uid="{00000000-0005-0000-0000-00008D4E0000}"/>
    <cellStyle name="40% - Accent5 5 5 9" xfId="20114" xr:uid="{00000000-0005-0000-0000-00008E4E0000}"/>
    <cellStyle name="40% - Accent5 5 5 9 2" xfId="20115" xr:uid="{00000000-0005-0000-0000-00008F4E0000}"/>
    <cellStyle name="40% - Accent5 5 5 9 2 2" xfId="20116" xr:uid="{00000000-0005-0000-0000-0000904E0000}"/>
    <cellStyle name="40% - Accent5 5 5 9 3" xfId="20117" xr:uid="{00000000-0005-0000-0000-0000914E0000}"/>
    <cellStyle name="40% - Accent5 5 6" xfId="20118" xr:uid="{00000000-0005-0000-0000-0000924E0000}"/>
    <cellStyle name="40% - Accent5 5 6 10" xfId="20119" xr:uid="{00000000-0005-0000-0000-0000934E0000}"/>
    <cellStyle name="40% - Accent5 5 6 10 2" xfId="20120" xr:uid="{00000000-0005-0000-0000-0000944E0000}"/>
    <cellStyle name="40% - Accent5 5 6 10 2 2" xfId="20121" xr:uid="{00000000-0005-0000-0000-0000954E0000}"/>
    <cellStyle name="40% - Accent5 5 6 10 3" xfId="20122" xr:uid="{00000000-0005-0000-0000-0000964E0000}"/>
    <cellStyle name="40% - Accent5 5 6 11" xfId="20123" xr:uid="{00000000-0005-0000-0000-0000974E0000}"/>
    <cellStyle name="40% - Accent5 5 6 11 2" xfId="20124" xr:uid="{00000000-0005-0000-0000-0000984E0000}"/>
    <cellStyle name="40% - Accent5 5 6 11 2 2" xfId="20125" xr:uid="{00000000-0005-0000-0000-0000994E0000}"/>
    <cellStyle name="40% - Accent5 5 6 11 3" xfId="20126" xr:uid="{00000000-0005-0000-0000-00009A4E0000}"/>
    <cellStyle name="40% - Accent5 5 6 12" xfId="20127" xr:uid="{00000000-0005-0000-0000-00009B4E0000}"/>
    <cellStyle name="40% - Accent5 5 6 12 2" xfId="20128" xr:uid="{00000000-0005-0000-0000-00009C4E0000}"/>
    <cellStyle name="40% - Accent5 5 6 12 2 2" xfId="20129" xr:uid="{00000000-0005-0000-0000-00009D4E0000}"/>
    <cellStyle name="40% - Accent5 5 6 12 3" xfId="20130" xr:uid="{00000000-0005-0000-0000-00009E4E0000}"/>
    <cellStyle name="40% - Accent5 5 6 13" xfId="20131" xr:uid="{00000000-0005-0000-0000-00009F4E0000}"/>
    <cellStyle name="40% - Accent5 5 6 13 2" xfId="20132" xr:uid="{00000000-0005-0000-0000-0000A04E0000}"/>
    <cellStyle name="40% - Accent5 5 6 14" xfId="20133" xr:uid="{00000000-0005-0000-0000-0000A14E0000}"/>
    <cellStyle name="40% - Accent5 5 6 2" xfId="20134" xr:uid="{00000000-0005-0000-0000-0000A24E0000}"/>
    <cellStyle name="40% - Accent5 5 6 2 2" xfId="20135" xr:uid="{00000000-0005-0000-0000-0000A34E0000}"/>
    <cellStyle name="40% - Accent5 5 6 2 2 2" xfId="20136" xr:uid="{00000000-0005-0000-0000-0000A44E0000}"/>
    <cellStyle name="40% - Accent5 5 6 2 2 2 2" xfId="20137" xr:uid="{00000000-0005-0000-0000-0000A54E0000}"/>
    <cellStyle name="40% - Accent5 5 6 2 2 2 2 2" xfId="20138" xr:uid="{00000000-0005-0000-0000-0000A64E0000}"/>
    <cellStyle name="40% - Accent5 5 6 2 2 2 3" xfId="20139" xr:uid="{00000000-0005-0000-0000-0000A74E0000}"/>
    <cellStyle name="40% - Accent5 5 6 2 2 3" xfId="20140" xr:uid="{00000000-0005-0000-0000-0000A84E0000}"/>
    <cellStyle name="40% - Accent5 5 6 2 2 3 2" xfId="20141" xr:uid="{00000000-0005-0000-0000-0000A94E0000}"/>
    <cellStyle name="40% - Accent5 5 6 2 2 4" xfId="20142" xr:uid="{00000000-0005-0000-0000-0000AA4E0000}"/>
    <cellStyle name="40% - Accent5 5 6 2 3" xfId="20143" xr:uid="{00000000-0005-0000-0000-0000AB4E0000}"/>
    <cellStyle name="40% - Accent5 5 6 2 3 2" xfId="20144" xr:uid="{00000000-0005-0000-0000-0000AC4E0000}"/>
    <cellStyle name="40% - Accent5 5 6 2 3 2 2" xfId="20145" xr:uid="{00000000-0005-0000-0000-0000AD4E0000}"/>
    <cellStyle name="40% - Accent5 5 6 2 3 3" xfId="20146" xr:uid="{00000000-0005-0000-0000-0000AE4E0000}"/>
    <cellStyle name="40% - Accent5 5 6 2 4" xfId="20147" xr:uid="{00000000-0005-0000-0000-0000AF4E0000}"/>
    <cellStyle name="40% - Accent5 5 6 2 4 2" xfId="20148" xr:uid="{00000000-0005-0000-0000-0000B04E0000}"/>
    <cellStyle name="40% - Accent5 5 6 2 4 2 2" xfId="20149" xr:uid="{00000000-0005-0000-0000-0000B14E0000}"/>
    <cellStyle name="40% - Accent5 5 6 2 4 3" xfId="20150" xr:uid="{00000000-0005-0000-0000-0000B24E0000}"/>
    <cellStyle name="40% - Accent5 5 6 2 5" xfId="20151" xr:uid="{00000000-0005-0000-0000-0000B34E0000}"/>
    <cellStyle name="40% - Accent5 5 6 2 5 2" xfId="20152" xr:uid="{00000000-0005-0000-0000-0000B44E0000}"/>
    <cellStyle name="40% - Accent5 5 6 2 5 2 2" xfId="20153" xr:uid="{00000000-0005-0000-0000-0000B54E0000}"/>
    <cellStyle name="40% - Accent5 5 6 2 5 3" xfId="20154" xr:uid="{00000000-0005-0000-0000-0000B64E0000}"/>
    <cellStyle name="40% - Accent5 5 6 2 6" xfId="20155" xr:uid="{00000000-0005-0000-0000-0000B74E0000}"/>
    <cellStyle name="40% - Accent5 5 6 2 6 2" xfId="20156" xr:uid="{00000000-0005-0000-0000-0000B84E0000}"/>
    <cellStyle name="40% - Accent5 5 6 2 6 2 2" xfId="20157" xr:uid="{00000000-0005-0000-0000-0000B94E0000}"/>
    <cellStyle name="40% - Accent5 5 6 2 6 3" xfId="20158" xr:uid="{00000000-0005-0000-0000-0000BA4E0000}"/>
    <cellStyle name="40% - Accent5 5 6 2 7" xfId="20159" xr:uid="{00000000-0005-0000-0000-0000BB4E0000}"/>
    <cellStyle name="40% - Accent5 5 6 2 7 2" xfId="20160" xr:uid="{00000000-0005-0000-0000-0000BC4E0000}"/>
    <cellStyle name="40% - Accent5 5 6 2 8" xfId="20161" xr:uid="{00000000-0005-0000-0000-0000BD4E0000}"/>
    <cellStyle name="40% - Accent5 5 6 3" xfId="20162" xr:uid="{00000000-0005-0000-0000-0000BE4E0000}"/>
    <cellStyle name="40% - Accent5 5 6 3 2" xfId="20163" xr:uid="{00000000-0005-0000-0000-0000BF4E0000}"/>
    <cellStyle name="40% - Accent5 5 6 3 2 2" xfId="20164" xr:uid="{00000000-0005-0000-0000-0000C04E0000}"/>
    <cellStyle name="40% - Accent5 5 6 3 2 2 2" xfId="20165" xr:uid="{00000000-0005-0000-0000-0000C14E0000}"/>
    <cellStyle name="40% - Accent5 5 6 3 2 2 2 2" xfId="20166" xr:uid="{00000000-0005-0000-0000-0000C24E0000}"/>
    <cellStyle name="40% - Accent5 5 6 3 2 2 3" xfId="20167" xr:uid="{00000000-0005-0000-0000-0000C34E0000}"/>
    <cellStyle name="40% - Accent5 5 6 3 2 3" xfId="20168" xr:uid="{00000000-0005-0000-0000-0000C44E0000}"/>
    <cellStyle name="40% - Accent5 5 6 3 2 3 2" xfId="20169" xr:uid="{00000000-0005-0000-0000-0000C54E0000}"/>
    <cellStyle name="40% - Accent5 5 6 3 2 4" xfId="20170" xr:uid="{00000000-0005-0000-0000-0000C64E0000}"/>
    <cellStyle name="40% - Accent5 5 6 3 3" xfId="20171" xr:uid="{00000000-0005-0000-0000-0000C74E0000}"/>
    <cellStyle name="40% - Accent5 5 6 3 3 2" xfId="20172" xr:uid="{00000000-0005-0000-0000-0000C84E0000}"/>
    <cellStyle name="40% - Accent5 5 6 3 3 2 2" xfId="20173" xr:uid="{00000000-0005-0000-0000-0000C94E0000}"/>
    <cellStyle name="40% - Accent5 5 6 3 3 3" xfId="20174" xr:uid="{00000000-0005-0000-0000-0000CA4E0000}"/>
    <cellStyle name="40% - Accent5 5 6 3 4" xfId="20175" xr:uid="{00000000-0005-0000-0000-0000CB4E0000}"/>
    <cellStyle name="40% - Accent5 5 6 3 4 2" xfId="20176" xr:uid="{00000000-0005-0000-0000-0000CC4E0000}"/>
    <cellStyle name="40% - Accent5 5 6 3 4 2 2" xfId="20177" xr:uid="{00000000-0005-0000-0000-0000CD4E0000}"/>
    <cellStyle name="40% - Accent5 5 6 3 4 3" xfId="20178" xr:uid="{00000000-0005-0000-0000-0000CE4E0000}"/>
    <cellStyle name="40% - Accent5 5 6 3 5" xfId="20179" xr:uid="{00000000-0005-0000-0000-0000CF4E0000}"/>
    <cellStyle name="40% - Accent5 5 6 3 5 2" xfId="20180" xr:uid="{00000000-0005-0000-0000-0000D04E0000}"/>
    <cellStyle name="40% - Accent5 5 6 3 5 2 2" xfId="20181" xr:uid="{00000000-0005-0000-0000-0000D14E0000}"/>
    <cellStyle name="40% - Accent5 5 6 3 5 3" xfId="20182" xr:uid="{00000000-0005-0000-0000-0000D24E0000}"/>
    <cellStyle name="40% - Accent5 5 6 3 6" xfId="20183" xr:uid="{00000000-0005-0000-0000-0000D34E0000}"/>
    <cellStyle name="40% - Accent5 5 6 3 6 2" xfId="20184" xr:uid="{00000000-0005-0000-0000-0000D44E0000}"/>
    <cellStyle name="40% - Accent5 5 6 3 6 2 2" xfId="20185" xr:uid="{00000000-0005-0000-0000-0000D54E0000}"/>
    <cellStyle name="40% - Accent5 5 6 3 6 3" xfId="20186" xr:uid="{00000000-0005-0000-0000-0000D64E0000}"/>
    <cellStyle name="40% - Accent5 5 6 3 7" xfId="20187" xr:uid="{00000000-0005-0000-0000-0000D74E0000}"/>
    <cellStyle name="40% - Accent5 5 6 3 7 2" xfId="20188" xr:uid="{00000000-0005-0000-0000-0000D84E0000}"/>
    <cellStyle name="40% - Accent5 5 6 3 8" xfId="20189" xr:uid="{00000000-0005-0000-0000-0000D94E0000}"/>
    <cellStyle name="40% - Accent5 5 6 4" xfId="20190" xr:uid="{00000000-0005-0000-0000-0000DA4E0000}"/>
    <cellStyle name="40% - Accent5 5 6 4 2" xfId="20191" xr:uid="{00000000-0005-0000-0000-0000DB4E0000}"/>
    <cellStyle name="40% - Accent5 5 6 4 2 2" xfId="20192" xr:uid="{00000000-0005-0000-0000-0000DC4E0000}"/>
    <cellStyle name="40% - Accent5 5 6 4 2 2 2" xfId="20193" xr:uid="{00000000-0005-0000-0000-0000DD4E0000}"/>
    <cellStyle name="40% - Accent5 5 6 4 2 2 2 2" xfId="20194" xr:uid="{00000000-0005-0000-0000-0000DE4E0000}"/>
    <cellStyle name="40% - Accent5 5 6 4 2 2 3" xfId="20195" xr:uid="{00000000-0005-0000-0000-0000DF4E0000}"/>
    <cellStyle name="40% - Accent5 5 6 4 2 3" xfId="20196" xr:uid="{00000000-0005-0000-0000-0000E04E0000}"/>
    <cellStyle name="40% - Accent5 5 6 4 2 3 2" xfId="20197" xr:uid="{00000000-0005-0000-0000-0000E14E0000}"/>
    <cellStyle name="40% - Accent5 5 6 4 2 4" xfId="20198" xr:uid="{00000000-0005-0000-0000-0000E24E0000}"/>
    <cellStyle name="40% - Accent5 5 6 4 3" xfId="20199" xr:uid="{00000000-0005-0000-0000-0000E34E0000}"/>
    <cellStyle name="40% - Accent5 5 6 4 3 2" xfId="20200" xr:uid="{00000000-0005-0000-0000-0000E44E0000}"/>
    <cellStyle name="40% - Accent5 5 6 4 3 2 2" xfId="20201" xr:uid="{00000000-0005-0000-0000-0000E54E0000}"/>
    <cellStyle name="40% - Accent5 5 6 4 3 3" xfId="20202" xr:uid="{00000000-0005-0000-0000-0000E64E0000}"/>
    <cellStyle name="40% - Accent5 5 6 4 4" xfId="20203" xr:uid="{00000000-0005-0000-0000-0000E74E0000}"/>
    <cellStyle name="40% - Accent5 5 6 4 4 2" xfId="20204" xr:uid="{00000000-0005-0000-0000-0000E84E0000}"/>
    <cellStyle name="40% - Accent5 5 6 4 4 2 2" xfId="20205" xr:uid="{00000000-0005-0000-0000-0000E94E0000}"/>
    <cellStyle name="40% - Accent5 5 6 4 4 3" xfId="20206" xr:uid="{00000000-0005-0000-0000-0000EA4E0000}"/>
    <cellStyle name="40% - Accent5 5 6 4 5" xfId="20207" xr:uid="{00000000-0005-0000-0000-0000EB4E0000}"/>
    <cellStyle name="40% - Accent5 5 6 4 5 2" xfId="20208" xr:uid="{00000000-0005-0000-0000-0000EC4E0000}"/>
    <cellStyle name="40% - Accent5 5 6 4 5 2 2" xfId="20209" xr:uid="{00000000-0005-0000-0000-0000ED4E0000}"/>
    <cellStyle name="40% - Accent5 5 6 4 5 3" xfId="20210" xr:uid="{00000000-0005-0000-0000-0000EE4E0000}"/>
    <cellStyle name="40% - Accent5 5 6 4 6" xfId="20211" xr:uid="{00000000-0005-0000-0000-0000EF4E0000}"/>
    <cellStyle name="40% - Accent5 5 6 4 6 2" xfId="20212" xr:uid="{00000000-0005-0000-0000-0000F04E0000}"/>
    <cellStyle name="40% - Accent5 5 6 4 6 2 2" xfId="20213" xr:uid="{00000000-0005-0000-0000-0000F14E0000}"/>
    <cellStyle name="40% - Accent5 5 6 4 6 3" xfId="20214" xr:uid="{00000000-0005-0000-0000-0000F24E0000}"/>
    <cellStyle name="40% - Accent5 5 6 4 7" xfId="20215" xr:uid="{00000000-0005-0000-0000-0000F34E0000}"/>
    <cellStyle name="40% - Accent5 5 6 4 7 2" xfId="20216" xr:uid="{00000000-0005-0000-0000-0000F44E0000}"/>
    <cellStyle name="40% - Accent5 5 6 4 8" xfId="20217" xr:uid="{00000000-0005-0000-0000-0000F54E0000}"/>
    <cellStyle name="40% - Accent5 5 6 5" xfId="20218" xr:uid="{00000000-0005-0000-0000-0000F64E0000}"/>
    <cellStyle name="40% - Accent5 5 6 5 2" xfId="20219" xr:uid="{00000000-0005-0000-0000-0000F74E0000}"/>
    <cellStyle name="40% - Accent5 5 6 5 2 2" xfId="20220" xr:uid="{00000000-0005-0000-0000-0000F84E0000}"/>
    <cellStyle name="40% - Accent5 5 6 5 2 2 2" xfId="20221" xr:uid="{00000000-0005-0000-0000-0000F94E0000}"/>
    <cellStyle name="40% - Accent5 5 6 5 2 2 2 2" xfId="20222" xr:uid="{00000000-0005-0000-0000-0000FA4E0000}"/>
    <cellStyle name="40% - Accent5 5 6 5 2 2 3" xfId="20223" xr:uid="{00000000-0005-0000-0000-0000FB4E0000}"/>
    <cellStyle name="40% - Accent5 5 6 5 2 3" xfId="20224" xr:uid="{00000000-0005-0000-0000-0000FC4E0000}"/>
    <cellStyle name="40% - Accent5 5 6 5 2 3 2" xfId="20225" xr:uid="{00000000-0005-0000-0000-0000FD4E0000}"/>
    <cellStyle name="40% - Accent5 5 6 5 2 4" xfId="20226" xr:uid="{00000000-0005-0000-0000-0000FE4E0000}"/>
    <cellStyle name="40% - Accent5 5 6 5 3" xfId="20227" xr:uid="{00000000-0005-0000-0000-0000FF4E0000}"/>
    <cellStyle name="40% - Accent5 5 6 5 3 2" xfId="20228" xr:uid="{00000000-0005-0000-0000-0000004F0000}"/>
    <cellStyle name="40% - Accent5 5 6 5 3 2 2" xfId="20229" xr:uid="{00000000-0005-0000-0000-0000014F0000}"/>
    <cellStyle name="40% - Accent5 5 6 5 3 3" xfId="20230" xr:uid="{00000000-0005-0000-0000-0000024F0000}"/>
    <cellStyle name="40% - Accent5 5 6 5 4" xfId="20231" xr:uid="{00000000-0005-0000-0000-0000034F0000}"/>
    <cellStyle name="40% - Accent5 5 6 5 4 2" xfId="20232" xr:uid="{00000000-0005-0000-0000-0000044F0000}"/>
    <cellStyle name="40% - Accent5 5 6 5 5" xfId="20233" xr:uid="{00000000-0005-0000-0000-0000054F0000}"/>
    <cellStyle name="40% - Accent5 5 6 6" xfId="20234" xr:uid="{00000000-0005-0000-0000-0000064F0000}"/>
    <cellStyle name="40% - Accent5 5 6 6 2" xfId="20235" xr:uid="{00000000-0005-0000-0000-0000074F0000}"/>
    <cellStyle name="40% - Accent5 5 6 6 2 2" xfId="20236" xr:uid="{00000000-0005-0000-0000-0000084F0000}"/>
    <cellStyle name="40% - Accent5 5 6 6 2 2 2" xfId="20237" xr:uid="{00000000-0005-0000-0000-0000094F0000}"/>
    <cellStyle name="40% - Accent5 5 6 6 2 2 2 2" xfId="20238" xr:uid="{00000000-0005-0000-0000-00000A4F0000}"/>
    <cellStyle name="40% - Accent5 5 6 6 2 2 3" xfId="20239" xr:uid="{00000000-0005-0000-0000-00000B4F0000}"/>
    <cellStyle name="40% - Accent5 5 6 6 2 3" xfId="20240" xr:uid="{00000000-0005-0000-0000-00000C4F0000}"/>
    <cellStyle name="40% - Accent5 5 6 6 2 3 2" xfId="20241" xr:uid="{00000000-0005-0000-0000-00000D4F0000}"/>
    <cellStyle name="40% - Accent5 5 6 6 2 4" xfId="20242" xr:uid="{00000000-0005-0000-0000-00000E4F0000}"/>
    <cellStyle name="40% - Accent5 5 6 6 3" xfId="20243" xr:uid="{00000000-0005-0000-0000-00000F4F0000}"/>
    <cellStyle name="40% - Accent5 5 6 6 3 2" xfId="20244" xr:uid="{00000000-0005-0000-0000-0000104F0000}"/>
    <cellStyle name="40% - Accent5 5 6 6 3 2 2" xfId="20245" xr:uid="{00000000-0005-0000-0000-0000114F0000}"/>
    <cellStyle name="40% - Accent5 5 6 6 3 3" xfId="20246" xr:uid="{00000000-0005-0000-0000-0000124F0000}"/>
    <cellStyle name="40% - Accent5 5 6 6 4" xfId="20247" xr:uid="{00000000-0005-0000-0000-0000134F0000}"/>
    <cellStyle name="40% - Accent5 5 6 6 4 2" xfId="20248" xr:uid="{00000000-0005-0000-0000-0000144F0000}"/>
    <cellStyle name="40% - Accent5 5 6 6 5" xfId="20249" xr:uid="{00000000-0005-0000-0000-0000154F0000}"/>
    <cellStyle name="40% - Accent5 5 6 7" xfId="20250" xr:uid="{00000000-0005-0000-0000-0000164F0000}"/>
    <cellStyle name="40% - Accent5 5 6 7 2" xfId="20251" xr:uid="{00000000-0005-0000-0000-0000174F0000}"/>
    <cellStyle name="40% - Accent5 5 6 7 2 2" xfId="20252" xr:uid="{00000000-0005-0000-0000-0000184F0000}"/>
    <cellStyle name="40% - Accent5 5 6 7 2 2 2" xfId="20253" xr:uid="{00000000-0005-0000-0000-0000194F0000}"/>
    <cellStyle name="40% - Accent5 5 6 7 2 3" xfId="20254" xr:uid="{00000000-0005-0000-0000-00001A4F0000}"/>
    <cellStyle name="40% - Accent5 5 6 7 3" xfId="20255" xr:uid="{00000000-0005-0000-0000-00001B4F0000}"/>
    <cellStyle name="40% - Accent5 5 6 7 3 2" xfId="20256" xr:uid="{00000000-0005-0000-0000-00001C4F0000}"/>
    <cellStyle name="40% - Accent5 5 6 7 4" xfId="20257" xr:uid="{00000000-0005-0000-0000-00001D4F0000}"/>
    <cellStyle name="40% - Accent5 5 6 8" xfId="20258" xr:uid="{00000000-0005-0000-0000-00001E4F0000}"/>
    <cellStyle name="40% - Accent5 5 6 8 2" xfId="20259" xr:uid="{00000000-0005-0000-0000-00001F4F0000}"/>
    <cellStyle name="40% - Accent5 5 6 8 2 2" xfId="20260" xr:uid="{00000000-0005-0000-0000-0000204F0000}"/>
    <cellStyle name="40% - Accent5 5 6 8 2 2 2" xfId="20261" xr:uid="{00000000-0005-0000-0000-0000214F0000}"/>
    <cellStyle name="40% - Accent5 5 6 8 2 3" xfId="20262" xr:uid="{00000000-0005-0000-0000-0000224F0000}"/>
    <cellStyle name="40% - Accent5 5 6 8 3" xfId="20263" xr:uid="{00000000-0005-0000-0000-0000234F0000}"/>
    <cellStyle name="40% - Accent5 5 6 8 3 2" xfId="20264" xr:uid="{00000000-0005-0000-0000-0000244F0000}"/>
    <cellStyle name="40% - Accent5 5 6 8 4" xfId="20265" xr:uid="{00000000-0005-0000-0000-0000254F0000}"/>
    <cellStyle name="40% - Accent5 5 6 9" xfId="20266" xr:uid="{00000000-0005-0000-0000-0000264F0000}"/>
    <cellStyle name="40% - Accent5 5 6 9 2" xfId="20267" xr:uid="{00000000-0005-0000-0000-0000274F0000}"/>
    <cellStyle name="40% - Accent5 5 6 9 2 2" xfId="20268" xr:uid="{00000000-0005-0000-0000-0000284F0000}"/>
    <cellStyle name="40% - Accent5 5 6 9 3" xfId="20269" xr:uid="{00000000-0005-0000-0000-0000294F0000}"/>
    <cellStyle name="40% - Accent5 5 7" xfId="20270" xr:uid="{00000000-0005-0000-0000-00002A4F0000}"/>
    <cellStyle name="40% - Accent5 5 7 10" xfId="20271" xr:uid="{00000000-0005-0000-0000-00002B4F0000}"/>
    <cellStyle name="40% - Accent5 5 7 10 2" xfId="20272" xr:uid="{00000000-0005-0000-0000-00002C4F0000}"/>
    <cellStyle name="40% - Accent5 5 7 10 2 2" xfId="20273" xr:uid="{00000000-0005-0000-0000-00002D4F0000}"/>
    <cellStyle name="40% - Accent5 5 7 10 3" xfId="20274" xr:uid="{00000000-0005-0000-0000-00002E4F0000}"/>
    <cellStyle name="40% - Accent5 5 7 11" xfId="20275" xr:uid="{00000000-0005-0000-0000-00002F4F0000}"/>
    <cellStyle name="40% - Accent5 5 7 11 2" xfId="20276" xr:uid="{00000000-0005-0000-0000-0000304F0000}"/>
    <cellStyle name="40% - Accent5 5 7 11 2 2" xfId="20277" xr:uid="{00000000-0005-0000-0000-0000314F0000}"/>
    <cellStyle name="40% - Accent5 5 7 11 3" xfId="20278" xr:uid="{00000000-0005-0000-0000-0000324F0000}"/>
    <cellStyle name="40% - Accent5 5 7 12" xfId="20279" xr:uid="{00000000-0005-0000-0000-0000334F0000}"/>
    <cellStyle name="40% - Accent5 5 7 12 2" xfId="20280" xr:uid="{00000000-0005-0000-0000-0000344F0000}"/>
    <cellStyle name="40% - Accent5 5 7 12 2 2" xfId="20281" xr:uid="{00000000-0005-0000-0000-0000354F0000}"/>
    <cellStyle name="40% - Accent5 5 7 12 3" xfId="20282" xr:uid="{00000000-0005-0000-0000-0000364F0000}"/>
    <cellStyle name="40% - Accent5 5 7 13" xfId="20283" xr:uid="{00000000-0005-0000-0000-0000374F0000}"/>
    <cellStyle name="40% - Accent5 5 7 13 2" xfId="20284" xr:uid="{00000000-0005-0000-0000-0000384F0000}"/>
    <cellStyle name="40% - Accent5 5 7 14" xfId="20285" xr:uid="{00000000-0005-0000-0000-0000394F0000}"/>
    <cellStyle name="40% - Accent5 5 7 2" xfId="20286" xr:uid="{00000000-0005-0000-0000-00003A4F0000}"/>
    <cellStyle name="40% - Accent5 5 7 2 2" xfId="20287" xr:uid="{00000000-0005-0000-0000-00003B4F0000}"/>
    <cellStyle name="40% - Accent5 5 7 2 2 2" xfId="20288" xr:uid="{00000000-0005-0000-0000-00003C4F0000}"/>
    <cellStyle name="40% - Accent5 5 7 2 2 2 2" xfId="20289" xr:uid="{00000000-0005-0000-0000-00003D4F0000}"/>
    <cellStyle name="40% - Accent5 5 7 2 2 2 2 2" xfId="20290" xr:uid="{00000000-0005-0000-0000-00003E4F0000}"/>
    <cellStyle name="40% - Accent5 5 7 2 2 2 3" xfId="20291" xr:uid="{00000000-0005-0000-0000-00003F4F0000}"/>
    <cellStyle name="40% - Accent5 5 7 2 2 3" xfId="20292" xr:uid="{00000000-0005-0000-0000-0000404F0000}"/>
    <cellStyle name="40% - Accent5 5 7 2 2 3 2" xfId="20293" xr:uid="{00000000-0005-0000-0000-0000414F0000}"/>
    <cellStyle name="40% - Accent5 5 7 2 2 4" xfId="20294" xr:uid="{00000000-0005-0000-0000-0000424F0000}"/>
    <cellStyle name="40% - Accent5 5 7 2 3" xfId="20295" xr:uid="{00000000-0005-0000-0000-0000434F0000}"/>
    <cellStyle name="40% - Accent5 5 7 2 3 2" xfId="20296" xr:uid="{00000000-0005-0000-0000-0000444F0000}"/>
    <cellStyle name="40% - Accent5 5 7 2 3 2 2" xfId="20297" xr:uid="{00000000-0005-0000-0000-0000454F0000}"/>
    <cellStyle name="40% - Accent5 5 7 2 3 3" xfId="20298" xr:uid="{00000000-0005-0000-0000-0000464F0000}"/>
    <cellStyle name="40% - Accent5 5 7 2 4" xfId="20299" xr:uid="{00000000-0005-0000-0000-0000474F0000}"/>
    <cellStyle name="40% - Accent5 5 7 2 4 2" xfId="20300" xr:uid="{00000000-0005-0000-0000-0000484F0000}"/>
    <cellStyle name="40% - Accent5 5 7 2 4 2 2" xfId="20301" xr:uid="{00000000-0005-0000-0000-0000494F0000}"/>
    <cellStyle name="40% - Accent5 5 7 2 4 3" xfId="20302" xr:uid="{00000000-0005-0000-0000-00004A4F0000}"/>
    <cellStyle name="40% - Accent5 5 7 2 5" xfId="20303" xr:uid="{00000000-0005-0000-0000-00004B4F0000}"/>
    <cellStyle name="40% - Accent5 5 7 2 5 2" xfId="20304" xr:uid="{00000000-0005-0000-0000-00004C4F0000}"/>
    <cellStyle name="40% - Accent5 5 7 2 5 2 2" xfId="20305" xr:uid="{00000000-0005-0000-0000-00004D4F0000}"/>
    <cellStyle name="40% - Accent5 5 7 2 5 3" xfId="20306" xr:uid="{00000000-0005-0000-0000-00004E4F0000}"/>
    <cellStyle name="40% - Accent5 5 7 2 6" xfId="20307" xr:uid="{00000000-0005-0000-0000-00004F4F0000}"/>
    <cellStyle name="40% - Accent5 5 7 2 6 2" xfId="20308" xr:uid="{00000000-0005-0000-0000-0000504F0000}"/>
    <cellStyle name="40% - Accent5 5 7 2 6 2 2" xfId="20309" xr:uid="{00000000-0005-0000-0000-0000514F0000}"/>
    <cellStyle name="40% - Accent5 5 7 2 6 3" xfId="20310" xr:uid="{00000000-0005-0000-0000-0000524F0000}"/>
    <cellStyle name="40% - Accent5 5 7 2 7" xfId="20311" xr:uid="{00000000-0005-0000-0000-0000534F0000}"/>
    <cellStyle name="40% - Accent5 5 7 2 7 2" xfId="20312" xr:uid="{00000000-0005-0000-0000-0000544F0000}"/>
    <cellStyle name="40% - Accent5 5 7 2 8" xfId="20313" xr:uid="{00000000-0005-0000-0000-0000554F0000}"/>
    <cellStyle name="40% - Accent5 5 7 3" xfId="20314" xr:uid="{00000000-0005-0000-0000-0000564F0000}"/>
    <cellStyle name="40% - Accent5 5 7 3 2" xfId="20315" xr:uid="{00000000-0005-0000-0000-0000574F0000}"/>
    <cellStyle name="40% - Accent5 5 7 3 2 2" xfId="20316" xr:uid="{00000000-0005-0000-0000-0000584F0000}"/>
    <cellStyle name="40% - Accent5 5 7 3 2 2 2" xfId="20317" xr:uid="{00000000-0005-0000-0000-0000594F0000}"/>
    <cellStyle name="40% - Accent5 5 7 3 2 2 2 2" xfId="20318" xr:uid="{00000000-0005-0000-0000-00005A4F0000}"/>
    <cellStyle name="40% - Accent5 5 7 3 2 2 3" xfId="20319" xr:uid="{00000000-0005-0000-0000-00005B4F0000}"/>
    <cellStyle name="40% - Accent5 5 7 3 2 3" xfId="20320" xr:uid="{00000000-0005-0000-0000-00005C4F0000}"/>
    <cellStyle name="40% - Accent5 5 7 3 2 3 2" xfId="20321" xr:uid="{00000000-0005-0000-0000-00005D4F0000}"/>
    <cellStyle name="40% - Accent5 5 7 3 2 4" xfId="20322" xr:uid="{00000000-0005-0000-0000-00005E4F0000}"/>
    <cellStyle name="40% - Accent5 5 7 3 3" xfId="20323" xr:uid="{00000000-0005-0000-0000-00005F4F0000}"/>
    <cellStyle name="40% - Accent5 5 7 3 3 2" xfId="20324" xr:uid="{00000000-0005-0000-0000-0000604F0000}"/>
    <cellStyle name="40% - Accent5 5 7 3 3 2 2" xfId="20325" xr:uid="{00000000-0005-0000-0000-0000614F0000}"/>
    <cellStyle name="40% - Accent5 5 7 3 3 3" xfId="20326" xr:uid="{00000000-0005-0000-0000-0000624F0000}"/>
    <cellStyle name="40% - Accent5 5 7 3 4" xfId="20327" xr:uid="{00000000-0005-0000-0000-0000634F0000}"/>
    <cellStyle name="40% - Accent5 5 7 3 4 2" xfId="20328" xr:uid="{00000000-0005-0000-0000-0000644F0000}"/>
    <cellStyle name="40% - Accent5 5 7 3 4 2 2" xfId="20329" xr:uid="{00000000-0005-0000-0000-0000654F0000}"/>
    <cellStyle name="40% - Accent5 5 7 3 4 3" xfId="20330" xr:uid="{00000000-0005-0000-0000-0000664F0000}"/>
    <cellStyle name="40% - Accent5 5 7 3 5" xfId="20331" xr:uid="{00000000-0005-0000-0000-0000674F0000}"/>
    <cellStyle name="40% - Accent5 5 7 3 5 2" xfId="20332" xr:uid="{00000000-0005-0000-0000-0000684F0000}"/>
    <cellStyle name="40% - Accent5 5 7 3 5 2 2" xfId="20333" xr:uid="{00000000-0005-0000-0000-0000694F0000}"/>
    <cellStyle name="40% - Accent5 5 7 3 5 3" xfId="20334" xr:uid="{00000000-0005-0000-0000-00006A4F0000}"/>
    <cellStyle name="40% - Accent5 5 7 3 6" xfId="20335" xr:uid="{00000000-0005-0000-0000-00006B4F0000}"/>
    <cellStyle name="40% - Accent5 5 7 3 6 2" xfId="20336" xr:uid="{00000000-0005-0000-0000-00006C4F0000}"/>
    <cellStyle name="40% - Accent5 5 7 3 6 2 2" xfId="20337" xr:uid="{00000000-0005-0000-0000-00006D4F0000}"/>
    <cellStyle name="40% - Accent5 5 7 3 6 3" xfId="20338" xr:uid="{00000000-0005-0000-0000-00006E4F0000}"/>
    <cellStyle name="40% - Accent5 5 7 3 7" xfId="20339" xr:uid="{00000000-0005-0000-0000-00006F4F0000}"/>
    <cellStyle name="40% - Accent5 5 7 3 7 2" xfId="20340" xr:uid="{00000000-0005-0000-0000-0000704F0000}"/>
    <cellStyle name="40% - Accent5 5 7 3 8" xfId="20341" xr:uid="{00000000-0005-0000-0000-0000714F0000}"/>
    <cellStyle name="40% - Accent5 5 7 4" xfId="20342" xr:uid="{00000000-0005-0000-0000-0000724F0000}"/>
    <cellStyle name="40% - Accent5 5 7 4 2" xfId="20343" xr:uid="{00000000-0005-0000-0000-0000734F0000}"/>
    <cellStyle name="40% - Accent5 5 7 4 2 2" xfId="20344" xr:uid="{00000000-0005-0000-0000-0000744F0000}"/>
    <cellStyle name="40% - Accent5 5 7 4 2 2 2" xfId="20345" xr:uid="{00000000-0005-0000-0000-0000754F0000}"/>
    <cellStyle name="40% - Accent5 5 7 4 2 2 2 2" xfId="20346" xr:uid="{00000000-0005-0000-0000-0000764F0000}"/>
    <cellStyle name="40% - Accent5 5 7 4 2 2 3" xfId="20347" xr:uid="{00000000-0005-0000-0000-0000774F0000}"/>
    <cellStyle name="40% - Accent5 5 7 4 2 3" xfId="20348" xr:uid="{00000000-0005-0000-0000-0000784F0000}"/>
    <cellStyle name="40% - Accent5 5 7 4 2 3 2" xfId="20349" xr:uid="{00000000-0005-0000-0000-0000794F0000}"/>
    <cellStyle name="40% - Accent5 5 7 4 2 4" xfId="20350" xr:uid="{00000000-0005-0000-0000-00007A4F0000}"/>
    <cellStyle name="40% - Accent5 5 7 4 3" xfId="20351" xr:uid="{00000000-0005-0000-0000-00007B4F0000}"/>
    <cellStyle name="40% - Accent5 5 7 4 3 2" xfId="20352" xr:uid="{00000000-0005-0000-0000-00007C4F0000}"/>
    <cellStyle name="40% - Accent5 5 7 4 3 2 2" xfId="20353" xr:uid="{00000000-0005-0000-0000-00007D4F0000}"/>
    <cellStyle name="40% - Accent5 5 7 4 3 3" xfId="20354" xr:uid="{00000000-0005-0000-0000-00007E4F0000}"/>
    <cellStyle name="40% - Accent5 5 7 4 4" xfId="20355" xr:uid="{00000000-0005-0000-0000-00007F4F0000}"/>
    <cellStyle name="40% - Accent5 5 7 4 4 2" xfId="20356" xr:uid="{00000000-0005-0000-0000-0000804F0000}"/>
    <cellStyle name="40% - Accent5 5 7 4 4 2 2" xfId="20357" xr:uid="{00000000-0005-0000-0000-0000814F0000}"/>
    <cellStyle name="40% - Accent5 5 7 4 4 3" xfId="20358" xr:uid="{00000000-0005-0000-0000-0000824F0000}"/>
    <cellStyle name="40% - Accent5 5 7 4 5" xfId="20359" xr:uid="{00000000-0005-0000-0000-0000834F0000}"/>
    <cellStyle name="40% - Accent5 5 7 4 5 2" xfId="20360" xr:uid="{00000000-0005-0000-0000-0000844F0000}"/>
    <cellStyle name="40% - Accent5 5 7 4 5 2 2" xfId="20361" xr:uid="{00000000-0005-0000-0000-0000854F0000}"/>
    <cellStyle name="40% - Accent5 5 7 4 5 3" xfId="20362" xr:uid="{00000000-0005-0000-0000-0000864F0000}"/>
    <cellStyle name="40% - Accent5 5 7 4 6" xfId="20363" xr:uid="{00000000-0005-0000-0000-0000874F0000}"/>
    <cellStyle name="40% - Accent5 5 7 4 6 2" xfId="20364" xr:uid="{00000000-0005-0000-0000-0000884F0000}"/>
    <cellStyle name="40% - Accent5 5 7 4 6 2 2" xfId="20365" xr:uid="{00000000-0005-0000-0000-0000894F0000}"/>
    <cellStyle name="40% - Accent5 5 7 4 6 3" xfId="20366" xr:uid="{00000000-0005-0000-0000-00008A4F0000}"/>
    <cellStyle name="40% - Accent5 5 7 4 7" xfId="20367" xr:uid="{00000000-0005-0000-0000-00008B4F0000}"/>
    <cellStyle name="40% - Accent5 5 7 4 7 2" xfId="20368" xr:uid="{00000000-0005-0000-0000-00008C4F0000}"/>
    <cellStyle name="40% - Accent5 5 7 4 8" xfId="20369" xr:uid="{00000000-0005-0000-0000-00008D4F0000}"/>
    <cellStyle name="40% - Accent5 5 7 5" xfId="20370" xr:uid="{00000000-0005-0000-0000-00008E4F0000}"/>
    <cellStyle name="40% - Accent5 5 7 5 2" xfId="20371" xr:uid="{00000000-0005-0000-0000-00008F4F0000}"/>
    <cellStyle name="40% - Accent5 5 7 5 2 2" xfId="20372" xr:uid="{00000000-0005-0000-0000-0000904F0000}"/>
    <cellStyle name="40% - Accent5 5 7 5 2 2 2" xfId="20373" xr:uid="{00000000-0005-0000-0000-0000914F0000}"/>
    <cellStyle name="40% - Accent5 5 7 5 2 2 2 2" xfId="20374" xr:uid="{00000000-0005-0000-0000-0000924F0000}"/>
    <cellStyle name="40% - Accent5 5 7 5 2 2 3" xfId="20375" xr:uid="{00000000-0005-0000-0000-0000934F0000}"/>
    <cellStyle name="40% - Accent5 5 7 5 2 3" xfId="20376" xr:uid="{00000000-0005-0000-0000-0000944F0000}"/>
    <cellStyle name="40% - Accent5 5 7 5 2 3 2" xfId="20377" xr:uid="{00000000-0005-0000-0000-0000954F0000}"/>
    <cellStyle name="40% - Accent5 5 7 5 2 4" xfId="20378" xr:uid="{00000000-0005-0000-0000-0000964F0000}"/>
    <cellStyle name="40% - Accent5 5 7 5 3" xfId="20379" xr:uid="{00000000-0005-0000-0000-0000974F0000}"/>
    <cellStyle name="40% - Accent5 5 7 5 3 2" xfId="20380" xr:uid="{00000000-0005-0000-0000-0000984F0000}"/>
    <cellStyle name="40% - Accent5 5 7 5 3 2 2" xfId="20381" xr:uid="{00000000-0005-0000-0000-0000994F0000}"/>
    <cellStyle name="40% - Accent5 5 7 5 3 3" xfId="20382" xr:uid="{00000000-0005-0000-0000-00009A4F0000}"/>
    <cellStyle name="40% - Accent5 5 7 5 4" xfId="20383" xr:uid="{00000000-0005-0000-0000-00009B4F0000}"/>
    <cellStyle name="40% - Accent5 5 7 5 4 2" xfId="20384" xr:uid="{00000000-0005-0000-0000-00009C4F0000}"/>
    <cellStyle name="40% - Accent5 5 7 5 5" xfId="20385" xr:uid="{00000000-0005-0000-0000-00009D4F0000}"/>
    <cellStyle name="40% - Accent5 5 7 6" xfId="20386" xr:uid="{00000000-0005-0000-0000-00009E4F0000}"/>
    <cellStyle name="40% - Accent5 5 7 6 2" xfId="20387" xr:uid="{00000000-0005-0000-0000-00009F4F0000}"/>
    <cellStyle name="40% - Accent5 5 7 6 2 2" xfId="20388" xr:uid="{00000000-0005-0000-0000-0000A04F0000}"/>
    <cellStyle name="40% - Accent5 5 7 6 2 2 2" xfId="20389" xr:uid="{00000000-0005-0000-0000-0000A14F0000}"/>
    <cellStyle name="40% - Accent5 5 7 6 2 2 2 2" xfId="20390" xr:uid="{00000000-0005-0000-0000-0000A24F0000}"/>
    <cellStyle name="40% - Accent5 5 7 6 2 2 3" xfId="20391" xr:uid="{00000000-0005-0000-0000-0000A34F0000}"/>
    <cellStyle name="40% - Accent5 5 7 6 2 3" xfId="20392" xr:uid="{00000000-0005-0000-0000-0000A44F0000}"/>
    <cellStyle name="40% - Accent5 5 7 6 2 3 2" xfId="20393" xr:uid="{00000000-0005-0000-0000-0000A54F0000}"/>
    <cellStyle name="40% - Accent5 5 7 6 2 4" xfId="20394" xr:uid="{00000000-0005-0000-0000-0000A64F0000}"/>
    <cellStyle name="40% - Accent5 5 7 6 3" xfId="20395" xr:uid="{00000000-0005-0000-0000-0000A74F0000}"/>
    <cellStyle name="40% - Accent5 5 7 6 3 2" xfId="20396" xr:uid="{00000000-0005-0000-0000-0000A84F0000}"/>
    <cellStyle name="40% - Accent5 5 7 6 3 2 2" xfId="20397" xr:uid="{00000000-0005-0000-0000-0000A94F0000}"/>
    <cellStyle name="40% - Accent5 5 7 6 3 3" xfId="20398" xr:uid="{00000000-0005-0000-0000-0000AA4F0000}"/>
    <cellStyle name="40% - Accent5 5 7 6 4" xfId="20399" xr:uid="{00000000-0005-0000-0000-0000AB4F0000}"/>
    <cellStyle name="40% - Accent5 5 7 6 4 2" xfId="20400" xr:uid="{00000000-0005-0000-0000-0000AC4F0000}"/>
    <cellStyle name="40% - Accent5 5 7 6 5" xfId="20401" xr:uid="{00000000-0005-0000-0000-0000AD4F0000}"/>
    <cellStyle name="40% - Accent5 5 7 7" xfId="20402" xr:uid="{00000000-0005-0000-0000-0000AE4F0000}"/>
    <cellStyle name="40% - Accent5 5 7 7 2" xfId="20403" xr:uid="{00000000-0005-0000-0000-0000AF4F0000}"/>
    <cellStyle name="40% - Accent5 5 7 7 2 2" xfId="20404" xr:uid="{00000000-0005-0000-0000-0000B04F0000}"/>
    <cellStyle name="40% - Accent5 5 7 7 2 2 2" xfId="20405" xr:uid="{00000000-0005-0000-0000-0000B14F0000}"/>
    <cellStyle name="40% - Accent5 5 7 7 2 3" xfId="20406" xr:uid="{00000000-0005-0000-0000-0000B24F0000}"/>
    <cellStyle name="40% - Accent5 5 7 7 3" xfId="20407" xr:uid="{00000000-0005-0000-0000-0000B34F0000}"/>
    <cellStyle name="40% - Accent5 5 7 7 3 2" xfId="20408" xr:uid="{00000000-0005-0000-0000-0000B44F0000}"/>
    <cellStyle name="40% - Accent5 5 7 7 4" xfId="20409" xr:uid="{00000000-0005-0000-0000-0000B54F0000}"/>
    <cellStyle name="40% - Accent5 5 7 8" xfId="20410" xr:uid="{00000000-0005-0000-0000-0000B64F0000}"/>
    <cellStyle name="40% - Accent5 5 7 8 2" xfId="20411" xr:uid="{00000000-0005-0000-0000-0000B74F0000}"/>
    <cellStyle name="40% - Accent5 5 7 8 2 2" xfId="20412" xr:uid="{00000000-0005-0000-0000-0000B84F0000}"/>
    <cellStyle name="40% - Accent5 5 7 8 2 2 2" xfId="20413" xr:uid="{00000000-0005-0000-0000-0000B94F0000}"/>
    <cellStyle name="40% - Accent5 5 7 8 2 3" xfId="20414" xr:uid="{00000000-0005-0000-0000-0000BA4F0000}"/>
    <cellStyle name="40% - Accent5 5 7 8 3" xfId="20415" xr:uid="{00000000-0005-0000-0000-0000BB4F0000}"/>
    <cellStyle name="40% - Accent5 5 7 8 3 2" xfId="20416" xr:uid="{00000000-0005-0000-0000-0000BC4F0000}"/>
    <cellStyle name="40% - Accent5 5 7 8 4" xfId="20417" xr:uid="{00000000-0005-0000-0000-0000BD4F0000}"/>
    <cellStyle name="40% - Accent5 5 7 9" xfId="20418" xr:uid="{00000000-0005-0000-0000-0000BE4F0000}"/>
    <cellStyle name="40% - Accent5 5 7 9 2" xfId="20419" xr:uid="{00000000-0005-0000-0000-0000BF4F0000}"/>
    <cellStyle name="40% - Accent5 5 7 9 2 2" xfId="20420" xr:uid="{00000000-0005-0000-0000-0000C04F0000}"/>
    <cellStyle name="40% - Accent5 5 7 9 3" xfId="20421" xr:uid="{00000000-0005-0000-0000-0000C14F0000}"/>
    <cellStyle name="40% - Accent5 5 8" xfId="20422" xr:uid="{00000000-0005-0000-0000-0000C24F0000}"/>
    <cellStyle name="40% - Accent5 5 8 2" xfId="20423" xr:uid="{00000000-0005-0000-0000-0000C34F0000}"/>
    <cellStyle name="40% - Accent5 5 8 2 2" xfId="20424" xr:uid="{00000000-0005-0000-0000-0000C44F0000}"/>
    <cellStyle name="40% - Accent5 5 8 2 2 2" xfId="20425" xr:uid="{00000000-0005-0000-0000-0000C54F0000}"/>
    <cellStyle name="40% - Accent5 5 8 2 2 2 2" xfId="20426" xr:uid="{00000000-0005-0000-0000-0000C64F0000}"/>
    <cellStyle name="40% - Accent5 5 8 2 2 3" xfId="20427" xr:uid="{00000000-0005-0000-0000-0000C74F0000}"/>
    <cellStyle name="40% - Accent5 5 8 2 3" xfId="20428" xr:uid="{00000000-0005-0000-0000-0000C84F0000}"/>
    <cellStyle name="40% - Accent5 5 8 2 3 2" xfId="20429" xr:uid="{00000000-0005-0000-0000-0000C94F0000}"/>
    <cellStyle name="40% - Accent5 5 8 2 4" xfId="20430" xr:uid="{00000000-0005-0000-0000-0000CA4F0000}"/>
    <cellStyle name="40% - Accent5 5 8 3" xfId="20431" xr:uid="{00000000-0005-0000-0000-0000CB4F0000}"/>
    <cellStyle name="40% - Accent5 5 8 3 2" xfId="20432" xr:uid="{00000000-0005-0000-0000-0000CC4F0000}"/>
    <cellStyle name="40% - Accent5 5 8 3 2 2" xfId="20433" xr:uid="{00000000-0005-0000-0000-0000CD4F0000}"/>
    <cellStyle name="40% - Accent5 5 8 3 3" xfId="20434" xr:uid="{00000000-0005-0000-0000-0000CE4F0000}"/>
    <cellStyle name="40% - Accent5 5 8 4" xfId="20435" xr:uid="{00000000-0005-0000-0000-0000CF4F0000}"/>
    <cellStyle name="40% - Accent5 5 8 4 2" xfId="20436" xr:uid="{00000000-0005-0000-0000-0000D04F0000}"/>
    <cellStyle name="40% - Accent5 5 8 4 2 2" xfId="20437" xr:uid="{00000000-0005-0000-0000-0000D14F0000}"/>
    <cellStyle name="40% - Accent5 5 8 4 3" xfId="20438" xr:uid="{00000000-0005-0000-0000-0000D24F0000}"/>
    <cellStyle name="40% - Accent5 5 8 5" xfId="20439" xr:uid="{00000000-0005-0000-0000-0000D34F0000}"/>
    <cellStyle name="40% - Accent5 5 8 5 2" xfId="20440" xr:uid="{00000000-0005-0000-0000-0000D44F0000}"/>
    <cellStyle name="40% - Accent5 5 8 5 2 2" xfId="20441" xr:uid="{00000000-0005-0000-0000-0000D54F0000}"/>
    <cellStyle name="40% - Accent5 5 8 5 3" xfId="20442" xr:uid="{00000000-0005-0000-0000-0000D64F0000}"/>
    <cellStyle name="40% - Accent5 5 8 6" xfId="20443" xr:uid="{00000000-0005-0000-0000-0000D74F0000}"/>
    <cellStyle name="40% - Accent5 5 8 6 2" xfId="20444" xr:uid="{00000000-0005-0000-0000-0000D84F0000}"/>
    <cellStyle name="40% - Accent5 5 8 6 2 2" xfId="20445" xr:uid="{00000000-0005-0000-0000-0000D94F0000}"/>
    <cellStyle name="40% - Accent5 5 8 6 3" xfId="20446" xr:uid="{00000000-0005-0000-0000-0000DA4F0000}"/>
    <cellStyle name="40% - Accent5 5 8 7" xfId="20447" xr:uid="{00000000-0005-0000-0000-0000DB4F0000}"/>
    <cellStyle name="40% - Accent5 5 8 7 2" xfId="20448" xr:uid="{00000000-0005-0000-0000-0000DC4F0000}"/>
    <cellStyle name="40% - Accent5 5 8 8" xfId="20449" xr:uid="{00000000-0005-0000-0000-0000DD4F0000}"/>
    <cellStyle name="40% - Accent5 5 9" xfId="20450" xr:uid="{00000000-0005-0000-0000-0000DE4F0000}"/>
    <cellStyle name="40% - Accent5 5 9 2" xfId="20451" xr:uid="{00000000-0005-0000-0000-0000DF4F0000}"/>
    <cellStyle name="40% - Accent5 5 9 2 2" xfId="20452" xr:uid="{00000000-0005-0000-0000-0000E04F0000}"/>
    <cellStyle name="40% - Accent5 5 9 2 2 2" xfId="20453" xr:uid="{00000000-0005-0000-0000-0000E14F0000}"/>
    <cellStyle name="40% - Accent5 5 9 2 2 2 2" xfId="20454" xr:uid="{00000000-0005-0000-0000-0000E24F0000}"/>
    <cellStyle name="40% - Accent5 5 9 2 2 3" xfId="20455" xr:uid="{00000000-0005-0000-0000-0000E34F0000}"/>
    <cellStyle name="40% - Accent5 5 9 2 3" xfId="20456" xr:uid="{00000000-0005-0000-0000-0000E44F0000}"/>
    <cellStyle name="40% - Accent5 5 9 2 3 2" xfId="20457" xr:uid="{00000000-0005-0000-0000-0000E54F0000}"/>
    <cellStyle name="40% - Accent5 5 9 2 4" xfId="20458" xr:uid="{00000000-0005-0000-0000-0000E64F0000}"/>
    <cellStyle name="40% - Accent5 5 9 3" xfId="20459" xr:uid="{00000000-0005-0000-0000-0000E74F0000}"/>
    <cellStyle name="40% - Accent5 5 9 3 2" xfId="20460" xr:uid="{00000000-0005-0000-0000-0000E84F0000}"/>
    <cellStyle name="40% - Accent5 5 9 3 2 2" xfId="20461" xr:uid="{00000000-0005-0000-0000-0000E94F0000}"/>
    <cellStyle name="40% - Accent5 5 9 3 3" xfId="20462" xr:uid="{00000000-0005-0000-0000-0000EA4F0000}"/>
    <cellStyle name="40% - Accent5 5 9 4" xfId="20463" xr:uid="{00000000-0005-0000-0000-0000EB4F0000}"/>
    <cellStyle name="40% - Accent5 5 9 4 2" xfId="20464" xr:uid="{00000000-0005-0000-0000-0000EC4F0000}"/>
    <cellStyle name="40% - Accent5 5 9 4 2 2" xfId="20465" xr:uid="{00000000-0005-0000-0000-0000ED4F0000}"/>
    <cellStyle name="40% - Accent5 5 9 4 3" xfId="20466" xr:uid="{00000000-0005-0000-0000-0000EE4F0000}"/>
    <cellStyle name="40% - Accent5 5 9 5" xfId="20467" xr:uid="{00000000-0005-0000-0000-0000EF4F0000}"/>
    <cellStyle name="40% - Accent5 5 9 5 2" xfId="20468" xr:uid="{00000000-0005-0000-0000-0000F04F0000}"/>
    <cellStyle name="40% - Accent5 5 9 5 2 2" xfId="20469" xr:uid="{00000000-0005-0000-0000-0000F14F0000}"/>
    <cellStyle name="40% - Accent5 5 9 5 3" xfId="20470" xr:uid="{00000000-0005-0000-0000-0000F24F0000}"/>
    <cellStyle name="40% - Accent5 5 9 6" xfId="20471" xr:uid="{00000000-0005-0000-0000-0000F34F0000}"/>
    <cellStyle name="40% - Accent5 5 9 6 2" xfId="20472" xr:uid="{00000000-0005-0000-0000-0000F44F0000}"/>
    <cellStyle name="40% - Accent5 5 9 6 2 2" xfId="20473" xr:uid="{00000000-0005-0000-0000-0000F54F0000}"/>
    <cellStyle name="40% - Accent5 5 9 6 3" xfId="20474" xr:uid="{00000000-0005-0000-0000-0000F64F0000}"/>
    <cellStyle name="40% - Accent5 5 9 7" xfId="20475" xr:uid="{00000000-0005-0000-0000-0000F74F0000}"/>
    <cellStyle name="40% - Accent5 5 9 7 2" xfId="20476" xr:uid="{00000000-0005-0000-0000-0000F84F0000}"/>
    <cellStyle name="40% - Accent5 5 9 8" xfId="20477" xr:uid="{00000000-0005-0000-0000-0000F94F0000}"/>
    <cellStyle name="40% - Accent5 6" xfId="20478" xr:uid="{00000000-0005-0000-0000-0000FA4F0000}"/>
    <cellStyle name="40% - Accent6 2" xfId="20479" xr:uid="{00000000-0005-0000-0000-0000FB4F0000}"/>
    <cellStyle name="40% - Accent6 3" xfId="20480" xr:uid="{00000000-0005-0000-0000-0000FC4F0000}"/>
    <cellStyle name="40% - Accent6 4" xfId="20481" xr:uid="{00000000-0005-0000-0000-0000FD4F0000}"/>
    <cellStyle name="40% - Accent6 5" xfId="20482" xr:uid="{00000000-0005-0000-0000-0000FE4F0000}"/>
    <cellStyle name="40% - Accent6 5 10" xfId="20483" xr:uid="{00000000-0005-0000-0000-0000FF4F0000}"/>
    <cellStyle name="40% - Accent6 5 10 2" xfId="20484" xr:uid="{00000000-0005-0000-0000-000000500000}"/>
    <cellStyle name="40% - Accent6 5 10 2 2" xfId="20485" xr:uid="{00000000-0005-0000-0000-000001500000}"/>
    <cellStyle name="40% - Accent6 5 10 2 2 2" xfId="20486" xr:uid="{00000000-0005-0000-0000-000002500000}"/>
    <cellStyle name="40% - Accent6 5 10 2 2 2 2" xfId="20487" xr:uid="{00000000-0005-0000-0000-000003500000}"/>
    <cellStyle name="40% - Accent6 5 10 2 2 3" xfId="20488" xr:uid="{00000000-0005-0000-0000-000004500000}"/>
    <cellStyle name="40% - Accent6 5 10 2 3" xfId="20489" xr:uid="{00000000-0005-0000-0000-000005500000}"/>
    <cellStyle name="40% - Accent6 5 10 2 3 2" xfId="20490" xr:uid="{00000000-0005-0000-0000-000006500000}"/>
    <cellStyle name="40% - Accent6 5 10 2 4" xfId="20491" xr:uid="{00000000-0005-0000-0000-000007500000}"/>
    <cellStyle name="40% - Accent6 5 10 3" xfId="20492" xr:uid="{00000000-0005-0000-0000-000008500000}"/>
    <cellStyle name="40% - Accent6 5 10 3 2" xfId="20493" xr:uid="{00000000-0005-0000-0000-000009500000}"/>
    <cellStyle name="40% - Accent6 5 10 3 2 2" xfId="20494" xr:uid="{00000000-0005-0000-0000-00000A500000}"/>
    <cellStyle name="40% - Accent6 5 10 3 3" xfId="20495" xr:uid="{00000000-0005-0000-0000-00000B500000}"/>
    <cellStyle name="40% - Accent6 5 10 4" xfId="20496" xr:uid="{00000000-0005-0000-0000-00000C500000}"/>
    <cellStyle name="40% - Accent6 5 10 4 2" xfId="20497" xr:uid="{00000000-0005-0000-0000-00000D500000}"/>
    <cellStyle name="40% - Accent6 5 10 4 2 2" xfId="20498" xr:uid="{00000000-0005-0000-0000-00000E500000}"/>
    <cellStyle name="40% - Accent6 5 10 4 3" xfId="20499" xr:uid="{00000000-0005-0000-0000-00000F500000}"/>
    <cellStyle name="40% - Accent6 5 10 5" xfId="20500" xr:uid="{00000000-0005-0000-0000-000010500000}"/>
    <cellStyle name="40% - Accent6 5 10 5 2" xfId="20501" xr:uid="{00000000-0005-0000-0000-000011500000}"/>
    <cellStyle name="40% - Accent6 5 10 5 2 2" xfId="20502" xr:uid="{00000000-0005-0000-0000-000012500000}"/>
    <cellStyle name="40% - Accent6 5 10 5 3" xfId="20503" xr:uid="{00000000-0005-0000-0000-000013500000}"/>
    <cellStyle name="40% - Accent6 5 10 6" xfId="20504" xr:uid="{00000000-0005-0000-0000-000014500000}"/>
    <cellStyle name="40% - Accent6 5 10 6 2" xfId="20505" xr:uid="{00000000-0005-0000-0000-000015500000}"/>
    <cellStyle name="40% - Accent6 5 10 6 2 2" xfId="20506" xr:uid="{00000000-0005-0000-0000-000016500000}"/>
    <cellStyle name="40% - Accent6 5 10 6 3" xfId="20507" xr:uid="{00000000-0005-0000-0000-000017500000}"/>
    <cellStyle name="40% - Accent6 5 10 7" xfId="20508" xr:uid="{00000000-0005-0000-0000-000018500000}"/>
    <cellStyle name="40% - Accent6 5 10 7 2" xfId="20509" xr:uid="{00000000-0005-0000-0000-000019500000}"/>
    <cellStyle name="40% - Accent6 5 10 8" xfId="20510" xr:uid="{00000000-0005-0000-0000-00001A500000}"/>
    <cellStyle name="40% - Accent6 5 11" xfId="20511" xr:uid="{00000000-0005-0000-0000-00001B500000}"/>
    <cellStyle name="40% - Accent6 5 11 2" xfId="20512" xr:uid="{00000000-0005-0000-0000-00001C500000}"/>
    <cellStyle name="40% - Accent6 5 11 2 2" xfId="20513" xr:uid="{00000000-0005-0000-0000-00001D500000}"/>
    <cellStyle name="40% - Accent6 5 11 2 2 2" xfId="20514" xr:uid="{00000000-0005-0000-0000-00001E500000}"/>
    <cellStyle name="40% - Accent6 5 11 2 2 2 2" xfId="20515" xr:uid="{00000000-0005-0000-0000-00001F500000}"/>
    <cellStyle name="40% - Accent6 5 11 2 2 3" xfId="20516" xr:uid="{00000000-0005-0000-0000-000020500000}"/>
    <cellStyle name="40% - Accent6 5 11 2 3" xfId="20517" xr:uid="{00000000-0005-0000-0000-000021500000}"/>
    <cellStyle name="40% - Accent6 5 11 2 3 2" xfId="20518" xr:uid="{00000000-0005-0000-0000-000022500000}"/>
    <cellStyle name="40% - Accent6 5 11 2 4" xfId="20519" xr:uid="{00000000-0005-0000-0000-000023500000}"/>
    <cellStyle name="40% - Accent6 5 11 3" xfId="20520" xr:uid="{00000000-0005-0000-0000-000024500000}"/>
    <cellStyle name="40% - Accent6 5 11 3 2" xfId="20521" xr:uid="{00000000-0005-0000-0000-000025500000}"/>
    <cellStyle name="40% - Accent6 5 11 3 2 2" xfId="20522" xr:uid="{00000000-0005-0000-0000-000026500000}"/>
    <cellStyle name="40% - Accent6 5 11 3 3" xfId="20523" xr:uid="{00000000-0005-0000-0000-000027500000}"/>
    <cellStyle name="40% - Accent6 5 11 4" xfId="20524" xr:uid="{00000000-0005-0000-0000-000028500000}"/>
    <cellStyle name="40% - Accent6 5 11 4 2" xfId="20525" xr:uid="{00000000-0005-0000-0000-000029500000}"/>
    <cellStyle name="40% - Accent6 5 11 5" xfId="20526" xr:uid="{00000000-0005-0000-0000-00002A500000}"/>
    <cellStyle name="40% - Accent6 5 12" xfId="20527" xr:uid="{00000000-0005-0000-0000-00002B500000}"/>
    <cellStyle name="40% - Accent6 5 12 2" xfId="20528" xr:uid="{00000000-0005-0000-0000-00002C500000}"/>
    <cellStyle name="40% - Accent6 5 12 2 2" xfId="20529" xr:uid="{00000000-0005-0000-0000-00002D500000}"/>
    <cellStyle name="40% - Accent6 5 12 2 2 2" xfId="20530" xr:uid="{00000000-0005-0000-0000-00002E500000}"/>
    <cellStyle name="40% - Accent6 5 12 2 2 2 2" xfId="20531" xr:uid="{00000000-0005-0000-0000-00002F500000}"/>
    <cellStyle name="40% - Accent6 5 12 2 2 3" xfId="20532" xr:uid="{00000000-0005-0000-0000-000030500000}"/>
    <cellStyle name="40% - Accent6 5 12 2 3" xfId="20533" xr:uid="{00000000-0005-0000-0000-000031500000}"/>
    <cellStyle name="40% - Accent6 5 12 2 3 2" xfId="20534" xr:uid="{00000000-0005-0000-0000-000032500000}"/>
    <cellStyle name="40% - Accent6 5 12 2 4" xfId="20535" xr:uid="{00000000-0005-0000-0000-000033500000}"/>
    <cellStyle name="40% - Accent6 5 12 3" xfId="20536" xr:uid="{00000000-0005-0000-0000-000034500000}"/>
    <cellStyle name="40% - Accent6 5 12 3 2" xfId="20537" xr:uid="{00000000-0005-0000-0000-000035500000}"/>
    <cellStyle name="40% - Accent6 5 12 3 2 2" xfId="20538" xr:uid="{00000000-0005-0000-0000-000036500000}"/>
    <cellStyle name="40% - Accent6 5 12 3 3" xfId="20539" xr:uid="{00000000-0005-0000-0000-000037500000}"/>
    <cellStyle name="40% - Accent6 5 12 4" xfId="20540" xr:uid="{00000000-0005-0000-0000-000038500000}"/>
    <cellStyle name="40% - Accent6 5 12 4 2" xfId="20541" xr:uid="{00000000-0005-0000-0000-000039500000}"/>
    <cellStyle name="40% - Accent6 5 12 5" xfId="20542" xr:uid="{00000000-0005-0000-0000-00003A500000}"/>
    <cellStyle name="40% - Accent6 5 13" xfId="20543" xr:uid="{00000000-0005-0000-0000-00003B500000}"/>
    <cellStyle name="40% - Accent6 5 13 2" xfId="20544" xr:uid="{00000000-0005-0000-0000-00003C500000}"/>
    <cellStyle name="40% - Accent6 5 13 2 2" xfId="20545" xr:uid="{00000000-0005-0000-0000-00003D500000}"/>
    <cellStyle name="40% - Accent6 5 13 2 2 2" xfId="20546" xr:uid="{00000000-0005-0000-0000-00003E500000}"/>
    <cellStyle name="40% - Accent6 5 13 2 2 2 2" xfId="20547" xr:uid="{00000000-0005-0000-0000-00003F500000}"/>
    <cellStyle name="40% - Accent6 5 13 2 2 3" xfId="20548" xr:uid="{00000000-0005-0000-0000-000040500000}"/>
    <cellStyle name="40% - Accent6 5 13 2 3" xfId="20549" xr:uid="{00000000-0005-0000-0000-000041500000}"/>
    <cellStyle name="40% - Accent6 5 13 2 3 2" xfId="20550" xr:uid="{00000000-0005-0000-0000-000042500000}"/>
    <cellStyle name="40% - Accent6 5 13 2 4" xfId="20551" xr:uid="{00000000-0005-0000-0000-000043500000}"/>
    <cellStyle name="40% - Accent6 5 13 3" xfId="20552" xr:uid="{00000000-0005-0000-0000-000044500000}"/>
    <cellStyle name="40% - Accent6 5 13 3 2" xfId="20553" xr:uid="{00000000-0005-0000-0000-000045500000}"/>
    <cellStyle name="40% - Accent6 5 13 3 2 2" xfId="20554" xr:uid="{00000000-0005-0000-0000-000046500000}"/>
    <cellStyle name="40% - Accent6 5 13 3 3" xfId="20555" xr:uid="{00000000-0005-0000-0000-000047500000}"/>
    <cellStyle name="40% - Accent6 5 13 4" xfId="20556" xr:uid="{00000000-0005-0000-0000-000048500000}"/>
    <cellStyle name="40% - Accent6 5 13 4 2" xfId="20557" xr:uid="{00000000-0005-0000-0000-000049500000}"/>
    <cellStyle name="40% - Accent6 5 13 5" xfId="20558" xr:uid="{00000000-0005-0000-0000-00004A500000}"/>
    <cellStyle name="40% - Accent6 5 14" xfId="20559" xr:uid="{00000000-0005-0000-0000-00004B500000}"/>
    <cellStyle name="40% - Accent6 5 14 2" xfId="20560" xr:uid="{00000000-0005-0000-0000-00004C500000}"/>
    <cellStyle name="40% - Accent6 5 14 2 2" xfId="20561" xr:uid="{00000000-0005-0000-0000-00004D500000}"/>
    <cellStyle name="40% - Accent6 5 14 2 2 2" xfId="20562" xr:uid="{00000000-0005-0000-0000-00004E500000}"/>
    <cellStyle name="40% - Accent6 5 14 2 3" xfId="20563" xr:uid="{00000000-0005-0000-0000-00004F500000}"/>
    <cellStyle name="40% - Accent6 5 14 3" xfId="20564" xr:uid="{00000000-0005-0000-0000-000050500000}"/>
    <cellStyle name="40% - Accent6 5 14 3 2" xfId="20565" xr:uid="{00000000-0005-0000-0000-000051500000}"/>
    <cellStyle name="40% - Accent6 5 14 4" xfId="20566" xr:uid="{00000000-0005-0000-0000-000052500000}"/>
    <cellStyle name="40% - Accent6 5 15" xfId="20567" xr:uid="{00000000-0005-0000-0000-000053500000}"/>
    <cellStyle name="40% - Accent6 5 15 2" xfId="20568" xr:uid="{00000000-0005-0000-0000-000054500000}"/>
    <cellStyle name="40% - Accent6 5 15 2 2" xfId="20569" xr:uid="{00000000-0005-0000-0000-000055500000}"/>
    <cellStyle name="40% - Accent6 5 15 2 2 2" xfId="20570" xr:uid="{00000000-0005-0000-0000-000056500000}"/>
    <cellStyle name="40% - Accent6 5 15 2 3" xfId="20571" xr:uid="{00000000-0005-0000-0000-000057500000}"/>
    <cellStyle name="40% - Accent6 5 15 3" xfId="20572" xr:uid="{00000000-0005-0000-0000-000058500000}"/>
    <cellStyle name="40% - Accent6 5 15 3 2" xfId="20573" xr:uid="{00000000-0005-0000-0000-000059500000}"/>
    <cellStyle name="40% - Accent6 5 15 4" xfId="20574" xr:uid="{00000000-0005-0000-0000-00005A500000}"/>
    <cellStyle name="40% - Accent6 5 16" xfId="20575" xr:uid="{00000000-0005-0000-0000-00005B500000}"/>
    <cellStyle name="40% - Accent6 5 16 2" xfId="20576" xr:uid="{00000000-0005-0000-0000-00005C500000}"/>
    <cellStyle name="40% - Accent6 5 16 2 2" xfId="20577" xr:uid="{00000000-0005-0000-0000-00005D500000}"/>
    <cellStyle name="40% - Accent6 5 16 3" xfId="20578" xr:uid="{00000000-0005-0000-0000-00005E500000}"/>
    <cellStyle name="40% - Accent6 5 17" xfId="20579" xr:uid="{00000000-0005-0000-0000-00005F500000}"/>
    <cellStyle name="40% - Accent6 5 17 2" xfId="20580" xr:uid="{00000000-0005-0000-0000-000060500000}"/>
    <cellStyle name="40% - Accent6 5 17 2 2" xfId="20581" xr:uid="{00000000-0005-0000-0000-000061500000}"/>
    <cellStyle name="40% - Accent6 5 17 3" xfId="20582" xr:uid="{00000000-0005-0000-0000-000062500000}"/>
    <cellStyle name="40% - Accent6 5 18" xfId="20583" xr:uid="{00000000-0005-0000-0000-000063500000}"/>
    <cellStyle name="40% - Accent6 5 18 2" xfId="20584" xr:uid="{00000000-0005-0000-0000-000064500000}"/>
    <cellStyle name="40% - Accent6 5 18 2 2" xfId="20585" xr:uid="{00000000-0005-0000-0000-000065500000}"/>
    <cellStyle name="40% - Accent6 5 18 3" xfId="20586" xr:uid="{00000000-0005-0000-0000-000066500000}"/>
    <cellStyle name="40% - Accent6 5 19" xfId="20587" xr:uid="{00000000-0005-0000-0000-000067500000}"/>
    <cellStyle name="40% - Accent6 5 19 2" xfId="20588" xr:uid="{00000000-0005-0000-0000-000068500000}"/>
    <cellStyle name="40% - Accent6 5 19 2 2" xfId="20589" xr:uid="{00000000-0005-0000-0000-000069500000}"/>
    <cellStyle name="40% - Accent6 5 19 3" xfId="20590" xr:uid="{00000000-0005-0000-0000-00006A500000}"/>
    <cellStyle name="40% - Accent6 5 2" xfId="20591" xr:uid="{00000000-0005-0000-0000-00006B500000}"/>
    <cellStyle name="40% - Accent6 5 2 10" xfId="20592" xr:uid="{00000000-0005-0000-0000-00006C500000}"/>
    <cellStyle name="40% - Accent6 5 2 10 2" xfId="20593" xr:uid="{00000000-0005-0000-0000-00006D500000}"/>
    <cellStyle name="40% - Accent6 5 2 10 2 2" xfId="20594" xr:uid="{00000000-0005-0000-0000-00006E500000}"/>
    <cellStyle name="40% - Accent6 5 2 10 2 2 2" xfId="20595" xr:uid="{00000000-0005-0000-0000-00006F500000}"/>
    <cellStyle name="40% - Accent6 5 2 10 2 2 2 2" xfId="20596" xr:uid="{00000000-0005-0000-0000-000070500000}"/>
    <cellStyle name="40% - Accent6 5 2 10 2 2 3" xfId="20597" xr:uid="{00000000-0005-0000-0000-000071500000}"/>
    <cellStyle name="40% - Accent6 5 2 10 2 3" xfId="20598" xr:uid="{00000000-0005-0000-0000-000072500000}"/>
    <cellStyle name="40% - Accent6 5 2 10 2 3 2" xfId="20599" xr:uid="{00000000-0005-0000-0000-000073500000}"/>
    <cellStyle name="40% - Accent6 5 2 10 2 4" xfId="20600" xr:uid="{00000000-0005-0000-0000-000074500000}"/>
    <cellStyle name="40% - Accent6 5 2 10 3" xfId="20601" xr:uid="{00000000-0005-0000-0000-000075500000}"/>
    <cellStyle name="40% - Accent6 5 2 10 3 2" xfId="20602" xr:uid="{00000000-0005-0000-0000-000076500000}"/>
    <cellStyle name="40% - Accent6 5 2 10 3 2 2" xfId="20603" xr:uid="{00000000-0005-0000-0000-000077500000}"/>
    <cellStyle name="40% - Accent6 5 2 10 3 3" xfId="20604" xr:uid="{00000000-0005-0000-0000-000078500000}"/>
    <cellStyle name="40% - Accent6 5 2 10 4" xfId="20605" xr:uid="{00000000-0005-0000-0000-000079500000}"/>
    <cellStyle name="40% - Accent6 5 2 10 4 2" xfId="20606" xr:uid="{00000000-0005-0000-0000-00007A500000}"/>
    <cellStyle name="40% - Accent6 5 2 10 5" xfId="20607" xr:uid="{00000000-0005-0000-0000-00007B500000}"/>
    <cellStyle name="40% - Accent6 5 2 11" xfId="20608" xr:uid="{00000000-0005-0000-0000-00007C500000}"/>
    <cellStyle name="40% - Accent6 5 2 11 2" xfId="20609" xr:uid="{00000000-0005-0000-0000-00007D500000}"/>
    <cellStyle name="40% - Accent6 5 2 11 2 2" xfId="20610" xr:uid="{00000000-0005-0000-0000-00007E500000}"/>
    <cellStyle name="40% - Accent6 5 2 11 2 2 2" xfId="20611" xr:uid="{00000000-0005-0000-0000-00007F500000}"/>
    <cellStyle name="40% - Accent6 5 2 11 2 2 2 2" xfId="20612" xr:uid="{00000000-0005-0000-0000-000080500000}"/>
    <cellStyle name="40% - Accent6 5 2 11 2 2 3" xfId="20613" xr:uid="{00000000-0005-0000-0000-000081500000}"/>
    <cellStyle name="40% - Accent6 5 2 11 2 3" xfId="20614" xr:uid="{00000000-0005-0000-0000-000082500000}"/>
    <cellStyle name="40% - Accent6 5 2 11 2 3 2" xfId="20615" xr:uid="{00000000-0005-0000-0000-000083500000}"/>
    <cellStyle name="40% - Accent6 5 2 11 2 4" xfId="20616" xr:uid="{00000000-0005-0000-0000-000084500000}"/>
    <cellStyle name="40% - Accent6 5 2 11 3" xfId="20617" xr:uid="{00000000-0005-0000-0000-000085500000}"/>
    <cellStyle name="40% - Accent6 5 2 11 3 2" xfId="20618" xr:uid="{00000000-0005-0000-0000-000086500000}"/>
    <cellStyle name="40% - Accent6 5 2 11 3 2 2" xfId="20619" xr:uid="{00000000-0005-0000-0000-000087500000}"/>
    <cellStyle name="40% - Accent6 5 2 11 3 3" xfId="20620" xr:uid="{00000000-0005-0000-0000-000088500000}"/>
    <cellStyle name="40% - Accent6 5 2 11 4" xfId="20621" xr:uid="{00000000-0005-0000-0000-000089500000}"/>
    <cellStyle name="40% - Accent6 5 2 11 4 2" xfId="20622" xr:uid="{00000000-0005-0000-0000-00008A500000}"/>
    <cellStyle name="40% - Accent6 5 2 11 5" xfId="20623" xr:uid="{00000000-0005-0000-0000-00008B500000}"/>
    <cellStyle name="40% - Accent6 5 2 12" xfId="20624" xr:uid="{00000000-0005-0000-0000-00008C500000}"/>
    <cellStyle name="40% - Accent6 5 2 12 2" xfId="20625" xr:uid="{00000000-0005-0000-0000-00008D500000}"/>
    <cellStyle name="40% - Accent6 5 2 12 2 2" xfId="20626" xr:uid="{00000000-0005-0000-0000-00008E500000}"/>
    <cellStyle name="40% - Accent6 5 2 12 2 2 2" xfId="20627" xr:uid="{00000000-0005-0000-0000-00008F500000}"/>
    <cellStyle name="40% - Accent6 5 2 12 2 2 2 2" xfId="20628" xr:uid="{00000000-0005-0000-0000-000090500000}"/>
    <cellStyle name="40% - Accent6 5 2 12 2 2 3" xfId="20629" xr:uid="{00000000-0005-0000-0000-000091500000}"/>
    <cellStyle name="40% - Accent6 5 2 12 2 3" xfId="20630" xr:uid="{00000000-0005-0000-0000-000092500000}"/>
    <cellStyle name="40% - Accent6 5 2 12 2 3 2" xfId="20631" xr:uid="{00000000-0005-0000-0000-000093500000}"/>
    <cellStyle name="40% - Accent6 5 2 12 2 4" xfId="20632" xr:uid="{00000000-0005-0000-0000-000094500000}"/>
    <cellStyle name="40% - Accent6 5 2 12 3" xfId="20633" xr:uid="{00000000-0005-0000-0000-000095500000}"/>
    <cellStyle name="40% - Accent6 5 2 12 3 2" xfId="20634" xr:uid="{00000000-0005-0000-0000-000096500000}"/>
    <cellStyle name="40% - Accent6 5 2 12 3 2 2" xfId="20635" xr:uid="{00000000-0005-0000-0000-000097500000}"/>
    <cellStyle name="40% - Accent6 5 2 12 3 3" xfId="20636" xr:uid="{00000000-0005-0000-0000-000098500000}"/>
    <cellStyle name="40% - Accent6 5 2 12 4" xfId="20637" xr:uid="{00000000-0005-0000-0000-000099500000}"/>
    <cellStyle name="40% - Accent6 5 2 12 4 2" xfId="20638" xr:uid="{00000000-0005-0000-0000-00009A500000}"/>
    <cellStyle name="40% - Accent6 5 2 12 5" xfId="20639" xr:uid="{00000000-0005-0000-0000-00009B500000}"/>
    <cellStyle name="40% - Accent6 5 2 13" xfId="20640" xr:uid="{00000000-0005-0000-0000-00009C500000}"/>
    <cellStyle name="40% - Accent6 5 2 13 2" xfId="20641" xr:uid="{00000000-0005-0000-0000-00009D500000}"/>
    <cellStyle name="40% - Accent6 5 2 13 2 2" xfId="20642" xr:uid="{00000000-0005-0000-0000-00009E500000}"/>
    <cellStyle name="40% - Accent6 5 2 13 2 2 2" xfId="20643" xr:uid="{00000000-0005-0000-0000-00009F500000}"/>
    <cellStyle name="40% - Accent6 5 2 13 2 3" xfId="20644" xr:uid="{00000000-0005-0000-0000-0000A0500000}"/>
    <cellStyle name="40% - Accent6 5 2 13 3" xfId="20645" xr:uid="{00000000-0005-0000-0000-0000A1500000}"/>
    <cellStyle name="40% - Accent6 5 2 13 3 2" xfId="20646" xr:uid="{00000000-0005-0000-0000-0000A2500000}"/>
    <cellStyle name="40% - Accent6 5 2 13 4" xfId="20647" xr:uid="{00000000-0005-0000-0000-0000A3500000}"/>
    <cellStyle name="40% - Accent6 5 2 14" xfId="20648" xr:uid="{00000000-0005-0000-0000-0000A4500000}"/>
    <cellStyle name="40% - Accent6 5 2 14 2" xfId="20649" xr:uid="{00000000-0005-0000-0000-0000A5500000}"/>
    <cellStyle name="40% - Accent6 5 2 14 2 2" xfId="20650" xr:uid="{00000000-0005-0000-0000-0000A6500000}"/>
    <cellStyle name="40% - Accent6 5 2 14 2 2 2" xfId="20651" xr:uid="{00000000-0005-0000-0000-0000A7500000}"/>
    <cellStyle name="40% - Accent6 5 2 14 2 3" xfId="20652" xr:uid="{00000000-0005-0000-0000-0000A8500000}"/>
    <cellStyle name="40% - Accent6 5 2 14 3" xfId="20653" xr:uid="{00000000-0005-0000-0000-0000A9500000}"/>
    <cellStyle name="40% - Accent6 5 2 14 3 2" xfId="20654" xr:uid="{00000000-0005-0000-0000-0000AA500000}"/>
    <cellStyle name="40% - Accent6 5 2 14 4" xfId="20655" xr:uid="{00000000-0005-0000-0000-0000AB500000}"/>
    <cellStyle name="40% - Accent6 5 2 15" xfId="20656" xr:uid="{00000000-0005-0000-0000-0000AC500000}"/>
    <cellStyle name="40% - Accent6 5 2 15 2" xfId="20657" xr:uid="{00000000-0005-0000-0000-0000AD500000}"/>
    <cellStyle name="40% - Accent6 5 2 15 2 2" xfId="20658" xr:uid="{00000000-0005-0000-0000-0000AE500000}"/>
    <cellStyle name="40% - Accent6 5 2 15 3" xfId="20659" xr:uid="{00000000-0005-0000-0000-0000AF500000}"/>
    <cellStyle name="40% - Accent6 5 2 16" xfId="20660" xr:uid="{00000000-0005-0000-0000-0000B0500000}"/>
    <cellStyle name="40% - Accent6 5 2 16 2" xfId="20661" xr:uid="{00000000-0005-0000-0000-0000B1500000}"/>
    <cellStyle name="40% - Accent6 5 2 16 2 2" xfId="20662" xr:uid="{00000000-0005-0000-0000-0000B2500000}"/>
    <cellStyle name="40% - Accent6 5 2 16 3" xfId="20663" xr:uid="{00000000-0005-0000-0000-0000B3500000}"/>
    <cellStyle name="40% - Accent6 5 2 17" xfId="20664" xr:uid="{00000000-0005-0000-0000-0000B4500000}"/>
    <cellStyle name="40% - Accent6 5 2 17 2" xfId="20665" xr:uid="{00000000-0005-0000-0000-0000B5500000}"/>
    <cellStyle name="40% - Accent6 5 2 17 2 2" xfId="20666" xr:uid="{00000000-0005-0000-0000-0000B6500000}"/>
    <cellStyle name="40% - Accent6 5 2 17 3" xfId="20667" xr:uid="{00000000-0005-0000-0000-0000B7500000}"/>
    <cellStyle name="40% - Accent6 5 2 18" xfId="20668" xr:uid="{00000000-0005-0000-0000-0000B8500000}"/>
    <cellStyle name="40% - Accent6 5 2 18 2" xfId="20669" xr:uid="{00000000-0005-0000-0000-0000B9500000}"/>
    <cellStyle name="40% - Accent6 5 2 18 2 2" xfId="20670" xr:uid="{00000000-0005-0000-0000-0000BA500000}"/>
    <cellStyle name="40% - Accent6 5 2 18 3" xfId="20671" xr:uid="{00000000-0005-0000-0000-0000BB500000}"/>
    <cellStyle name="40% - Accent6 5 2 19" xfId="20672" xr:uid="{00000000-0005-0000-0000-0000BC500000}"/>
    <cellStyle name="40% - Accent6 5 2 19 2" xfId="20673" xr:uid="{00000000-0005-0000-0000-0000BD500000}"/>
    <cellStyle name="40% - Accent6 5 2 2" xfId="20674" xr:uid="{00000000-0005-0000-0000-0000BE500000}"/>
    <cellStyle name="40% - Accent6 5 2 2 10" xfId="20675" xr:uid="{00000000-0005-0000-0000-0000BF500000}"/>
    <cellStyle name="40% - Accent6 5 2 2 10 2" xfId="20676" xr:uid="{00000000-0005-0000-0000-0000C0500000}"/>
    <cellStyle name="40% - Accent6 5 2 2 10 2 2" xfId="20677" xr:uid="{00000000-0005-0000-0000-0000C1500000}"/>
    <cellStyle name="40% - Accent6 5 2 2 10 3" xfId="20678" xr:uid="{00000000-0005-0000-0000-0000C2500000}"/>
    <cellStyle name="40% - Accent6 5 2 2 11" xfId="20679" xr:uid="{00000000-0005-0000-0000-0000C3500000}"/>
    <cellStyle name="40% - Accent6 5 2 2 11 2" xfId="20680" xr:uid="{00000000-0005-0000-0000-0000C4500000}"/>
    <cellStyle name="40% - Accent6 5 2 2 11 2 2" xfId="20681" xr:uid="{00000000-0005-0000-0000-0000C5500000}"/>
    <cellStyle name="40% - Accent6 5 2 2 11 3" xfId="20682" xr:uid="{00000000-0005-0000-0000-0000C6500000}"/>
    <cellStyle name="40% - Accent6 5 2 2 12" xfId="20683" xr:uid="{00000000-0005-0000-0000-0000C7500000}"/>
    <cellStyle name="40% - Accent6 5 2 2 12 2" xfId="20684" xr:uid="{00000000-0005-0000-0000-0000C8500000}"/>
    <cellStyle name="40% - Accent6 5 2 2 12 2 2" xfId="20685" xr:uid="{00000000-0005-0000-0000-0000C9500000}"/>
    <cellStyle name="40% - Accent6 5 2 2 12 3" xfId="20686" xr:uid="{00000000-0005-0000-0000-0000CA500000}"/>
    <cellStyle name="40% - Accent6 5 2 2 13" xfId="20687" xr:uid="{00000000-0005-0000-0000-0000CB500000}"/>
    <cellStyle name="40% - Accent6 5 2 2 13 2" xfId="20688" xr:uid="{00000000-0005-0000-0000-0000CC500000}"/>
    <cellStyle name="40% - Accent6 5 2 2 14" xfId="20689" xr:uid="{00000000-0005-0000-0000-0000CD500000}"/>
    <cellStyle name="40% - Accent6 5 2 2 2" xfId="20690" xr:uid="{00000000-0005-0000-0000-0000CE500000}"/>
    <cellStyle name="40% - Accent6 5 2 2 2 2" xfId="20691" xr:uid="{00000000-0005-0000-0000-0000CF500000}"/>
    <cellStyle name="40% - Accent6 5 2 2 2 2 2" xfId="20692" xr:uid="{00000000-0005-0000-0000-0000D0500000}"/>
    <cellStyle name="40% - Accent6 5 2 2 2 2 2 2" xfId="20693" xr:uid="{00000000-0005-0000-0000-0000D1500000}"/>
    <cellStyle name="40% - Accent6 5 2 2 2 2 2 2 2" xfId="20694" xr:uid="{00000000-0005-0000-0000-0000D2500000}"/>
    <cellStyle name="40% - Accent6 5 2 2 2 2 2 3" xfId="20695" xr:uid="{00000000-0005-0000-0000-0000D3500000}"/>
    <cellStyle name="40% - Accent6 5 2 2 2 2 3" xfId="20696" xr:uid="{00000000-0005-0000-0000-0000D4500000}"/>
    <cellStyle name="40% - Accent6 5 2 2 2 2 3 2" xfId="20697" xr:uid="{00000000-0005-0000-0000-0000D5500000}"/>
    <cellStyle name="40% - Accent6 5 2 2 2 2 4" xfId="20698" xr:uid="{00000000-0005-0000-0000-0000D6500000}"/>
    <cellStyle name="40% - Accent6 5 2 2 2 3" xfId="20699" xr:uid="{00000000-0005-0000-0000-0000D7500000}"/>
    <cellStyle name="40% - Accent6 5 2 2 2 3 2" xfId="20700" xr:uid="{00000000-0005-0000-0000-0000D8500000}"/>
    <cellStyle name="40% - Accent6 5 2 2 2 3 2 2" xfId="20701" xr:uid="{00000000-0005-0000-0000-0000D9500000}"/>
    <cellStyle name="40% - Accent6 5 2 2 2 3 3" xfId="20702" xr:uid="{00000000-0005-0000-0000-0000DA500000}"/>
    <cellStyle name="40% - Accent6 5 2 2 2 4" xfId="20703" xr:uid="{00000000-0005-0000-0000-0000DB500000}"/>
    <cellStyle name="40% - Accent6 5 2 2 2 4 2" xfId="20704" xr:uid="{00000000-0005-0000-0000-0000DC500000}"/>
    <cellStyle name="40% - Accent6 5 2 2 2 4 2 2" xfId="20705" xr:uid="{00000000-0005-0000-0000-0000DD500000}"/>
    <cellStyle name="40% - Accent6 5 2 2 2 4 3" xfId="20706" xr:uid="{00000000-0005-0000-0000-0000DE500000}"/>
    <cellStyle name="40% - Accent6 5 2 2 2 5" xfId="20707" xr:uid="{00000000-0005-0000-0000-0000DF500000}"/>
    <cellStyle name="40% - Accent6 5 2 2 2 5 2" xfId="20708" xr:uid="{00000000-0005-0000-0000-0000E0500000}"/>
    <cellStyle name="40% - Accent6 5 2 2 2 5 2 2" xfId="20709" xr:uid="{00000000-0005-0000-0000-0000E1500000}"/>
    <cellStyle name="40% - Accent6 5 2 2 2 5 3" xfId="20710" xr:uid="{00000000-0005-0000-0000-0000E2500000}"/>
    <cellStyle name="40% - Accent6 5 2 2 2 6" xfId="20711" xr:uid="{00000000-0005-0000-0000-0000E3500000}"/>
    <cellStyle name="40% - Accent6 5 2 2 2 6 2" xfId="20712" xr:uid="{00000000-0005-0000-0000-0000E4500000}"/>
    <cellStyle name="40% - Accent6 5 2 2 2 6 2 2" xfId="20713" xr:uid="{00000000-0005-0000-0000-0000E5500000}"/>
    <cellStyle name="40% - Accent6 5 2 2 2 6 3" xfId="20714" xr:uid="{00000000-0005-0000-0000-0000E6500000}"/>
    <cellStyle name="40% - Accent6 5 2 2 2 7" xfId="20715" xr:uid="{00000000-0005-0000-0000-0000E7500000}"/>
    <cellStyle name="40% - Accent6 5 2 2 2 7 2" xfId="20716" xr:uid="{00000000-0005-0000-0000-0000E8500000}"/>
    <cellStyle name="40% - Accent6 5 2 2 2 8" xfId="20717" xr:uid="{00000000-0005-0000-0000-0000E9500000}"/>
    <cellStyle name="40% - Accent6 5 2 2 3" xfId="20718" xr:uid="{00000000-0005-0000-0000-0000EA500000}"/>
    <cellStyle name="40% - Accent6 5 2 2 3 2" xfId="20719" xr:uid="{00000000-0005-0000-0000-0000EB500000}"/>
    <cellStyle name="40% - Accent6 5 2 2 3 2 2" xfId="20720" xr:uid="{00000000-0005-0000-0000-0000EC500000}"/>
    <cellStyle name="40% - Accent6 5 2 2 3 2 2 2" xfId="20721" xr:uid="{00000000-0005-0000-0000-0000ED500000}"/>
    <cellStyle name="40% - Accent6 5 2 2 3 2 2 2 2" xfId="20722" xr:uid="{00000000-0005-0000-0000-0000EE500000}"/>
    <cellStyle name="40% - Accent6 5 2 2 3 2 2 3" xfId="20723" xr:uid="{00000000-0005-0000-0000-0000EF500000}"/>
    <cellStyle name="40% - Accent6 5 2 2 3 2 3" xfId="20724" xr:uid="{00000000-0005-0000-0000-0000F0500000}"/>
    <cellStyle name="40% - Accent6 5 2 2 3 2 3 2" xfId="20725" xr:uid="{00000000-0005-0000-0000-0000F1500000}"/>
    <cellStyle name="40% - Accent6 5 2 2 3 2 4" xfId="20726" xr:uid="{00000000-0005-0000-0000-0000F2500000}"/>
    <cellStyle name="40% - Accent6 5 2 2 3 3" xfId="20727" xr:uid="{00000000-0005-0000-0000-0000F3500000}"/>
    <cellStyle name="40% - Accent6 5 2 2 3 3 2" xfId="20728" xr:uid="{00000000-0005-0000-0000-0000F4500000}"/>
    <cellStyle name="40% - Accent6 5 2 2 3 3 2 2" xfId="20729" xr:uid="{00000000-0005-0000-0000-0000F5500000}"/>
    <cellStyle name="40% - Accent6 5 2 2 3 3 3" xfId="20730" xr:uid="{00000000-0005-0000-0000-0000F6500000}"/>
    <cellStyle name="40% - Accent6 5 2 2 3 4" xfId="20731" xr:uid="{00000000-0005-0000-0000-0000F7500000}"/>
    <cellStyle name="40% - Accent6 5 2 2 3 4 2" xfId="20732" xr:uid="{00000000-0005-0000-0000-0000F8500000}"/>
    <cellStyle name="40% - Accent6 5 2 2 3 4 2 2" xfId="20733" xr:uid="{00000000-0005-0000-0000-0000F9500000}"/>
    <cellStyle name="40% - Accent6 5 2 2 3 4 3" xfId="20734" xr:uid="{00000000-0005-0000-0000-0000FA500000}"/>
    <cellStyle name="40% - Accent6 5 2 2 3 5" xfId="20735" xr:uid="{00000000-0005-0000-0000-0000FB500000}"/>
    <cellStyle name="40% - Accent6 5 2 2 3 5 2" xfId="20736" xr:uid="{00000000-0005-0000-0000-0000FC500000}"/>
    <cellStyle name="40% - Accent6 5 2 2 3 5 2 2" xfId="20737" xr:uid="{00000000-0005-0000-0000-0000FD500000}"/>
    <cellStyle name="40% - Accent6 5 2 2 3 5 3" xfId="20738" xr:uid="{00000000-0005-0000-0000-0000FE500000}"/>
    <cellStyle name="40% - Accent6 5 2 2 3 6" xfId="20739" xr:uid="{00000000-0005-0000-0000-0000FF500000}"/>
    <cellStyle name="40% - Accent6 5 2 2 3 6 2" xfId="20740" xr:uid="{00000000-0005-0000-0000-000000510000}"/>
    <cellStyle name="40% - Accent6 5 2 2 3 6 2 2" xfId="20741" xr:uid="{00000000-0005-0000-0000-000001510000}"/>
    <cellStyle name="40% - Accent6 5 2 2 3 6 3" xfId="20742" xr:uid="{00000000-0005-0000-0000-000002510000}"/>
    <cellStyle name="40% - Accent6 5 2 2 3 7" xfId="20743" xr:uid="{00000000-0005-0000-0000-000003510000}"/>
    <cellStyle name="40% - Accent6 5 2 2 3 7 2" xfId="20744" xr:uid="{00000000-0005-0000-0000-000004510000}"/>
    <cellStyle name="40% - Accent6 5 2 2 3 8" xfId="20745" xr:uid="{00000000-0005-0000-0000-000005510000}"/>
    <cellStyle name="40% - Accent6 5 2 2 4" xfId="20746" xr:uid="{00000000-0005-0000-0000-000006510000}"/>
    <cellStyle name="40% - Accent6 5 2 2 4 2" xfId="20747" xr:uid="{00000000-0005-0000-0000-000007510000}"/>
    <cellStyle name="40% - Accent6 5 2 2 4 2 2" xfId="20748" xr:uid="{00000000-0005-0000-0000-000008510000}"/>
    <cellStyle name="40% - Accent6 5 2 2 4 2 2 2" xfId="20749" xr:uid="{00000000-0005-0000-0000-000009510000}"/>
    <cellStyle name="40% - Accent6 5 2 2 4 2 2 2 2" xfId="20750" xr:uid="{00000000-0005-0000-0000-00000A510000}"/>
    <cellStyle name="40% - Accent6 5 2 2 4 2 2 3" xfId="20751" xr:uid="{00000000-0005-0000-0000-00000B510000}"/>
    <cellStyle name="40% - Accent6 5 2 2 4 2 3" xfId="20752" xr:uid="{00000000-0005-0000-0000-00000C510000}"/>
    <cellStyle name="40% - Accent6 5 2 2 4 2 3 2" xfId="20753" xr:uid="{00000000-0005-0000-0000-00000D510000}"/>
    <cellStyle name="40% - Accent6 5 2 2 4 2 4" xfId="20754" xr:uid="{00000000-0005-0000-0000-00000E510000}"/>
    <cellStyle name="40% - Accent6 5 2 2 4 3" xfId="20755" xr:uid="{00000000-0005-0000-0000-00000F510000}"/>
    <cellStyle name="40% - Accent6 5 2 2 4 3 2" xfId="20756" xr:uid="{00000000-0005-0000-0000-000010510000}"/>
    <cellStyle name="40% - Accent6 5 2 2 4 3 2 2" xfId="20757" xr:uid="{00000000-0005-0000-0000-000011510000}"/>
    <cellStyle name="40% - Accent6 5 2 2 4 3 3" xfId="20758" xr:uid="{00000000-0005-0000-0000-000012510000}"/>
    <cellStyle name="40% - Accent6 5 2 2 4 4" xfId="20759" xr:uid="{00000000-0005-0000-0000-000013510000}"/>
    <cellStyle name="40% - Accent6 5 2 2 4 4 2" xfId="20760" xr:uid="{00000000-0005-0000-0000-000014510000}"/>
    <cellStyle name="40% - Accent6 5 2 2 4 4 2 2" xfId="20761" xr:uid="{00000000-0005-0000-0000-000015510000}"/>
    <cellStyle name="40% - Accent6 5 2 2 4 4 3" xfId="20762" xr:uid="{00000000-0005-0000-0000-000016510000}"/>
    <cellStyle name="40% - Accent6 5 2 2 4 5" xfId="20763" xr:uid="{00000000-0005-0000-0000-000017510000}"/>
    <cellStyle name="40% - Accent6 5 2 2 4 5 2" xfId="20764" xr:uid="{00000000-0005-0000-0000-000018510000}"/>
    <cellStyle name="40% - Accent6 5 2 2 4 5 2 2" xfId="20765" xr:uid="{00000000-0005-0000-0000-000019510000}"/>
    <cellStyle name="40% - Accent6 5 2 2 4 5 3" xfId="20766" xr:uid="{00000000-0005-0000-0000-00001A510000}"/>
    <cellStyle name="40% - Accent6 5 2 2 4 6" xfId="20767" xr:uid="{00000000-0005-0000-0000-00001B510000}"/>
    <cellStyle name="40% - Accent6 5 2 2 4 6 2" xfId="20768" xr:uid="{00000000-0005-0000-0000-00001C510000}"/>
    <cellStyle name="40% - Accent6 5 2 2 4 6 2 2" xfId="20769" xr:uid="{00000000-0005-0000-0000-00001D510000}"/>
    <cellStyle name="40% - Accent6 5 2 2 4 6 3" xfId="20770" xr:uid="{00000000-0005-0000-0000-00001E510000}"/>
    <cellStyle name="40% - Accent6 5 2 2 4 7" xfId="20771" xr:uid="{00000000-0005-0000-0000-00001F510000}"/>
    <cellStyle name="40% - Accent6 5 2 2 4 7 2" xfId="20772" xr:uid="{00000000-0005-0000-0000-000020510000}"/>
    <cellStyle name="40% - Accent6 5 2 2 4 8" xfId="20773" xr:uid="{00000000-0005-0000-0000-000021510000}"/>
    <cellStyle name="40% - Accent6 5 2 2 5" xfId="20774" xr:uid="{00000000-0005-0000-0000-000022510000}"/>
    <cellStyle name="40% - Accent6 5 2 2 5 2" xfId="20775" xr:uid="{00000000-0005-0000-0000-000023510000}"/>
    <cellStyle name="40% - Accent6 5 2 2 5 2 2" xfId="20776" xr:uid="{00000000-0005-0000-0000-000024510000}"/>
    <cellStyle name="40% - Accent6 5 2 2 5 2 2 2" xfId="20777" xr:uid="{00000000-0005-0000-0000-000025510000}"/>
    <cellStyle name="40% - Accent6 5 2 2 5 2 2 2 2" xfId="20778" xr:uid="{00000000-0005-0000-0000-000026510000}"/>
    <cellStyle name="40% - Accent6 5 2 2 5 2 2 3" xfId="20779" xr:uid="{00000000-0005-0000-0000-000027510000}"/>
    <cellStyle name="40% - Accent6 5 2 2 5 2 3" xfId="20780" xr:uid="{00000000-0005-0000-0000-000028510000}"/>
    <cellStyle name="40% - Accent6 5 2 2 5 2 3 2" xfId="20781" xr:uid="{00000000-0005-0000-0000-000029510000}"/>
    <cellStyle name="40% - Accent6 5 2 2 5 2 4" xfId="20782" xr:uid="{00000000-0005-0000-0000-00002A510000}"/>
    <cellStyle name="40% - Accent6 5 2 2 5 3" xfId="20783" xr:uid="{00000000-0005-0000-0000-00002B510000}"/>
    <cellStyle name="40% - Accent6 5 2 2 5 3 2" xfId="20784" xr:uid="{00000000-0005-0000-0000-00002C510000}"/>
    <cellStyle name="40% - Accent6 5 2 2 5 3 2 2" xfId="20785" xr:uid="{00000000-0005-0000-0000-00002D510000}"/>
    <cellStyle name="40% - Accent6 5 2 2 5 3 3" xfId="20786" xr:uid="{00000000-0005-0000-0000-00002E510000}"/>
    <cellStyle name="40% - Accent6 5 2 2 5 4" xfId="20787" xr:uid="{00000000-0005-0000-0000-00002F510000}"/>
    <cellStyle name="40% - Accent6 5 2 2 5 4 2" xfId="20788" xr:uid="{00000000-0005-0000-0000-000030510000}"/>
    <cellStyle name="40% - Accent6 5 2 2 5 5" xfId="20789" xr:uid="{00000000-0005-0000-0000-000031510000}"/>
    <cellStyle name="40% - Accent6 5 2 2 6" xfId="20790" xr:uid="{00000000-0005-0000-0000-000032510000}"/>
    <cellStyle name="40% - Accent6 5 2 2 6 2" xfId="20791" xr:uid="{00000000-0005-0000-0000-000033510000}"/>
    <cellStyle name="40% - Accent6 5 2 2 6 2 2" xfId="20792" xr:uid="{00000000-0005-0000-0000-000034510000}"/>
    <cellStyle name="40% - Accent6 5 2 2 6 2 2 2" xfId="20793" xr:uid="{00000000-0005-0000-0000-000035510000}"/>
    <cellStyle name="40% - Accent6 5 2 2 6 2 2 2 2" xfId="20794" xr:uid="{00000000-0005-0000-0000-000036510000}"/>
    <cellStyle name="40% - Accent6 5 2 2 6 2 2 3" xfId="20795" xr:uid="{00000000-0005-0000-0000-000037510000}"/>
    <cellStyle name="40% - Accent6 5 2 2 6 2 3" xfId="20796" xr:uid="{00000000-0005-0000-0000-000038510000}"/>
    <cellStyle name="40% - Accent6 5 2 2 6 2 3 2" xfId="20797" xr:uid="{00000000-0005-0000-0000-000039510000}"/>
    <cellStyle name="40% - Accent6 5 2 2 6 2 4" xfId="20798" xr:uid="{00000000-0005-0000-0000-00003A510000}"/>
    <cellStyle name="40% - Accent6 5 2 2 6 3" xfId="20799" xr:uid="{00000000-0005-0000-0000-00003B510000}"/>
    <cellStyle name="40% - Accent6 5 2 2 6 3 2" xfId="20800" xr:uid="{00000000-0005-0000-0000-00003C510000}"/>
    <cellStyle name="40% - Accent6 5 2 2 6 3 2 2" xfId="20801" xr:uid="{00000000-0005-0000-0000-00003D510000}"/>
    <cellStyle name="40% - Accent6 5 2 2 6 3 3" xfId="20802" xr:uid="{00000000-0005-0000-0000-00003E510000}"/>
    <cellStyle name="40% - Accent6 5 2 2 6 4" xfId="20803" xr:uid="{00000000-0005-0000-0000-00003F510000}"/>
    <cellStyle name="40% - Accent6 5 2 2 6 4 2" xfId="20804" xr:uid="{00000000-0005-0000-0000-000040510000}"/>
    <cellStyle name="40% - Accent6 5 2 2 6 5" xfId="20805" xr:uid="{00000000-0005-0000-0000-000041510000}"/>
    <cellStyle name="40% - Accent6 5 2 2 7" xfId="20806" xr:uid="{00000000-0005-0000-0000-000042510000}"/>
    <cellStyle name="40% - Accent6 5 2 2 7 2" xfId="20807" xr:uid="{00000000-0005-0000-0000-000043510000}"/>
    <cellStyle name="40% - Accent6 5 2 2 7 2 2" xfId="20808" xr:uid="{00000000-0005-0000-0000-000044510000}"/>
    <cellStyle name="40% - Accent6 5 2 2 7 2 2 2" xfId="20809" xr:uid="{00000000-0005-0000-0000-000045510000}"/>
    <cellStyle name="40% - Accent6 5 2 2 7 2 3" xfId="20810" xr:uid="{00000000-0005-0000-0000-000046510000}"/>
    <cellStyle name="40% - Accent6 5 2 2 7 3" xfId="20811" xr:uid="{00000000-0005-0000-0000-000047510000}"/>
    <cellStyle name="40% - Accent6 5 2 2 7 3 2" xfId="20812" xr:uid="{00000000-0005-0000-0000-000048510000}"/>
    <cellStyle name="40% - Accent6 5 2 2 7 4" xfId="20813" xr:uid="{00000000-0005-0000-0000-000049510000}"/>
    <cellStyle name="40% - Accent6 5 2 2 8" xfId="20814" xr:uid="{00000000-0005-0000-0000-00004A510000}"/>
    <cellStyle name="40% - Accent6 5 2 2 8 2" xfId="20815" xr:uid="{00000000-0005-0000-0000-00004B510000}"/>
    <cellStyle name="40% - Accent6 5 2 2 8 2 2" xfId="20816" xr:uid="{00000000-0005-0000-0000-00004C510000}"/>
    <cellStyle name="40% - Accent6 5 2 2 8 2 2 2" xfId="20817" xr:uid="{00000000-0005-0000-0000-00004D510000}"/>
    <cellStyle name="40% - Accent6 5 2 2 8 2 3" xfId="20818" xr:uid="{00000000-0005-0000-0000-00004E510000}"/>
    <cellStyle name="40% - Accent6 5 2 2 8 3" xfId="20819" xr:uid="{00000000-0005-0000-0000-00004F510000}"/>
    <cellStyle name="40% - Accent6 5 2 2 8 3 2" xfId="20820" xr:uid="{00000000-0005-0000-0000-000050510000}"/>
    <cellStyle name="40% - Accent6 5 2 2 8 4" xfId="20821" xr:uid="{00000000-0005-0000-0000-000051510000}"/>
    <cellStyle name="40% - Accent6 5 2 2 9" xfId="20822" xr:uid="{00000000-0005-0000-0000-000052510000}"/>
    <cellStyle name="40% - Accent6 5 2 2 9 2" xfId="20823" xr:uid="{00000000-0005-0000-0000-000053510000}"/>
    <cellStyle name="40% - Accent6 5 2 2 9 2 2" xfId="20824" xr:uid="{00000000-0005-0000-0000-000054510000}"/>
    <cellStyle name="40% - Accent6 5 2 2 9 3" xfId="20825" xr:uid="{00000000-0005-0000-0000-000055510000}"/>
    <cellStyle name="40% - Accent6 5 2 20" xfId="20826" xr:uid="{00000000-0005-0000-0000-000056510000}"/>
    <cellStyle name="40% - Accent6 5 2 3" xfId="20827" xr:uid="{00000000-0005-0000-0000-000057510000}"/>
    <cellStyle name="40% - Accent6 5 2 3 10" xfId="20828" xr:uid="{00000000-0005-0000-0000-000058510000}"/>
    <cellStyle name="40% - Accent6 5 2 3 10 2" xfId="20829" xr:uid="{00000000-0005-0000-0000-000059510000}"/>
    <cellStyle name="40% - Accent6 5 2 3 10 2 2" xfId="20830" xr:uid="{00000000-0005-0000-0000-00005A510000}"/>
    <cellStyle name="40% - Accent6 5 2 3 10 3" xfId="20831" xr:uid="{00000000-0005-0000-0000-00005B510000}"/>
    <cellStyle name="40% - Accent6 5 2 3 11" xfId="20832" xr:uid="{00000000-0005-0000-0000-00005C510000}"/>
    <cellStyle name="40% - Accent6 5 2 3 11 2" xfId="20833" xr:uid="{00000000-0005-0000-0000-00005D510000}"/>
    <cellStyle name="40% - Accent6 5 2 3 11 2 2" xfId="20834" xr:uid="{00000000-0005-0000-0000-00005E510000}"/>
    <cellStyle name="40% - Accent6 5 2 3 11 3" xfId="20835" xr:uid="{00000000-0005-0000-0000-00005F510000}"/>
    <cellStyle name="40% - Accent6 5 2 3 12" xfId="20836" xr:uid="{00000000-0005-0000-0000-000060510000}"/>
    <cellStyle name="40% - Accent6 5 2 3 12 2" xfId="20837" xr:uid="{00000000-0005-0000-0000-000061510000}"/>
    <cellStyle name="40% - Accent6 5 2 3 12 2 2" xfId="20838" xr:uid="{00000000-0005-0000-0000-000062510000}"/>
    <cellStyle name="40% - Accent6 5 2 3 12 3" xfId="20839" xr:uid="{00000000-0005-0000-0000-000063510000}"/>
    <cellStyle name="40% - Accent6 5 2 3 13" xfId="20840" xr:uid="{00000000-0005-0000-0000-000064510000}"/>
    <cellStyle name="40% - Accent6 5 2 3 13 2" xfId="20841" xr:uid="{00000000-0005-0000-0000-000065510000}"/>
    <cellStyle name="40% - Accent6 5 2 3 14" xfId="20842" xr:uid="{00000000-0005-0000-0000-000066510000}"/>
    <cellStyle name="40% - Accent6 5 2 3 2" xfId="20843" xr:uid="{00000000-0005-0000-0000-000067510000}"/>
    <cellStyle name="40% - Accent6 5 2 3 2 2" xfId="20844" xr:uid="{00000000-0005-0000-0000-000068510000}"/>
    <cellStyle name="40% - Accent6 5 2 3 2 2 2" xfId="20845" xr:uid="{00000000-0005-0000-0000-000069510000}"/>
    <cellStyle name="40% - Accent6 5 2 3 2 2 2 2" xfId="20846" xr:uid="{00000000-0005-0000-0000-00006A510000}"/>
    <cellStyle name="40% - Accent6 5 2 3 2 2 2 2 2" xfId="20847" xr:uid="{00000000-0005-0000-0000-00006B510000}"/>
    <cellStyle name="40% - Accent6 5 2 3 2 2 2 3" xfId="20848" xr:uid="{00000000-0005-0000-0000-00006C510000}"/>
    <cellStyle name="40% - Accent6 5 2 3 2 2 3" xfId="20849" xr:uid="{00000000-0005-0000-0000-00006D510000}"/>
    <cellStyle name="40% - Accent6 5 2 3 2 2 3 2" xfId="20850" xr:uid="{00000000-0005-0000-0000-00006E510000}"/>
    <cellStyle name="40% - Accent6 5 2 3 2 2 4" xfId="20851" xr:uid="{00000000-0005-0000-0000-00006F510000}"/>
    <cellStyle name="40% - Accent6 5 2 3 2 3" xfId="20852" xr:uid="{00000000-0005-0000-0000-000070510000}"/>
    <cellStyle name="40% - Accent6 5 2 3 2 3 2" xfId="20853" xr:uid="{00000000-0005-0000-0000-000071510000}"/>
    <cellStyle name="40% - Accent6 5 2 3 2 3 2 2" xfId="20854" xr:uid="{00000000-0005-0000-0000-000072510000}"/>
    <cellStyle name="40% - Accent6 5 2 3 2 3 3" xfId="20855" xr:uid="{00000000-0005-0000-0000-000073510000}"/>
    <cellStyle name="40% - Accent6 5 2 3 2 4" xfId="20856" xr:uid="{00000000-0005-0000-0000-000074510000}"/>
    <cellStyle name="40% - Accent6 5 2 3 2 4 2" xfId="20857" xr:uid="{00000000-0005-0000-0000-000075510000}"/>
    <cellStyle name="40% - Accent6 5 2 3 2 4 2 2" xfId="20858" xr:uid="{00000000-0005-0000-0000-000076510000}"/>
    <cellStyle name="40% - Accent6 5 2 3 2 4 3" xfId="20859" xr:uid="{00000000-0005-0000-0000-000077510000}"/>
    <cellStyle name="40% - Accent6 5 2 3 2 5" xfId="20860" xr:uid="{00000000-0005-0000-0000-000078510000}"/>
    <cellStyle name="40% - Accent6 5 2 3 2 5 2" xfId="20861" xr:uid="{00000000-0005-0000-0000-000079510000}"/>
    <cellStyle name="40% - Accent6 5 2 3 2 5 2 2" xfId="20862" xr:uid="{00000000-0005-0000-0000-00007A510000}"/>
    <cellStyle name="40% - Accent6 5 2 3 2 5 3" xfId="20863" xr:uid="{00000000-0005-0000-0000-00007B510000}"/>
    <cellStyle name="40% - Accent6 5 2 3 2 6" xfId="20864" xr:uid="{00000000-0005-0000-0000-00007C510000}"/>
    <cellStyle name="40% - Accent6 5 2 3 2 6 2" xfId="20865" xr:uid="{00000000-0005-0000-0000-00007D510000}"/>
    <cellStyle name="40% - Accent6 5 2 3 2 6 2 2" xfId="20866" xr:uid="{00000000-0005-0000-0000-00007E510000}"/>
    <cellStyle name="40% - Accent6 5 2 3 2 6 3" xfId="20867" xr:uid="{00000000-0005-0000-0000-00007F510000}"/>
    <cellStyle name="40% - Accent6 5 2 3 2 7" xfId="20868" xr:uid="{00000000-0005-0000-0000-000080510000}"/>
    <cellStyle name="40% - Accent6 5 2 3 2 7 2" xfId="20869" xr:uid="{00000000-0005-0000-0000-000081510000}"/>
    <cellStyle name="40% - Accent6 5 2 3 2 8" xfId="20870" xr:uid="{00000000-0005-0000-0000-000082510000}"/>
    <cellStyle name="40% - Accent6 5 2 3 3" xfId="20871" xr:uid="{00000000-0005-0000-0000-000083510000}"/>
    <cellStyle name="40% - Accent6 5 2 3 3 2" xfId="20872" xr:uid="{00000000-0005-0000-0000-000084510000}"/>
    <cellStyle name="40% - Accent6 5 2 3 3 2 2" xfId="20873" xr:uid="{00000000-0005-0000-0000-000085510000}"/>
    <cellStyle name="40% - Accent6 5 2 3 3 2 2 2" xfId="20874" xr:uid="{00000000-0005-0000-0000-000086510000}"/>
    <cellStyle name="40% - Accent6 5 2 3 3 2 2 2 2" xfId="20875" xr:uid="{00000000-0005-0000-0000-000087510000}"/>
    <cellStyle name="40% - Accent6 5 2 3 3 2 2 3" xfId="20876" xr:uid="{00000000-0005-0000-0000-000088510000}"/>
    <cellStyle name="40% - Accent6 5 2 3 3 2 3" xfId="20877" xr:uid="{00000000-0005-0000-0000-000089510000}"/>
    <cellStyle name="40% - Accent6 5 2 3 3 2 3 2" xfId="20878" xr:uid="{00000000-0005-0000-0000-00008A510000}"/>
    <cellStyle name="40% - Accent6 5 2 3 3 2 4" xfId="20879" xr:uid="{00000000-0005-0000-0000-00008B510000}"/>
    <cellStyle name="40% - Accent6 5 2 3 3 3" xfId="20880" xr:uid="{00000000-0005-0000-0000-00008C510000}"/>
    <cellStyle name="40% - Accent6 5 2 3 3 3 2" xfId="20881" xr:uid="{00000000-0005-0000-0000-00008D510000}"/>
    <cellStyle name="40% - Accent6 5 2 3 3 3 2 2" xfId="20882" xr:uid="{00000000-0005-0000-0000-00008E510000}"/>
    <cellStyle name="40% - Accent6 5 2 3 3 3 3" xfId="20883" xr:uid="{00000000-0005-0000-0000-00008F510000}"/>
    <cellStyle name="40% - Accent6 5 2 3 3 4" xfId="20884" xr:uid="{00000000-0005-0000-0000-000090510000}"/>
    <cellStyle name="40% - Accent6 5 2 3 3 4 2" xfId="20885" xr:uid="{00000000-0005-0000-0000-000091510000}"/>
    <cellStyle name="40% - Accent6 5 2 3 3 4 2 2" xfId="20886" xr:uid="{00000000-0005-0000-0000-000092510000}"/>
    <cellStyle name="40% - Accent6 5 2 3 3 4 3" xfId="20887" xr:uid="{00000000-0005-0000-0000-000093510000}"/>
    <cellStyle name="40% - Accent6 5 2 3 3 5" xfId="20888" xr:uid="{00000000-0005-0000-0000-000094510000}"/>
    <cellStyle name="40% - Accent6 5 2 3 3 5 2" xfId="20889" xr:uid="{00000000-0005-0000-0000-000095510000}"/>
    <cellStyle name="40% - Accent6 5 2 3 3 5 2 2" xfId="20890" xr:uid="{00000000-0005-0000-0000-000096510000}"/>
    <cellStyle name="40% - Accent6 5 2 3 3 5 3" xfId="20891" xr:uid="{00000000-0005-0000-0000-000097510000}"/>
    <cellStyle name="40% - Accent6 5 2 3 3 6" xfId="20892" xr:uid="{00000000-0005-0000-0000-000098510000}"/>
    <cellStyle name="40% - Accent6 5 2 3 3 6 2" xfId="20893" xr:uid="{00000000-0005-0000-0000-000099510000}"/>
    <cellStyle name="40% - Accent6 5 2 3 3 6 2 2" xfId="20894" xr:uid="{00000000-0005-0000-0000-00009A510000}"/>
    <cellStyle name="40% - Accent6 5 2 3 3 6 3" xfId="20895" xr:uid="{00000000-0005-0000-0000-00009B510000}"/>
    <cellStyle name="40% - Accent6 5 2 3 3 7" xfId="20896" xr:uid="{00000000-0005-0000-0000-00009C510000}"/>
    <cellStyle name="40% - Accent6 5 2 3 3 7 2" xfId="20897" xr:uid="{00000000-0005-0000-0000-00009D510000}"/>
    <cellStyle name="40% - Accent6 5 2 3 3 8" xfId="20898" xr:uid="{00000000-0005-0000-0000-00009E510000}"/>
    <cellStyle name="40% - Accent6 5 2 3 4" xfId="20899" xr:uid="{00000000-0005-0000-0000-00009F510000}"/>
    <cellStyle name="40% - Accent6 5 2 3 4 2" xfId="20900" xr:uid="{00000000-0005-0000-0000-0000A0510000}"/>
    <cellStyle name="40% - Accent6 5 2 3 4 2 2" xfId="20901" xr:uid="{00000000-0005-0000-0000-0000A1510000}"/>
    <cellStyle name="40% - Accent6 5 2 3 4 2 2 2" xfId="20902" xr:uid="{00000000-0005-0000-0000-0000A2510000}"/>
    <cellStyle name="40% - Accent6 5 2 3 4 2 2 2 2" xfId="20903" xr:uid="{00000000-0005-0000-0000-0000A3510000}"/>
    <cellStyle name="40% - Accent6 5 2 3 4 2 2 3" xfId="20904" xr:uid="{00000000-0005-0000-0000-0000A4510000}"/>
    <cellStyle name="40% - Accent6 5 2 3 4 2 3" xfId="20905" xr:uid="{00000000-0005-0000-0000-0000A5510000}"/>
    <cellStyle name="40% - Accent6 5 2 3 4 2 3 2" xfId="20906" xr:uid="{00000000-0005-0000-0000-0000A6510000}"/>
    <cellStyle name="40% - Accent6 5 2 3 4 2 4" xfId="20907" xr:uid="{00000000-0005-0000-0000-0000A7510000}"/>
    <cellStyle name="40% - Accent6 5 2 3 4 3" xfId="20908" xr:uid="{00000000-0005-0000-0000-0000A8510000}"/>
    <cellStyle name="40% - Accent6 5 2 3 4 3 2" xfId="20909" xr:uid="{00000000-0005-0000-0000-0000A9510000}"/>
    <cellStyle name="40% - Accent6 5 2 3 4 3 2 2" xfId="20910" xr:uid="{00000000-0005-0000-0000-0000AA510000}"/>
    <cellStyle name="40% - Accent6 5 2 3 4 3 3" xfId="20911" xr:uid="{00000000-0005-0000-0000-0000AB510000}"/>
    <cellStyle name="40% - Accent6 5 2 3 4 4" xfId="20912" xr:uid="{00000000-0005-0000-0000-0000AC510000}"/>
    <cellStyle name="40% - Accent6 5 2 3 4 4 2" xfId="20913" xr:uid="{00000000-0005-0000-0000-0000AD510000}"/>
    <cellStyle name="40% - Accent6 5 2 3 4 4 2 2" xfId="20914" xr:uid="{00000000-0005-0000-0000-0000AE510000}"/>
    <cellStyle name="40% - Accent6 5 2 3 4 4 3" xfId="20915" xr:uid="{00000000-0005-0000-0000-0000AF510000}"/>
    <cellStyle name="40% - Accent6 5 2 3 4 5" xfId="20916" xr:uid="{00000000-0005-0000-0000-0000B0510000}"/>
    <cellStyle name="40% - Accent6 5 2 3 4 5 2" xfId="20917" xr:uid="{00000000-0005-0000-0000-0000B1510000}"/>
    <cellStyle name="40% - Accent6 5 2 3 4 5 2 2" xfId="20918" xr:uid="{00000000-0005-0000-0000-0000B2510000}"/>
    <cellStyle name="40% - Accent6 5 2 3 4 5 3" xfId="20919" xr:uid="{00000000-0005-0000-0000-0000B3510000}"/>
    <cellStyle name="40% - Accent6 5 2 3 4 6" xfId="20920" xr:uid="{00000000-0005-0000-0000-0000B4510000}"/>
    <cellStyle name="40% - Accent6 5 2 3 4 6 2" xfId="20921" xr:uid="{00000000-0005-0000-0000-0000B5510000}"/>
    <cellStyle name="40% - Accent6 5 2 3 4 6 2 2" xfId="20922" xr:uid="{00000000-0005-0000-0000-0000B6510000}"/>
    <cellStyle name="40% - Accent6 5 2 3 4 6 3" xfId="20923" xr:uid="{00000000-0005-0000-0000-0000B7510000}"/>
    <cellStyle name="40% - Accent6 5 2 3 4 7" xfId="20924" xr:uid="{00000000-0005-0000-0000-0000B8510000}"/>
    <cellStyle name="40% - Accent6 5 2 3 4 7 2" xfId="20925" xr:uid="{00000000-0005-0000-0000-0000B9510000}"/>
    <cellStyle name="40% - Accent6 5 2 3 4 8" xfId="20926" xr:uid="{00000000-0005-0000-0000-0000BA510000}"/>
    <cellStyle name="40% - Accent6 5 2 3 5" xfId="20927" xr:uid="{00000000-0005-0000-0000-0000BB510000}"/>
    <cellStyle name="40% - Accent6 5 2 3 5 2" xfId="20928" xr:uid="{00000000-0005-0000-0000-0000BC510000}"/>
    <cellStyle name="40% - Accent6 5 2 3 5 2 2" xfId="20929" xr:uid="{00000000-0005-0000-0000-0000BD510000}"/>
    <cellStyle name="40% - Accent6 5 2 3 5 2 2 2" xfId="20930" xr:uid="{00000000-0005-0000-0000-0000BE510000}"/>
    <cellStyle name="40% - Accent6 5 2 3 5 2 2 2 2" xfId="20931" xr:uid="{00000000-0005-0000-0000-0000BF510000}"/>
    <cellStyle name="40% - Accent6 5 2 3 5 2 2 3" xfId="20932" xr:uid="{00000000-0005-0000-0000-0000C0510000}"/>
    <cellStyle name="40% - Accent6 5 2 3 5 2 3" xfId="20933" xr:uid="{00000000-0005-0000-0000-0000C1510000}"/>
    <cellStyle name="40% - Accent6 5 2 3 5 2 3 2" xfId="20934" xr:uid="{00000000-0005-0000-0000-0000C2510000}"/>
    <cellStyle name="40% - Accent6 5 2 3 5 2 4" xfId="20935" xr:uid="{00000000-0005-0000-0000-0000C3510000}"/>
    <cellStyle name="40% - Accent6 5 2 3 5 3" xfId="20936" xr:uid="{00000000-0005-0000-0000-0000C4510000}"/>
    <cellStyle name="40% - Accent6 5 2 3 5 3 2" xfId="20937" xr:uid="{00000000-0005-0000-0000-0000C5510000}"/>
    <cellStyle name="40% - Accent6 5 2 3 5 3 2 2" xfId="20938" xr:uid="{00000000-0005-0000-0000-0000C6510000}"/>
    <cellStyle name="40% - Accent6 5 2 3 5 3 3" xfId="20939" xr:uid="{00000000-0005-0000-0000-0000C7510000}"/>
    <cellStyle name="40% - Accent6 5 2 3 5 4" xfId="20940" xr:uid="{00000000-0005-0000-0000-0000C8510000}"/>
    <cellStyle name="40% - Accent6 5 2 3 5 4 2" xfId="20941" xr:uid="{00000000-0005-0000-0000-0000C9510000}"/>
    <cellStyle name="40% - Accent6 5 2 3 5 5" xfId="20942" xr:uid="{00000000-0005-0000-0000-0000CA510000}"/>
    <cellStyle name="40% - Accent6 5 2 3 6" xfId="20943" xr:uid="{00000000-0005-0000-0000-0000CB510000}"/>
    <cellStyle name="40% - Accent6 5 2 3 6 2" xfId="20944" xr:uid="{00000000-0005-0000-0000-0000CC510000}"/>
    <cellStyle name="40% - Accent6 5 2 3 6 2 2" xfId="20945" xr:uid="{00000000-0005-0000-0000-0000CD510000}"/>
    <cellStyle name="40% - Accent6 5 2 3 6 2 2 2" xfId="20946" xr:uid="{00000000-0005-0000-0000-0000CE510000}"/>
    <cellStyle name="40% - Accent6 5 2 3 6 2 2 2 2" xfId="20947" xr:uid="{00000000-0005-0000-0000-0000CF510000}"/>
    <cellStyle name="40% - Accent6 5 2 3 6 2 2 3" xfId="20948" xr:uid="{00000000-0005-0000-0000-0000D0510000}"/>
    <cellStyle name="40% - Accent6 5 2 3 6 2 3" xfId="20949" xr:uid="{00000000-0005-0000-0000-0000D1510000}"/>
    <cellStyle name="40% - Accent6 5 2 3 6 2 3 2" xfId="20950" xr:uid="{00000000-0005-0000-0000-0000D2510000}"/>
    <cellStyle name="40% - Accent6 5 2 3 6 2 4" xfId="20951" xr:uid="{00000000-0005-0000-0000-0000D3510000}"/>
    <cellStyle name="40% - Accent6 5 2 3 6 3" xfId="20952" xr:uid="{00000000-0005-0000-0000-0000D4510000}"/>
    <cellStyle name="40% - Accent6 5 2 3 6 3 2" xfId="20953" xr:uid="{00000000-0005-0000-0000-0000D5510000}"/>
    <cellStyle name="40% - Accent6 5 2 3 6 3 2 2" xfId="20954" xr:uid="{00000000-0005-0000-0000-0000D6510000}"/>
    <cellStyle name="40% - Accent6 5 2 3 6 3 3" xfId="20955" xr:uid="{00000000-0005-0000-0000-0000D7510000}"/>
    <cellStyle name="40% - Accent6 5 2 3 6 4" xfId="20956" xr:uid="{00000000-0005-0000-0000-0000D8510000}"/>
    <cellStyle name="40% - Accent6 5 2 3 6 4 2" xfId="20957" xr:uid="{00000000-0005-0000-0000-0000D9510000}"/>
    <cellStyle name="40% - Accent6 5 2 3 6 5" xfId="20958" xr:uid="{00000000-0005-0000-0000-0000DA510000}"/>
    <cellStyle name="40% - Accent6 5 2 3 7" xfId="20959" xr:uid="{00000000-0005-0000-0000-0000DB510000}"/>
    <cellStyle name="40% - Accent6 5 2 3 7 2" xfId="20960" xr:uid="{00000000-0005-0000-0000-0000DC510000}"/>
    <cellStyle name="40% - Accent6 5 2 3 7 2 2" xfId="20961" xr:uid="{00000000-0005-0000-0000-0000DD510000}"/>
    <cellStyle name="40% - Accent6 5 2 3 7 2 2 2" xfId="20962" xr:uid="{00000000-0005-0000-0000-0000DE510000}"/>
    <cellStyle name="40% - Accent6 5 2 3 7 2 3" xfId="20963" xr:uid="{00000000-0005-0000-0000-0000DF510000}"/>
    <cellStyle name="40% - Accent6 5 2 3 7 3" xfId="20964" xr:uid="{00000000-0005-0000-0000-0000E0510000}"/>
    <cellStyle name="40% - Accent6 5 2 3 7 3 2" xfId="20965" xr:uid="{00000000-0005-0000-0000-0000E1510000}"/>
    <cellStyle name="40% - Accent6 5 2 3 7 4" xfId="20966" xr:uid="{00000000-0005-0000-0000-0000E2510000}"/>
    <cellStyle name="40% - Accent6 5 2 3 8" xfId="20967" xr:uid="{00000000-0005-0000-0000-0000E3510000}"/>
    <cellStyle name="40% - Accent6 5 2 3 8 2" xfId="20968" xr:uid="{00000000-0005-0000-0000-0000E4510000}"/>
    <cellStyle name="40% - Accent6 5 2 3 8 2 2" xfId="20969" xr:uid="{00000000-0005-0000-0000-0000E5510000}"/>
    <cellStyle name="40% - Accent6 5 2 3 8 2 2 2" xfId="20970" xr:uid="{00000000-0005-0000-0000-0000E6510000}"/>
    <cellStyle name="40% - Accent6 5 2 3 8 2 3" xfId="20971" xr:uid="{00000000-0005-0000-0000-0000E7510000}"/>
    <cellStyle name="40% - Accent6 5 2 3 8 3" xfId="20972" xr:uid="{00000000-0005-0000-0000-0000E8510000}"/>
    <cellStyle name="40% - Accent6 5 2 3 8 3 2" xfId="20973" xr:uid="{00000000-0005-0000-0000-0000E9510000}"/>
    <cellStyle name="40% - Accent6 5 2 3 8 4" xfId="20974" xr:uid="{00000000-0005-0000-0000-0000EA510000}"/>
    <cellStyle name="40% - Accent6 5 2 3 9" xfId="20975" xr:uid="{00000000-0005-0000-0000-0000EB510000}"/>
    <cellStyle name="40% - Accent6 5 2 3 9 2" xfId="20976" xr:uid="{00000000-0005-0000-0000-0000EC510000}"/>
    <cellStyle name="40% - Accent6 5 2 3 9 2 2" xfId="20977" xr:uid="{00000000-0005-0000-0000-0000ED510000}"/>
    <cellStyle name="40% - Accent6 5 2 3 9 3" xfId="20978" xr:uid="{00000000-0005-0000-0000-0000EE510000}"/>
    <cellStyle name="40% - Accent6 5 2 4" xfId="20979" xr:uid="{00000000-0005-0000-0000-0000EF510000}"/>
    <cellStyle name="40% - Accent6 5 2 4 10" xfId="20980" xr:uid="{00000000-0005-0000-0000-0000F0510000}"/>
    <cellStyle name="40% - Accent6 5 2 4 10 2" xfId="20981" xr:uid="{00000000-0005-0000-0000-0000F1510000}"/>
    <cellStyle name="40% - Accent6 5 2 4 10 2 2" xfId="20982" xr:uid="{00000000-0005-0000-0000-0000F2510000}"/>
    <cellStyle name="40% - Accent6 5 2 4 10 3" xfId="20983" xr:uid="{00000000-0005-0000-0000-0000F3510000}"/>
    <cellStyle name="40% - Accent6 5 2 4 11" xfId="20984" xr:uid="{00000000-0005-0000-0000-0000F4510000}"/>
    <cellStyle name="40% - Accent6 5 2 4 11 2" xfId="20985" xr:uid="{00000000-0005-0000-0000-0000F5510000}"/>
    <cellStyle name="40% - Accent6 5 2 4 11 2 2" xfId="20986" xr:uid="{00000000-0005-0000-0000-0000F6510000}"/>
    <cellStyle name="40% - Accent6 5 2 4 11 3" xfId="20987" xr:uid="{00000000-0005-0000-0000-0000F7510000}"/>
    <cellStyle name="40% - Accent6 5 2 4 12" xfId="20988" xr:uid="{00000000-0005-0000-0000-0000F8510000}"/>
    <cellStyle name="40% - Accent6 5 2 4 12 2" xfId="20989" xr:uid="{00000000-0005-0000-0000-0000F9510000}"/>
    <cellStyle name="40% - Accent6 5 2 4 12 2 2" xfId="20990" xr:uid="{00000000-0005-0000-0000-0000FA510000}"/>
    <cellStyle name="40% - Accent6 5 2 4 12 3" xfId="20991" xr:uid="{00000000-0005-0000-0000-0000FB510000}"/>
    <cellStyle name="40% - Accent6 5 2 4 13" xfId="20992" xr:uid="{00000000-0005-0000-0000-0000FC510000}"/>
    <cellStyle name="40% - Accent6 5 2 4 13 2" xfId="20993" xr:uid="{00000000-0005-0000-0000-0000FD510000}"/>
    <cellStyle name="40% - Accent6 5 2 4 14" xfId="20994" xr:uid="{00000000-0005-0000-0000-0000FE510000}"/>
    <cellStyle name="40% - Accent6 5 2 4 2" xfId="20995" xr:uid="{00000000-0005-0000-0000-0000FF510000}"/>
    <cellStyle name="40% - Accent6 5 2 4 2 2" xfId="20996" xr:uid="{00000000-0005-0000-0000-000000520000}"/>
    <cellStyle name="40% - Accent6 5 2 4 2 2 2" xfId="20997" xr:uid="{00000000-0005-0000-0000-000001520000}"/>
    <cellStyle name="40% - Accent6 5 2 4 2 2 2 2" xfId="20998" xr:uid="{00000000-0005-0000-0000-000002520000}"/>
    <cellStyle name="40% - Accent6 5 2 4 2 2 2 2 2" xfId="20999" xr:uid="{00000000-0005-0000-0000-000003520000}"/>
    <cellStyle name="40% - Accent6 5 2 4 2 2 2 3" xfId="21000" xr:uid="{00000000-0005-0000-0000-000004520000}"/>
    <cellStyle name="40% - Accent6 5 2 4 2 2 3" xfId="21001" xr:uid="{00000000-0005-0000-0000-000005520000}"/>
    <cellStyle name="40% - Accent6 5 2 4 2 2 3 2" xfId="21002" xr:uid="{00000000-0005-0000-0000-000006520000}"/>
    <cellStyle name="40% - Accent6 5 2 4 2 2 4" xfId="21003" xr:uid="{00000000-0005-0000-0000-000007520000}"/>
    <cellStyle name="40% - Accent6 5 2 4 2 3" xfId="21004" xr:uid="{00000000-0005-0000-0000-000008520000}"/>
    <cellStyle name="40% - Accent6 5 2 4 2 3 2" xfId="21005" xr:uid="{00000000-0005-0000-0000-000009520000}"/>
    <cellStyle name="40% - Accent6 5 2 4 2 3 2 2" xfId="21006" xr:uid="{00000000-0005-0000-0000-00000A520000}"/>
    <cellStyle name="40% - Accent6 5 2 4 2 3 3" xfId="21007" xr:uid="{00000000-0005-0000-0000-00000B520000}"/>
    <cellStyle name="40% - Accent6 5 2 4 2 4" xfId="21008" xr:uid="{00000000-0005-0000-0000-00000C520000}"/>
    <cellStyle name="40% - Accent6 5 2 4 2 4 2" xfId="21009" xr:uid="{00000000-0005-0000-0000-00000D520000}"/>
    <cellStyle name="40% - Accent6 5 2 4 2 4 2 2" xfId="21010" xr:uid="{00000000-0005-0000-0000-00000E520000}"/>
    <cellStyle name="40% - Accent6 5 2 4 2 4 3" xfId="21011" xr:uid="{00000000-0005-0000-0000-00000F520000}"/>
    <cellStyle name="40% - Accent6 5 2 4 2 5" xfId="21012" xr:uid="{00000000-0005-0000-0000-000010520000}"/>
    <cellStyle name="40% - Accent6 5 2 4 2 5 2" xfId="21013" xr:uid="{00000000-0005-0000-0000-000011520000}"/>
    <cellStyle name="40% - Accent6 5 2 4 2 5 2 2" xfId="21014" xr:uid="{00000000-0005-0000-0000-000012520000}"/>
    <cellStyle name="40% - Accent6 5 2 4 2 5 3" xfId="21015" xr:uid="{00000000-0005-0000-0000-000013520000}"/>
    <cellStyle name="40% - Accent6 5 2 4 2 6" xfId="21016" xr:uid="{00000000-0005-0000-0000-000014520000}"/>
    <cellStyle name="40% - Accent6 5 2 4 2 6 2" xfId="21017" xr:uid="{00000000-0005-0000-0000-000015520000}"/>
    <cellStyle name="40% - Accent6 5 2 4 2 6 2 2" xfId="21018" xr:uid="{00000000-0005-0000-0000-000016520000}"/>
    <cellStyle name="40% - Accent6 5 2 4 2 6 3" xfId="21019" xr:uid="{00000000-0005-0000-0000-000017520000}"/>
    <cellStyle name="40% - Accent6 5 2 4 2 7" xfId="21020" xr:uid="{00000000-0005-0000-0000-000018520000}"/>
    <cellStyle name="40% - Accent6 5 2 4 2 7 2" xfId="21021" xr:uid="{00000000-0005-0000-0000-000019520000}"/>
    <cellStyle name="40% - Accent6 5 2 4 2 8" xfId="21022" xr:uid="{00000000-0005-0000-0000-00001A520000}"/>
    <cellStyle name="40% - Accent6 5 2 4 3" xfId="21023" xr:uid="{00000000-0005-0000-0000-00001B520000}"/>
    <cellStyle name="40% - Accent6 5 2 4 3 2" xfId="21024" xr:uid="{00000000-0005-0000-0000-00001C520000}"/>
    <cellStyle name="40% - Accent6 5 2 4 3 2 2" xfId="21025" xr:uid="{00000000-0005-0000-0000-00001D520000}"/>
    <cellStyle name="40% - Accent6 5 2 4 3 2 2 2" xfId="21026" xr:uid="{00000000-0005-0000-0000-00001E520000}"/>
    <cellStyle name="40% - Accent6 5 2 4 3 2 2 2 2" xfId="21027" xr:uid="{00000000-0005-0000-0000-00001F520000}"/>
    <cellStyle name="40% - Accent6 5 2 4 3 2 2 3" xfId="21028" xr:uid="{00000000-0005-0000-0000-000020520000}"/>
    <cellStyle name="40% - Accent6 5 2 4 3 2 3" xfId="21029" xr:uid="{00000000-0005-0000-0000-000021520000}"/>
    <cellStyle name="40% - Accent6 5 2 4 3 2 3 2" xfId="21030" xr:uid="{00000000-0005-0000-0000-000022520000}"/>
    <cellStyle name="40% - Accent6 5 2 4 3 2 4" xfId="21031" xr:uid="{00000000-0005-0000-0000-000023520000}"/>
    <cellStyle name="40% - Accent6 5 2 4 3 3" xfId="21032" xr:uid="{00000000-0005-0000-0000-000024520000}"/>
    <cellStyle name="40% - Accent6 5 2 4 3 3 2" xfId="21033" xr:uid="{00000000-0005-0000-0000-000025520000}"/>
    <cellStyle name="40% - Accent6 5 2 4 3 3 2 2" xfId="21034" xr:uid="{00000000-0005-0000-0000-000026520000}"/>
    <cellStyle name="40% - Accent6 5 2 4 3 3 3" xfId="21035" xr:uid="{00000000-0005-0000-0000-000027520000}"/>
    <cellStyle name="40% - Accent6 5 2 4 3 4" xfId="21036" xr:uid="{00000000-0005-0000-0000-000028520000}"/>
    <cellStyle name="40% - Accent6 5 2 4 3 4 2" xfId="21037" xr:uid="{00000000-0005-0000-0000-000029520000}"/>
    <cellStyle name="40% - Accent6 5 2 4 3 4 2 2" xfId="21038" xr:uid="{00000000-0005-0000-0000-00002A520000}"/>
    <cellStyle name="40% - Accent6 5 2 4 3 4 3" xfId="21039" xr:uid="{00000000-0005-0000-0000-00002B520000}"/>
    <cellStyle name="40% - Accent6 5 2 4 3 5" xfId="21040" xr:uid="{00000000-0005-0000-0000-00002C520000}"/>
    <cellStyle name="40% - Accent6 5 2 4 3 5 2" xfId="21041" xr:uid="{00000000-0005-0000-0000-00002D520000}"/>
    <cellStyle name="40% - Accent6 5 2 4 3 5 2 2" xfId="21042" xr:uid="{00000000-0005-0000-0000-00002E520000}"/>
    <cellStyle name="40% - Accent6 5 2 4 3 5 3" xfId="21043" xr:uid="{00000000-0005-0000-0000-00002F520000}"/>
    <cellStyle name="40% - Accent6 5 2 4 3 6" xfId="21044" xr:uid="{00000000-0005-0000-0000-000030520000}"/>
    <cellStyle name="40% - Accent6 5 2 4 3 6 2" xfId="21045" xr:uid="{00000000-0005-0000-0000-000031520000}"/>
    <cellStyle name="40% - Accent6 5 2 4 3 6 2 2" xfId="21046" xr:uid="{00000000-0005-0000-0000-000032520000}"/>
    <cellStyle name="40% - Accent6 5 2 4 3 6 3" xfId="21047" xr:uid="{00000000-0005-0000-0000-000033520000}"/>
    <cellStyle name="40% - Accent6 5 2 4 3 7" xfId="21048" xr:uid="{00000000-0005-0000-0000-000034520000}"/>
    <cellStyle name="40% - Accent6 5 2 4 3 7 2" xfId="21049" xr:uid="{00000000-0005-0000-0000-000035520000}"/>
    <cellStyle name="40% - Accent6 5 2 4 3 8" xfId="21050" xr:uid="{00000000-0005-0000-0000-000036520000}"/>
    <cellStyle name="40% - Accent6 5 2 4 4" xfId="21051" xr:uid="{00000000-0005-0000-0000-000037520000}"/>
    <cellStyle name="40% - Accent6 5 2 4 4 2" xfId="21052" xr:uid="{00000000-0005-0000-0000-000038520000}"/>
    <cellStyle name="40% - Accent6 5 2 4 4 2 2" xfId="21053" xr:uid="{00000000-0005-0000-0000-000039520000}"/>
    <cellStyle name="40% - Accent6 5 2 4 4 2 2 2" xfId="21054" xr:uid="{00000000-0005-0000-0000-00003A520000}"/>
    <cellStyle name="40% - Accent6 5 2 4 4 2 2 2 2" xfId="21055" xr:uid="{00000000-0005-0000-0000-00003B520000}"/>
    <cellStyle name="40% - Accent6 5 2 4 4 2 2 3" xfId="21056" xr:uid="{00000000-0005-0000-0000-00003C520000}"/>
    <cellStyle name="40% - Accent6 5 2 4 4 2 3" xfId="21057" xr:uid="{00000000-0005-0000-0000-00003D520000}"/>
    <cellStyle name="40% - Accent6 5 2 4 4 2 3 2" xfId="21058" xr:uid="{00000000-0005-0000-0000-00003E520000}"/>
    <cellStyle name="40% - Accent6 5 2 4 4 2 4" xfId="21059" xr:uid="{00000000-0005-0000-0000-00003F520000}"/>
    <cellStyle name="40% - Accent6 5 2 4 4 3" xfId="21060" xr:uid="{00000000-0005-0000-0000-000040520000}"/>
    <cellStyle name="40% - Accent6 5 2 4 4 3 2" xfId="21061" xr:uid="{00000000-0005-0000-0000-000041520000}"/>
    <cellStyle name="40% - Accent6 5 2 4 4 3 2 2" xfId="21062" xr:uid="{00000000-0005-0000-0000-000042520000}"/>
    <cellStyle name="40% - Accent6 5 2 4 4 3 3" xfId="21063" xr:uid="{00000000-0005-0000-0000-000043520000}"/>
    <cellStyle name="40% - Accent6 5 2 4 4 4" xfId="21064" xr:uid="{00000000-0005-0000-0000-000044520000}"/>
    <cellStyle name="40% - Accent6 5 2 4 4 4 2" xfId="21065" xr:uid="{00000000-0005-0000-0000-000045520000}"/>
    <cellStyle name="40% - Accent6 5 2 4 4 4 2 2" xfId="21066" xr:uid="{00000000-0005-0000-0000-000046520000}"/>
    <cellStyle name="40% - Accent6 5 2 4 4 4 3" xfId="21067" xr:uid="{00000000-0005-0000-0000-000047520000}"/>
    <cellStyle name="40% - Accent6 5 2 4 4 5" xfId="21068" xr:uid="{00000000-0005-0000-0000-000048520000}"/>
    <cellStyle name="40% - Accent6 5 2 4 4 5 2" xfId="21069" xr:uid="{00000000-0005-0000-0000-000049520000}"/>
    <cellStyle name="40% - Accent6 5 2 4 4 5 2 2" xfId="21070" xr:uid="{00000000-0005-0000-0000-00004A520000}"/>
    <cellStyle name="40% - Accent6 5 2 4 4 5 3" xfId="21071" xr:uid="{00000000-0005-0000-0000-00004B520000}"/>
    <cellStyle name="40% - Accent6 5 2 4 4 6" xfId="21072" xr:uid="{00000000-0005-0000-0000-00004C520000}"/>
    <cellStyle name="40% - Accent6 5 2 4 4 6 2" xfId="21073" xr:uid="{00000000-0005-0000-0000-00004D520000}"/>
    <cellStyle name="40% - Accent6 5 2 4 4 6 2 2" xfId="21074" xr:uid="{00000000-0005-0000-0000-00004E520000}"/>
    <cellStyle name="40% - Accent6 5 2 4 4 6 3" xfId="21075" xr:uid="{00000000-0005-0000-0000-00004F520000}"/>
    <cellStyle name="40% - Accent6 5 2 4 4 7" xfId="21076" xr:uid="{00000000-0005-0000-0000-000050520000}"/>
    <cellStyle name="40% - Accent6 5 2 4 4 7 2" xfId="21077" xr:uid="{00000000-0005-0000-0000-000051520000}"/>
    <cellStyle name="40% - Accent6 5 2 4 4 8" xfId="21078" xr:uid="{00000000-0005-0000-0000-000052520000}"/>
    <cellStyle name="40% - Accent6 5 2 4 5" xfId="21079" xr:uid="{00000000-0005-0000-0000-000053520000}"/>
    <cellStyle name="40% - Accent6 5 2 4 5 2" xfId="21080" xr:uid="{00000000-0005-0000-0000-000054520000}"/>
    <cellStyle name="40% - Accent6 5 2 4 5 2 2" xfId="21081" xr:uid="{00000000-0005-0000-0000-000055520000}"/>
    <cellStyle name="40% - Accent6 5 2 4 5 2 2 2" xfId="21082" xr:uid="{00000000-0005-0000-0000-000056520000}"/>
    <cellStyle name="40% - Accent6 5 2 4 5 2 2 2 2" xfId="21083" xr:uid="{00000000-0005-0000-0000-000057520000}"/>
    <cellStyle name="40% - Accent6 5 2 4 5 2 2 3" xfId="21084" xr:uid="{00000000-0005-0000-0000-000058520000}"/>
    <cellStyle name="40% - Accent6 5 2 4 5 2 3" xfId="21085" xr:uid="{00000000-0005-0000-0000-000059520000}"/>
    <cellStyle name="40% - Accent6 5 2 4 5 2 3 2" xfId="21086" xr:uid="{00000000-0005-0000-0000-00005A520000}"/>
    <cellStyle name="40% - Accent6 5 2 4 5 2 4" xfId="21087" xr:uid="{00000000-0005-0000-0000-00005B520000}"/>
    <cellStyle name="40% - Accent6 5 2 4 5 3" xfId="21088" xr:uid="{00000000-0005-0000-0000-00005C520000}"/>
    <cellStyle name="40% - Accent6 5 2 4 5 3 2" xfId="21089" xr:uid="{00000000-0005-0000-0000-00005D520000}"/>
    <cellStyle name="40% - Accent6 5 2 4 5 3 2 2" xfId="21090" xr:uid="{00000000-0005-0000-0000-00005E520000}"/>
    <cellStyle name="40% - Accent6 5 2 4 5 3 3" xfId="21091" xr:uid="{00000000-0005-0000-0000-00005F520000}"/>
    <cellStyle name="40% - Accent6 5 2 4 5 4" xfId="21092" xr:uid="{00000000-0005-0000-0000-000060520000}"/>
    <cellStyle name="40% - Accent6 5 2 4 5 4 2" xfId="21093" xr:uid="{00000000-0005-0000-0000-000061520000}"/>
    <cellStyle name="40% - Accent6 5 2 4 5 5" xfId="21094" xr:uid="{00000000-0005-0000-0000-000062520000}"/>
    <cellStyle name="40% - Accent6 5 2 4 6" xfId="21095" xr:uid="{00000000-0005-0000-0000-000063520000}"/>
    <cellStyle name="40% - Accent6 5 2 4 6 2" xfId="21096" xr:uid="{00000000-0005-0000-0000-000064520000}"/>
    <cellStyle name="40% - Accent6 5 2 4 6 2 2" xfId="21097" xr:uid="{00000000-0005-0000-0000-000065520000}"/>
    <cellStyle name="40% - Accent6 5 2 4 6 2 2 2" xfId="21098" xr:uid="{00000000-0005-0000-0000-000066520000}"/>
    <cellStyle name="40% - Accent6 5 2 4 6 2 2 2 2" xfId="21099" xr:uid="{00000000-0005-0000-0000-000067520000}"/>
    <cellStyle name="40% - Accent6 5 2 4 6 2 2 3" xfId="21100" xr:uid="{00000000-0005-0000-0000-000068520000}"/>
    <cellStyle name="40% - Accent6 5 2 4 6 2 3" xfId="21101" xr:uid="{00000000-0005-0000-0000-000069520000}"/>
    <cellStyle name="40% - Accent6 5 2 4 6 2 3 2" xfId="21102" xr:uid="{00000000-0005-0000-0000-00006A520000}"/>
    <cellStyle name="40% - Accent6 5 2 4 6 2 4" xfId="21103" xr:uid="{00000000-0005-0000-0000-00006B520000}"/>
    <cellStyle name="40% - Accent6 5 2 4 6 3" xfId="21104" xr:uid="{00000000-0005-0000-0000-00006C520000}"/>
    <cellStyle name="40% - Accent6 5 2 4 6 3 2" xfId="21105" xr:uid="{00000000-0005-0000-0000-00006D520000}"/>
    <cellStyle name="40% - Accent6 5 2 4 6 3 2 2" xfId="21106" xr:uid="{00000000-0005-0000-0000-00006E520000}"/>
    <cellStyle name="40% - Accent6 5 2 4 6 3 3" xfId="21107" xr:uid="{00000000-0005-0000-0000-00006F520000}"/>
    <cellStyle name="40% - Accent6 5 2 4 6 4" xfId="21108" xr:uid="{00000000-0005-0000-0000-000070520000}"/>
    <cellStyle name="40% - Accent6 5 2 4 6 4 2" xfId="21109" xr:uid="{00000000-0005-0000-0000-000071520000}"/>
    <cellStyle name="40% - Accent6 5 2 4 6 5" xfId="21110" xr:uid="{00000000-0005-0000-0000-000072520000}"/>
    <cellStyle name="40% - Accent6 5 2 4 7" xfId="21111" xr:uid="{00000000-0005-0000-0000-000073520000}"/>
    <cellStyle name="40% - Accent6 5 2 4 7 2" xfId="21112" xr:uid="{00000000-0005-0000-0000-000074520000}"/>
    <cellStyle name="40% - Accent6 5 2 4 7 2 2" xfId="21113" xr:uid="{00000000-0005-0000-0000-000075520000}"/>
    <cellStyle name="40% - Accent6 5 2 4 7 2 2 2" xfId="21114" xr:uid="{00000000-0005-0000-0000-000076520000}"/>
    <cellStyle name="40% - Accent6 5 2 4 7 2 3" xfId="21115" xr:uid="{00000000-0005-0000-0000-000077520000}"/>
    <cellStyle name="40% - Accent6 5 2 4 7 3" xfId="21116" xr:uid="{00000000-0005-0000-0000-000078520000}"/>
    <cellStyle name="40% - Accent6 5 2 4 7 3 2" xfId="21117" xr:uid="{00000000-0005-0000-0000-000079520000}"/>
    <cellStyle name="40% - Accent6 5 2 4 7 4" xfId="21118" xr:uid="{00000000-0005-0000-0000-00007A520000}"/>
    <cellStyle name="40% - Accent6 5 2 4 8" xfId="21119" xr:uid="{00000000-0005-0000-0000-00007B520000}"/>
    <cellStyle name="40% - Accent6 5 2 4 8 2" xfId="21120" xr:uid="{00000000-0005-0000-0000-00007C520000}"/>
    <cellStyle name="40% - Accent6 5 2 4 8 2 2" xfId="21121" xr:uid="{00000000-0005-0000-0000-00007D520000}"/>
    <cellStyle name="40% - Accent6 5 2 4 8 2 2 2" xfId="21122" xr:uid="{00000000-0005-0000-0000-00007E520000}"/>
    <cellStyle name="40% - Accent6 5 2 4 8 2 3" xfId="21123" xr:uid="{00000000-0005-0000-0000-00007F520000}"/>
    <cellStyle name="40% - Accent6 5 2 4 8 3" xfId="21124" xr:uid="{00000000-0005-0000-0000-000080520000}"/>
    <cellStyle name="40% - Accent6 5 2 4 8 3 2" xfId="21125" xr:uid="{00000000-0005-0000-0000-000081520000}"/>
    <cellStyle name="40% - Accent6 5 2 4 8 4" xfId="21126" xr:uid="{00000000-0005-0000-0000-000082520000}"/>
    <cellStyle name="40% - Accent6 5 2 4 9" xfId="21127" xr:uid="{00000000-0005-0000-0000-000083520000}"/>
    <cellStyle name="40% - Accent6 5 2 4 9 2" xfId="21128" xr:uid="{00000000-0005-0000-0000-000084520000}"/>
    <cellStyle name="40% - Accent6 5 2 4 9 2 2" xfId="21129" xr:uid="{00000000-0005-0000-0000-000085520000}"/>
    <cellStyle name="40% - Accent6 5 2 4 9 3" xfId="21130" xr:uid="{00000000-0005-0000-0000-000086520000}"/>
    <cellStyle name="40% - Accent6 5 2 5" xfId="21131" xr:uid="{00000000-0005-0000-0000-000087520000}"/>
    <cellStyle name="40% - Accent6 5 2 5 10" xfId="21132" xr:uid="{00000000-0005-0000-0000-000088520000}"/>
    <cellStyle name="40% - Accent6 5 2 5 10 2" xfId="21133" xr:uid="{00000000-0005-0000-0000-000089520000}"/>
    <cellStyle name="40% - Accent6 5 2 5 10 2 2" xfId="21134" xr:uid="{00000000-0005-0000-0000-00008A520000}"/>
    <cellStyle name="40% - Accent6 5 2 5 10 3" xfId="21135" xr:uid="{00000000-0005-0000-0000-00008B520000}"/>
    <cellStyle name="40% - Accent6 5 2 5 11" xfId="21136" xr:uid="{00000000-0005-0000-0000-00008C520000}"/>
    <cellStyle name="40% - Accent6 5 2 5 11 2" xfId="21137" xr:uid="{00000000-0005-0000-0000-00008D520000}"/>
    <cellStyle name="40% - Accent6 5 2 5 11 2 2" xfId="21138" xr:uid="{00000000-0005-0000-0000-00008E520000}"/>
    <cellStyle name="40% - Accent6 5 2 5 11 3" xfId="21139" xr:uid="{00000000-0005-0000-0000-00008F520000}"/>
    <cellStyle name="40% - Accent6 5 2 5 12" xfId="21140" xr:uid="{00000000-0005-0000-0000-000090520000}"/>
    <cellStyle name="40% - Accent6 5 2 5 12 2" xfId="21141" xr:uid="{00000000-0005-0000-0000-000091520000}"/>
    <cellStyle name="40% - Accent6 5 2 5 12 2 2" xfId="21142" xr:uid="{00000000-0005-0000-0000-000092520000}"/>
    <cellStyle name="40% - Accent6 5 2 5 12 3" xfId="21143" xr:uid="{00000000-0005-0000-0000-000093520000}"/>
    <cellStyle name="40% - Accent6 5 2 5 13" xfId="21144" xr:uid="{00000000-0005-0000-0000-000094520000}"/>
    <cellStyle name="40% - Accent6 5 2 5 13 2" xfId="21145" xr:uid="{00000000-0005-0000-0000-000095520000}"/>
    <cellStyle name="40% - Accent6 5 2 5 14" xfId="21146" xr:uid="{00000000-0005-0000-0000-000096520000}"/>
    <cellStyle name="40% - Accent6 5 2 5 2" xfId="21147" xr:uid="{00000000-0005-0000-0000-000097520000}"/>
    <cellStyle name="40% - Accent6 5 2 5 2 2" xfId="21148" xr:uid="{00000000-0005-0000-0000-000098520000}"/>
    <cellStyle name="40% - Accent6 5 2 5 2 2 2" xfId="21149" xr:uid="{00000000-0005-0000-0000-000099520000}"/>
    <cellStyle name="40% - Accent6 5 2 5 2 2 2 2" xfId="21150" xr:uid="{00000000-0005-0000-0000-00009A520000}"/>
    <cellStyle name="40% - Accent6 5 2 5 2 2 2 2 2" xfId="21151" xr:uid="{00000000-0005-0000-0000-00009B520000}"/>
    <cellStyle name="40% - Accent6 5 2 5 2 2 2 3" xfId="21152" xr:uid="{00000000-0005-0000-0000-00009C520000}"/>
    <cellStyle name="40% - Accent6 5 2 5 2 2 3" xfId="21153" xr:uid="{00000000-0005-0000-0000-00009D520000}"/>
    <cellStyle name="40% - Accent6 5 2 5 2 2 3 2" xfId="21154" xr:uid="{00000000-0005-0000-0000-00009E520000}"/>
    <cellStyle name="40% - Accent6 5 2 5 2 2 4" xfId="21155" xr:uid="{00000000-0005-0000-0000-00009F520000}"/>
    <cellStyle name="40% - Accent6 5 2 5 2 3" xfId="21156" xr:uid="{00000000-0005-0000-0000-0000A0520000}"/>
    <cellStyle name="40% - Accent6 5 2 5 2 3 2" xfId="21157" xr:uid="{00000000-0005-0000-0000-0000A1520000}"/>
    <cellStyle name="40% - Accent6 5 2 5 2 3 2 2" xfId="21158" xr:uid="{00000000-0005-0000-0000-0000A2520000}"/>
    <cellStyle name="40% - Accent6 5 2 5 2 3 3" xfId="21159" xr:uid="{00000000-0005-0000-0000-0000A3520000}"/>
    <cellStyle name="40% - Accent6 5 2 5 2 4" xfId="21160" xr:uid="{00000000-0005-0000-0000-0000A4520000}"/>
    <cellStyle name="40% - Accent6 5 2 5 2 4 2" xfId="21161" xr:uid="{00000000-0005-0000-0000-0000A5520000}"/>
    <cellStyle name="40% - Accent6 5 2 5 2 4 2 2" xfId="21162" xr:uid="{00000000-0005-0000-0000-0000A6520000}"/>
    <cellStyle name="40% - Accent6 5 2 5 2 4 3" xfId="21163" xr:uid="{00000000-0005-0000-0000-0000A7520000}"/>
    <cellStyle name="40% - Accent6 5 2 5 2 5" xfId="21164" xr:uid="{00000000-0005-0000-0000-0000A8520000}"/>
    <cellStyle name="40% - Accent6 5 2 5 2 5 2" xfId="21165" xr:uid="{00000000-0005-0000-0000-0000A9520000}"/>
    <cellStyle name="40% - Accent6 5 2 5 2 5 2 2" xfId="21166" xr:uid="{00000000-0005-0000-0000-0000AA520000}"/>
    <cellStyle name="40% - Accent6 5 2 5 2 5 3" xfId="21167" xr:uid="{00000000-0005-0000-0000-0000AB520000}"/>
    <cellStyle name="40% - Accent6 5 2 5 2 6" xfId="21168" xr:uid="{00000000-0005-0000-0000-0000AC520000}"/>
    <cellStyle name="40% - Accent6 5 2 5 2 6 2" xfId="21169" xr:uid="{00000000-0005-0000-0000-0000AD520000}"/>
    <cellStyle name="40% - Accent6 5 2 5 2 6 2 2" xfId="21170" xr:uid="{00000000-0005-0000-0000-0000AE520000}"/>
    <cellStyle name="40% - Accent6 5 2 5 2 6 3" xfId="21171" xr:uid="{00000000-0005-0000-0000-0000AF520000}"/>
    <cellStyle name="40% - Accent6 5 2 5 2 7" xfId="21172" xr:uid="{00000000-0005-0000-0000-0000B0520000}"/>
    <cellStyle name="40% - Accent6 5 2 5 2 7 2" xfId="21173" xr:uid="{00000000-0005-0000-0000-0000B1520000}"/>
    <cellStyle name="40% - Accent6 5 2 5 2 8" xfId="21174" xr:uid="{00000000-0005-0000-0000-0000B2520000}"/>
    <cellStyle name="40% - Accent6 5 2 5 3" xfId="21175" xr:uid="{00000000-0005-0000-0000-0000B3520000}"/>
    <cellStyle name="40% - Accent6 5 2 5 3 2" xfId="21176" xr:uid="{00000000-0005-0000-0000-0000B4520000}"/>
    <cellStyle name="40% - Accent6 5 2 5 3 2 2" xfId="21177" xr:uid="{00000000-0005-0000-0000-0000B5520000}"/>
    <cellStyle name="40% - Accent6 5 2 5 3 2 2 2" xfId="21178" xr:uid="{00000000-0005-0000-0000-0000B6520000}"/>
    <cellStyle name="40% - Accent6 5 2 5 3 2 2 2 2" xfId="21179" xr:uid="{00000000-0005-0000-0000-0000B7520000}"/>
    <cellStyle name="40% - Accent6 5 2 5 3 2 2 3" xfId="21180" xr:uid="{00000000-0005-0000-0000-0000B8520000}"/>
    <cellStyle name="40% - Accent6 5 2 5 3 2 3" xfId="21181" xr:uid="{00000000-0005-0000-0000-0000B9520000}"/>
    <cellStyle name="40% - Accent6 5 2 5 3 2 3 2" xfId="21182" xr:uid="{00000000-0005-0000-0000-0000BA520000}"/>
    <cellStyle name="40% - Accent6 5 2 5 3 2 4" xfId="21183" xr:uid="{00000000-0005-0000-0000-0000BB520000}"/>
    <cellStyle name="40% - Accent6 5 2 5 3 3" xfId="21184" xr:uid="{00000000-0005-0000-0000-0000BC520000}"/>
    <cellStyle name="40% - Accent6 5 2 5 3 3 2" xfId="21185" xr:uid="{00000000-0005-0000-0000-0000BD520000}"/>
    <cellStyle name="40% - Accent6 5 2 5 3 3 2 2" xfId="21186" xr:uid="{00000000-0005-0000-0000-0000BE520000}"/>
    <cellStyle name="40% - Accent6 5 2 5 3 3 3" xfId="21187" xr:uid="{00000000-0005-0000-0000-0000BF520000}"/>
    <cellStyle name="40% - Accent6 5 2 5 3 4" xfId="21188" xr:uid="{00000000-0005-0000-0000-0000C0520000}"/>
    <cellStyle name="40% - Accent6 5 2 5 3 4 2" xfId="21189" xr:uid="{00000000-0005-0000-0000-0000C1520000}"/>
    <cellStyle name="40% - Accent6 5 2 5 3 4 2 2" xfId="21190" xr:uid="{00000000-0005-0000-0000-0000C2520000}"/>
    <cellStyle name="40% - Accent6 5 2 5 3 4 3" xfId="21191" xr:uid="{00000000-0005-0000-0000-0000C3520000}"/>
    <cellStyle name="40% - Accent6 5 2 5 3 5" xfId="21192" xr:uid="{00000000-0005-0000-0000-0000C4520000}"/>
    <cellStyle name="40% - Accent6 5 2 5 3 5 2" xfId="21193" xr:uid="{00000000-0005-0000-0000-0000C5520000}"/>
    <cellStyle name="40% - Accent6 5 2 5 3 5 2 2" xfId="21194" xr:uid="{00000000-0005-0000-0000-0000C6520000}"/>
    <cellStyle name="40% - Accent6 5 2 5 3 5 3" xfId="21195" xr:uid="{00000000-0005-0000-0000-0000C7520000}"/>
    <cellStyle name="40% - Accent6 5 2 5 3 6" xfId="21196" xr:uid="{00000000-0005-0000-0000-0000C8520000}"/>
    <cellStyle name="40% - Accent6 5 2 5 3 6 2" xfId="21197" xr:uid="{00000000-0005-0000-0000-0000C9520000}"/>
    <cellStyle name="40% - Accent6 5 2 5 3 6 2 2" xfId="21198" xr:uid="{00000000-0005-0000-0000-0000CA520000}"/>
    <cellStyle name="40% - Accent6 5 2 5 3 6 3" xfId="21199" xr:uid="{00000000-0005-0000-0000-0000CB520000}"/>
    <cellStyle name="40% - Accent6 5 2 5 3 7" xfId="21200" xr:uid="{00000000-0005-0000-0000-0000CC520000}"/>
    <cellStyle name="40% - Accent6 5 2 5 3 7 2" xfId="21201" xr:uid="{00000000-0005-0000-0000-0000CD520000}"/>
    <cellStyle name="40% - Accent6 5 2 5 3 8" xfId="21202" xr:uid="{00000000-0005-0000-0000-0000CE520000}"/>
    <cellStyle name="40% - Accent6 5 2 5 4" xfId="21203" xr:uid="{00000000-0005-0000-0000-0000CF520000}"/>
    <cellStyle name="40% - Accent6 5 2 5 4 2" xfId="21204" xr:uid="{00000000-0005-0000-0000-0000D0520000}"/>
    <cellStyle name="40% - Accent6 5 2 5 4 2 2" xfId="21205" xr:uid="{00000000-0005-0000-0000-0000D1520000}"/>
    <cellStyle name="40% - Accent6 5 2 5 4 2 2 2" xfId="21206" xr:uid="{00000000-0005-0000-0000-0000D2520000}"/>
    <cellStyle name="40% - Accent6 5 2 5 4 2 2 2 2" xfId="21207" xr:uid="{00000000-0005-0000-0000-0000D3520000}"/>
    <cellStyle name="40% - Accent6 5 2 5 4 2 2 3" xfId="21208" xr:uid="{00000000-0005-0000-0000-0000D4520000}"/>
    <cellStyle name="40% - Accent6 5 2 5 4 2 3" xfId="21209" xr:uid="{00000000-0005-0000-0000-0000D5520000}"/>
    <cellStyle name="40% - Accent6 5 2 5 4 2 3 2" xfId="21210" xr:uid="{00000000-0005-0000-0000-0000D6520000}"/>
    <cellStyle name="40% - Accent6 5 2 5 4 2 4" xfId="21211" xr:uid="{00000000-0005-0000-0000-0000D7520000}"/>
    <cellStyle name="40% - Accent6 5 2 5 4 3" xfId="21212" xr:uid="{00000000-0005-0000-0000-0000D8520000}"/>
    <cellStyle name="40% - Accent6 5 2 5 4 3 2" xfId="21213" xr:uid="{00000000-0005-0000-0000-0000D9520000}"/>
    <cellStyle name="40% - Accent6 5 2 5 4 3 2 2" xfId="21214" xr:uid="{00000000-0005-0000-0000-0000DA520000}"/>
    <cellStyle name="40% - Accent6 5 2 5 4 3 3" xfId="21215" xr:uid="{00000000-0005-0000-0000-0000DB520000}"/>
    <cellStyle name="40% - Accent6 5 2 5 4 4" xfId="21216" xr:uid="{00000000-0005-0000-0000-0000DC520000}"/>
    <cellStyle name="40% - Accent6 5 2 5 4 4 2" xfId="21217" xr:uid="{00000000-0005-0000-0000-0000DD520000}"/>
    <cellStyle name="40% - Accent6 5 2 5 4 4 2 2" xfId="21218" xr:uid="{00000000-0005-0000-0000-0000DE520000}"/>
    <cellStyle name="40% - Accent6 5 2 5 4 4 3" xfId="21219" xr:uid="{00000000-0005-0000-0000-0000DF520000}"/>
    <cellStyle name="40% - Accent6 5 2 5 4 5" xfId="21220" xr:uid="{00000000-0005-0000-0000-0000E0520000}"/>
    <cellStyle name="40% - Accent6 5 2 5 4 5 2" xfId="21221" xr:uid="{00000000-0005-0000-0000-0000E1520000}"/>
    <cellStyle name="40% - Accent6 5 2 5 4 5 2 2" xfId="21222" xr:uid="{00000000-0005-0000-0000-0000E2520000}"/>
    <cellStyle name="40% - Accent6 5 2 5 4 5 3" xfId="21223" xr:uid="{00000000-0005-0000-0000-0000E3520000}"/>
    <cellStyle name="40% - Accent6 5 2 5 4 6" xfId="21224" xr:uid="{00000000-0005-0000-0000-0000E4520000}"/>
    <cellStyle name="40% - Accent6 5 2 5 4 6 2" xfId="21225" xr:uid="{00000000-0005-0000-0000-0000E5520000}"/>
    <cellStyle name="40% - Accent6 5 2 5 4 6 2 2" xfId="21226" xr:uid="{00000000-0005-0000-0000-0000E6520000}"/>
    <cellStyle name="40% - Accent6 5 2 5 4 6 3" xfId="21227" xr:uid="{00000000-0005-0000-0000-0000E7520000}"/>
    <cellStyle name="40% - Accent6 5 2 5 4 7" xfId="21228" xr:uid="{00000000-0005-0000-0000-0000E8520000}"/>
    <cellStyle name="40% - Accent6 5 2 5 4 7 2" xfId="21229" xr:uid="{00000000-0005-0000-0000-0000E9520000}"/>
    <cellStyle name="40% - Accent6 5 2 5 4 8" xfId="21230" xr:uid="{00000000-0005-0000-0000-0000EA520000}"/>
    <cellStyle name="40% - Accent6 5 2 5 5" xfId="21231" xr:uid="{00000000-0005-0000-0000-0000EB520000}"/>
    <cellStyle name="40% - Accent6 5 2 5 5 2" xfId="21232" xr:uid="{00000000-0005-0000-0000-0000EC520000}"/>
    <cellStyle name="40% - Accent6 5 2 5 5 2 2" xfId="21233" xr:uid="{00000000-0005-0000-0000-0000ED520000}"/>
    <cellStyle name="40% - Accent6 5 2 5 5 2 2 2" xfId="21234" xr:uid="{00000000-0005-0000-0000-0000EE520000}"/>
    <cellStyle name="40% - Accent6 5 2 5 5 2 2 2 2" xfId="21235" xr:uid="{00000000-0005-0000-0000-0000EF520000}"/>
    <cellStyle name="40% - Accent6 5 2 5 5 2 2 3" xfId="21236" xr:uid="{00000000-0005-0000-0000-0000F0520000}"/>
    <cellStyle name="40% - Accent6 5 2 5 5 2 3" xfId="21237" xr:uid="{00000000-0005-0000-0000-0000F1520000}"/>
    <cellStyle name="40% - Accent6 5 2 5 5 2 3 2" xfId="21238" xr:uid="{00000000-0005-0000-0000-0000F2520000}"/>
    <cellStyle name="40% - Accent6 5 2 5 5 2 4" xfId="21239" xr:uid="{00000000-0005-0000-0000-0000F3520000}"/>
    <cellStyle name="40% - Accent6 5 2 5 5 3" xfId="21240" xr:uid="{00000000-0005-0000-0000-0000F4520000}"/>
    <cellStyle name="40% - Accent6 5 2 5 5 3 2" xfId="21241" xr:uid="{00000000-0005-0000-0000-0000F5520000}"/>
    <cellStyle name="40% - Accent6 5 2 5 5 3 2 2" xfId="21242" xr:uid="{00000000-0005-0000-0000-0000F6520000}"/>
    <cellStyle name="40% - Accent6 5 2 5 5 3 3" xfId="21243" xr:uid="{00000000-0005-0000-0000-0000F7520000}"/>
    <cellStyle name="40% - Accent6 5 2 5 5 4" xfId="21244" xr:uid="{00000000-0005-0000-0000-0000F8520000}"/>
    <cellStyle name="40% - Accent6 5 2 5 5 4 2" xfId="21245" xr:uid="{00000000-0005-0000-0000-0000F9520000}"/>
    <cellStyle name="40% - Accent6 5 2 5 5 5" xfId="21246" xr:uid="{00000000-0005-0000-0000-0000FA520000}"/>
    <cellStyle name="40% - Accent6 5 2 5 6" xfId="21247" xr:uid="{00000000-0005-0000-0000-0000FB520000}"/>
    <cellStyle name="40% - Accent6 5 2 5 6 2" xfId="21248" xr:uid="{00000000-0005-0000-0000-0000FC520000}"/>
    <cellStyle name="40% - Accent6 5 2 5 6 2 2" xfId="21249" xr:uid="{00000000-0005-0000-0000-0000FD520000}"/>
    <cellStyle name="40% - Accent6 5 2 5 6 2 2 2" xfId="21250" xr:uid="{00000000-0005-0000-0000-0000FE520000}"/>
    <cellStyle name="40% - Accent6 5 2 5 6 2 2 2 2" xfId="21251" xr:uid="{00000000-0005-0000-0000-0000FF520000}"/>
    <cellStyle name="40% - Accent6 5 2 5 6 2 2 3" xfId="21252" xr:uid="{00000000-0005-0000-0000-000000530000}"/>
    <cellStyle name="40% - Accent6 5 2 5 6 2 3" xfId="21253" xr:uid="{00000000-0005-0000-0000-000001530000}"/>
    <cellStyle name="40% - Accent6 5 2 5 6 2 3 2" xfId="21254" xr:uid="{00000000-0005-0000-0000-000002530000}"/>
    <cellStyle name="40% - Accent6 5 2 5 6 2 4" xfId="21255" xr:uid="{00000000-0005-0000-0000-000003530000}"/>
    <cellStyle name="40% - Accent6 5 2 5 6 3" xfId="21256" xr:uid="{00000000-0005-0000-0000-000004530000}"/>
    <cellStyle name="40% - Accent6 5 2 5 6 3 2" xfId="21257" xr:uid="{00000000-0005-0000-0000-000005530000}"/>
    <cellStyle name="40% - Accent6 5 2 5 6 3 2 2" xfId="21258" xr:uid="{00000000-0005-0000-0000-000006530000}"/>
    <cellStyle name="40% - Accent6 5 2 5 6 3 3" xfId="21259" xr:uid="{00000000-0005-0000-0000-000007530000}"/>
    <cellStyle name="40% - Accent6 5 2 5 6 4" xfId="21260" xr:uid="{00000000-0005-0000-0000-000008530000}"/>
    <cellStyle name="40% - Accent6 5 2 5 6 4 2" xfId="21261" xr:uid="{00000000-0005-0000-0000-000009530000}"/>
    <cellStyle name="40% - Accent6 5 2 5 6 5" xfId="21262" xr:uid="{00000000-0005-0000-0000-00000A530000}"/>
    <cellStyle name="40% - Accent6 5 2 5 7" xfId="21263" xr:uid="{00000000-0005-0000-0000-00000B530000}"/>
    <cellStyle name="40% - Accent6 5 2 5 7 2" xfId="21264" xr:uid="{00000000-0005-0000-0000-00000C530000}"/>
    <cellStyle name="40% - Accent6 5 2 5 7 2 2" xfId="21265" xr:uid="{00000000-0005-0000-0000-00000D530000}"/>
    <cellStyle name="40% - Accent6 5 2 5 7 2 2 2" xfId="21266" xr:uid="{00000000-0005-0000-0000-00000E530000}"/>
    <cellStyle name="40% - Accent6 5 2 5 7 2 3" xfId="21267" xr:uid="{00000000-0005-0000-0000-00000F530000}"/>
    <cellStyle name="40% - Accent6 5 2 5 7 3" xfId="21268" xr:uid="{00000000-0005-0000-0000-000010530000}"/>
    <cellStyle name="40% - Accent6 5 2 5 7 3 2" xfId="21269" xr:uid="{00000000-0005-0000-0000-000011530000}"/>
    <cellStyle name="40% - Accent6 5 2 5 7 4" xfId="21270" xr:uid="{00000000-0005-0000-0000-000012530000}"/>
    <cellStyle name="40% - Accent6 5 2 5 8" xfId="21271" xr:uid="{00000000-0005-0000-0000-000013530000}"/>
    <cellStyle name="40% - Accent6 5 2 5 8 2" xfId="21272" xr:uid="{00000000-0005-0000-0000-000014530000}"/>
    <cellStyle name="40% - Accent6 5 2 5 8 2 2" xfId="21273" xr:uid="{00000000-0005-0000-0000-000015530000}"/>
    <cellStyle name="40% - Accent6 5 2 5 8 2 2 2" xfId="21274" xr:uid="{00000000-0005-0000-0000-000016530000}"/>
    <cellStyle name="40% - Accent6 5 2 5 8 2 3" xfId="21275" xr:uid="{00000000-0005-0000-0000-000017530000}"/>
    <cellStyle name="40% - Accent6 5 2 5 8 3" xfId="21276" xr:uid="{00000000-0005-0000-0000-000018530000}"/>
    <cellStyle name="40% - Accent6 5 2 5 8 3 2" xfId="21277" xr:uid="{00000000-0005-0000-0000-000019530000}"/>
    <cellStyle name="40% - Accent6 5 2 5 8 4" xfId="21278" xr:uid="{00000000-0005-0000-0000-00001A530000}"/>
    <cellStyle name="40% - Accent6 5 2 5 9" xfId="21279" xr:uid="{00000000-0005-0000-0000-00001B530000}"/>
    <cellStyle name="40% - Accent6 5 2 5 9 2" xfId="21280" xr:uid="{00000000-0005-0000-0000-00001C530000}"/>
    <cellStyle name="40% - Accent6 5 2 5 9 2 2" xfId="21281" xr:uid="{00000000-0005-0000-0000-00001D530000}"/>
    <cellStyle name="40% - Accent6 5 2 5 9 3" xfId="21282" xr:uid="{00000000-0005-0000-0000-00001E530000}"/>
    <cellStyle name="40% - Accent6 5 2 6" xfId="21283" xr:uid="{00000000-0005-0000-0000-00001F530000}"/>
    <cellStyle name="40% - Accent6 5 2 6 10" xfId="21284" xr:uid="{00000000-0005-0000-0000-000020530000}"/>
    <cellStyle name="40% - Accent6 5 2 6 10 2" xfId="21285" xr:uid="{00000000-0005-0000-0000-000021530000}"/>
    <cellStyle name="40% - Accent6 5 2 6 10 2 2" xfId="21286" xr:uid="{00000000-0005-0000-0000-000022530000}"/>
    <cellStyle name="40% - Accent6 5 2 6 10 3" xfId="21287" xr:uid="{00000000-0005-0000-0000-000023530000}"/>
    <cellStyle name="40% - Accent6 5 2 6 11" xfId="21288" xr:uid="{00000000-0005-0000-0000-000024530000}"/>
    <cellStyle name="40% - Accent6 5 2 6 11 2" xfId="21289" xr:uid="{00000000-0005-0000-0000-000025530000}"/>
    <cellStyle name="40% - Accent6 5 2 6 11 2 2" xfId="21290" xr:uid="{00000000-0005-0000-0000-000026530000}"/>
    <cellStyle name="40% - Accent6 5 2 6 11 3" xfId="21291" xr:uid="{00000000-0005-0000-0000-000027530000}"/>
    <cellStyle name="40% - Accent6 5 2 6 12" xfId="21292" xr:uid="{00000000-0005-0000-0000-000028530000}"/>
    <cellStyle name="40% - Accent6 5 2 6 12 2" xfId="21293" xr:uid="{00000000-0005-0000-0000-000029530000}"/>
    <cellStyle name="40% - Accent6 5 2 6 12 2 2" xfId="21294" xr:uid="{00000000-0005-0000-0000-00002A530000}"/>
    <cellStyle name="40% - Accent6 5 2 6 12 3" xfId="21295" xr:uid="{00000000-0005-0000-0000-00002B530000}"/>
    <cellStyle name="40% - Accent6 5 2 6 13" xfId="21296" xr:uid="{00000000-0005-0000-0000-00002C530000}"/>
    <cellStyle name="40% - Accent6 5 2 6 13 2" xfId="21297" xr:uid="{00000000-0005-0000-0000-00002D530000}"/>
    <cellStyle name="40% - Accent6 5 2 6 14" xfId="21298" xr:uid="{00000000-0005-0000-0000-00002E530000}"/>
    <cellStyle name="40% - Accent6 5 2 6 2" xfId="21299" xr:uid="{00000000-0005-0000-0000-00002F530000}"/>
    <cellStyle name="40% - Accent6 5 2 6 2 2" xfId="21300" xr:uid="{00000000-0005-0000-0000-000030530000}"/>
    <cellStyle name="40% - Accent6 5 2 6 2 2 2" xfId="21301" xr:uid="{00000000-0005-0000-0000-000031530000}"/>
    <cellStyle name="40% - Accent6 5 2 6 2 2 2 2" xfId="21302" xr:uid="{00000000-0005-0000-0000-000032530000}"/>
    <cellStyle name="40% - Accent6 5 2 6 2 2 2 2 2" xfId="21303" xr:uid="{00000000-0005-0000-0000-000033530000}"/>
    <cellStyle name="40% - Accent6 5 2 6 2 2 2 3" xfId="21304" xr:uid="{00000000-0005-0000-0000-000034530000}"/>
    <cellStyle name="40% - Accent6 5 2 6 2 2 3" xfId="21305" xr:uid="{00000000-0005-0000-0000-000035530000}"/>
    <cellStyle name="40% - Accent6 5 2 6 2 2 3 2" xfId="21306" xr:uid="{00000000-0005-0000-0000-000036530000}"/>
    <cellStyle name="40% - Accent6 5 2 6 2 2 4" xfId="21307" xr:uid="{00000000-0005-0000-0000-000037530000}"/>
    <cellStyle name="40% - Accent6 5 2 6 2 3" xfId="21308" xr:uid="{00000000-0005-0000-0000-000038530000}"/>
    <cellStyle name="40% - Accent6 5 2 6 2 3 2" xfId="21309" xr:uid="{00000000-0005-0000-0000-000039530000}"/>
    <cellStyle name="40% - Accent6 5 2 6 2 3 2 2" xfId="21310" xr:uid="{00000000-0005-0000-0000-00003A530000}"/>
    <cellStyle name="40% - Accent6 5 2 6 2 3 3" xfId="21311" xr:uid="{00000000-0005-0000-0000-00003B530000}"/>
    <cellStyle name="40% - Accent6 5 2 6 2 4" xfId="21312" xr:uid="{00000000-0005-0000-0000-00003C530000}"/>
    <cellStyle name="40% - Accent6 5 2 6 2 4 2" xfId="21313" xr:uid="{00000000-0005-0000-0000-00003D530000}"/>
    <cellStyle name="40% - Accent6 5 2 6 2 4 2 2" xfId="21314" xr:uid="{00000000-0005-0000-0000-00003E530000}"/>
    <cellStyle name="40% - Accent6 5 2 6 2 4 3" xfId="21315" xr:uid="{00000000-0005-0000-0000-00003F530000}"/>
    <cellStyle name="40% - Accent6 5 2 6 2 5" xfId="21316" xr:uid="{00000000-0005-0000-0000-000040530000}"/>
    <cellStyle name="40% - Accent6 5 2 6 2 5 2" xfId="21317" xr:uid="{00000000-0005-0000-0000-000041530000}"/>
    <cellStyle name="40% - Accent6 5 2 6 2 5 2 2" xfId="21318" xr:uid="{00000000-0005-0000-0000-000042530000}"/>
    <cellStyle name="40% - Accent6 5 2 6 2 5 3" xfId="21319" xr:uid="{00000000-0005-0000-0000-000043530000}"/>
    <cellStyle name="40% - Accent6 5 2 6 2 6" xfId="21320" xr:uid="{00000000-0005-0000-0000-000044530000}"/>
    <cellStyle name="40% - Accent6 5 2 6 2 6 2" xfId="21321" xr:uid="{00000000-0005-0000-0000-000045530000}"/>
    <cellStyle name="40% - Accent6 5 2 6 2 6 2 2" xfId="21322" xr:uid="{00000000-0005-0000-0000-000046530000}"/>
    <cellStyle name="40% - Accent6 5 2 6 2 6 3" xfId="21323" xr:uid="{00000000-0005-0000-0000-000047530000}"/>
    <cellStyle name="40% - Accent6 5 2 6 2 7" xfId="21324" xr:uid="{00000000-0005-0000-0000-000048530000}"/>
    <cellStyle name="40% - Accent6 5 2 6 2 7 2" xfId="21325" xr:uid="{00000000-0005-0000-0000-000049530000}"/>
    <cellStyle name="40% - Accent6 5 2 6 2 8" xfId="21326" xr:uid="{00000000-0005-0000-0000-00004A530000}"/>
    <cellStyle name="40% - Accent6 5 2 6 3" xfId="21327" xr:uid="{00000000-0005-0000-0000-00004B530000}"/>
    <cellStyle name="40% - Accent6 5 2 6 3 2" xfId="21328" xr:uid="{00000000-0005-0000-0000-00004C530000}"/>
    <cellStyle name="40% - Accent6 5 2 6 3 2 2" xfId="21329" xr:uid="{00000000-0005-0000-0000-00004D530000}"/>
    <cellStyle name="40% - Accent6 5 2 6 3 2 2 2" xfId="21330" xr:uid="{00000000-0005-0000-0000-00004E530000}"/>
    <cellStyle name="40% - Accent6 5 2 6 3 2 2 2 2" xfId="21331" xr:uid="{00000000-0005-0000-0000-00004F530000}"/>
    <cellStyle name="40% - Accent6 5 2 6 3 2 2 3" xfId="21332" xr:uid="{00000000-0005-0000-0000-000050530000}"/>
    <cellStyle name="40% - Accent6 5 2 6 3 2 3" xfId="21333" xr:uid="{00000000-0005-0000-0000-000051530000}"/>
    <cellStyle name="40% - Accent6 5 2 6 3 2 3 2" xfId="21334" xr:uid="{00000000-0005-0000-0000-000052530000}"/>
    <cellStyle name="40% - Accent6 5 2 6 3 2 4" xfId="21335" xr:uid="{00000000-0005-0000-0000-000053530000}"/>
    <cellStyle name="40% - Accent6 5 2 6 3 3" xfId="21336" xr:uid="{00000000-0005-0000-0000-000054530000}"/>
    <cellStyle name="40% - Accent6 5 2 6 3 3 2" xfId="21337" xr:uid="{00000000-0005-0000-0000-000055530000}"/>
    <cellStyle name="40% - Accent6 5 2 6 3 3 2 2" xfId="21338" xr:uid="{00000000-0005-0000-0000-000056530000}"/>
    <cellStyle name="40% - Accent6 5 2 6 3 3 3" xfId="21339" xr:uid="{00000000-0005-0000-0000-000057530000}"/>
    <cellStyle name="40% - Accent6 5 2 6 3 4" xfId="21340" xr:uid="{00000000-0005-0000-0000-000058530000}"/>
    <cellStyle name="40% - Accent6 5 2 6 3 4 2" xfId="21341" xr:uid="{00000000-0005-0000-0000-000059530000}"/>
    <cellStyle name="40% - Accent6 5 2 6 3 4 2 2" xfId="21342" xr:uid="{00000000-0005-0000-0000-00005A530000}"/>
    <cellStyle name="40% - Accent6 5 2 6 3 4 3" xfId="21343" xr:uid="{00000000-0005-0000-0000-00005B530000}"/>
    <cellStyle name="40% - Accent6 5 2 6 3 5" xfId="21344" xr:uid="{00000000-0005-0000-0000-00005C530000}"/>
    <cellStyle name="40% - Accent6 5 2 6 3 5 2" xfId="21345" xr:uid="{00000000-0005-0000-0000-00005D530000}"/>
    <cellStyle name="40% - Accent6 5 2 6 3 5 2 2" xfId="21346" xr:uid="{00000000-0005-0000-0000-00005E530000}"/>
    <cellStyle name="40% - Accent6 5 2 6 3 5 3" xfId="21347" xr:uid="{00000000-0005-0000-0000-00005F530000}"/>
    <cellStyle name="40% - Accent6 5 2 6 3 6" xfId="21348" xr:uid="{00000000-0005-0000-0000-000060530000}"/>
    <cellStyle name="40% - Accent6 5 2 6 3 6 2" xfId="21349" xr:uid="{00000000-0005-0000-0000-000061530000}"/>
    <cellStyle name="40% - Accent6 5 2 6 3 6 2 2" xfId="21350" xr:uid="{00000000-0005-0000-0000-000062530000}"/>
    <cellStyle name="40% - Accent6 5 2 6 3 6 3" xfId="21351" xr:uid="{00000000-0005-0000-0000-000063530000}"/>
    <cellStyle name="40% - Accent6 5 2 6 3 7" xfId="21352" xr:uid="{00000000-0005-0000-0000-000064530000}"/>
    <cellStyle name="40% - Accent6 5 2 6 3 7 2" xfId="21353" xr:uid="{00000000-0005-0000-0000-000065530000}"/>
    <cellStyle name="40% - Accent6 5 2 6 3 8" xfId="21354" xr:uid="{00000000-0005-0000-0000-000066530000}"/>
    <cellStyle name="40% - Accent6 5 2 6 4" xfId="21355" xr:uid="{00000000-0005-0000-0000-000067530000}"/>
    <cellStyle name="40% - Accent6 5 2 6 4 2" xfId="21356" xr:uid="{00000000-0005-0000-0000-000068530000}"/>
    <cellStyle name="40% - Accent6 5 2 6 4 2 2" xfId="21357" xr:uid="{00000000-0005-0000-0000-000069530000}"/>
    <cellStyle name="40% - Accent6 5 2 6 4 2 2 2" xfId="21358" xr:uid="{00000000-0005-0000-0000-00006A530000}"/>
    <cellStyle name="40% - Accent6 5 2 6 4 2 2 2 2" xfId="21359" xr:uid="{00000000-0005-0000-0000-00006B530000}"/>
    <cellStyle name="40% - Accent6 5 2 6 4 2 2 3" xfId="21360" xr:uid="{00000000-0005-0000-0000-00006C530000}"/>
    <cellStyle name="40% - Accent6 5 2 6 4 2 3" xfId="21361" xr:uid="{00000000-0005-0000-0000-00006D530000}"/>
    <cellStyle name="40% - Accent6 5 2 6 4 2 3 2" xfId="21362" xr:uid="{00000000-0005-0000-0000-00006E530000}"/>
    <cellStyle name="40% - Accent6 5 2 6 4 2 4" xfId="21363" xr:uid="{00000000-0005-0000-0000-00006F530000}"/>
    <cellStyle name="40% - Accent6 5 2 6 4 3" xfId="21364" xr:uid="{00000000-0005-0000-0000-000070530000}"/>
    <cellStyle name="40% - Accent6 5 2 6 4 3 2" xfId="21365" xr:uid="{00000000-0005-0000-0000-000071530000}"/>
    <cellStyle name="40% - Accent6 5 2 6 4 3 2 2" xfId="21366" xr:uid="{00000000-0005-0000-0000-000072530000}"/>
    <cellStyle name="40% - Accent6 5 2 6 4 3 3" xfId="21367" xr:uid="{00000000-0005-0000-0000-000073530000}"/>
    <cellStyle name="40% - Accent6 5 2 6 4 4" xfId="21368" xr:uid="{00000000-0005-0000-0000-000074530000}"/>
    <cellStyle name="40% - Accent6 5 2 6 4 4 2" xfId="21369" xr:uid="{00000000-0005-0000-0000-000075530000}"/>
    <cellStyle name="40% - Accent6 5 2 6 4 4 2 2" xfId="21370" xr:uid="{00000000-0005-0000-0000-000076530000}"/>
    <cellStyle name="40% - Accent6 5 2 6 4 4 3" xfId="21371" xr:uid="{00000000-0005-0000-0000-000077530000}"/>
    <cellStyle name="40% - Accent6 5 2 6 4 5" xfId="21372" xr:uid="{00000000-0005-0000-0000-000078530000}"/>
    <cellStyle name="40% - Accent6 5 2 6 4 5 2" xfId="21373" xr:uid="{00000000-0005-0000-0000-000079530000}"/>
    <cellStyle name="40% - Accent6 5 2 6 4 5 2 2" xfId="21374" xr:uid="{00000000-0005-0000-0000-00007A530000}"/>
    <cellStyle name="40% - Accent6 5 2 6 4 5 3" xfId="21375" xr:uid="{00000000-0005-0000-0000-00007B530000}"/>
    <cellStyle name="40% - Accent6 5 2 6 4 6" xfId="21376" xr:uid="{00000000-0005-0000-0000-00007C530000}"/>
    <cellStyle name="40% - Accent6 5 2 6 4 6 2" xfId="21377" xr:uid="{00000000-0005-0000-0000-00007D530000}"/>
    <cellStyle name="40% - Accent6 5 2 6 4 6 2 2" xfId="21378" xr:uid="{00000000-0005-0000-0000-00007E530000}"/>
    <cellStyle name="40% - Accent6 5 2 6 4 6 3" xfId="21379" xr:uid="{00000000-0005-0000-0000-00007F530000}"/>
    <cellStyle name="40% - Accent6 5 2 6 4 7" xfId="21380" xr:uid="{00000000-0005-0000-0000-000080530000}"/>
    <cellStyle name="40% - Accent6 5 2 6 4 7 2" xfId="21381" xr:uid="{00000000-0005-0000-0000-000081530000}"/>
    <cellStyle name="40% - Accent6 5 2 6 4 8" xfId="21382" xr:uid="{00000000-0005-0000-0000-000082530000}"/>
    <cellStyle name="40% - Accent6 5 2 6 5" xfId="21383" xr:uid="{00000000-0005-0000-0000-000083530000}"/>
    <cellStyle name="40% - Accent6 5 2 6 5 2" xfId="21384" xr:uid="{00000000-0005-0000-0000-000084530000}"/>
    <cellStyle name="40% - Accent6 5 2 6 5 2 2" xfId="21385" xr:uid="{00000000-0005-0000-0000-000085530000}"/>
    <cellStyle name="40% - Accent6 5 2 6 5 2 2 2" xfId="21386" xr:uid="{00000000-0005-0000-0000-000086530000}"/>
    <cellStyle name="40% - Accent6 5 2 6 5 2 2 2 2" xfId="21387" xr:uid="{00000000-0005-0000-0000-000087530000}"/>
    <cellStyle name="40% - Accent6 5 2 6 5 2 2 3" xfId="21388" xr:uid="{00000000-0005-0000-0000-000088530000}"/>
    <cellStyle name="40% - Accent6 5 2 6 5 2 3" xfId="21389" xr:uid="{00000000-0005-0000-0000-000089530000}"/>
    <cellStyle name="40% - Accent6 5 2 6 5 2 3 2" xfId="21390" xr:uid="{00000000-0005-0000-0000-00008A530000}"/>
    <cellStyle name="40% - Accent6 5 2 6 5 2 4" xfId="21391" xr:uid="{00000000-0005-0000-0000-00008B530000}"/>
    <cellStyle name="40% - Accent6 5 2 6 5 3" xfId="21392" xr:uid="{00000000-0005-0000-0000-00008C530000}"/>
    <cellStyle name="40% - Accent6 5 2 6 5 3 2" xfId="21393" xr:uid="{00000000-0005-0000-0000-00008D530000}"/>
    <cellStyle name="40% - Accent6 5 2 6 5 3 2 2" xfId="21394" xr:uid="{00000000-0005-0000-0000-00008E530000}"/>
    <cellStyle name="40% - Accent6 5 2 6 5 3 3" xfId="21395" xr:uid="{00000000-0005-0000-0000-00008F530000}"/>
    <cellStyle name="40% - Accent6 5 2 6 5 4" xfId="21396" xr:uid="{00000000-0005-0000-0000-000090530000}"/>
    <cellStyle name="40% - Accent6 5 2 6 5 4 2" xfId="21397" xr:uid="{00000000-0005-0000-0000-000091530000}"/>
    <cellStyle name="40% - Accent6 5 2 6 5 5" xfId="21398" xr:uid="{00000000-0005-0000-0000-000092530000}"/>
    <cellStyle name="40% - Accent6 5 2 6 6" xfId="21399" xr:uid="{00000000-0005-0000-0000-000093530000}"/>
    <cellStyle name="40% - Accent6 5 2 6 6 2" xfId="21400" xr:uid="{00000000-0005-0000-0000-000094530000}"/>
    <cellStyle name="40% - Accent6 5 2 6 6 2 2" xfId="21401" xr:uid="{00000000-0005-0000-0000-000095530000}"/>
    <cellStyle name="40% - Accent6 5 2 6 6 2 2 2" xfId="21402" xr:uid="{00000000-0005-0000-0000-000096530000}"/>
    <cellStyle name="40% - Accent6 5 2 6 6 2 2 2 2" xfId="21403" xr:uid="{00000000-0005-0000-0000-000097530000}"/>
    <cellStyle name="40% - Accent6 5 2 6 6 2 2 3" xfId="21404" xr:uid="{00000000-0005-0000-0000-000098530000}"/>
    <cellStyle name="40% - Accent6 5 2 6 6 2 3" xfId="21405" xr:uid="{00000000-0005-0000-0000-000099530000}"/>
    <cellStyle name="40% - Accent6 5 2 6 6 2 3 2" xfId="21406" xr:uid="{00000000-0005-0000-0000-00009A530000}"/>
    <cellStyle name="40% - Accent6 5 2 6 6 2 4" xfId="21407" xr:uid="{00000000-0005-0000-0000-00009B530000}"/>
    <cellStyle name="40% - Accent6 5 2 6 6 3" xfId="21408" xr:uid="{00000000-0005-0000-0000-00009C530000}"/>
    <cellStyle name="40% - Accent6 5 2 6 6 3 2" xfId="21409" xr:uid="{00000000-0005-0000-0000-00009D530000}"/>
    <cellStyle name="40% - Accent6 5 2 6 6 3 2 2" xfId="21410" xr:uid="{00000000-0005-0000-0000-00009E530000}"/>
    <cellStyle name="40% - Accent6 5 2 6 6 3 3" xfId="21411" xr:uid="{00000000-0005-0000-0000-00009F530000}"/>
    <cellStyle name="40% - Accent6 5 2 6 6 4" xfId="21412" xr:uid="{00000000-0005-0000-0000-0000A0530000}"/>
    <cellStyle name="40% - Accent6 5 2 6 6 4 2" xfId="21413" xr:uid="{00000000-0005-0000-0000-0000A1530000}"/>
    <cellStyle name="40% - Accent6 5 2 6 6 5" xfId="21414" xr:uid="{00000000-0005-0000-0000-0000A2530000}"/>
    <cellStyle name="40% - Accent6 5 2 6 7" xfId="21415" xr:uid="{00000000-0005-0000-0000-0000A3530000}"/>
    <cellStyle name="40% - Accent6 5 2 6 7 2" xfId="21416" xr:uid="{00000000-0005-0000-0000-0000A4530000}"/>
    <cellStyle name="40% - Accent6 5 2 6 7 2 2" xfId="21417" xr:uid="{00000000-0005-0000-0000-0000A5530000}"/>
    <cellStyle name="40% - Accent6 5 2 6 7 2 2 2" xfId="21418" xr:uid="{00000000-0005-0000-0000-0000A6530000}"/>
    <cellStyle name="40% - Accent6 5 2 6 7 2 3" xfId="21419" xr:uid="{00000000-0005-0000-0000-0000A7530000}"/>
    <cellStyle name="40% - Accent6 5 2 6 7 3" xfId="21420" xr:uid="{00000000-0005-0000-0000-0000A8530000}"/>
    <cellStyle name="40% - Accent6 5 2 6 7 3 2" xfId="21421" xr:uid="{00000000-0005-0000-0000-0000A9530000}"/>
    <cellStyle name="40% - Accent6 5 2 6 7 4" xfId="21422" xr:uid="{00000000-0005-0000-0000-0000AA530000}"/>
    <cellStyle name="40% - Accent6 5 2 6 8" xfId="21423" xr:uid="{00000000-0005-0000-0000-0000AB530000}"/>
    <cellStyle name="40% - Accent6 5 2 6 8 2" xfId="21424" xr:uid="{00000000-0005-0000-0000-0000AC530000}"/>
    <cellStyle name="40% - Accent6 5 2 6 8 2 2" xfId="21425" xr:uid="{00000000-0005-0000-0000-0000AD530000}"/>
    <cellStyle name="40% - Accent6 5 2 6 8 2 2 2" xfId="21426" xr:uid="{00000000-0005-0000-0000-0000AE530000}"/>
    <cellStyle name="40% - Accent6 5 2 6 8 2 3" xfId="21427" xr:uid="{00000000-0005-0000-0000-0000AF530000}"/>
    <cellStyle name="40% - Accent6 5 2 6 8 3" xfId="21428" xr:uid="{00000000-0005-0000-0000-0000B0530000}"/>
    <cellStyle name="40% - Accent6 5 2 6 8 3 2" xfId="21429" xr:uid="{00000000-0005-0000-0000-0000B1530000}"/>
    <cellStyle name="40% - Accent6 5 2 6 8 4" xfId="21430" xr:uid="{00000000-0005-0000-0000-0000B2530000}"/>
    <cellStyle name="40% - Accent6 5 2 6 9" xfId="21431" xr:uid="{00000000-0005-0000-0000-0000B3530000}"/>
    <cellStyle name="40% - Accent6 5 2 6 9 2" xfId="21432" xr:uid="{00000000-0005-0000-0000-0000B4530000}"/>
    <cellStyle name="40% - Accent6 5 2 6 9 2 2" xfId="21433" xr:uid="{00000000-0005-0000-0000-0000B5530000}"/>
    <cellStyle name="40% - Accent6 5 2 6 9 3" xfId="21434" xr:uid="{00000000-0005-0000-0000-0000B6530000}"/>
    <cellStyle name="40% - Accent6 5 2 7" xfId="21435" xr:uid="{00000000-0005-0000-0000-0000B7530000}"/>
    <cellStyle name="40% - Accent6 5 2 7 2" xfId="21436" xr:uid="{00000000-0005-0000-0000-0000B8530000}"/>
    <cellStyle name="40% - Accent6 5 2 7 2 2" xfId="21437" xr:uid="{00000000-0005-0000-0000-0000B9530000}"/>
    <cellStyle name="40% - Accent6 5 2 7 2 2 2" xfId="21438" xr:uid="{00000000-0005-0000-0000-0000BA530000}"/>
    <cellStyle name="40% - Accent6 5 2 7 2 2 2 2" xfId="21439" xr:uid="{00000000-0005-0000-0000-0000BB530000}"/>
    <cellStyle name="40% - Accent6 5 2 7 2 2 3" xfId="21440" xr:uid="{00000000-0005-0000-0000-0000BC530000}"/>
    <cellStyle name="40% - Accent6 5 2 7 2 3" xfId="21441" xr:uid="{00000000-0005-0000-0000-0000BD530000}"/>
    <cellStyle name="40% - Accent6 5 2 7 2 3 2" xfId="21442" xr:uid="{00000000-0005-0000-0000-0000BE530000}"/>
    <cellStyle name="40% - Accent6 5 2 7 2 4" xfId="21443" xr:uid="{00000000-0005-0000-0000-0000BF530000}"/>
    <cellStyle name="40% - Accent6 5 2 7 3" xfId="21444" xr:uid="{00000000-0005-0000-0000-0000C0530000}"/>
    <cellStyle name="40% - Accent6 5 2 7 3 2" xfId="21445" xr:uid="{00000000-0005-0000-0000-0000C1530000}"/>
    <cellStyle name="40% - Accent6 5 2 7 3 2 2" xfId="21446" xr:uid="{00000000-0005-0000-0000-0000C2530000}"/>
    <cellStyle name="40% - Accent6 5 2 7 3 3" xfId="21447" xr:uid="{00000000-0005-0000-0000-0000C3530000}"/>
    <cellStyle name="40% - Accent6 5 2 7 4" xfId="21448" xr:uid="{00000000-0005-0000-0000-0000C4530000}"/>
    <cellStyle name="40% - Accent6 5 2 7 4 2" xfId="21449" xr:uid="{00000000-0005-0000-0000-0000C5530000}"/>
    <cellStyle name="40% - Accent6 5 2 7 4 2 2" xfId="21450" xr:uid="{00000000-0005-0000-0000-0000C6530000}"/>
    <cellStyle name="40% - Accent6 5 2 7 4 3" xfId="21451" xr:uid="{00000000-0005-0000-0000-0000C7530000}"/>
    <cellStyle name="40% - Accent6 5 2 7 5" xfId="21452" xr:uid="{00000000-0005-0000-0000-0000C8530000}"/>
    <cellStyle name="40% - Accent6 5 2 7 5 2" xfId="21453" xr:uid="{00000000-0005-0000-0000-0000C9530000}"/>
    <cellStyle name="40% - Accent6 5 2 7 5 2 2" xfId="21454" xr:uid="{00000000-0005-0000-0000-0000CA530000}"/>
    <cellStyle name="40% - Accent6 5 2 7 5 3" xfId="21455" xr:uid="{00000000-0005-0000-0000-0000CB530000}"/>
    <cellStyle name="40% - Accent6 5 2 7 6" xfId="21456" xr:uid="{00000000-0005-0000-0000-0000CC530000}"/>
    <cellStyle name="40% - Accent6 5 2 7 6 2" xfId="21457" xr:uid="{00000000-0005-0000-0000-0000CD530000}"/>
    <cellStyle name="40% - Accent6 5 2 7 6 2 2" xfId="21458" xr:uid="{00000000-0005-0000-0000-0000CE530000}"/>
    <cellStyle name="40% - Accent6 5 2 7 6 3" xfId="21459" xr:uid="{00000000-0005-0000-0000-0000CF530000}"/>
    <cellStyle name="40% - Accent6 5 2 7 7" xfId="21460" xr:uid="{00000000-0005-0000-0000-0000D0530000}"/>
    <cellStyle name="40% - Accent6 5 2 7 7 2" xfId="21461" xr:uid="{00000000-0005-0000-0000-0000D1530000}"/>
    <cellStyle name="40% - Accent6 5 2 7 8" xfId="21462" xr:uid="{00000000-0005-0000-0000-0000D2530000}"/>
    <cellStyle name="40% - Accent6 5 2 8" xfId="21463" xr:uid="{00000000-0005-0000-0000-0000D3530000}"/>
    <cellStyle name="40% - Accent6 5 2 8 2" xfId="21464" xr:uid="{00000000-0005-0000-0000-0000D4530000}"/>
    <cellStyle name="40% - Accent6 5 2 8 2 2" xfId="21465" xr:uid="{00000000-0005-0000-0000-0000D5530000}"/>
    <cellStyle name="40% - Accent6 5 2 8 2 2 2" xfId="21466" xr:uid="{00000000-0005-0000-0000-0000D6530000}"/>
    <cellStyle name="40% - Accent6 5 2 8 2 2 2 2" xfId="21467" xr:uid="{00000000-0005-0000-0000-0000D7530000}"/>
    <cellStyle name="40% - Accent6 5 2 8 2 2 3" xfId="21468" xr:uid="{00000000-0005-0000-0000-0000D8530000}"/>
    <cellStyle name="40% - Accent6 5 2 8 2 3" xfId="21469" xr:uid="{00000000-0005-0000-0000-0000D9530000}"/>
    <cellStyle name="40% - Accent6 5 2 8 2 3 2" xfId="21470" xr:uid="{00000000-0005-0000-0000-0000DA530000}"/>
    <cellStyle name="40% - Accent6 5 2 8 2 4" xfId="21471" xr:uid="{00000000-0005-0000-0000-0000DB530000}"/>
    <cellStyle name="40% - Accent6 5 2 8 3" xfId="21472" xr:uid="{00000000-0005-0000-0000-0000DC530000}"/>
    <cellStyle name="40% - Accent6 5 2 8 3 2" xfId="21473" xr:uid="{00000000-0005-0000-0000-0000DD530000}"/>
    <cellStyle name="40% - Accent6 5 2 8 3 2 2" xfId="21474" xr:uid="{00000000-0005-0000-0000-0000DE530000}"/>
    <cellStyle name="40% - Accent6 5 2 8 3 3" xfId="21475" xr:uid="{00000000-0005-0000-0000-0000DF530000}"/>
    <cellStyle name="40% - Accent6 5 2 8 4" xfId="21476" xr:uid="{00000000-0005-0000-0000-0000E0530000}"/>
    <cellStyle name="40% - Accent6 5 2 8 4 2" xfId="21477" xr:uid="{00000000-0005-0000-0000-0000E1530000}"/>
    <cellStyle name="40% - Accent6 5 2 8 4 2 2" xfId="21478" xr:uid="{00000000-0005-0000-0000-0000E2530000}"/>
    <cellStyle name="40% - Accent6 5 2 8 4 3" xfId="21479" xr:uid="{00000000-0005-0000-0000-0000E3530000}"/>
    <cellStyle name="40% - Accent6 5 2 8 5" xfId="21480" xr:uid="{00000000-0005-0000-0000-0000E4530000}"/>
    <cellStyle name="40% - Accent6 5 2 8 5 2" xfId="21481" xr:uid="{00000000-0005-0000-0000-0000E5530000}"/>
    <cellStyle name="40% - Accent6 5 2 8 5 2 2" xfId="21482" xr:uid="{00000000-0005-0000-0000-0000E6530000}"/>
    <cellStyle name="40% - Accent6 5 2 8 5 3" xfId="21483" xr:uid="{00000000-0005-0000-0000-0000E7530000}"/>
    <cellStyle name="40% - Accent6 5 2 8 6" xfId="21484" xr:uid="{00000000-0005-0000-0000-0000E8530000}"/>
    <cellStyle name="40% - Accent6 5 2 8 6 2" xfId="21485" xr:uid="{00000000-0005-0000-0000-0000E9530000}"/>
    <cellStyle name="40% - Accent6 5 2 8 6 2 2" xfId="21486" xr:uid="{00000000-0005-0000-0000-0000EA530000}"/>
    <cellStyle name="40% - Accent6 5 2 8 6 3" xfId="21487" xr:uid="{00000000-0005-0000-0000-0000EB530000}"/>
    <cellStyle name="40% - Accent6 5 2 8 7" xfId="21488" xr:uid="{00000000-0005-0000-0000-0000EC530000}"/>
    <cellStyle name="40% - Accent6 5 2 8 7 2" xfId="21489" xr:uid="{00000000-0005-0000-0000-0000ED530000}"/>
    <cellStyle name="40% - Accent6 5 2 8 8" xfId="21490" xr:uid="{00000000-0005-0000-0000-0000EE530000}"/>
    <cellStyle name="40% - Accent6 5 2 9" xfId="21491" xr:uid="{00000000-0005-0000-0000-0000EF530000}"/>
    <cellStyle name="40% - Accent6 5 2 9 2" xfId="21492" xr:uid="{00000000-0005-0000-0000-0000F0530000}"/>
    <cellStyle name="40% - Accent6 5 2 9 2 2" xfId="21493" xr:uid="{00000000-0005-0000-0000-0000F1530000}"/>
    <cellStyle name="40% - Accent6 5 2 9 2 2 2" xfId="21494" xr:uid="{00000000-0005-0000-0000-0000F2530000}"/>
    <cellStyle name="40% - Accent6 5 2 9 2 2 2 2" xfId="21495" xr:uid="{00000000-0005-0000-0000-0000F3530000}"/>
    <cellStyle name="40% - Accent6 5 2 9 2 2 3" xfId="21496" xr:uid="{00000000-0005-0000-0000-0000F4530000}"/>
    <cellStyle name="40% - Accent6 5 2 9 2 3" xfId="21497" xr:uid="{00000000-0005-0000-0000-0000F5530000}"/>
    <cellStyle name="40% - Accent6 5 2 9 2 3 2" xfId="21498" xr:uid="{00000000-0005-0000-0000-0000F6530000}"/>
    <cellStyle name="40% - Accent6 5 2 9 2 4" xfId="21499" xr:uid="{00000000-0005-0000-0000-0000F7530000}"/>
    <cellStyle name="40% - Accent6 5 2 9 3" xfId="21500" xr:uid="{00000000-0005-0000-0000-0000F8530000}"/>
    <cellStyle name="40% - Accent6 5 2 9 3 2" xfId="21501" xr:uid="{00000000-0005-0000-0000-0000F9530000}"/>
    <cellStyle name="40% - Accent6 5 2 9 3 2 2" xfId="21502" xr:uid="{00000000-0005-0000-0000-0000FA530000}"/>
    <cellStyle name="40% - Accent6 5 2 9 3 3" xfId="21503" xr:uid="{00000000-0005-0000-0000-0000FB530000}"/>
    <cellStyle name="40% - Accent6 5 2 9 4" xfId="21504" xr:uid="{00000000-0005-0000-0000-0000FC530000}"/>
    <cellStyle name="40% - Accent6 5 2 9 4 2" xfId="21505" xr:uid="{00000000-0005-0000-0000-0000FD530000}"/>
    <cellStyle name="40% - Accent6 5 2 9 4 2 2" xfId="21506" xr:uid="{00000000-0005-0000-0000-0000FE530000}"/>
    <cellStyle name="40% - Accent6 5 2 9 4 3" xfId="21507" xr:uid="{00000000-0005-0000-0000-0000FF530000}"/>
    <cellStyle name="40% - Accent6 5 2 9 5" xfId="21508" xr:uid="{00000000-0005-0000-0000-000000540000}"/>
    <cellStyle name="40% - Accent6 5 2 9 5 2" xfId="21509" xr:uid="{00000000-0005-0000-0000-000001540000}"/>
    <cellStyle name="40% - Accent6 5 2 9 5 2 2" xfId="21510" xr:uid="{00000000-0005-0000-0000-000002540000}"/>
    <cellStyle name="40% - Accent6 5 2 9 5 3" xfId="21511" xr:uid="{00000000-0005-0000-0000-000003540000}"/>
    <cellStyle name="40% - Accent6 5 2 9 6" xfId="21512" xr:uid="{00000000-0005-0000-0000-000004540000}"/>
    <cellStyle name="40% - Accent6 5 2 9 6 2" xfId="21513" xr:uid="{00000000-0005-0000-0000-000005540000}"/>
    <cellStyle name="40% - Accent6 5 2 9 6 2 2" xfId="21514" xr:uid="{00000000-0005-0000-0000-000006540000}"/>
    <cellStyle name="40% - Accent6 5 2 9 6 3" xfId="21515" xr:uid="{00000000-0005-0000-0000-000007540000}"/>
    <cellStyle name="40% - Accent6 5 2 9 7" xfId="21516" xr:uid="{00000000-0005-0000-0000-000008540000}"/>
    <cellStyle name="40% - Accent6 5 2 9 7 2" xfId="21517" xr:uid="{00000000-0005-0000-0000-000009540000}"/>
    <cellStyle name="40% - Accent6 5 2 9 8" xfId="21518" xr:uid="{00000000-0005-0000-0000-00000A540000}"/>
    <cellStyle name="40% - Accent6 5 20" xfId="21519" xr:uid="{00000000-0005-0000-0000-00000B540000}"/>
    <cellStyle name="40% - Accent6 5 20 2" xfId="21520" xr:uid="{00000000-0005-0000-0000-00000C540000}"/>
    <cellStyle name="40% - Accent6 5 21" xfId="21521" xr:uid="{00000000-0005-0000-0000-00000D540000}"/>
    <cellStyle name="40% - Accent6 5 3" xfId="21522" xr:uid="{00000000-0005-0000-0000-00000E540000}"/>
    <cellStyle name="40% - Accent6 5 3 10" xfId="21523" xr:uid="{00000000-0005-0000-0000-00000F540000}"/>
    <cellStyle name="40% - Accent6 5 3 10 2" xfId="21524" xr:uid="{00000000-0005-0000-0000-000010540000}"/>
    <cellStyle name="40% - Accent6 5 3 10 2 2" xfId="21525" xr:uid="{00000000-0005-0000-0000-000011540000}"/>
    <cellStyle name="40% - Accent6 5 3 10 3" xfId="21526" xr:uid="{00000000-0005-0000-0000-000012540000}"/>
    <cellStyle name="40% - Accent6 5 3 11" xfId="21527" xr:uid="{00000000-0005-0000-0000-000013540000}"/>
    <cellStyle name="40% - Accent6 5 3 11 2" xfId="21528" xr:uid="{00000000-0005-0000-0000-000014540000}"/>
    <cellStyle name="40% - Accent6 5 3 11 2 2" xfId="21529" xr:uid="{00000000-0005-0000-0000-000015540000}"/>
    <cellStyle name="40% - Accent6 5 3 11 3" xfId="21530" xr:uid="{00000000-0005-0000-0000-000016540000}"/>
    <cellStyle name="40% - Accent6 5 3 12" xfId="21531" xr:uid="{00000000-0005-0000-0000-000017540000}"/>
    <cellStyle name="40% - Accent6 5 3 12 2" xfId="21532" xr:uid="{00000000-0005-0000-0000-000018540000}"/>
    <cellStyle name="40% - Accent6 5 3 12 2 2" xfId="21533" xr:uid="{00000000-0005-0000-0000-000019540000}"/>
    <cellStyle name="40% - Accent6 5 3 12 3" xfId="21534" xr:uid="{00000000-0005-0000-0000-00001A540000}"/>
    <cellStyle name="40% - Accent6 5 3 13" xfId="21535" xr:uid="{00000000-0005-0000-0000-00001B540000}"/>
    <cellStyle name="40% - Accent6 5 3 13 2" xfId="21536" xr:uid="{00000000-0005-0000-0000-00001C540000}"/>
    <cellStyle name="40% - Accent6 5 3 14" xfId="21537" xr:uid="{00000000-0005-0000-0000-00001D540000}"/>
    <cellStyle name="40% - Accent6 5 3 2" xfId="21538" xr:uid="{00000000-0005-0000-0000-00001E540000}"/>
    <cellStyle name="40% - Accent6 5 3 2 2" xfId="21539" xr:uid="{00000000-0005-0000-0000-00001F540000}"/>
    <cellStyle name="40% - Accent6 5 3 2 2 2" xfId="21540" xr:uid="{00000000-0005-0000-0000-000020540000}"/>
    <cellStyle name="40% - Accent6 5 3 2 2 2 2" xfId="21541" xr:uid="{00000000-0005-0000-0000-000021540000}"/>
    <cellStyle name="40% - Accent6 5 3 2 2 2 2 2" xfId="21542" xr:uid="{00000000-0005-0000-0000-000022540000}"/>
    <cellStyle name="40% - Accent6 5 3 2 2 2 3" xfId="21543" xr:uid="{00000000-0005-0000-0000-000023540000}"/>
    <cellStyle name="40% - Accent6 5 3 2 2 3" xfId="21544" xr:uid="{00000000-0005-0000-0000-000024540000}"/>
    <cellStyle name="40% - Accent6 5 3 2 2 3 2" xfId="21545" xr:uid="{00000000-0005-0000-0000-000025540000}"/>
    <cellStyle name="40% - Accent6 5 3 2 2 4" xfId="21546" xr:uid="{00000000-0005-0000-0000-000026540000}"/>
    <cellStyle name="40% - Accent6 5 3 2 3" xfId="21547" xr:uid="{00000000-0005-0000-0000-000027540000}"/>
    <cellStyle name="40% - Accent6 5 3 2 3 2" xfId="21548" xr:uid="{00000000-0005-0000-0000-000028540000}"/>
    <cellStyle name="40% - Accent6 5 3 2 3 2 2" xfId="21549" xr:uid="{00000000-0005-0000-0000-000029540000}"/>
    <cellStyle name="40% - Accent6 5 3 2 3 3" xfId="21550" xr:uid="{00000000-0005-0000-0000-00002A540000}"/>
    <cellStyle name="40% - Accent6 5 3 2 4" xfId="21551" xr:uid="{00000000-0005-0000-0000-00002B540000}"/>
    <cellStyle name="40% - Accent6 5 3 2 4 2" xfId="21552" xr:uid="{00000000-0005-0000-0000-00002C540000}"/>
    <cellStyle name="40% - Accent6 5 3 2 4 2 2" xfId="21553" xr:uid="{00000000-0005-0000-0000-00002D540000}"/>
    <cellStyle name="40% - Accent6 5 3 2 4 3" xfId="21554" xr:uid="{00000000-0005-0000-0000-00002E540000}"/>
    <cellStyle name="40% - Accent6 5 3 2 5" xfId="21555" xr:uid="{00000000-0005-0000-0000-00002F540000}"/>
    <cellStyle name="40% - Accent6 5 3 2 5 2" xfId="21556" xr:uid="{00000000-0005-0000-0000-000030540000}"/>
    <cellStyle name="40% - Accent6 5 3 2 5 2 2" xfId="21557" xr:uid="{00000000-0005-0000-0000-000031540000}"/>
    <cellStyle name="40% - Accent6 5 3 2 5 3" xfId="21558" xr:uid="{00000000-0005-0000-0000-000032540000}"/>
    <cellStyle name="40% - Accent6 5 3 2 6" xfId="21559" xr:uid="{00000000-0005-0000-0000-000033540000}"/>
    <cellStyle name="40% - Accent6 5 3 2 6 2" xfId="21560" xr:uid="{00000000-0005-0000-0000-000034540000}"/>
    <cellStyle name="40% - Accent6 5 3 2 6 2 2" xfId="21561" xr:uid="{00000000-0005-0000-0000-000035540000}"/>
    <cellStyle name="40% - Accent6 5 3 2 6 3" xfId="21562" xr:uid="{00000000-0005-0000-0000-000036540000}"/>
    <cellStyle name="40% - Accent6 5 3 2 7" xfId="21563" xr:uid="{00000000-0005-0000-0000-000037540000}"/>
    <cellStyle name="40% - Accent6 5 3 2 7 2" xfId="21564" xr:uid="{00000000-0005-0000-0000-000038540000}"/>
    <cellStyle name="40% - Accent6 5 3 2 8" xfId="21565" xr:uid="{00000000-0005-0000-0000-000039540000}"/>
    <cellStyle name="40% - Accent6 5 3 3" xfId="21566" xr:uid="{00000000-0005-0000-0000-00003A540000}"/>
    <cellStyle name="40% - Accent6 5 3 3 2" xfId="21567" xr:uid="{00000000-0005-0000-0000-00003B540000}"/>
    <cellStyle name="40% - Accent6 5 3 3 2 2" xfId="21568" xr:uid="{00000000-0005-0000-0000-00003C540000}"/>
    <cellStyle name="40% - Accent6 5 3 3 2 2 2" xfId="21569" xr:uid="{00000000-0005-0000-0000-00003D540000}"/>
    <cellStyle name="40% - Accent6 5 3 3 2 2 2 2" xfId="21570" xr:uid="{00000000-0005-0000-0000-00003E540000}"/>
    <cellStyle name="40% - Accent6 5 3 3 2 2 3" xfId="21571" xr:uid="{00000000-0005-0000-0000-00003F540000}"/>
    <cellStyle name="40% - Accent6 5 3 3 2 3" xfId="21572" xr:uid="{00000000-0005-0000-0000-000040540000}"/>
    <cellStyle name="40% - Accent6 5 3 3 2 3 2" xfId="21573" xr:uid="{00000000-0005-0000-0000-000041540000}"/>
    <cellStyle name="40% - Accent6 5 3 3 2 4" xfId="21574" xr:uid="{00000000-0005-0000-0000-000042540000}"/>
    <cellStyle name="40% - Accent6 5 3 3 3" xfId="21575" xr:uid="{00000000-0005-0000-0000-000043540000}"/>
    <cellStyle name="40% - Accent6 5 3 3 3 2" xfId="21576" xr:uid="{00000000-0005-0000-0000-000044540000}"/>
    <cellStyle name="40% - Accent6 5 3 3 3 2 2" xfId="21577" xr:uid="{00000000-0005-0000-0000-000045540000}"/>
    <cellStyle name="40% - Accent6 5 3 3 3 3" xfId="21578" xr:uid="{00000000-0005-0000-0000-000046540000}"/>
    <cellStyle name="40% - Accent6 5 3 3 4" xfId="21579" xr:uid="{00000000-0005-0000-0000-000047540000}"/>
    <cellStyle name="40% - Accent6 5 3 3 4 2" xfId="21580" xr:uid="{00000000-0005-0000-0000-000048540000}"/>
    <cellStyle name="40% - Accent6 5 3 3 4 2 2" xfId="21581" xr:uid="{00000000-0005-0000-0000-000049540000}"/>
    <cellStyle name="40% - Accent6 5 3 3 4 3" xfId="21582" xr:uid="{00000000-0005-0000-0000-00004A540000}"/>
    <cellStyle name="40% - Accent6 5 3 3 5" xfId="21583" xr:uid="{00000000-0005-0000-0000-00004B540000}"/>
    <cellStyle name="40% - Accent6 5 3 3 5 2" xfId="21584" xr:uid="{00000000-0005-0000-0000-00004C540000}"/>
    <cellStyle name="40% - Accent6 5 3 3 5 2 2" xfId="21585" xr:uid="{00000000-0005-0000-0000-00004D540000}"/>
    <cellStyle name="40% - Accent6 5 3 3 5 3" xfId="21586" xr:uid="{00000000-0005-0000-0000-00004E540000}"/>
    <cellStyle name="40% - Accent6 5 3 3 6" xfId="21587" xr:uid="{00000000-0005-0000-0000-00004F540000}"/>
    <cellStyle name="40% - Accent6 5 3 3 6 2" xfId="21588" xr:uid="{00000000-0005-0000-0000-000050540000}"/>
    <cellStyle name="40% - Accent6 5 3 3 6 2 2" xfId="21589" xr:uid="{00000000-0005-0000-0000-000051540000}"/>
    <cellStyle name="40% - Accent6 5 3 3 6 3" xfId="21590" xr:uid="{00000000-0005-0000-0000-000052540000}"/>
    <cellStyle name="40% - Accent6 5 3 3 7" xfId="21591" xr:uid="{00000000-0005-0000-0000-000053540000}"/>
    <cellStyle name="40% - Accent6 5 3 3 7 2" xfId="21592" xr:uid="{00000000-0005-0000-0000-000054540000}"/>
    <cellStyle name="40% - Accent6 5 3 3 8" xfId="21593" xr:uid="{00000000-0005-0000-0000-000055540000}"/>
    <cellStyle name="40% - Accent6 5 3 4" xfId="21594" xr:uid="{00000000-0005-0000-0000-000056540000}"/>
    <cellStyle name="40% - Accent6 5 3 4 2" xfId="21595" xr:uid="{00000000-0005-0000-0000-000057540000}"/>
    <cellStyle name="40% - Accent6 5 3 4 2 2" xfId="21596" xr:uid="{00000000-0005-0000-0000-000058540000}"/>
    <cellStyle name="40% - Accent6 5 3 4 2 2 2" xfId="21597" xr:uid="{00000000-0005-0000-0000-000059540000}"/>
    <cellStyle name="40% - Accent6 5 3 4 2 2 2 2" xfId="21598" xr:uid="{00000000-0005-0000-0000-00005A540000}"/>
    <cellStyle name="40% - Accent6 5 3 4 2 2 3" xfId="21599" xr:uid="{00000000-0005-0000-0000-00005B540000}"/>
    <cellStyle name="40% - Accent6 5 3 4 2 3" xfId="21600" xr:uid="{00000000-0005-0000-0000-00005C540000}"/>
    <cellStyle name="40% - Accent6 5 3 4 2 3 2" xfId="21601" xr:uid="{00000000-0005-0000-0000-00005D540000}"/>
    <cellStyle name="40% - Accent6 5 3 4 2 4" xfId="21602" xr:uid="{00000000-0005-0000-0000-00005E540000}"/>
    <cellStyle name="40% - Accent6 5 3 4 3" xfId="21603" xr:uid="{00000000-0005-0000-0000-00005F540000}"/>
    <cellStyle name="40% - Accent6 5 3 4 3 2" xfId="21604" xr:uid="{00000000-0005-0000-0000-000060540000}"/>
    <cellStyle name="40% - Accent6 5 3 4 3 2 2" xfId="21605" xr:uid="{00000000-0005-0000-0000-000061540000}"/>
    <cellStyle name="40% - Accent6 5 3 4 3 3" xfId="21606" xr:uid="{00000000-0005-0000-0000-000062540000}"/>
    <cellStyle name="40% - Accent6 5 3 4 4" xfId="21607" xr:uid="{00000000-0005-0000-0000-000063540000}"/>
    <cellStyle name="40% - Accent6 5 3 4 4 2" xfId="21608" xr:uid="{00000000-0005-0000-0000-000064540000}"/>
    <cellStyle name="40% - Accent6 5 3 4 4 2 2" xfId="21609" xr:uid="{00000000-0005-0000-0000-000065540000}"/>
    <cellStyle name="40% - Accent6 5 3 4 4 3" xfId="21610" xr:uid="{00000000-0005-0000-0000-000066540000}"/>
    <cellStyle name="40% - Accent6 5 3 4 5" xfId="21611" xr:uid="{00000000-0005-0000-0000-000067540000}"/>
    <cellStyle name="40% - Accent6 5 3 4 5 2" xfId="21612" xr:uid="{00000000-0005-0000-0000-000068540000}"/>
    <cellStyle name="40% - Accent6 5 3 4 5 2 2" xfId="21613" xr:uid="{00000000-0005-0000-0000-000069540000}"/>
    <cellStyle name="40% - Accent6 5 3 4 5 3" xfId="21614" xr:uid="{00000000-0005-0000-0000-00006A540000}"/>
    <cellStyle name="40% - Accent6 5 3 4 6" xfId="21615" xr:uid="{00000000-0005-0000-0000-00006B540000}"/>
    <cellStyle name="40% - Accent6 5 3 4 6 2" xfId="21616" xr:uid="{00000000-0005-0000-0000-00006C540000}"/>
    <cellStyle name="40% - Accent6 5 3 4 6 2 2" xfId="21617" xr:uid="{00000000-0005-0000-0000-00006D540000}"/>
    <cellStyle name="40% - Accent6 5 3 4 6 3" xfId="21618" xr:uid="{00000000-0005-0000-0000-00006E540000}"/>
    <cellStyle name="40% - Accent6 5 3 4 7" xfId="21619" xr:uid="{00000000-0005-0000-0000-00006F540000}"/>
    <cellStyle name="40% - Accent6 5 3 4 7 2" xfId="21620" xr:uid="{00000000-0005-0000-0000-000070540000}"/>
    <cellStyle name="40% - Accent6 5 3 4 8" xfId="21621" xr:uid="{00000000-0005-0000-0000-000071540000}"/>
    <cellStyle name="40% - Accent6 5 3 5" xfId="21622" xr:uid="{00000000-0005-0000-0000-000072540000}"/>
    <cellStyle name="40% - Accent6 5 3 5 2" xfId="21623" xr:uid="{00000000-0005-0000-0000-000073540000}"/>
    <cellStyle name="40% - Accent6 5 3 5 2 2" xfId="21624" xr:uid="{00000000-0005-0000-0000-000074540000}"/>
    <cellStyle name="40% - Accent6 5 3 5 2 2 2" xfId="21625" xr:uid="{00000000-0005-0000-0000-000075540000}"/>
    <cellStyle name="40% - Accent6 5 3 5 2 2 2 2" xfId="21626" xr:uid="{00000000-0005-0000-0000-000076540000}"/>
    <cellStyle name="40% - Accent6 5 3 5 2 2 3" xfId="21627" xr:uid="{00000000-0005-0000-0000-000077540000}"/>
    <cellStyle name="40% - Accent6 5 3 5 2 3" xfId="21628" xr:uid="{00000000-0005-0000-0000-000078540000}"/>
    <cellStyle name="40% - Accent6 5 3 5 2 3 2" xfId="21629" xr:uid="{00000000-0005-0000-0000-000079540000}"/>
    <cellStyle name="40% - Accent6 5 3 5 2 4" xfId="21630" xr:uid="{00000000-0005-0000-0000-00007A540000}"/>
    <cellStyle name="40% - Accent6 5 3 5 3" xfId="21631" xr:uid="{00000000-0005-0000-0000-00007B540000}"/>
    <cellStyle name="40% - Accent6 5 3 5 3 2" xfId="21632" xr:uid="{00000000-0005-0000-0000-00007C540000}"/>
    <cellStyle name="40% - Accent6 5 3 5 3 2 2" xfId="21633" xr:uid="{00000000-0005-0000-0000-00007D540000}"/>
    <cellStyle name="40% - Accent6 5 3 5 3 3" xfId="21634" xr:uid="{00000000-0005-0000-0000-00007E540000}"/>
    <cellStyle name="40% - Accent6 5 3 5 4" xfId="21635" xr:uid="{00000000-0005-0000-0000-00007F540000}"/>
    <cellStyle name="40% - Accent6 5 3 5 4 2" xfId="21636" xr:uid="{00000000-0005-0000-0000-000080540000}"/>
    <cellStyle name="40% - Accent6 5 3 5 5" xfId="21637" xr:uid="{00000000-0005-0000-0000-000081540000}"/>
    <cellStyle name="40% - Accent6 5 3 6" xfId="21638" xr:uid="{00000000-0005-0000-0000-000082540000}"/>
    <cellStyle name="40% - Accent6 5 3 6 2" xfId="21639" xr:uid="{00000000-0005-0000-0000-000083540000}"/>
    <cellStyle name="40% - Accent6 5 3 6 2 2" xfId="21640" xr:uid="{00000000-0005-0000-0000-000084540000}"/>
    <cellStyle name="40% - Accent6 5 3 6 2 2 2" xfId="21641" xr:uid="{00000000-0005-0000-0000-000085540000}"/>
    <cellStyle name="40% - Accent6 5 3 6 2 2 2 2" xfId="21642" xr:uid="{00000000-0005-0000-0000-000086540000}"/>
    <cellStyle name="40% - Accent6 5 3 6 2 2 3" xfId="21643" xr:uid="{00000000-0005-0000-0000-000087540000}"/>
    <cellStyle name="40% - Accent6 5 3 6 2 3" xfId="21644" xr:uid="{00000000-0005-0000-0000-000088540000}"/>
    <cellStyle name="40% - Accent6 5 3 6 2 3 2" xfId="21645" xr:uid="{00000000-0005-0000-0000-000089540000}"/>
    <cellStyle name="40% - Accent6 5 3 6 2 4" xfId="21646" xr:uid="{00000000-0005-0000-0000-00008A540000}"/>
    <cellStyle name="40% - Accent6 5 3 6 3" xfId="21647" xr:uid="{00000000-0005-0000-0000-00008B540000}"/>
    <cellStyle name="40% - Accent6 5 3 6 3 2" xfId="21648" xr:uid="{00000000-0005-0000-0000-00008C540000}"/>
    <cellStyle name="40% - Accent6 5 3 6 3 2 2" xfId="21649" xr:uid="{00000000-0005-0000-0000-00008D540000}"/>
    <cellStyle name="40% - Accent6 5 3 6 3 3" xfId="21650" xr:uid="{00000000-0005-0000-0000-00008E540000}"/>
    <cellStyle name="40% - Accent6 5 3 6 4" xfId="21651" xr:uid="{00000000-0005-0000-0000-00008F540000}"/>
    <cellStyle name="40% - Accent6 5 3 6 4 2" xfId="21652" xr:uid="{00000000-0005-0000-0000-000090540000}"/>
    <cellStyle name="40% - Accent6 5 3 6 5" xfId="21653" xr:uid="{00000000-0005-0000-0000-000091540000}"/>
    <cellStyle name="40% - Accent6 5 3 7" xfId="21654" xr:uid="{00000000-0005-0000-0000-000092540000}"/>
    <cellStyle name="40% - Accent6 5 3 7 2" xfId="21655" xr:uid="{00000000-0005-0000-0000-000093540000}"/>
    <cellStyle name="40% - Accent6 5 3 7 2 2" xfId="21656" xr:uid="{00000000-0005-0000-0000-000094540000}"/>
    <cellStyle name="40% - Accent6 5 3 7 2 2 2" xfId="21657" xr:uid="{00000000-0005-0000-0000-000095540000}"/>
    <cellStyle name="40% - Accent6 5 3 7 2 3" xfId="21658" xr:uid="{00000000-0005-0000-0000-000096540000}"/>
    <cellStyle name="40% - Accent6 5 3 7 3" xfId="21659" xr:uid="{00000000-0005-0000-0000-000097540000}"/>
    <cellStyle name="40% - Accent6 5 3 7 3 2" xfId="21660" xr:uid="{00000000-0005-0000-0000-000098540000}"/>
    <cellStyle name="40% - Accent6 5 3 7 4" xfId="21661" xr:uid="{00000000-0005-0000-0000-000099540000}"/>
    <cellStyle name="40% - Accent6 5 3 8" xfId="21662" xr:uid="{00000000-0005-0000-0000-00009A540000}"/>
    <cellStyle name="40% - Accent6 5 3 8 2" xfId="21663" xr:uid="{00000000-0005-0000-0000-00009B540000}"/>
    <cellStyle name="40% - Accent6 5 3 8 2 2" xfId="21664" xr:uid="{00000000-0005-0000-0000-00009C540000}"/>
    <cellStyle name="40% - Accent6 5 3 8 2 2 2" xfId="21665" xr:uid="{00000000-0005-0000-0000-00009D540000}"/>
    <cellStyle name="40% - Accent6 5 3 8 2 3" xfId="21666" xr:uid="{00000000-0005-0000-0000-00009E540000}"/>
    <cellStyle name="40% - Accent6 5 3 8 3" xfId="21667" xr:uid="{00000000-0005-0000-0000-00009F540000}"/>
    <cellStyle name="40% - Accent6 5 3 8 3 2" xfId="21668" xr:uid="{00000000-0005-0000-0000-0000A0540000}"/>
    <cellStyle name="40% - Accent6 5 3 8 4" xfId="21669" xr:uid="{00000000-0005-0000-0000-0000A1540000}"/>
    <cellStyle name="40% - Accent6 5 3 9" xfId="21670" xr:uid="{00000000-0005-0000-0000-0000A2540000}"/>
    <cellStyle name="40% - Accent6 5 3 9 2" xfId="21671" xr:uid="{00000000-0005-0000-0000-0000A3540000}"/>
    <cellStyle name="40% - Accent6 5 3 9 2 2" xfId="21672" xr:uid="{00000000-0005-0000-0000-0000A4540000}"/>
    <cellStyle name="40% - Accent6 5 3 9 3" xfId="21673" xr:uid="{00000000-0005-0000-0000-0000A5540000}"/>
    <cellStyle name="40% - Accent6 5 4" xfId="21674" xr:uid="{00000000-0005-0000-0000-0000A6540000}"/>
    <cellStyle name="40% - Accent6 5 4 10" xfId="21675" xr:uid="{00000000-0005-0000-0000-0000A7540000}"/>
    <cellStyle name="40% - Accent6 5 4 10 2" xfId="21676" xr:uid="{00000000-0005-0000-0000-0000A8540000}"/>
    <cellStyle name="40% - Accent6 5 4 10 2 2" xfId="21677" xr:uid="{00000000-0005-0000-0000-0000A9540000}"/>
    <cellStyle name="40% - Accent6 5 4 10 3" xfId="21678" xr:uid="{00000000-0005-0000-0000-0000AA540000}"/>
    <cellStyle name="40% - Accent6 5 4 11" xfId="21679" xr:uid="{00000000-0005-0000-0000-0000AB540000}"/>
    <cellStyle name="40% - Accent6 5 4 11 2" xfId="21680" xr:uid="{00000000-0005-0000-0000-0000AC540000}"/>
    <cellStyle name="40% - Accent6 5 4 11 2 2" xfId="21681" xr:uid="{00000000-0005-0000-0000-0000AD540000}"/>
    <cellStyle name="40% - Accent6 5 4 11 3" xfId="21682" xr:uid="{00000000-0005-0000-0000-0000AE540000}"/>
    <cellStyle name="40% - Accent6 5 4 12" xfId="21683" xr:uid="{00000000-0005-0000-0000-0000AF540000}"/>
    <cellStyle name="40% - Accent6 5 4 12 2" xfId="21684" xr:uid="{00000000-0005-0000-0000-0000B0540000}"/>
    <cellStyle name="40% - Accent6 5 4 12 2 2" xfId="21685" xr:uid="{00000000-0005-0000-0000-0000B1540000}"/>
    <cellStyle name="40% - Accent6 5 4 12 3" xfId="21686" xr:uid="{00000000-0005-0000-0000-0000B2540000}"/>
    <cellStyle name="40% - Accent6 5 4 13" xfId="21687" xr:uid="{00000000-0005-0000-0000-0000B3540000}"/>
    <cellStyle name="40% - Accent6 5 4 13 2" xfId="21688" xr:uid="{00000000-0005-0000-0000-0000B4540000}"/>
    <cellStyle name="40% - Accent6 5 4 14" xfId="21689" xr:uid="{00000000-0005-0000-0000-0000B5540000}"/>
    <cellStyle name="40% - Accent6 5 4 2" xfId="21690" xr:uid="{00000000-0005-0000-0000-0000B6540000}"/>
    <cellStyle name="40% - Accent6 5 4 2 2" xfId="21691" xr:uid="{00000000-0005-0000-0000-0000B7540000}"/>
    <cellStyle name="40% - Accent6 5 4 2 2 2" xfId="21692" xr:uid="{00000000-0005-0000-0000-0000B8540000}"/>
    <cellStyle name="40% - Accent6 5 4 2 2 2 2" xfId="21693" xr:uid="{00000000-0005-0000-0000-0000B9540000}"/>
    <cellStyle name="40% - Accent6 5 4 2 2 2 2 2" xfId="21694" xr:uid="{00000000-0005-0000-0000-0000BA540000}"/>
    <cellStyle name="40% - Accent6 5 4 2 2 2 3" xfId="21695" xr:uid="{00000000-0005-0000-0000-0000BB540000}"/>
    <cellStyle name="40% - Accent6 5 4 2 2 3" xfId="21696" xr:uid="{00000000-0005-0000-0000-0000BC540000}"/>
    <cellStyle name="40% - Accent6 5 4 2 2 3 2" xfId="21697" xr:uid="{00000000-0005-0000-0000-0000BD540000}"/>
    <cellStyle name="40% - Accent6 5 4 2 2 4" xfId="21698" xr:uid="{00000000-0005-0000-0000-0000BE540000}"/>
    <cellStyle name="40% - Accent6 5 4 2 3" xfId="21699" xr:uid="{00000000-0005-0000-0000-0000BF540000}"/>
    <cellStyle name="40% - Accent6 5 4 2 3 2" xfId="21700" xr:uid="{00000000-0005-0000-0000-0000C0540000}"/>
    <cellStyle name="40% - Accent6 5 4 2 3 2 2" xfId="21701" xr:uid="{00000000-0005-0000-0000-0000C1540000}"/>
    <cellStyle name="40% - Accent6 5 4 2 3 3" xfId="21702" xr:uid="{00000000-0005-0000-0000-0000C2540000}"/>
    <cellStyle name="40% - Accent6 5 4 2 4" xfId="21703" xr:uid="{00000000-0005-0000-0000-0000C3540000}"/>
    <cellStyle name="40% - Accent6 5 4 2 4 2" xfId="21704" xr:uid="{00000000-0005-0000-0000-0000C4540000}"/>
    <cellStyle name="40% - Accent6 5 4 2 4 2 2" xfId="21705" xr:uid="{00000000-0005-0000-0000-0000C5540000}"/>
    <cellStyle name="40% - Accent6 5 4 2 4 3" xfId="21706" xr:uid="{00000000-0005-0000-0000-0000C6540000}"/>
    <cellStyle name="40% - Accent6 5 4 2 5" xfId="21707" xr:uid="{00000000-0005-0000-0000-0000C7540000}"/>
    <cellStyle name="40% - Accent6 5 4 2 5 2" xfId="21708" xr:uid="{00000000-0005-0000-0000-0000C8540000}"/>
    <cellStyle name="40% - Accent6 5 4 2 5 2 2" xfId="21709" xr:uid="{00000000-0005-0000-0000-0000C9540000}"/>
    <cellStyle name="40% - Accent6 5 4 2 5 3" xfId="21710" xr:uid="{00000000-0005-0000-0000-0000CA540000}"/>
    <cellStyle name="40% - Accent6 5 4 2 6" xfId="21711" xr:uid="{00000000-0005-0000-0000-0000CB540000}"/>
    <cellStyle name="40% - Accent6 5 4 2 6 2" xfId="21712" xr:uid="{00000000-0005-0000-0000-0000CC540000}"/>
    <cellStyle name="40% - Accent6 5 4 2 6 2 2" xfId="21713" xr:uid="{00000000-0005-0000-0000-0000CD540000}"/>
    <cellStyle name="40% - Accent6 5 4 2 6 3" xfId="21714" xr:uid="{00000000-0005-0000-0000-0000CE540000}"/>
    <cellStyle name="40% - Accent6 5 4 2 7" xfId="21715" xr:uid="{00000000-0005-0000-0000-0000CF540000}"/>
    <cellStyle name="40% - Accent6 5 4 2 7 2" xfId="21716" xr:uid="{00000000-0005-0000-0000-0000D0540000}"/>
    <cellStyle name="40% - Accent6 5 4 2 8" xfId="21717" xr:uid="{00000000-0005-0000-0000-0000D1540000}"/>
    <cellStyle name="40% - Accent6 5 4 3" xfId="21718" xr:uid="{00000000-0005-0000-0000-0000D2540000}"/>
    <cellStyle name="40% - Accent6 5 4 3 2" xfId="21719" xr:uid="{00000000-0005-0000-0000-0000D3540000}"/>
    <cellStyle name="40% - Accent6 5 4 3 2 2" xfId="21720" xr:uid="{00000000-0005-0000-0000-0000D4540000}"/>
    <cellStyle name="40% - Accent6 5 4 3 2 2 2" xfId="21721" xr:uid="{00000000-0005-0000-0000-0000D5540000}"/>
    <cellStyle name="40% - Accent6 5 4 3 2 2 2 2" xfId="21722" xr:uid="{00000000-0005-0000-0000-0000D6540000}"/>
    <cellStyle name="40% - Accent6 5 4 3 2 2 3" xfId="21723" xr:uid="{00000000-0005-0000-0000-0000D7540000}"/>
    <cellStyle name="40% - Accent6 5 4 3 2 3" xfId="21724" xr:uid="{00000000-0005-0000-0000-0000D8540000}"/>
    <cellStyle name="40% - Accent6 5 4 3 2 3 2" xfId="21725" xr:uid="{00000000-0005-0000-0000-0000D9540000}"/>
    <cellStyle name="40% - Accent6 5 4 3 2 4" xfId="21726" xr:uid="{00000000-0005-0000-0000-0000DA540000}"/>
    <cellStyle name="40% - Accent6 5 4 3 3" xfId="21727" xr:uid="{00000000-0005-0000-0000-0000DB540000}"/>
    <cellStyle name="40% - Accent6 5 4 3 3 2" xfId="21728" xr:uid="{00000000-0005-0000-0000-0000DC540000}"/>
    <cellStyle name="40% - Accent6 5 4 3 3 2 2" xfId="21729" xr:uid="{00000000-0005-0000-0000-0000DD540000}"/>
    <cellStyle name="40% - Accent6 5 4 3 3 3" xfId="21730" xr:uid="{00000000-0005-0000-0000-0000DE540000}"/>
    <cellStyle name="40% - Accent6 5 4 3 4" xfId="21731" xr:uid="{00000000-0005-0000-0000-0000DF540000}"/>
    <cellStyle name="40% - Accent6 5 4 3 4 2" xfId="21732" xr:uid="{00000000-0005-0000-0000-0000E0540000}"/>
    <cellStyle name="40% - Accent6 5 4 3 4 2 2" xfId="21733" xr:uid="{00000000-0005-0000-0000-0000E1540000}"/>
    <cellStyle name="40% - Accent6 5 4 3 4 3" xfId="21734" xr:uid="{00000000-0005-0000-0000-0000E2540000}"/>
    <cellStyle name="40% - Accent6 5 4 3 5" xfId="21735" xr:uid="{00000000-0005-0000-0000-0000E3540000}"/>
    <cellStyle name="40% - Accent6 5 4 3 5 2" xfId="21736" xr:uid="{00000000-0005-0000-0000-0000E4540000}"/>
    <cellStyle name="40% - Accent6 5 4 3 5 2 2" xfId="21737" xr:uid="{00000000-0005-0000-0000-0000E5540000}"/>
    <cellStyle name="40% - Accent6 5 4 3 5 3" xfId="21738" xr:uid="{00000000-0005-0000-0000-0000E6540000}"/>
    <cellStyle name="40% - Accent6 5 4 3 6" xfId="21739" xr:uid="{00000000-0005-0000-0000-0000E7540000}"/>
    <cellStyle name="40% - Accent6 5 4 3 6 2" xfId="21740" xr:uid="{00000000-0005-0000-0000-0000E8540000}"/>
    <cellStyle name="40% - Accent6 5 4 3 6 2 2" xfId="21741" xr:uid="{00000000-0005-0000-0000-0000E9540000}"/>
    <cellStyle name="40% - Accent6 5 4 3 6 3" xfId="21742" xr:uid="{00000000-0005-0000-0000-0000EA540000}"/>
    <cellStyle name="40% - Accent6 5 4 3 7" xfId="21743" xr:uid="{00000000-0005-0000-0000-0000EB540000}"/>
    <cellStyle name="40% - Accent6 5 4 3 7 2" xfId="21744" xr:uid="{00000000-0005-0000-0000-0000EC540000}"/>
    <cellStyle name="40% - Accent6 5 4 3 8" xfId="21745" xr:uid="{00000000-0005-0000-0000-0000ED540000}"/>
    <cellStyle name="40% - Accent6 5 4 4" xfId="21746" xr:uid="{00000000-0005-0000-0000-0000EE540000}"/>
    <cellStyle name="40% - Accent6 5 4 4 2" xfId="21747" xr:uid="{00000000-0005-0000-0000-0000EF540000}"/>
    <cellStyle name="40% - Accent6 5 4 4 2 2" xfId="21748" xr:uid="{00000000-0005-0000-0000-0000F0540000}"/>
    <cellStyle name="40% - Accent6 5 4 4 2 2 2" xfId="21749" xr:uid="{00000000-0005-0000-0000-0000F1540000}"/>
    <cellStyle name="40% - Accent6 5 4 4 2 2 2 2" xfId="21750" xr:uid="{00000000-0005-0000-0000-0000F2540000}"/>
    <cellStyle name="40% - Accent6 5 4 4 2 2 3" xfId="21751" xr:uid="{00000000-0005-0000-0000-0000F3540000}"/>
    <cellStyle name="40% - Accent6 5 4 4 2 3" xfId="21752" xr:uid="{00000000-0005-0000-0000-0000F4540000}"/>
    <cellStyle name="40% - Accent6 5 4 4 2 3 2" xfId="21753" xr:uid="{00000000-0005-0000-0000-0000F5540000}"/>
    <cellStyle name="40% - Accent6 5 4 4 2 4" xfId="21754" xr:uid="{00000000-0005-0000-0000-0000F6540000}"/>
    <cellStyle name="40% - Accent6 5 4 4 3" xfId="21755" xr:uid="{00000000-0005-0000-0000-0000F7540000}"/>
    <cellStyle name="40% - Accent6 5 4 4 3 2" xfId="21756" xr:uid="{00000000-0005-0000-0000-0000F8540000}"/>
    <cellStyle name="40% - Accent6 5 4 4 3 2 2" xfId="21757" xr:uid="{00000000-0005-0000-0000-0000F9540000}"/>
    <cellStyle name="40% - Accent6 5 4 4 3 3" xfId="21758" xr:uid="{00000000-0005-0000-0000-0000FA540000}"/>
    <cellStyle name="40% - Accent6 5 4 4 4" xfId="21759" xr:uid="{00000000-0005-0000-0000-0000FB540000}"/>
    <cellStyle name="40% - Accent6 5 4 4 4 2" xfId="21760" xr:uid="{00000000-0005-0000-0000-0000FC540000}"/>
    <cellStyle name="40% - Accent6 5 4 4 4 2 2" xfId="21761" xr:uid="{00000000-0005-0000-0000-0000FD540000}"/>
    <cellStyle name="40% - Accent6 5 4 4 4 3" xfId="21762" xr:uid="{00000000-0005-0000-0000-0000FE540000}"/>
    <cellStyle name="40% - Accent6 5 4 4 5" xfId="21763" xr:uid="{00000000-0005-0000-0000-0000FF540000}"/>
    <cellStyle name="40% - Accent6 5 4 4 5 2" xfId="21764" xr:uid="{00000000-0005-0000-0000-000000550000}"/>
    <cellStyle name="40% - Accent6 5 4 4 5 2 2" xfId="21765" xr:uid="{00000000-0005-0000-0000-000001550000}"/>
    <cellStyle name="40% - Accent6 5 4 4 5 3" xfId="21766" xr:uid="{00000000-0005-0000-0000-000002550000}"/>
    <cellStyle name="40% - Accent6 5 4 4 6" xfId="21767" xr:uid="{00000000-0005-0000-0000-000003550000}"/>
    <cellStyle name="40% - Accent6 5 4 4 6 2" xfId="21768" xr:uid="{00000000-0005-0000-0000-000004550000}"/>
    <cellStyle name="40% - Accent6 5 4 4 6 2 2" xfId="21769" xr:uid="{00000000-0005-0000-0000-000005550000}"/>
    <cellStyle name="40% - Accent6 5 4 4 6 3" xfId="21770" xr:uid="{00000000-0005-0000-0000-000006550000}"/>
    <cellStyle name="40% - Accent6 5 4 4 7" xfId="21771" xr:uid="{00000000-0005-0000-0000-000007550000}"/>
    <cellStyle name="40% - Accent6 5 4 4 7 2" xfId="21772" xr:uid="{00000000-0005-0000-0000-000008550000}"/>
    <cellStyle name="40% - Accent6 5 4 4 8" xfId="21773" xr:uid="{00000000-0005-0000-0000-000009550000}"/>
    <cellStyle name="40% - Accent6 5 4 5" xfId="21774" xr:uid="{00000000-0005-0000-0000-00000A550000}"/>
    <cellStyle name="40% - Accent6 5 4 5 2" xfId="21775" xr:uid="{00000000-0005-0000-0000-00000B550000}"/>
    <cellStyle name="40% - Accent6 5 4 5 2 2" xfId="21776" xr:uid="{00000000-0005-0000-0000-00000C550000}"/>
    <cellStyle name="40% - Accent6 5 4 5 2 2 2" xfId="21777" xr:uid="{00000000-0005-0000-0000-00000D550000}"/>
    <cellStyle name="40% - Accent6 5 4 5 2 2 2 2" xfId="21778" xr:uid="{00000000-0005-0000-0000-00000E550000}"/>
    <cellStyle name="40% - Accent6 5 4 5 2 2 3" xfId="21779" xr:uid="{00000000-0005-0000-0000-00000F550000}"/>
    <cellStyle name="40% - Accent6 5 4 5 2 3" xfId="21780" xr:uid="{00000000-0005-0000-0000-000010550000}"/>
    <cellStyle name="40% - Accent6 5 4 5 2 3 2" xfId="21781" xr:uid="{00000000-0005-0000-0000-000011550000}"/>
    <cellStyle name="40% - Accent6 5 4 5 2 4" xfId="21782" xr:uid="{00000000-0005-0000-0000-000012550000}"/>
    <cellStyle name="40% - Accent6 5 4 5 3" xfId="21783" xr:uid="{00000000-0005-0000-0000-000013550000}"/>
    <cellStyle name="40% - Accent6 5 4 5 3 2" xfId="21784" xr:uid="{00000000-0005-0000-0000-000014550000}"/>
    <cellStyle name="40% - Accent6 5 4 5 3 2 2" xfId="21785" xr:uid="{00000000-0005-0000-0000-000015550000}"/>
    <cellStyle name="40% - Accent6 5 4 5 3 3" xfId="21786" xr:uid="{00000000-0005-0000-0000-000016550000}"/>
    <cellStyle name="40% - Accent6 5 4 5 4" xfId="21787" xr:uid="{00000000-0005-0000-0000-000017550000}"/>
    <cellStyle name="40% - Accent6 5 4 5 4 2" xfId="21788" xr:uid="{00000000-0005-0000-0000-000018550000}"/>
    <cellStyle name="40% - Accent6 5 4 5 5" xfId="21789" xr:uid="{00000000-0005-0000-0000-000019550000}"/>
    <cellStyle name="40% - Accent6 5 4 6" xfId="21790" xr:uid="{00000000-0005-0000-0000-00001A550000}"/>
    <cellStyle name="40% - Accent6 5 4 6 2" xfId="21791" xr:uid="{00000000-0005-0000-0000-00001B550000}"/>
    <cellStyle name="40% - Accent6 5 4 6 2 2" xfId="21792" xr:uid="{00000000-0005-0000-0000-00001C550000}"/>
    <cellStyle name="40% - Accent6 5 4 6 2 2 2" xfId="21793" xr:uid="{00000000-0005-0000-0000-00001D550000}"/>
    <cellStyle name="40% - Accent6 5 4 6 2 2 2 2" xfId="21794" xr:uid="{00000000-0005-0000-0000-00001E550000}"/>
    <cellStyle name="40% - Accent6 5 4 6 2 2 3" xfId="21795" xr:uid="{00000000-0005-0000-0000-00001F550000}"/>
    <cellStyle name="40% - Accent6 5 4 6 2 3" xfId="21796" xr:uid="{00000000-0005-0000-0000-000020550000}"/>
    <cellStyle name="40% - Accent6 5 4 6 2 3 2" xfId="21797" xr:uid="{00000000-0005-0000-0000-000021550000}"/>
    <cellStyle name="40% - Accent6 5 4 6 2 4" xfId="21798" xr:uid="{00000000-0005-0000-0000-000022550000}"/>
    <cellStyle name="40% - Accent6 5 4 6 3" xfId="21799" xr:uid="{00000000-0005-0000-0000-000023550000}"/>
    <cellStyle name="40% - Accent6 5 4 6 3 2" xfId="21800" xr:uid="{00000000-0005-0000-0000-000024550000}"/>
    <cellStyle name="40% - Accent6 5 4 6 3 2 2" xfId="21801" xr:uid="{00000000-0005-0000-0000-000025550000}"/>
    <cellStyle name="40% - Accent6 5 4 6 3 3" xfId="21802" xr:uid="{00000000-0005-0000-0000-000026550000}"/>
    <cellStyle name="40% - Accent6 5 4 6 4" xfId="21803" xr:uid="{00000000-0005-0000-0000-000027550000}"/>
    <cellStyle name="40% - Accent6 5 4 6 4 2" xfId="21804" xr:uid="{00000000-0005-0000-0000-000028550000}"/>
    <cellStyle name="40% - Accent6 5 4 6 5" xfId="21805" xr:uid="{00000000-0005-0000-0000-000029550000}"/>
    <cellStyle name="40% - Accent6 5 4 7" xfId="21806" xr:uid="{00000000-0005-0000-0000-00002A550000}"/>
    <cellStyle name="40% - Accent6 5 4 7 2" xfId="21807" xr:uid="{00000000-0005-0000-0000-00002B550000}"/>
    <cellStyle name="40% - Accent6 5 4 7 2 2" xfId="21808" xr:uid="{00000000-0005-0000-0000-00002C550000}"/>
    <cellStyle name="40% - Accent6 5 4 7 2 2 2" xfId="21809" xr:uid="{00000000-0005-0000-0000-00002D550000}"/>
    <cellStyle name="40% - Accent6 5 4 7 2 3" xfId="21810" xr:uid="{00000000-0005-0000-0000-00002E550000}"/>
    <cellStyle name="40% - Accent6 5 4 7 3" xfId="21811" xr:uid="{00000000-0005-0000-0000-00002F550000}"/>
    <cellStyle name="40% - Accent6 5 4 7 3 2" xfId="21812" xr:uid="{00000000-0005-0000-0000-000030550000}"/>
    <cellStyle name="40% - Accent6 5 4 7 4" xfId="21813" xr:uid="{00000000-0005-0000-0000-000031550000}"/>
    <cellStyle name="40% - Accent6 5 4 8" xfId="21814" xr:uid="{00000000-0005-0000-0000-000032550000}"/>
    <cellStyle name="40% - Accent6 5 4 8 2" xfId="21815" xr:uid="{00000000-0005-0000-0000-000033550000}"/>
    <cellStyle name="40% - Accent6 5 4 8 2 2" xfId="21816" xr:uid="{00000000-0005-0000-0000-000034550000}"/>
    <cellStyle name="40% - Accent6 5 4 8 2 2 2" xfId="21817" xr:uid="{00000000-0005-0000-0000-000035550000}"/>
    <cellStyle name="40% - Accent6 5 4 8 2 3" xfId="21818" xr:uid="{00000000-0005-0000-0000-000036550000}"/>
    <cellStyle name="40% - Accent6 5 4 8 3" xfId="21819" xr:uid="{00000000-0005-0000-0000-000037550000}"/>
    <cellStyle name="40% - Accent6 5 4 8 3 2" xfId="21820" xr:uid="{00000000-0005-0000-0000-000038550000}"/>
    <cellStyle name="40% - Accent6 5 4 8 4" xfId="21821" xr:uid="{00000000-0005-0000-0000-000039550000}"/>
    <cellStyle name="40% - Accent6 5 4 9" xfId="21822" xr:uid="{00000000-0005-0000-0000-00003A550000}"/>
    <cellStyle name="40% - Accent6 5 4 9 2" xfId="21823" xr:uid="{00000000-0005-0000-0000-00003B550000}"/>
    <cellStyle name="40% - Accent6 5 4 9 2 2" xfId="21824" xr:uid="{00000000-0005-0000-0000-00003C550000}"/>
    <cellStyle name="40% - Accent6 5 4 9 3" xfId="21825" xr:uid="{00000000-0005-0000-0000-00003D550000}"/>
    <cellStyle name="40% - Accent6 5 5" xfId="21826" xr:uid="{00000000-0005-0000-0000-00003E550000}"/>
    <cellStyle name="40% - Accent6 5 5 10" xfId="21827" xr:uid="{00000000-0005-0000-0000-00003F550000}"/>
    <cellStyle name="40% - Accent6 5 5 10 2" xfId="21828" xr:uid="{00000000-0005-0000-0000-000040550000}"/>
    <cellStyle name="40% - Accent6 5 5 10 2 2" xfId="21829" xr:uid="{00000000-0005-0000-0000-000041550000}"/>
    <cellStyle name="40% - Accent6 5 5 10 3" xfId="21830" xr:uid="{00000000-0005-0000-0000-000042550000}"/>
    <cellStyle name="40% - Accent6 5 5 11" xfId="21831" xr:uid="{00000000-0005-0000-0000-000043550000}"/>
    <cellStyle name="40% - Accent6 5 5 11 2" xfId="21832" xr:uid="{00000000-0005-0000-0000-000044550000}"/>
    <cellStyle name="40% - Accent6 5 5 11 2 2" xfId="21833" xr:uid="{00000000-0005-0000-0000-000045550000}"/>
    <cellStyle name="40% - Accent6 5 5 11 3" xfId="21834" xr:uid="{00000000-0005-0000-0000-000046550000}"/>
    <cellStyle name="40% - Accent6 5 5 12" xfId="21835" xr:uid="{00000000-0005-0000-0000-000047550000}"/>
    <cellStyle name="40% - Accent6 5 5 12 2" xfId="21836" xr:uid="{00000000-0005-0000-0000-000048550000}"/>
    <cellStyle name="40% - Accent6 5 5 12 2 2" xfId="21837" xr:uid="{00000000-0005-0000-0000-000049550000}"/>
    <cellStyle name="40% - Accent6 5 5 12 3" xfId="21838" xr:uid="{00000000-0005-0000-0000-00004A550000}"/>
    <cellStyle name="40% - Accent6 5 5 13" xfId="21839" xr:uid="{00000000-0005-0000-0000-00004B550000}"/>
    <cellStyle name="40% - Accent6 5 5 13 2" xfId="21840" xr:uid="{00000000-0005-0000-0000-00004C550000}"/>
    <cellStyle name="40% - Accent6 5 5 14" xfId="21841" xr:uid="{00000000-0005-0000-0000-00004D550000}"/>
    <cellStyle name="40% - Accent6 5 5 2" xfId="21842" xr:uid="{00000000-0005-0000-0000-00004E550000}"/>
    <cellStyle name="40% - Accent6 5 5 2 2" xfId="21843" xr:uid="{00000000-0005-0000-0000-00004F550000}"/>
    <cellStyle name="40% - Accent6 5 5 2 2 2" xfId="21844" xr:uid="{00000000-0005-0000-0000-000050550000}"/>
    <cellStyle name="40% - Accent6 5 5 2 2 2 2" xfId="21845" xr:uid="{00000000-0005-0000-0000-000051550000}"/>
    <cellStyle name="40% - Accent6 5 5 2 2 2 2 2" xfId="21846" xr:uid="{00000000-0005-0000-0000-000052550000}"/>
    <cellStyle name="40% - Accent6 5 5 2 2 2 3" xfId="21847" xr:uid="{00000000-0005-0000-0000-000053550000}"/>
    <cellStyle name="40% - Accent6 5 5 2 2 3" xfId="21848" xr:uid="{00000000-0005-0000-0000-000054550000}"/>
    <cellStyle name="40% - Accent6 5 5 2 2 3 2" xfId="21849" xr:uid="{00000000-0005-0000-0000-000055550000}"/>
    <cellStyle name="40% - Accent6 5 5 2 2 4" xfId="21850" xr:uid="{00000000-0005-0000-0000-000056550000}"/>
    <cellStyle name="40% - Accent6 5 5 2 3" xfId="21851" xr:uid="{00000000-0005-0000-0000-000057550000}"/>
    <cellStyle name="40% - Accent6 5 5 2 3 2" xfId="21852" xr:uid="{00000000-0005-0000-0000-000058550000}"/>
    <cellStyle name="40% - Accent6 5 5 2 3 2 2" xfId="21853" xr:uid="{00000000-0005-0000-0000-000059550000}"/>
    <cellStyle name="40% - Accent6 5 5 2 3 3" xfId="21854" xr:uid="{00000000-0005-0000-0000-00005A550000}"/>
    <cellStyle name="40% - Accent6 5 5 2 4" xfId="21855" xr:uid="{00000000-0005-0000-0000-00005B550000}"/>
    <cellStyle name="40% - Accent6 5 5 2 4 2" xfId="21856" xr:uid="{00000000-0005-0000-0000-00005C550000}"/>
    <cellStyle name="40% - Accent6 5 5 2 4 2 2" xfId="21857" xr:uid="{00000000-0005-0000-0000-00005D550000}"/>
    <cellStyle name="40% - Accent6 5 5 2 4 3" xfId="21858" xr:uid="{00000000-0005-0000-0000-00005E550000}"/>
    <cellStyle name="40% - Accent6 5 5 2 5" xfId="21859" xr:uid="{00000000-0005-0000-0000-00005F550000}"/>
    <cellStyle name="40% - Accent6 5 5 2 5 2" xfId="21860" xr:uid="{00000000-0005-0000-0000-000060550000}"/>
    <cellStyle name="40% - Accent6 5 5 2 5 2 2" xfId="21861" xr:uid="{00000000-0005-0000-0000-000061550000}"/>
    <cellStyle name="40% - Accent6 5 5 2 5 3" xfId="21862" xr:uid="{00000000-0005-0000-0000-000062550000}"/>
    <cellStyle name="40% - Accent6 5 5 2 6" xfId="21863" xr:uid="{00000000-0005-0000-0000-000063550000}"/>
    <cellStyle name="40% - Accent6 5 5 2 6 2" xfId="21864" xr:uid="{00000000-0005-0000-0000-000064550000}"/>
    <cellStyle name="40% - Accent6 5 5 2 6 2 2" xfId="21865" xr:uid="{00000000-0005-0000-0000-000065550000}"/>
    <cellStyle name="40% - Accent6 5 5 2 6 3" xfId="21866" xr:uid="{00000000-0005-0000-0000-000066550000}"/>
    <cellStyle name="40% - Accent6 5 5 2 7" xfId="21867" xr:uid="{00000000-0005-0000-0000-000067550000}"/>
    <cellStyle name="40% - Accent6 5 5 2 7 2" xfId="21868" xr:uid="{00000000-0005-0000-0000-000068550000}"/>
    <cellStyle name="40% - Accent6 5 5 2 8" xfId="21869" xr:uid="{00000000-0005-0000-0000-000069550000}"/>
    <cellStyle name="40% - Accent6 5 5 3" xfId="21870" xr:uid="{00000000-0005-0000-0000-00006A550000}"/>
    <cellStyle name="40% - Accent6 5 5 3 2" xfId="21871" xr:uid="{00000000-0005-0000-0000-00006B550000}"/>
    <cellStyle name="40% - Accent6 5 5 3 2 2" xfId="21872" xr:uid="{00000000-0005-0000-0000-00006C550000}"/>
    <cellStyle name="40% - Accent6 5 5 3 2 2 2" xfId="21873" xr:uid="{00000000-0005-0000-0000-00006D550000}"/>
    <cellStyle name="40% - Accent6 5 5 3 2 2 2 2" xfId="21874" xr:uid="{00000000-0005-0000-0000-00006E550000}"/>
    <cellStyle name="40% - Accent6 5 5 3 2 2 3" xfId="21875" xr:uid="{00000000-0005-0000-0000-00006F550000}"/>
    <cellStyle name="40% - Accent6 5 5 3 2 3" xfId="21876" xr:uid="{00000000-0005-0000-0000-000070550000}"/>
    <cellStyle name="40% - Accent6 5 5 3 2 3 2" xfId="21877" xr:uid="{00000000-0005-0000-0000-000071550000}"/>
    <cellStyle name="40% - Accent6 5 5 3 2 4" xfId="21878" xr:uid="{00000000-0005-0000-0000-000072550000}"/>
    <cellStyle name="40% - Accent6 5 5 3 3" xfId="21879" xr:uid="{00000000-0005-0000-0000-000073550000}"/>
    <cellStyle name="40% - Accent6 5 5 3 3 2" xfId="21880" xr:uid="{00000000-0005-0000-0000-000074550000}"/>
    <cellStyle name="40% - Accent6 5 5 3 3 2 2" xfId="21881" xr:uid="{00000000-0005-0000-0000-000075550000}"/>
    <cellStyle name="40% - Accent6 5 5 3 3 3" xfId="21882" xr:uid="{00000000-0005-0000-0000-000076550000}"/>
    <cellStyle name="40% - Accent6 5 5 3 4" xfId="21883" xr:uid="{00000000-0005-0000-0000-000077550000}"/>
    <cellStyle name="40% - Accent6 5 5 3 4 2" xfId="21884" xr:uid="{00000000-0005-0000-0000-000078550000}"/>
    <cellStyle name="40% - Accent6 5 5 3 4 2 2" xfId="21885" xr:uid="{00000000-0005-0000-0000-000079550000}"/>
    <cellStyle name="40% - Accent6 5 5 3 4 3" xfId="21886" xr:uid="{00000000-0005-0000-0000-00007A550000}"/>
    <cellStyle name="40% - Accent6 5 5 3 5" xfId="21887" xr:uid="{00000000-0005-0000-0000-00007B550000}"/>
    <cellStyle name="40% - Accent6 5 5 3 5 2" xfId="21888" xr:uid="{00000000-0005-0000-0000-00007C550000}"/>
    <cellStyle name="40% - Accent6 5 5 3 5 2 2" xfId="21889" xr:uid="{00000000-0005-0000-0000-00007D550000}"/>
    <cellStyle name="40% - Accent6 5 5 3 5 3" xfId="21890" xr:uid="{00000000-0005-0000-0000-00007E550000}"/>
    <cellStyle name="40% - Accent6 5 5 3 6" xfId="21891" xr:uid="{00000000-0005-0000-0000-00007F550000}"/>
    <cellStyle name="40% - Accent6 5 5 3 6 2" xfId="21892" xr:uid="{00000000-0005-0000-0000-000080550000}"/>
    <cellStyle name="40% - Accent6 5 5 3 6 2 2" xfId="21893" xr:uid="{00000000-0005-0000-0000-000081550000}"/>
    <cellStyle name="40% - Accent6 5 5 3 6 3" xfId="21894" xr:uid="{00000000-0005-0000-0000-000082550000}"/>
    <cellStyle name="40% - Accent6 5 5 3 7" xfId="21895" xr:uid="{00000000-0005-0000-0000-000083550000}"/>
    <cellStyle name="40% - Accent6 5 5 3 7 2" xfId="21896" xr:uid="{00000000-0005-0000-0000-000084550000}"/>
    <cellStyle name="40% - Accent6 5 5 3 8" xfId="21897" xr:uid="{00000000-0005-0000-0000-000085550000}"/>
    <cellStyle name="40% - Accent6 5 5 4" xfId="21898" xr:uid="{00000000-0005-0000-0000-000086550000}"/>
    <cellStyle name="40% - Accent6 5 5 4 2" xfId="21899" xr:uid="{00000000-0005-0000-0000-000087550000}"/>
    <cellStyle name="40% - Accent6 5 5 4 2 2" xfId="21900" xr:uid="{00000000-0005-0000-0000-000088550000}"/>
    <cellStyle name="40% - Accent6 5 5 4 2 2 2" xfId="21901" xr:uid="{00000000-0005-0000-0000-000089550000}"/>
    <cellStyle name="40% - Accent6 5 5 4 2 2 2 2" xfId="21902" xr:uid="{00000000-0005-0000-0000-00008A550000}"/>
    <cellStyle name="40% - Accent6 5 5 4 2 2 3" xfId="21903" xr:uid="{00000000-0005-0000-0000-00008B550000}"/>
    <cellStyle name="40% - Accent6 5 5 4 2 3" xfId="21904" xr:uid="{00000000-0005-0000-0000-00008C550000}"/>
    <cellStyle name="40% - Accent6 5 5 4 2 3 2" xfId="21905" xr:uid="{00000000-0005-0000-0000-00008D550000}"/>
    <cellStyle name="40% - Accent6 5 5 4 2 4" xfId="21906" xr:uid="{00000000-0005-0000-0000-00008E550000}"/>
    <cellStyle name="40% - Accent6 5 5 4 3" xfId="21907" xr:uid="{00000000-0005-0000-0000-00008F550000}"/>
    <cellStyle name="40% - Accent6 5 5 4 3 2" xfId="21908" xr:uid="{00000000-0005-0000-0000-000090550000}"/>
    <cellStyle name="40% - Accent6 5 5 4 3 2 2" xfId="21909" xr:uid="{00000000-0005-0000-0000-000091550000}"/>
    <cellStyle name="40% - Accent6 5 5 4 3 3" xfId="21910" xr:uid="{00000000-0005-0000-0000-000092550000}"/>
    <cellStyle name="40% - Accent6 5 5 4 4" xfId="21911" xr:uid="{00000000-0005-0000-0000-000093550000}"/>
    <cellStyle name="40% - Accent6 5 5 4 4 2" xfId="21912" xr:uid="{00000000-0005-0000-0000-000094550000}"/>
    <cellStyle name="40% - Accent6 5 5 4 4 2 2" xfId="21913" xr:uid="{00000000-0005-0000-0000-000095550000}"/>
    <cellStyle name="40% - Accent6 5 5 4 4 3" xfId="21914" xr:uid="{00000000-0005-0000-0000-000096550000}"/>
    <cellStyle name="40% - Accent6 5 5 4 5" xfId="21915" xr:uid="{00000000-0005-0000-0000-000097550000}"/>
    <cellStyle name="40% - Accent6 5 5 4 5 2" xfId="21916" xr:uid="{00000000-0005-0000-0000-000098550000}"/>
    <cellStyle name="40% - Accent6 5 5 4 5 2 2" xfId="21917" xr:uid="{00000000-0005-0000-0000-000099550000}"/>
    <cellStyle name="40% - Accent6 5 5 4 5 3" xfId="21918" xr:uid="{00000000-0005-0000-0000-00009A550000}"/>
    <cellStyle name="40% - Accent6 5 5 4 6" xfId="21919" xr:uid="{00000000-0005-0000-0000-00009B550000}"/>
    <cellStyle name="40% - Accent6 5 5 4 6 2" xfId="21920" xr:uid="{00000000-0005-0000-0000-00009C550000}"/>
    <cellStyle name="40% - Accent6 5 5 4 6 2 2" xfId="21921" xr:uid="{00000000-0005-0000-0000-00009D550000}"/>
    <cellStyle name="40% - Accent6 5 5 4 6 3" xfId="21922" xr:uid="{00000000-0005-0000-0000-00009E550000}"/>
    <cellStyle name="40% - Accent6 5 5 4 7" xfId="21923" xr:uid="{00000000-0005-0000-0000-00009F550000}"/>
    <cellStyle name="40% - Accent6 5 5 4 7 2" xfId="21924" xr:uid="{00000000-0005-0000-0000-0000A0550000}"/>
    <cellStyle name="40% - Accent6 5 5 4 8" xfId="21925" xr:uid="{00000000-0005-0000-0000-0000A1550000}"/>
    <cellStyle name="40% - Accent6 5 5 5" xfId="21926" xr:uid="{00000000-0005-0000-0000-0000A2550000}"/>
    <cellStyle name="40% - Accent6 5 5 5 2" xfId="21927" xr:uid="{00000000-0005-0000-0000-0000A3550000}"/>
    <cellStyle name="40% - Accent6 5 5 5 2 2" xfId="21928" xr:uid="{00000000-0005-0000-0000-0000A4550000}"/>
    <cellStyle name="40% - Accent6 5 5 5 2 2 2" xfId="21929" xr:uid="{00000000-0005-0000-0000-0000A5550000}"/>
    <cellStyle name="40% - Accent6 5 5 5 2 2 2 2" xfId="21930" xr:uid="{00000000-0005-0000-0000-0000A6550000}"/>
    <cellStyle name="40% - Accent6 5 5 5 2 2 3" xfId="21931" xr:uid="{00000000-0005-0000-0000-0000A7550000}"/>
    <cellStyle name="40% - Accent6 5 5 5 2 3" xfId="21932" xr:uid="{00000000-0005-0000-0000-0000A8550000}"/>
    <cellStyle name="40% - Accent6 5 5 5 2 3 2" xfId="21933" xr:uid="{00000000-0005-0000-0000-0000A9550000}"/>
    <cellStyle name="40% - Accent6 5 5 5 2 4" xfId="21934" xr:uid="{00000000-0005-0000-0000-0000AA550000}"/>
    <cellStyle name="40% - Accent6 5 5 5 3" xfId="21935" xr:uid="{00000000-0005-0000-0000-0000AB550000}"/>
    <cellStyle name="40% - Accent6 5 5 5 3 2" xfId="21936" xr:uid="{00000000-0005-0000-0000-0000AC550000}"/>
    <cellStyle name="40% - Accent6 5 5 5 3 2 2" xfId="21937" xr:uid="{00000000-0005-0000-0000-0000AD550000}"/>
    <cellStyle name="40% - Accent6 5 5 5 3 3" xfId="21938" xr:uid="{00000000-0005-0000-0000-0000AE550000}"/>
    <cellStyle name="40% - Accent6 5 5 5 4" xfId="21939" xr:uid="{00000000-0005-0000-0000-0000AF550000}"/>
    <cellStyle name="40% - Accent6 5 5 5 4 2" xfId="21940" xr:uid="{00000000-0005-0000-0000-0000B0550000}"/>
    <cellStyle name="40% - Accent6 5 5 5 5" xfId="21941" xr:uid="{00000000-0005-0000-0000-0000B1550000}"/>
    <cellStyle name="40% - Accent6 5 5 6" xfId="21942" xr:uid="{00000000-0005-0000-0000-0000B2550000}"/>
    <cellStyle name="40% - Accent6 5 5 6 2" xfId="21943" xr:uid="{00000000-0005-0000-0000-0000B3550000}"/>
    <cellStyle name="40% - Accent6 5 5 6 2 2" xfId="21944" xr:uid="{00000000-0005-0000-0000-0000B4550000}"/>
    <cellStyle name="40% - Accent6 5 5 6 2 2 2" xfId="21945" xr:uid="{00000000-0005-0000-0000-0000B5550000}"/>
    <cellStyle name="40% - Accent6 5 5 6 2 2 2 2" xfId="21946" xr:uid="{00000000-0005-0000-0000-0000B6550000}"/>
    <cellStyle name="40% - Accent6 5 5 6 2 2 3" xfId="21947" xr:uid="{00000000-0005-0000-0000-0000B7550000}"/>
    <cellStyle name="40% - Accent6 5 5 6 2 3" xfId="21948" xr:uid="{00000000-0005-0000-0000-0000B8550000}"/>
    <cellStyle name="40% - Accent6 5 5 6 2 3 2" xfId="21949" xr:uid="{00000000-0005-0000-0000-0000B9550000}"/>
    <cellStyle name="40% - Accent6 5 5 6 2 4" xfId="21950" xr:uid="{00000000-0005-0000-0000-0000BA550000}"/>
    <cellStyle name="40% - Accent6 5 5 6 3" xfId="21951" xr:uid="{00000000-0005-0000-0000-0000BB550000}"/>
    <cellStyle name="40% - Accent6 5 5 6 3 2" xfId="21952" xr:uid="{00000000-0005-0000-0000-0000BC550000}"/>
    <cellStyle name="40% - Accent6 5 5 6 3 2 2" xfId="21953" xr:uid="{00000000-0005-0000-0000-0000BD550000}"/>
    <cellStyle name="40% - Accent6 5 5 6 3 3" xfId="21954" xr:uid="{00000000-0005-0000-0000-0000BE550000}"/>
    <cellStyle name="40% - Accent6 5 5 6 4" xfId="21955" xr:uid="{00000000-0005-0000-0000-0000BF550000}"/>
    <cellStyle name="40% - Accent6 5 5 6 4 2" xfId="21956" xr:uid="{00000000-0005-0000-0000-0000C0550000}"/>
    <cellStyle name="40% - Accent6 5 5 6 5" xfId="21957" xr:uid="{00000000-0005-0000-0000-0000C1550000}"/>
    <cellStyle name="40% - Accent6 5 5 7" xfId="21958" xr:uid="{00000000-0005-0000-0000-0000C2550000}"/>
    <cellStyle name="40% - Accent6 5 5 7 2" xfId="21959" xr:uid="{00000000-0005-0000-0000-0000C3550000}"/>
    <cellStyle name="40% - Accent6 5 5 7 2 2" xfId="21960" xr:uid="{00000000-0005-0000-0000-0000C4550000}"/>
    <cellStyle name="40% - Accent6 5 5 7 2 2 2" xfId="21961" xr:uid="{00000000-0005-0000-0000-0000C5550000}"/>
    <cellStyle name="40% - Accent6 5 5 7 2 3" xfId="21962" xr:uid="{00000000-0005-0000-0000-0000C6550000}"/>
    <cellStyle name="40% - Accent6 5 5 7 3" xfId="21963" xr:uid="{00000000-0005-0000-0000-0000C7550000}"/>
    <cellStyle name="40% - Accent6 5 5 7 3 2" xfId="21964" xr:uid="{00000000-0005-0000-0000-0000C8550000}"/>
    <cellStyle name="40% - Accent6 5 5 7 4" xfId="21965" xr:uid="{00000000-0005-0000-0000-0000C9550000}"/>
    <cellStyle name="40% - Accent6 5 5 8" xfId="21966" xr:uid="{00000000-0005-0000-0000-0000CA550000}"/>
    <cellStyle name="40% - Accent6 5 5 8 2" xfId="21967" xr:uid="{00000000-0005-0000-0000-0000CB550000}"/>
    <cellStyle name="40% - Accent6 5 5 8 2 2" xfId="21968" xr:uid="{00000000-0005-0000-0000-0000CC550000}"/>
    <cellStyle name="40% - Accent6 5 5 8 2 2 2" xfId="21969" xr:uid="{00000000-0005-0000-0000-0000CD550000}"/>
    <cellStyle name="40% - Accent6 5 5 8 2 3" xfId="21970" xr:uid="{00000000-0005-0000-0000-0000CE550000}"/>
    <cellStyle name="40% - Accent6 5 5 8 3" xfId="21971" xr:uid="{00000000-0005-0000-0000-0000CF550000}"/>
    <cellStyle name="40% - Accent6 5 5 8 3 2" xfId="21972" xr:uid="{00000000-0005-0000-0000-0000D0550000}"/>
    <cellStyle name="40% - Accent6 5 5 8 4" xfId="21973" xr:uid="{00000000-0005-0000-0000-0000D1550000}"/>
    <cellStyle name="40% - Accent6 5 5 9" xfId="21974" xr:uid="{00000000-0005-0000-0000-0000D2550000}"/>
    <cellStyle name="40% - Accent6 5 5 9 2" xfId="21975" xr:uid="{00000000-0005-0000-0000-0000D3550000}"/>
    <cellStyle name="40% - Accent6 5 5 9 2 2" xfId="21976" xr:uid="{00000000-0005-0000-0000-0000D4550000}"/>
    <cellStyle name="40% - Accent6 5 5 9 3" xfId="21977" xr:uid="{00000000-0005-0000-0000-0000D5550000}"/>
    <cellStyle name="40% - Accent6 5 6" xfId="21978" xr:uid="{00000000-0005-0000-0000-0000D6550000}"/>
    <cellStyle name="40% - Accent6 5 6 10" xfId="21979" xr:uid="{00000000-0005-0000-0000-0000D7550000}"/>
    <cellStyle name="40% - Accent6 5 6 10 2" xfId="21980" xr:uid="{00000000-0005-0000-0000-0000D8550000}"/>
    <cellStyle name="40% - Accent6 5 6 10 2 2" xfId="21981" xr:uid="{00000000-0005-0000-0000-0000D9550000}"/>
    <cellStyle name="40% - Accent6 5 6 10 3" xfId="21982" xr:uid="{00000000-0005-0000-0000-0000DA550000}"/>
    <cellStyle name="40% - Accent6 5 6 11" xfId="21983" xr:uid="{00000000-0005-0000-0000-0000DB550000}"/>
    <cellStyle name="40% - Accent6 5 6 11 2" xfId="21984" xr:uid="{00000000-0005-0000-0000-0000DC550000}"/>
    <cellStyle name="40% - Accent6 5 6 11 2 2" xfId="21985" xr:uid="{00000000-0005-0000-0000-0000DD550000}"/>
    <cellStyle name="40% - Accent6 5 6 11 3" xfId="21986" xr:uid="{00000000-0005-0000-0000-0000DE550000}"/>
    <cellStyle name="40% - Accent6 5 6 12" xfId="21987" xr:uid="{00000000-0005-0000-0000-0000DF550000}"/>
    <cellStyle name="40% - Accent6 5 6 12 2" xfId="21988" xr:uid="{00000000-0005-0000-0000-0000E0550000}"/>
    <cellStyle name="40% - Accent6 5 6 12 2 2" xfId="21989" xr:uid="{00000000-0005-0000-0000-0000E1550000}"/>
    <cellStyle name="40% - Accent6 5 6 12 3" xfId="21990" xr:uid="{00000000-0005-0000-0000-0000E2550000}"/>
    <cellStyle name="40% - Accent6 5 6 13" xfId="21991" xr:uid="{00000000-0005-0000-0000-0000E3550000}"/>
    <cellStyle name="40% - Accent6 5 6 13 2" xfId="21992" xr:uid="{00000000-0005-0000-0000-0000E4550000}"/>
    <cellStyle name="40% - Accent6 5 6 14" xfId="21993" xr:uid="{00000000-0005-0000-0000-0000E5550000}"/>
    <cellStyle name="40% - Accent6 5 6 2" xfId="21994" xr:uid="{00000000-0005-0000-0000-0000E6550000}"/>
    <cellStyle name="40% - Accent6 5 6 2 2" xfId="21995" xr:uid="{00000000-0005-0000-0000-0000E7550000}"/>
    <cellStyle name="40% - Accent6 5 6 2 2 2" xfId="21996" xr:uid="{00000000-0005-0000-0000-0000E8550000}"/>
    <cellStyle name="40% - Accent6 5 6 2 2 2 2" xfId="21997" xr:uid="{00000000-0005-0000-0000-0000E9550000}"/>
    <cellStyle name="40% - Accent6 5 6 2 2 2 2 2" xfId="21998" xr:uid="{00000000-0005-0000-0000-0000EA550000}"/>
    <cellStyle name="40% - Accent6 5 6 2 2 2 3" xfId="21999" xr:uid="{00000000-0005-0000-0000-0000EB550000}"/>
    <cellStyle name="40% - Accent6 5 6 2 2 3" xfId="22000" xr:uid="{00000000-0005-0000-0000-0000EC550000}"/>
    <cellStyle name="40% - Accent6 5 6 2 2 3 2" xfId="22001" xr:uid="{00000000-0005-0000-0000-0000ED550000}"/>
    <cellStyle name="40% - Accent6 5 6 2 2 4" xfId="22002" xr:uid="{00000000-0005-0000-0000-0000EE550000}"/>
    <cellStyle name="40% - Accent6 5 6 2 3" xfId="22003" xr:uid="{00000000-0005-0000-0000-0000EF550000}"/>
    <cellStyle name="40% - Accent6 5 6 2 3 2" xfId="22004" xr:uid="{00000000-0005-0000-0000-0000F0550000}"/>
    <cellStyle name="40% - Accent6 5 6 2 3 2 2" xfId="22005" xr:uid="{00000000-0005-0000-0000-0000F1550000}"/>
    <cellStyle name="40% - Accent6 5 6 2 3 3" xfId="22006" xr:uid="{00000000-0005-0000-0000-0000F2550000}"/>
    <cellStyle name="40% - Accent6 5 6 2 4" xfId="22007" xr:uid="{00000000-0005-0000-0000-0000F3550000}"/>
    <cellStyle name="40% - Accent6 5 6 2 4 2" xfId="22008" xr:uid="{00000000-0005-0000-0000-0000F4550000}"/>
    <cellStyle name="40% - Accent6 5 6 2 4 2 2" xfId="22009" xr:uid="{00000000-0005-0000-0000-0000F5550000}"/>
    <cellStyle name="40% - Accent6 5 6 2 4 3" xfId="22010" xr:uid="{00000000-0005-0000-0000-0000F6550000}"/>
    <cellStyle name="40% - Accent6 5 6 2 5" xfId="22011" xr:uid="{00000000-0005-0000-0000-0000F7550000}"/>
    <cellStyle name="40% - Accent6 5 6 2 5 2" xfId="22012" xr:uid="{00000000-0005-0000-0000-0000F8550000}"/>
    <cellStyle name="40% - Accent6 5 6 2 5 2 2" xfId="22013" xr:uid="{00000000-0005-0000-0000-0000F9550000}"/>
    <cellStyle name="40% - Accent6 5 6 2 5 3" xfId="22014" xr:uid="{00000000-0005-0000-0000-0000FA550000}"/>
    <cellStyle name="40% - Accent6 5 6 2 6" xfId="22015" xr:uid="{00000000-0005-0000-0000-0000FB550000}"/>
    <cellStyle name="40% - Accent6 5 6 2 6 2" xfId="22016" xr:uid="{00000000-0005-0000-0000-0000FC550000}"/>
    <cellStyle name="40% - Accent6 5 6 2 6 2 2" xfId="22017" xr:uid="{00000000-0005-0000-0000-0000FD550000}"/>
    <cellStyle name="40% - Accent6 5 6 2 6 3" xfId="22018" xr:uid="{00000000-0005-0000-0000-0000FE550000}"/>
    <cellStyle name="40% - Accent6 5 6 2 7" xfId="22019" xr:uid="{00000000-0005-0000-0000-0000FF550000}"/>
    <cellStyle name="40% - Accent6 5 6 2 7 2" xfId="22020" xr:uid="{00000000-0005-0000-0000-000000560000}"/>
    <cellStyle name="40% - Accent6 5 6 2 8" xfId="22021" xr:uid="{00000000-0005-0000-0000-000001560000}"/>
    <cellStyle name="40% - Accent6 5 6 3" xfId="22022" xr:uid="{00000000-0005-0000-0000-000002560000}"/>
    <cellStyle name="40% - Accent6 5 6 3 2" xfId="22023" xr:uid="{00000000-0005-0000-0000-000003560000}"/>
    <cellStyle name="40% - Accent6 5 6 3 2 2" xfId="22024" xr:uid="{00000000-0005-0000-0000-000004560000}"/>
    <cellStyle name="40% - Accent6 5 6 3 2 2 2" xfId="22025" xr:uid="{00000000-0005-0000-0000-000005560000}"/>
    <cellStyle name="40% - Accent6 5 6 3 2 2 2 2" xfId="22026" xr:uid="{00000000-0005-0000-0000-000006560000}"/>
    <cellStyle name="40% - Accent6 5 6 3 2 2 3" xfId="22027" xr:uid="{00000000-0005-0000-0000-000007560000}"/>
    <cellStyle name="40% - Accent6 5 6 3 2 3" xfId="22028" xr:uid="{00000000-0005-0000-0000-000008560000}"/>
    <cellStyle name="40% - Accent6 5 6 3 2 3 2" xfId="22029" xr:uid="{00000000-0005-0000-0000-000009560000}"/>
    <cellStyle name="40% - Accent6 5 6 3 2 4" xfId="22030" xr:uid="{00000000-0005-0000-0000-00000A560000}"/>
    <cellStyle name="40% - Accent6 5 6 3 3" xfId="22031" xr:uid="{00000000-0005-0000-0000-00000B560000}"/>
    <cellStyle name="40% - Accent6 5 6 3 3 2" xfId="22032" xr:uid="{00000000-0005-0000-0000-00000C560000}"/>
    <cellStyle name="40% - Accent6 5 6 3 3 2 2" xfId="22033" xr:uid="{00000000-0005-0000-0000-00000D560000}"/>
    <cellStyle name="40% - Accent6 5 6 3 3 3" xfId="22034" xr:uid="{00000000-0005-0000-0000-00000E560000}"/>
    <cellStyle name="40% - Accent6 5 6 3 4" xfId="22035" xr:uid="{00000000-0005-0000-0000-00000F560000}"/>
    <cellStyle name="40% - Accent6 5 6 3 4 2" xfId="22036" xr:uid="{00000000-0005-0000-0000-000010560000}"/>
    <cellStyle name="40% - Accent6 5 6 3 4 2 2" xfId="22037" xr:uid="{00000000-0005-0000-0000-000011560000}"/>
    <cellStyle name="40% - Accent6 5 6 3 4 3" xfId="22038" xr:uid="{00000000-0005-0000-0000-000012560000}"/>
    <cellStyle name="40% - Accent6 5 6 3 5" xfId="22039" xr:uid="{00000000-0005-0000-0000-000013560000}"/>
    <cellStyle name="40% - Accent6 5 6 3 5 2" xfId="22040" xr:uid="{00000000-0005-0000-0000-000014560000}"/>
    <cellStyle name="40% - Accent6 5 6 3 5 2 2" xfId="22041" xr:uid="{00000000-0005-0000-0000-000015560000}"/>
    <cellStyle name="40% - Accent6 5 6 3 5 3" xfId="22042" xr:uid="{00000000-0005-0000-0000-000016560000}"/>
    <cellStyle name="40% - Accent6 5 6 3 6" xfId="22043" xr:uid="{00000000-0005-0000-0000-000017560000}"/>
    <cellStyle name="40% - Accent6 5 6 3 6 2" xfId="22044" xr:uid="{00000000-0005-0000-0000-000018560000}"/>
    <cellStyle name="40% - Accent6 5 6 3 6 2 2" xfId="22045" xr:uid="{00000000-0005-0000-0000-000019560000}"/>
    <cellStyle name="40% - Accent6 5 6 3 6 3" xfId="22046" xr:uid="{00000000-0005-0000-0000-00001A560000}"/>
    <cellStyle name="40% - Accent6 5 6 3 7" xfId="22047" xr:uid="{00000000-0005-0000-0000-00001B560000}"/>
    <cellStyle name="40% - Accent6 5 6 3 7 2" xfId="22048" xr:uid="{00000000-0005-0000-0000-00001C560000}"/>
    <cellStyle name="40% - Accent6 5 6 3 8" xfId="22049" xr:uid="{00000000-0005-0000-0000-00001D560000}"/>
    <cellStyle name="40% - Accent6 5 6 4" xfId="22050" xr:uid="{00000000-0005-0000-0000-00001E560000}"/>
    <cellStyle name="40% - Accent6 5 6 4 2" xfId="22051" xr:uid="{00000000-0005-0000-0000-00001F560000}"/>
    <cellStyle name="40% - Accent6 5 6 4 2 2" xfId="22052" xr:uid="{00000000-0005-0000-0000-000020560000}"/>
    <cellStyle name="40% - Accent6 5 6 4 2 2 2" xfId="22053" xr:uid="{00000000-0005-0000-0000-000021560000}"/>
    <cellStyle name="40% - Accent6 5 6 4 2 2 2 2" xfId="22054" xr:uid="{00000000-0005-0000-0000-000022560000}"/>
    <cellStyle name="40% - Accent6 5 6 4 2 2 3" xfId="22055" xr:uid="{00000000-0005-0000-0000-000023560000}"/>
    <cellStyle name="40% - Accent6 5 6 4 2 3" xfId="22056" xr:uid="{00000000-0005-0000-0000-000024560000}"/>
    <cellStyle name="40% - Accent6 5 6 4 2 3 2" xfId="22057" xr:uid="{00000000-0005-0000-0000-000025560000}"/>
    <cellStyle name="40% - Accent6 5 6 4 2 4" xfId="22058" xr:uid="{00000000-0005-0000-0000-000026560000}"/>
    <cellStyle name="40% - Accent6 5 6 4 3" xfId="22059" xr:uid="{00000000-0005-0000-0000-000027560000}"/>
    <cellStyle name="40% - Accent6 5 6 4 3 2" xfId="22060" xr:uid="{00000000-0005-0000-0000-000028560000}"/>
    <cellStyle name="40% - Accent6 5 6 4 3 2 2" xfId="22061" xr:uid="{00000000-0005-0000-0000-000029560000}"/>
    <cellStyle name="40% - Accent6 5 6 4 3 3" xfId="22062" xr:uid="{00000000-0005-0000-0000-00002A560000}"/>
    <cellStyle name="40% - Accent6 5 6 4 4" xfId="22063" xr:uid="{00000000-0005-0000-0000-00002B560000}"/>
    <cellStyle name="40% - Accent6 5 6 4 4 2" xfId="22064" xr:uid="{00000000-0005-0000-0000-00002C560000}"/>
    <cellStyle name="40% - Accent6 5 6 4 4 2 2" xfId="22065" xr:uid="{00000000-0005-0000-0000-00002D560000}"/>
    <cellStyle name="40% - Accent6 5 6 4 4 3" xfId="22066" xr:uid="{00000000-0005-0000-0000-00002E560000}"/>
    <cellStyle name="40% - Accent6 5 6 4 5" xfId="22067" xr:uid="{00000000-0005-0000-0000-00002F560000}"/>
    <cellStyle name="40% - Accent6 5 6 4 5 2" xfId="22068" xr:uid="{00000000-0005-0000-0000-000030560000}"/>
    <cellStyle name="40% - Accent6 5 6 4 5 2 2" xfId="22069" xr:uid="{00000000-0005-0000-0000-000031560000}"/>
    <cellStyle name="40% - Accent6 5 6 4 5 3" xfId="22070" xr:uid="{00000000-0005-0000-0000-000032560000}"/>
    <cellStyle name="40% - Accent6 5 6 4 6" xfId="22071" xr:uid="{00000000-0005-0000-0000-000033560000}"/>
    <cellStyle name="40% - Accent6 5 6 4 6 2" xfId="22072" xr:uid="{00000000-0005-0000-0000-000034560000}"/>
    <cellStyle name="40% - Accent6 5 6 4 6 2 2" xfId="22073" xr:uid="{00000000-0005-0000-0000-000035560000}"/>
    <cellStyle name="40% - Accent6 5 6 4 6 3" xfId="22074" xr:uid="{00000000-0005-0000-0000-000036560000}"/>
    <cellStyle name="40% - Accent6 5 6 4 7" xfId="22075" xr:uid="{00000000-0005-0000-0000-000037560000}"/>
    <cellStyle name="40% - Accent6 5 6 4 7 2" xfId="22076" xr:uid="{00000000-0005-0000-0000-000038560000}"/>
    <cellStyle name="40% - Accent6 5 6 4 8" xfId="22077" xr:uid="{00000000-0005-0000-0000-000039560000}"/>
    <cellStyle name="40% - Accent6 5 6 5" xfId="22078" xr:uid="{00000000-0005-0000-0000-00003A560000}"/>
    <cellStyle name="40% - Accent6 5 6 5 2" xfId="22079" xr:uid="{00000000-0005-0000-0000-00003B560000}"/>
    <cellStyle name="40% - Accent6 5 6 5 2 2" xfId="22080" xr:uid="{00000000-0005-0000-0000-00003C560000}"/>
    <cellStyle name="40% - Accent6 5 6 5 2 2 2" xfId="22081" xr:uid="{00000000-0005-0000-0000-00003D560000}"/>
    <cellStyle name="40% - Accent6 5 6 5 2 2 2 2" xfId="22082" xr:uid="{00000000-0005-0000-0000-00003E560000}"/>
    <cellStyle name="40% - Accent6 5 6 5 2 2 3" xfId="22083" xr:uid="{00000000-0005-0000-0000-00003F560000}"/>
    <cellStyle name="40% - Accent6 5 6 5 2 3" xfId="22084" xr:uid="{00000000-0005-0000-0000-000040560000}"/>
    <cellStyle name="40% - Accent6 5 6 5 2 3 2" xfId="22085" xr:uid="{00000000-0005-0000-0000-000041560000}"/>
    <cellStyle name="40% - Accent6 5 6 5 2 4" xfId="22086" xr:uid="{00000000-0005-0000-0000-000042560000}"/>
    <cellStyle name="40% - Accent6 5 6 5 3" xfId="22087" xr:uid="{00000000-0005-0000-0000-000043560000}"/>
    <cellStyle name="40% - Accent6 5 6 5 3 2" xfId="22088" xr:uid="{00000000-0005-0000-0000-000044560000}"/>
    <cellStyle name="40% - Accent6 5 6 5 3 2 2" xfId="22089" xr:uid="{00000000-0005-0000-0000-000045560000}"/>
    <cellStyle name="40% - Accent6 5 6 5 3 3" xfId="22090" xr:uid="{00000000-0005-0000-0000-000046560000}"/>
    <cellStyle name="40% - Accent6 5 6 5 4" xfId="22091" xr:uid="{00000000-0005-0000-0000-000047560000}"/>
    <cellStyle name="40% - Accent6 5 6 5 4 2" xfId="22092" xr:uid="{00000000-0005-0000-0000-000048560000}"/>
    <cellStyle name="40% - Accent6 5 6 5 5" xfId="22093" xr:uid="{00000000-0005-0000-0000-000049560000}"/>
    <cellStyle name="40% - Accent6 5 6 6" xfId="22094" xr:uid="{00000000-0005-0000-0000-00004A560000}"/>
    <cellStyle name="40% - Accent6 5 6 6 2" xfId="22095" xr:uid="{00000000-0005-0000-0000-00004B560000}"/>
    <cellStyle name="40% - Accent6 5 6 6 2 2" xfId="22096" xr:uid="{00000000-0005-0000-0000-00004C560000}"/>
    <cellStyle name="40% - Accent6 5 6 6 2 2 2" xfId="22097" xr:uid="{00000000-0005-0000-0000-00004D560000}"/>
    <cellStyle name="40% - Accent6 5 6 6 2 2 2 2" xfId="22098" xr:uid="{00000000-0005-0000-0000-00004E560000}"/>
    <cellStyle name="40% - Accent6 5 6 6 2 2 3" xfId="22099" xr:uid="{00000000-0005-0000-0000-00004F560000}"/>
    <cellStyle name="40% - Accent6 5 6 6 2 3" xfId="22100" xr:uid="{00000000-0005-0000-0000-000050560000}"/>
    <cellStyle name="40% - Accent6 5 6 6 2 3 2" xfId="22101" xr:uid="{00000000-0005-0000-0000-000051560000}"/>
    <cellStyle name="40% - Accent6 5 6 6 2 4" xfId="22102" xr:uid="{00000000-0005-0000-0000-000052560000}"/>
    <cellStyle name="40% - Accent6 5 6 6 3" xfId="22103" xr:uid="{00000000-0005-0000-0000-000053560000}"/>
    <cellStyle name="40% - Accent6 5 6 6 3 2" xfId="22104" xr:uid="{00000000-0005-0000-0000-000054560000}"/>
    <cellStyle name="40% - Accent6 5 6 6 3 2 2" xfId="22105" xr:uid="{00000000-0005-0000-0000-000055560000}"/>
    <cellStyle name="40% - Accent6 5 6 6 3 3" xfId="22106" xr:uid="{00000000-0005-0000-0000-000056560000}"/>
    <cellStyle name="40% - Accent6 5 6 6 4" xfId="22107" xr:uid="{00000000-0005-0000-0000-000057560000}"/>
    <cellStyle name="40% - Accent6 5 6 6 4 2" xfId="22108" xr:uid="{00000000-0005-0000-0000-000058560000}"/>
    <cellStyle name="40% - Accent6 5 6 6 5" xfId="22109" xr:uid="{00000000-0005-0000-0000-000059560000}"/>
    <cellStyle name="40% - Accent6 5 6 7" xfId="22110" xr:uid="{00000000-0005-0000-0000-00005A560000}"/>
    <cellStyle name="40% - Accent6 5 6 7 2" xfId="22111" xr:uid="{00000000-0005-0000-0000-00005B560000}"/>
    <cellStyle name="40% - Accent6 5 6 7 2 2" xfId="22112" xr:uid="{00000000-0005-0000-0000-00005C560000}"/>
    <cellStyle name="40% - Accent6 5 6 7 2 2 2" xfId="22113" xr:uid="{00000000-0005-0000-0000-00005D560000}"/>
    <cellStyle name="40% - Accent6 5 6 7 2 3" xfId="22114" xr:uid="{00000000-0005-0000-0000-00005E560000}"/>
    <cellStyle name="40% - Accent6 5 6 7 3" xfId="22115" xr:uid="{00000000-0005-0000-0000-00005F560000}"/>
    <cellStyle name="40% - Accent6 5 6 7 3 2" xfId="22116" xr:uid="{00000000-0005-0000-0000-000060560000}"/>
    <cellStyle name="40% - Accent6 5 6 7 4" xfId="22117" xr:uid="{00000000-0005-0000-0000-000061560000}"/>
    <cellStyle name="40% - Accent6 5 6 8" xfId="22118" xr:uid="{00000000-0005-0000-0000-000062560000}"/>
    <cellStyle name="40% - Accent6 5 6 8 2" xfId="22119" xr:uid="{00000000-0005-0000-0000-000063560000}"/>
    <cellStyle name="40% - Accent6 5 6 8 2 2" xfId="22120" xr:uid="{00000000-0005-0000-0000-000064560000}"/>
    <cellStyle name="40% - Accent6 5 6 8 2 2 2" xfId="22121" xr:uid="{00000000-0005-0000-0000-000065560000}"/>
    <cellStyle name="40% - Accent6 5 6 8 2 3" xfId="22122" xr:uid="{00000000-0005-0000-0000-000066560000}"/>
    <cellStyle name="40% - Accent6 5 6 8 3" xfId="22123" xr:uid="{00000000-0005-0000-0000-000067560000}"/>
    <cellStyle name="40% - Accent6 5 6 8 3 2" xfId="22124" xr:uid="{00000000-0005-0000-0000-000068560000}"/>
    <cellStyle name="40% - Accent6 5 6 8 4" xfId="22125" xr:uid="{00000000-0005-0000-0000-000069560000}"/>
    <cellStyle name="40% - Accent6 5 6 9" xfId="22126" xr:uid="{00000000-0005-0000-0000-00006A560000}"/>
    <cellStyle name="40% - Accent6 5 6 9 2" xfId="22127" xr:uid="{00000000-0005-0000-0000-00006B560000}"/>
    <cellStyle name="40% - Accent6 5 6 9 2 2" xfId="22128" xr:uid="{00000000-0005-0000-0000-00006C560000}"/>
    <cellStyle name="40% - Accent6 5 6 9 3" xfId="22129" xr:uid="{00000000-0005-0000-0000-00006D560000}"/>
    <cellStyle name="40% - Accent6 5 7" xfId="22130" xr:uid="{00000000-0005-0000-0000-00006E560000}"/>
    <cellStyle name="40% - Accent6 5 7 10" xfId="22131" xr:uid="{00000000-0005-0000-0000-00006F560000}"/>
    <cellStyle name="40% - Accent6 5 7 10 2" xfId="22132" xr:uid="{00000000-0005-0000-0000-000070560000}"/>
    <cellStyle name="40% - Accent6 5 7 10 2 2" xfId="22133" xr:uid="{00000000-0005-0000-0000-000071560000}"/>
    <cellStyle name="40% - Accent6 5 7 10 3" xfId="22134" xr:uid="{00000000-0005-0000-0000-000072560000}"/>
    <cellStyle name="40% - Accent6 5 7 11" xfId="22135" xr:uid="{00000000-0005-0000-0000-000073560000}"/>
    <cellStyle name="40% - Accent6 5 7 11 2" xfId="22136" xr:uid="{00000000-0005-0000-0000-000074560000}"/>
    <cellStyle name="40% - Accent6 5 7 11 2 2" xfId="22137" xr:uid="{00000000-0005-0000-0000-000075560000}"/>
    <cellStyle name="40% - Accent6 5 7 11 3" xfId="22138" xr:uid="{00000000-0005-0000-0000-000076560000}"/>
    <cellStyle name="40% - Accent6 5 7 12" xfId="22139" xr:uid="{00000000-0005-0000-0000-000077560000}"/>
    <cellStyle name="40% - Accent6 5 7 12 2" xfId="22140" xr:uid="{00000000-0005-0000-0000-000078560000}"/>
    <cellStyle name="40% - Accent6 5 7 12 2 2" xfId="22141" xr:uid="{00000000-0005-0000-0000-000079560000}"/>
    <cellStyle name="40% - Accent6 5 7 12 3" xfId="22142" xr:uid="{00000000-0005-0000-0000-00007A560000}"/>
    <cellStyle name="40% - Accent6 5 7 13" xfId="22143" xr:uid="{00000000-0005-0000-0000-00007B560000}"/>
    <cellStyle name="40% - Accent6 5 7 13 2" xfId="22144" xr:uid="{00000000-0005-0000-0000-00007C560000}"/>
    <cellStyle name="40% - Accent6 5 7 14" xfId="22145" xr:uid="{00000000-0005-0000-0000-00007D560000}"/>
    <cellStyle name="40% - Accent6 5 7 2" xfId="22146" xr:uid="{00000000-0005-0000-0000-00007E560000}"/>
    <cellStyle name="40% - Accent6 5 7 2 2" xfId="22147" xr:uid="{00000000-0005-0000-0000-00007F560000}"/>
    <cellStyle name="40% - Accent6 5 7 2 2 2" xfId="22148" xr:uid="{00000000-0005-0000-0000-000080560000}"/>
    <cellStyle name="40% - Accent6 5 7 2 2 2 2" xfId="22149" xr:uid="{00000000-0005-0000-0000-000081560000}"/>
    <cellStyle name="40% - Accent6 5 7 2 2 2 2 2" xfId="22150" xr:uid="{00000000-0005-0000-0000-000082560000}"/>
    <cellStyle name="40% - Accent6 5 7 2 2 2 3" xfId="22151" xr:uid="{00000000-0005-0000-0000-000083560000}"/>
    <cellStyle name="40% - Accent6 5 7 2 2 3" xfId="22152" xr:uid="{00000000-0005-0000-0000-000084560000}"/>
    <cellStyle name="40% - Accent6 5 7 2 2 3 2" xfId="22153" xr:uid="{00000000-0005-0000-0000-000085560000}"/>
    <cellStyle name="40% - Accent6 5 7 2 2 4" xfId="22154" xr:uid="{00000000-0005-0000-0000-000086560000}"/>
    <cellStyle name="40% - Accent6 5 7 2 3" xfId="22155" xr:uid="{00000000-0005-0000-0000-000087560000}"/>
    <cellStyle name="40% - Accent6 5 7 2 3 2" xfId="22156" xr:uid="{00000000-0005-0000-0000-000088560000}"/>
    <cellStyle name="40% - Accent6 5 7 2 3 2 2" xfId="22157" xr:uid="{00000000-0005-0000-0000-000089560000}"/>
    <cellStyle name="40% - Accent6 5 7 2 3 3" xfId="22158" xr:uid="{00000000-0005-0000-0000-00008A560000}"/>
    <cellStyle name="40% - Accent6 5 7 2 4" xfId="22159" xr:uid="{00000000-0005-0000-0000-00008B560000}"/>
    <cellStyle name="40% - Accent6 5 7 2 4 2" xfId="22160" xr:uid="{00000000-0005-0000-0000-00008C560000}"/>
    <cellStyle name="40% - Accent6 5 7 2 4 2 2" xfId="22161" xr:uid="{00000000-0005-0000-0000-00008D560000}"/>
    <cellStyle name="40% - Accent6 5 7 2 4 3" xfId="22162" xr:uid="{00000000-0005-0000-0000-00008E560000}"/>
    <cellStyle name="40% - Accent6 5 7 2 5" xfId="22163" xr:uid="{00000000-0005-0000-0000-00008F560000}"/>
    <cellStyle name="40% - Accent6 5 7 2 5 2" xfId="22164" xr:uid="{00000000-0005-0000-0000-000090560000}"/>
    <cellStyle name="40% - Accent6 5 7 2 5 2 2" xfId="22165" xr:uid="{00000000-0005-0000-0000-000091560000}"/>
    <cellStyle name="40% - Accent6 5 7 2 5 3" xfId="22166" xr:uid="{00000000-0005-0000-0000-000092560000}"/>
    <cellStyle name="40% - Accent6 5 7 2 6" xfId="22167" xr:uid="{00000000-0005-0000-0000-000093560000}"/>
    <cellStyle name="40% - Accent6 5 7 2 6 2" xfId="22168" xr:uid="{00000000-0005-0000-0000-000094560000}"/>
    <cellStyle name="40% - Accent6 5 7 2 6 2 2" xfId="22169" xr:uid="{00000000-0005-0000-0000-000095560000}"/>
    <cellStyle name="40% - Accent6 5 7 2 6 3" xfId="22170" xr:uid="{00000000-0005-0000-0000-000096560000}"/>
    <cellStyle name="40% - Accent6 5 7 2 7" xfId="22171" xr:uid="{00000000-0005-0000-0000-000097560000}"/>
    <cellStyle name="40% - Accent6 5 7 2 7 2" xfId="22172" xr:uid="{00000000-0005-0000-0000-000098560000}"/>
    <cellStyle name="40% - Accent6 5 7 2 8" xfId="22173" xr:uid="{00000000-0005-0000-0000-000099560000}"/>
    <cellStyle name="40% - Accent6 5 7 3" xfId="22174" xr:uid="{00000000-0005-0000-0000-00009A560000}"/>
    <cellStyle name="40% - Accent6 5 7 3 2" xfId="22175" xr:uid="{00000000-0005-0000-0000-00009B560000}"/>
    <cellStyle name="40% - Accent6 5 7 3 2 2" xfId="22176" xr:uid="{00000000-0005-0000-0000-00009C560000}"/>
    <cellStyle name="40% - Accent6 5 7 3 2 2 2" xfId="22177" xr:uid="{00000000-0005-0000-0000-00009D560000}"/>
    <cellStyle name="40% - Accent6 5 7 3 2 2 2 2" xfId="22178" xr:uid="{00000000-0005-0000-0000-00009E560000}"/>
    <cellStyle name="40% - Accent6 5 7 3 2 2 3" xfId="22179" xr:uid="{00000000-0005-0000-0000-00009F560000}"/>
    <cellStyle name="40% - Accent6 5 7 3 2 3" xfId="22180" xr:uid="{00000000-0005-0000-0000-0000A0560000}"/>
    <cellStyle name="40% - Accent6 5 7 3 2 3 2" xfId="22181" xr:uid="{00000000-0005-0000-0000-0000A1560000}"/>
    <cellStyle name="40% - Accent6 5 7 3 2 4" xfId="22182" xr:uid="{00000000-0005-0000-0000-0000A2560000}"/>
    <cellStyle name="40% - Accent6 5 7 3 3" xfId="22183" xr:uid="{00000000-0005-0000-0000-0000A3560000}"/>
    <cellStyle name="40% - Accent6 5 7 3 3 2" xfId="22184" xr:uid="{00000000-0005-0000-0000-0000A4560000}"/>
    <cellStyle name="40% - Accent6 5 7 3 3 2 2" xfId="22185" xr:uid="{00000000-0005-0000-0000-0000A5560000}"/>
    <cellStyle name="40% - Accent6 5 7 3 3 3" xfId="22186" xr:uid="{00000000-0005-0000-0000-0000A6560000}"/>
    <cellStyle name="40% - Accent6 5 7 3 4" xfId="22187" xr:uid="{00000000-0005-0000-0000-0000A7560000}"/>
    <cellStyle name="40% - Accent6 5 7 3 4 2" xfId="22188" xr:uid="{00000000-0005-0000-0000-0000A8560000}"/>
    <cellStyle name="40% - Accent6 5 7 3 4 2 2" xfId="22189" xr:uid="{00000000-0005-0000-0000-0000A9560000}"/>
    <cellStyle name="40% - Accent6 5 7 3 4 3" xfId="22190" xr:uid="{00000000-0005-0000-0000-0000AA560000}"/>
    <cellStyle name="40% - Accent6 5 7 3 5" xfId="22191" xr:uid="{00000000-0005-0000-0000-0000AB560000}"/>
    <cellStyle name="40% - Accent6 5 7 3 5 2" xfId="22192" xr:uid="{00000000-0005-0000-0000-0000AC560000}"/>
    <cellStyle name="40% - Accent6 5 7 3 5 2 2" xfId="22193" xr:uid="{00000000-0005-0000-0000-0000AD560000}"/>
    <cellStyle name="40% - Accent6 5 7 3 5 3" xfId="22194" xr:uid="{00000000-0005-0000-0000-0000AE560000}"/>
    <cellStyle name="40% - Accent6 5 7 3 6" xfId="22195" xr:uid="{00000000-0005-0000-0000-0000AF560000}"/>
    <cellStyle name="40% - Accent6 5 7 3 6 2" xfId="22196" xr:uid="{00000000-0005-0000-0000-0000B0560000}"/>
    <cellStyle name="40% - Accent6 5 7 3 6 2 2" xfId="22197" xr:uid="{00000000-0005-0000-0000-0000B1560000}"/>
    <cellStyle name="40% - Accent6 5 7 3 6 3" xfId="22198" xr:uid="{00000000-0005-0000-0000-0000B2560000}"/>
    <cellStyle name="40% - Accent6 5 7 3 7" xfId="22199" xr:uid="{00000000-0005-0000-0000-0000B3560000}"/>
    <cellStyle name="40% - Accent6 5 7 3 7 2" xfId="22200" xr:uid="{00000000-0005-0000-0000-0000B4560000}"/>
    <cellStyle name="40% - Accent6 5 7 3 8" xfId="22201" xr:uid="{00000000-0005-0000-0000-0000B5560000}"/>
    <cellStyle name="40% - Accent6 5 7 4" xfId="22202" xr:uid="{00000000-0005-0000-0000-0000B6560000}"/>
    <cellStyle name="40% - Accent6 5 7 4 2" xfId="22203" xr:uid="{00000000-0005-0000-0000-0000B7560000}"/>
    <cellStyle name="40% - Accent6 5 7 4 2 2" xfId="22204" xr:uid="{00000000-0005-0000-0000-0000B8560000}"/>
    <cellStyle name="40% - Accent6 5 7 4 2 2 2" xfId="22205" xr:uid="{00000000-0005-0000-0000-0000B9560000}"/>
    <cellStyle name="40% - Accent6 5 7 4 2 2 2 2" xfId="22206" xr:uid="{00000000-0005-0000-0000-0000BA560000}"/>
    <cellStyle name="40% - Accent6 5 7 4 2 2 3" xfId="22207" xr:uid="{00000000-0005-0000-0000-0000BB560000}"/>
    <cellStyle name="40% - Accent6 5 7 4 2 3" xfId="22208" xr:uid="{00000000-0005-0000-0000-0000BC560000}"/>
    <cellStyle name="40% - Accent6 5 7 4 2 3 2" xfId="22209" xr:uid="{00000000-0005-0000-0000-0000BD560000}"/>
    <cellStyle name="40% - Accent6 5 7 4 2 4" xfId="22210" xr:uid="{00000000-0005-0000-0000-0000BE560000}"/>
    <cellStyle name="40% - Accent6 5 7 4 3" xfId="22211" xr:uid="{00000000-0005-0000-0000-0000BF560000}"/>
    <cellStyle name="40% - Accent6 5 7 4 3 2" xfId="22212" xr:uid="{00000000-0005-0000-0000-0000C0560000}"/>
    <cellStyle name="40% - Accent6 5 7 4 3 2 2" xfId="22213" xr:uid="{00000000-0005-0000-0000-0000C1560000}"/>
    <cellStyle name="40% - Accent6 5 7 4 3 3" xfId="22214" xr:uid="{00000000-0005-0000-0000-0000C2560000}"/>
    <cellStyle name="40% - Accent6 5 7 4 4" xfId="22215" xr:uid="{00000000-0005-0000-0000-0000C3560000}"/>
    <cellStyle name="40% - Accent6 5 7 4 4 2" xfId="22216" xr:uid="{00000000-0005-0000-0000-0000C4560000}"/>
    <cellStyle name="40% - Accent6 5 7 4 4 2 2" xfId="22217" xr:uid="{00000000-0005-0000-0000-0000C5560000}"/>
    <cellStyle name="40% - Accent6 5 7 4 4 3" xfId="22218" xr:uid="{00000000-0005-0000-0000-0000C6560000}"/>
    <cellStyle name="40% - Accent6 5 7 4 5" xfId="22219" xr:uid="{00000000-0005-0000-0000-0000C7560000}"/>
    <cellStyle name="40% - Accent6 5 7 4 5 2" xfId="22220" xr:uid="{00000000-0005-0000-0000-0000C8560000}"/>
    <cellStyle name="40% - Accent6 5 7 4 5 2 2" xfId="22221" xr:uid="{00000000-0005-0000-0000-0000C9560000}"/>
    <cellStyle name="40% - Accent6 5 7 4 5 3" xfId="22222" xr:uid="{00000000-0005-0000-0000-0000CA560000}"/>
    <cellStyle name="40% - Accent6 5 7 4 6" xfId="22223" xr:uid="{00000000-0005-0000-0000-0000CB560000}"/>
    <cellStyle name="40% - Accent6 5 7 4 6 2" xfId="22224" xr:uid="{00000000-0005-0000-0000-0000CC560000}"/>
    <cellStyle name="40% - Accent6 5 7 4 6 2 2" xfId="22225" xr:uid="{00000000-0005-0000-0000-0000CD560000}"/>
    <cellStyle name="40% - Accent6 5 7 4 6 3" xfId="22226" xr:uid="{00000000-0005-0000-0000-0000CE560000}"/>
    <cellStyle name="40% - Accent6 5 7 4 7" xfId="22227" xr:uid="{00000000-0005-0000-0000-0000CF560000}"/>
    <cellStyle name="40% - Accent6 5 7 4 7 2" xfId="22228" xr:uid="{00000000-0005-0000-0000-0000D0560000}"/>
    <cellStyle name="40% - Accent6 5 7 4 8" xfId="22229" xr:uid="{00000000-0005-0000-0000-0000D1560000}"/>
    <cellStyle name="40% - Accent6 5 7 5" xfId="22230" xr:uid="{00000000-0005-0000-0000-0000D2560000}"/>
    <cellStyle name="40% - Accent6 5 7 5 2" xfId="22231" xr:uid="{00000000-0005-0000-0000-0000D3560000}"/>
    <cellStyle name="40% - Accent6 5 7 5 2 2" xfId="22232" xr:uid="{00000000-0005-0000-0000-0000D4560000}"/>
    <cellStyle name="40% - Accent6 5 7 5 2 2 2" xfId="22233" xr:uid="{00000000-0005-0000-0000-0000D5560000}"/>
    <cellStyle name="40% - Accent6 5 7 5 2 2 2 2" xfId="22234" xr:uid="{00000000-0005-0000-0000-0000D6560000}"/>
    <cellStyle name="40% - Accent6 5 7 5 2 2 3" xfId="22235" xr:uid="{00000000-0005-0000-0000-0000D7560000}"/>
    <cellStyle name="40% - Accent6 5 7 5 2 3" xfId="22236" xr:uid="{00000000-0005-0000-0000-0000D8560000}"/>
    <cellStyle name="40% - Accent6 5 7 5 2 3 2" xfId="22237" xr:uid="{00000000-0005-0000-0000-0000D9560000}"/>
    <cellStyle name="40% - Accent6 5 7 5 2 4" xfId="22238" xr:uid="{00000000-0005-0000-0000-0000DA560000}"/>
    <cellStyle name="40% - Accent6 5 7 5 3" xfId="22239" xr:uid="{00000000-0005-0000-0000-0000DB560000}"/>
    <cellStyle name="40% - Accent6 5 7 5 3 2" xfId="22240" xr:uid="{00000000-0005-0000-0000-0000DC560000}"/>
    <cellStyle name="40% - Accent6 5 7 5 3 2 2" xfId="22241" xr:uid="{00000000-0005-0000-0000-0000DD560000}"/>
    <cellStyle name="40% - Accent6 5 7 5 3 3" xfId="22242" xr:uid="{00000000-0005-0000-0000-0000DE560000}"/>
    <cellStyle name="40% - Accent6 5 7 5 4" xfId="22243" xr:uid="{00000000-0005-0000-0000-0000DF560000}"/>
    <cellStyle name="40% - Accent6 5 7 5 4 2" xfId="22244" xr:uid="{00000000-0005-0000-0000-0000E0560000}"/>
    <cellStyle name="40% - Accent6 5 7 5 5" xfId="22245" xr:uid="{00000000-0005-0000-0000-0000E1560000}"/>
    <cellStyle name="40% - Accent6 5 7 6" xfId="22246" xr:uid="{00000000-0005-0000-0000-0000E2560000}"/>
    <cellStyle name="40% - Accent6 5 7 6 2" xfId="22247" xr:uid="{00000000-0005-0000-0000-0000E3560000}"/>
    <cellStyle name="40% - Accent6 5 7 6 2 2" xfId="22248" xr:uid="{00000000-0005-0000-0000-0000E4560000}"/>
    <cellStyle name="40% - Accent6 5 7 6 2 2 2" xfId="22249" xr:uid="{00000000-0005-0000-0000-0000E5560000}"/>
    <cellStyle name="40% - Accent6 5 7 6 2 2 2 2" xfId="22250" xr:uid="{00000000-0005-0000-0000-0000E6560000}"/>
    <cellStyle name="40% - Accent6 5 7 6 2 2 3" xfId="22251" xr:uid="{00000000-0005-0000-0000-0000E7560000}"/>
    <cellStyle name="40% - Accent6 5 7 6 2 3" xfId="22252" xr:uid="{00000000-0005-0000-0000-0000E8560000}"/>
    <cellStyle name="40% - Accent6 5 7 6 2 3 2" xfId="22253" xr:uid="{00000000-0005-0000-0000-0000E9560000}"/>
    <cellStyle name="40% - Accent6 5 7 6 2 4" xfId="22254" xr:uid="{00000000-0005-0000-0000-0000EA560000}"/>
    <cellStyle name="40% - Accent6 5 7 6 3" xfId="22255" xr:uid="{00000000-0005-0000-0000-0000EB560000}"/>
    <cellStyle name="40% - Accent6 5 7 6 3 2" xfId="22256" xr:uid="{00000000-0005-0000-0000-0000EC560000}"/>
    <cellStyle name="40% - Accent6 5 7 6 3 2 2" xfId="22257" xr:uid="{00000000-0005-0000-0000-0000ED560000}"/>
    <cellStyle name="40% - Accent6 5 7 6 3 3" xfId="22258" xr:uid="{00000000-0005-0000-0000-0000EE560000}"/>
    <cellStyle name="40% - Accent6 5 7 6 4" xfId="22259" xr:uid="{00000000-0005-0000-0000-0000EF560000}"/>
    <cellStyle name="40% - Accent6 5 7 6 4 2" xfId="22260" xr:uid="{00000000-0005-0000-0000-0000F0560000}"/>
    <cellStyle name="40% - Accent6 5 7 6 5" xfId="22261" xr:uid="{00000000-0005-0000-0000-0000F1560000}"/>
    <cellStyle name="40% - Accent6 5 7 7" xfId="22262" xr:uid="{00000000-0005-0000-0000-0000F2560000}"/>
    <cellStyle name="40% - Accent6 5 7 7 2" xfId="22263" xr:uid="{00000000-0005-0000-0000-0000F3560000}"/>
    <cellStyle name="40% - Accent6 5 7 7 2 2" xfId="22264" xr:uid="{00000000-0005-0000-0000-0000F4560000}"/>
    <cellStyle name="40% - Accent6 5 7 7 2 2 2" xfId="22265" xr:uid="{00000000-0005-0000-0000-0000F5560000}"/>
    <cellStyle name="40% - Accent6 5 7 7 2 3" xfId="22266" xr:uid="{00000000-0005-0000-0000-0000F6560000}"/>
    <cellStyle name="40% - Accent6 5 7 7 3" xfId="22267" xr:uid="{00000000-0005-0000-0000-0000F7560000}"/>
    <cellStyle name="40% - Accent6 5 7 7 3 2" xfId="22268" xr:uid="{00000000-0005-0000-0000-0000F8560000}"/>
    <cellStyle name="40% - Accent6 5 7 7 4" xfId="22269" xr:uid="{00000000-0005-0000-0000-0000F9560000}"/>
    <cellStyle name="40% - Accent6 5 7 8" xfId="22270" xr:uid="{00000000-0005-0000-0000-0000FA560000}"/>
    <cellStyle name="40% - Accent6 5 7 8 2" xfId="22271" xr:uid="{00000000-0005-0000-0000-0000FB560000}"/>
    <cellStyle name="40% - Accent6 5 7 8 2 2" xfId="22272" xr:uid="{00000000-0005-0000-0000-0000FC560000}"/>
    <cellStyle name="40% - Accent6 5 7 8 2 2 2" xfId="22273" xr:uid="{00000000-0005-0000-0000-0000FD560000}"/>
    <cellStyle name="40% - Accent6 5 7 8 2 3" xfId="22274" xr:uid="{00000000-0005-0000-0000-0000FE560000}"/>
    <cellStyle name="40% - Accent6 5 7 8 3" xfId="22275" xr:uid="{00000000-0005-0000-0000-0000FF560000}"/>
    <cellStyle name="40% - Accent6 5 7 8 3 2" xfId="22276" xr:uid="{00000000-0005-0000-0000-000000570000}"/>
    <cellStyle name="40% - Accent6 5 7 8 4" xfId="22277" xr:uid="{00000000-0005-0000-0000-000001570000}"/>
    <cellStyle name="40% - Accent6 5 7 9" xfId="22278" xr:uid="{00000000-0005-0000-0000-000002570000}"/>
    <cellStyle name="40% - Accent6 5 7 9 2" xfId="22279" xr:uid="{00000000-0005-0000-0000-000003570000}"/>
    <cellStyle name="40% - Accent6 5 7 9 2 2" xfId="22280" xr:uid="{00000000-0005-0000-0000-000004570000}"/>
    <cellStyle name="40% - Accent6 5 7 9 3" xfId="22281" xr:uid="{00000000-0005-0000-0000-000005570000}"/>
    <cellStyle name="40% - Accent6 5 8" xfId="22282" xr:uid="{00000000-0005-0000-0000-000006570000}"/>
    <cellStyle name="40% - Accent6 5 8 2" xfId="22283" xr:uid="{00000000-0005-0000-0000-000007570000}"/>
    <cellStyle name="40% - Accent6 5 8 2 2" xfId="22284" xr:uid="{00000000-0005-0000-0000-000008570000}"/>
    <cellStyle name="40% - Accent6 5 8 2 2 2" xfId="22285" xr:uid="{00000000-0005-0000-0000-000009570000}"/>
    <cellStyle name="40% - Accent6 5 8 2 2 2 2" xfId="22286" xr:uid="{00000000-0005-0000-0000-00000A570000}"/>
    <cellStyle name="40% - Accent6 5 8 2 2 3" xfId="22287" xr:uid="{00000000-0005-0000-0000-00000B570000}"/>
    <cellStyle name="40% - Accent6 5 8 2 3" xfId="22288" xr:uid="{00000000-0005-0000-0000-00000C570000}"/>
    <cellStyle name="40% - Accent6 5 8 2 3 2" xfId="22289" xr:uid="{00000000-0005-0000-0000-00000D570000}"/>
    <cellStyle name="40% - Accent6 5 8 2 4" xfId="22290" xr:uid="{00000000-0005-0000-0000-00000E570000}"/>
    <cellStyle name="40% - Accent6 5 8 3" xfId="22291" xr:uid="{00000000-0005-0000-0000-00000F570000}"/>
    <cellStyle name="40% - Accent6 5 8 3 2" xfId="22292" xr:uid="{00000000-0005-0000-0000-000010570000}"/>
    <cellStyle name="40% - Accent6 5 8 3 2 2" xfId="22293" xr:uid="{00000000-0005-0000-0000-000011570000}"/>
    <cellStyle name="40% - Accent6 5 8 3 3" xfId="22294" xr:uid="{00000000-0005-0000-0000-000012570000}"/>
    <cellStyle name="40% - Accent6 5 8 4" xfId="22295" xr:uid="{00000000-0005-0000-0000-000013570000}"/>
    <cellStyle name="40% - Accent6 5 8 4 2" xfId="22296" xr:uid="{00000000-0005-0000-0000-000014570000}"/>
    <cellStyle name="40% - Accent6 5 8 4 2 2" xfId="22297" xr:uid="{00000000-0005-0000-0000-000015570000}"/>
    <cellStyle name="40% - Accent6 5 8 4 3" xfId="22298" xr:uid="{00000000-0005-0000-0000-000016570000}"/>
    <cellStyle name="40% - Accent6 5 8 5" xfId="22299" xr:uid="{00000000-0005-0000-0000-000017570000}"/>
    <cellStyle name="40% - Accent6 5 8 5 2" xfId="22300" xr:uid="{00000000-0005-0000-0000-000018570000}"/>
    <cellStyle name="40% - Accent6 5 8 5 2 2" xfId="22301" xr:uid="{00000000-0005-0000-0000-000019570000}"/>
    <cellStyle name="40% - Accent6 5 8 5 3" xfId="22302" xr:uid="{00000000-0005-0000-0000-00001A570000}"/>
    <cellStyle name="40% - Accent6 5 8 6" xfId="22303" xr:uid="{00000000-0005-0000-0000-00001B570000}"/>
    <cellStyle name="40% - Accent6 5 8 6 2" xfId="22304" xr:uid="{00000000-0005-0000-0000-00001C570000}"/>
    <cellStyle name="40% - Accent6 5 8 6 2 2" xfId="22305" xr:uid="{00000000-0005-0000-0000-00001D570000}"/>
    <cellStyle name="40% - Accent6 5 8 6 3" xfId="22306" xr:uid="{00000000-0005-0000-0000-00001E570000}"/>
    <cellStyle name="40% - Accent6 5 8 7" xfId="22307" xr:uid="{00000000-0005-0000-0000-00001F570000}"/>
    <cellStyle name="40% - Accent6 5 8 7 2" xfId="22308" xr:uid="{00000000-0005-0000-0000-000020570000}"/>
    <cellStyle name="40% - Accent6 5 8 8" xfId="22309" xr:uid="{00000000-0005-0000-0000-000021570000}"/>
    <cellStyle name="40% - Accent6 5 9" xfId="22310" xr:uid="{00000000-0005-0000-0000-000022570000}"/>
    <cellStyle name="40% - Accent6 5 9 2" xfId="22311" xr:uid="{00000000-0005-0000-0000-000023570000}"/>
    <cellStyle name="40% - Accent6 5 9 2 2" xfId="22312" xr:uid="{00000000-0005-0000-0000-000024570000}"/>
    <cellStyle name="40% - Accent6 5 9 2 2 2" xfId="22313" xr:uid="{00000000-0005-0000-0000-000025570000}"/>
    <cellStyle name="40% - Accent6 5 9 2 2 2 2" xfId="22314" xr:uid="{00000000-0005-0000-0000-000026570000}"/>
    <cellStyle name="40% - Accent6 5 9 2 2 3" xfId="22315" xr:uid="{00000000-0005-0000-0000-000027570000}"/>
    <cellStyle name="40% - Accent6 5 9 2 3" xfId="22316" xr:uid="{00000000-0005-0000-0000-000028570000}"/>
    <cellStyle name="40% - Accent6 5 9 2 3 2" xfId="22317" xr:uid="{00000000-0005-0000-0000-000029570000}"/>
    <cellStyle name="40% - Accent6 5 9 2 4" xfId="22318" xr:uid="{00000000-0005-0000-0000-00002A570000}"/>
    <cellStyle name="40% - Accent6 5 9 3" xfId="22319" xr:uid="{00000000-0005-0000-0000-00002B570000}"/>
    <cellStyle name="40% - Accent6 5 9 3 2" xfId="22320" xr:uid="{00000000-0005-0000-0000-00002C570000}"/>
    <cellStyle name="40% - Accent6 5 9 3 2 2" xfId="22321" xr:uid="{00000000-0005-0000-0000-00002D570000}"/>
    <cellStyle name="40% - Accent6 5 9 3 3" xfId="22322" xr:uid="{00000000-0005-0000-0000-00002E570000}"/>
    <cellStyle name="40% - Accent6 5 9 4" xfId="22323" xr:uid="{00000000-0005-0000-0000-00002F570000}"/>
    <cellStyle name="40% - Accent6 5 9 4 2" xfId="22324" xr:uid="{00000000-0005-0000-0000-000030570000}"/>
    <cellStyle name="40% - Accent6 5 9 4 2 2" xfId="22325" xr:uid="{00000000-0005-0000-0000-000031570000}"/>
    <cellStyle name="40% - Accent6 5 9 4 3" xfId="22326" xr:uid="{00000000-0005-0000-0000-000032570000}"/>
    <cellStyle name="40% - Accent6 5 9 5" xfId="22327" xr:uid="{00000000-0005-0000-0000-000033570000}"/>
    <cellStyle name="40% - Accent6 5 9 5 2" xfId="22328" xr:uid="{00000000-0005-0000-0000-000034570000}"/>
    <cellStyle name="40% - Accent6 5 9 5 2 2" xfId="22329" xr:uid="{00000000-0005-0000-0000-000035570000}"/>
    <cellStyle name="40% - Accent6 5 9 5 3" xfId="22330" xr:uid="{00000000-0005-0000-0000-000036570000}"/>
    <cellStyle name="40% - Accent6 5 9 6" xfId="22331" xr:uid="{00000000-0005-0000-0000-000037570000}"/>
    <cellStyle name="40% - Accent6 5 9 6 2" xfId="22332" xr:uid="{00000000-0005-0000-0000-000038570000}"/>
    <cellStyle name="40% - Accent6 5 9 6 2 2" xfId="22333" xr:uid="{00000000-0005-0000-0000-000039570000}"/>
    <cellStyle name="40% - Accent6 5 9 6 3" xfId="22334" xr:uid="{00000000-0005-0000-0000-00003A570000}"/>
    <cellStyle name="40% - Accent6 5 9 7" xfId="22335" xr:uid="{00000000-0005-0000-0000-00003B570000}"/>
    <cellStyle name="40% - Accent6 5 9 7 2" xfId="22336" xr:uid="{00000000-0005-0000-0000-00003C570000}"/>
    <cellStyle name="40% - Accent6 5 9 8" xfId="22337" xr:uid="{00000000-0005-0000-0000-00003D570000}"/>
    <cellStyle name="40% - Accent6 6" xfId="22338" xr:uid="{00000000-0005-0000-0000-00003E570000}"/>
    <cellStyle name="60% - Accent1 2" xfId="22339" xr:uid="{00000000-0005-0000-0000-00003F570000}"/>
    <cellStyle name="60% - Accent1 3" xfId="22340" xr:uid="{00000000-0005-0000-0000-000040570000}"/>
    <cellStyle name="60% - Accent1 4" xfId="22341" xr:uid="{00000000-0005-0000-0000-000041570000}"/>
    <cellStyle name="60% - Accent2 2" xfId="22342" xr:uid="{00000000-0005-0000-0000-000042570000}"/>
    <cellStyle name="60% - Accent2 3" xfId="22343" xr:uid="{00000000-0005-0000-0000-000043570000}"/>
    <cellStyle name="60% - Accent2 4" xfId="22344" xr:uid="{00000000-0005-0000-0000-000044570000}"/>
    <cellStyle name="60% - Accent3 2" xfId="22345" xr:uid="{00000000-0005-0000-0000-000045570000}"/>
    <cellStyle name="60% - Accent3 3" xfId="22346" xr:uid="{00000000-0005-0000-0000-000046570000}"/>
    <cellStyle name="60% - Accent3 4" xfId="22347" xr:uid="{00000000-0005-0000-0000-000047570000}"/>
    <cellStyle name="60% - Accent4 2" xfId="22348" xr:uid="{00000000-0005-0000-0000-000048570000}"/>
    <cellStyle name="60% - Accent4 3" xfId="22349" xr:uid="{00000000-0005-0000-0000-000049570000}"/>
    <cellStyle name="60% - Accent4 4" xfId="22350" xr:uid="{00000000-0005-0000-0000-00004A570000}"/>
    <cellStyle name="60% - Accent5 2" xfId="22351" xr:uid="{00000000-0005-0000-0000-00004B570000}"/>
    <cellStyle name="60% - Accent5 3" xfId="22352" xr:uid="{00000000-0005-0000-0000-00004C570000}"/>
    <cellStyle name="60% - Accent5 4" xfId="22353" xr:uid="{00000000-0005-0000-0000-00004D570000}"/>
    <cellStyle name="60% - Accent6 2" xfId="22354" xr:uid="{00000000-0005-0000-0000-00004E570000}"/>
    <cellStyle name="60% - Accent6 3" xfId="22355" xr:uid="{00000000-0005-0000-0000-00004F570000}"/>
    <cellStyle name="60% - Accent6 4" xfId="22356" xr:uid="{00000000-0005-0000-0000-000050570000}"/>
    <cellStyle name="Accent1 2" xfId="22357" xr:uid="{00000000-0005-0000-0000-000051570000}"/>
    <cellStyle name="Accent1 3" xfId="22358" xr:uid="{00000000-0005-0000-0000-000052570000}"/>
    <cellStyle name="Accent1 4" xfId="22359" xr:uid="{00000000-0005-0000-0000-000053570000}"/>
    <cellStyle name="Accent2 2" xfId="22360" xr:uid="{00000000-0005-0000-0000-000054570000}"/>
    <cellStyle name="Accent2 3" xfId="22361" xr:uid="{00000000-0005-0000-0000-000055570000}"/>
    <cellStyle name="Accent2 4" xfId="22362" xr:uid="{00000000-0005-0000-0000-000056570000}"/>
    <cellStyle name="Accent3 2" xfId="22363" xr:uid="{00000000-0005-0000-0000-000057570000}"/>
    <cellStyle name="Accent3 3" xfId="22364" xr:uid="{00000000-0005-0000-0000-000058570000}"/>
    <cellStyle name="Accent3 4" xfId="22365" xr:uid="{00000000-0005-0000-0000-000059570000}"/>
    <cellStyle name="Accent4 2" xfId="22366" xr:uid="{00000000-0005-0000-0000-00005A570000}"/>
    <cellStyle name="Accent4 3" xfId="22367" xr:uid="{00000000-0005-0000-0000-00005B570000}"/>
    <cellStyle name="Accent4 4" xfId="22368" xr:uid="{00000000-0005-0000-0000-00005C570000}"/>
    <cellStyle name="Accent5 2" xfId="22369" xr:uid="{00000000-0005-0000-0000-00005D570000}"/>
    <cellStyle name="Accent5 3" xfId="22370" xr:uid="{00000000-0005-0000-0000-00005E570000}"/>
    <cellStyle name="Accent5 4" xfId="22371" xr:uid="{00000000-0005-0000-0000-00005F570000}"/>
    <cellStyle name="Accent6 2" xfId="22372" xr:uid="{00000000-0005-0000-0000-000060570000}"/>
    <cellStyle name="Accent6 3" xfId="22373" xr:uid="{00000000-0005-0000-0000-000061570000}"/>
    <cellStyle name="Accent6 4" xfId="22374" xr:uid="{00000000-0005-0000-0000-000062570000}"/>
    <cellStyle name="b" xfId="22375" xr:uid="{00000000-0005-0000-0000-000063570000}"/>
    <cellStyle name="Bad 2" xfId="22376" xr:uid="{00000000-0005-0000-0000-000064570000}"/>
    <cellStyle name="Bad 3" xfId="22377" xr:uid="{00000000-0005-0000-0000-000065570000}"/>
    <cellStyle name="Bad 4" xfId="22378" xr:uid="{00000000-0005-0000-0000-000066570000}"/>
    <cellStyle name="bullet" xfId="22379" xr:uid="{00000000-0005-0000-0000-000067570000}"/>
    <cellStyle name="c0" xfId="22380" xr:uid="{00000000-0005-0000-0000-000068570000}"/>
    <cellStyle name="Calc Currency (0)" xfId="22381" xr:uid="{00000000-0005-0000-0000-000069570000}"/>
    <cellStyle name="Calculation 2" xfId="22382" xr:uid="{00000000-0005-0000-0000-00006A570000}"/>
    <cellStyle name="Calculation 3" xfId="22383" xr:uid="{00000000-0005-0000-0000-00006B570000}"/>
    <cellStyle name="Calculation 4" xfId="22384" xr:uid="{00000000-0005-0000-0000-00006C570000}"/>
    <cellStyle name="CHARTArea" xfId="22385" xr:uid="{00000000-0005-0000-0000-00006D570000}"/>
    <cellStyle name="CHARTBar" xfId="22386" xr:uid="{00000000-0005-0000-0000-00006E570000}"/>
    <cellStyle name="CHARTBar 2" xfId="22387" xr:uid="{00000000-0005-0000-0000-00006F570000}"/>
    <cellStyle name="CHARTfootnote" xfId="22388" xr:uid="{00000000-0005-0000-0000-000070570000}"/>
    <cellStyle name="CHARTfootnote 2" xfId="22389" xr:uid="{00000000-0005-0000-0000-000071570000}"/>
    <cellStyle name="CHARTLine" xfId="22390" xr:uid="{00000000-0005-0000-0000-000072570000}"/>
    <cellStyle name="CHARTLine 2" xfId="22391" xr:uid="{00000000-0005-0000-0000-000073570000}"/>
    <cellStyle name="CHARTScatter" xfId="22392" xr:uid="{00000000-0005-0000-0000-000074570000}"/>
    <cellStyle name="CHARTStackedBar" xfId="22393" xr:uid="{00000000-0005-0000-0000-000075570000}"/>
    <cellStyle name="CHARTStackedBar 2" xfId="22394" xr:uid="{00000000-0005-0000-0000-000076570000}"/>
    <cellStyle name="Check Cell 2" xfId="22395" xr:uid="{00000000-0005-0000-0000-000077570000}"/>
    <cellStyle name="Check Cell 3" xfId="22396" xr:uid="{00000000-0005-0000-0000-000078570000}"/>
    <cellStyle name="Check Cell 4" xfId="22397" xr:uid="{00000000-0005-0000-0000-000079570000}"/>
    <cellStyle name="Code" xfId="22398" xr:uid="{00000000-0005-0000-0000-00007A570000}"/>
    <cellStyle name="Comma 10" xfId="22399" xr:uid="{00000000-0005-0000-0000-00007B570000}"/>
    <cellStyle name="Comma 10 2" xfId="22400" xr:uid="{00000000-0005-0000-0000-00007C570000}"/>
    <cellStyle name="Comma 10 2 2" xfId="22401" xr:uid="{00000000-0005-0000-0000-00007D570000}"/>
    <cellStyle name="Comma 10 2 2 2" xfId="22402" xr:uid="{00000000-0005-0000-0000-00007E570000}"/>
    <cellStyle name="Comma 10 3" xfId="22403" xr:uid="{00000000-0005-0000-0000-00007F570000}"/>
    <cellStyle name="Comma 10 4" xfId="22404" xr:uid="{00000000-0005-0000-0000-000080570000}"/>
    <cellStyle name="Comma 10 4 2" xfId="22405" xr:uid="{00000000-0005-0000-0000-000081570000}"/>
    <cellStyle name="Comma 11" xfId="22406" xr:uid="{00000000-0005-0000-0000-000082570000}"/>
    <cellStyle name="Comma 11 2" xfId="22407" xr:uid="{00000000-0005-0000-0000-000083570000}"/>
    <cellStyle name="Comma 11 2 2" xfId="22408" xr:uid="{00000000-0005-0000-0000-000084570000}"/>
    <cellStyle name="Comma 11 2 2 2" xfId="22409" xr:uid="{00000000-0005-0000-0000-000085570000}"/>
    <cellStyle name="Comma 11 3" xfId="22410" xr:uid="{00000000-0005-0000-0000-000086570000}"/>
    <cellStyle name="Comma 11 4" xfId="22411" xr:uid="{00000000-0005-0000-0000-000087570000}"/>
    <cellStyle name="Comma 11 4 2" xfId="22412" xr:uid="{00000000-0005-0000-0000-000088570000}"/>
    <cellStyle name="Comma 12" xfId="22413" xr:uid="{00000000-0005-0000-0000-000089570000}"/>
    <cellStyle name="Comma 12 2" xfId="22414" xr:uid="{00000000-0005-0000-0000-00008A570000}"/>
    <cellStyle name="Comma 12 2 2" xfId="22415" xr:uid="{00000000-0005-0000-0000-00008B570000}"/>
    <cellStyle name="Comma 12 2 2 2" xfId="22416" xr:uid="{00000000-0005-0000-0000-00008C570000}"/>
    <cellStyle name="Comma 12 3" xfId="22417" xr:uid="{00000000-0005-0000-0000-00008D570000}"/>
    <cellStyle name="Comma 12 4" xfId="22418" xr:uid="{00000000-0005-0000-0000-00008E570000}"/>
    <cellStyle name="Comma 12 4 2" xfId="22419" xr:uid="{00000000-0005-0000-0000-00008F570000}"/>
    <cellStyle name="Comma 13" xfId="22420" xr:uid="{00000000-0005-0000-0000-000090570000}"/>
    <cellStyle name="Comma 13 2" xfId="22421" xr:uid="{00000000-0005-0000-0000-000091570000}"/>
    <cellStyle name="Comma 13 2 2" xfId="22422" xr:uid="{00000000-0005-0000-0000-000092570000}"/>
    <cellStyle name="Comma 13 2 2 2" xfId="22423" xr:uid="{00000000-0005-0000-0000-000093570000}"/>
    <cellStyle name="Comma 13 3" xfId="22424" xr:uid="{00000000-0005-0000-0000-000094570000}"/>
    <cellStyle name="Comma 13 4" xfId="22425" xr:uid="{00000000-0005-0000-0000-000095570000}"/>
    <cellStyle name="Comma 13 4 2" xfId="22426" xr:uid="{00000000-0005-0000-0000-000096570000}"/>
    <cellStyle name="Comma 14" xfId="22427" xr:uid="{00000000-0005-0000-0000-000097570000}"/>
    <cellStyle name="Comma 14 2" xfId="22428" xr:uid="{00000000-0005-0000-0000-000098570000}"/>
    <cellStyle name="Comma 14 2 2" xfId="22429" xr:uid="{00000000-0005-0000-0000-000099570000}"/>
    <cellStyle name="Comma 14 2 2 2" xfId="22430" xr:uid="{00000000-0005-0000-0000-00009A570000}"/>
    <cellStyle name="Comma 14 3" xfId="22431" xr:uid="{00000000-0005-0000-0000-00009B570000}"/>
    <cellStyle name="Comma 14 4" xfId="22432" xr:uid="{00000000-0005-0000-0000-00009C570000}"/>
    <cellStyle name="Comma 14 4 2" xfId="22433" xr:uid="{00000000-0005-0000-0000-00009D570000}"/>
    <cellStyle name="Comma 15" xfId="22434" xr:uid="{00000000-0005-0000-0000-00009E570000}"/>
    <cellStyle name="Comma 15 2" xfId="22435" xr:uid="{00000000-0005-0000-0000-00009F570000}"/>
    <cellStyle name="Comma 15 2 2" xfId="22436" xr:uid="{00000000-0005-0000-0000-0000A0570000}"/>
    <cellStyle name="Comma 15 2 2 2" xfId="22437" xr:uid="{00000000-0005-0000-0000-0000A1570000}"/>
    <cellStyle name="Comma 15 3" xfId="22438" xr:uid="{00000000-0005-0000-0000-0000A2570000}"/>
    <cellStyle name="Comma 15 4" xfId="22439" xr:uid="{00000000-0005-0000-0000-0000A3570000}"/>
    <cellStyle name="Comma 15 4 2" xfId="22440" xr:uid="{00000000-0005-0000-0000-0000A4570000}"/>
    <cellStyle name="Comma 16" xfId="22441" xr:uid="{00000000-0005-0000-0000-0000A5570000}"/>
    <cellStyle name="Comma 16 2" xfId="22442" xr:uid="{00000000-0005-0000-0000-0000A6570000}"/>
    <cellStyle name="Comma 16 2 2" xfId="22443" xr:uid="{00000000-0005-0000-0000-0000A7570000}"/>
    <cellStyle name="Comma 17" xfId="22444" xr:uid="{00000000-0005-0000-0000-0000A8570000}"/>
    <cellStyle name="Comma 17 2" xfId="22445" xr:uid="{00000000-0005-0000-0000-0000A9570000}"/>
    <cellStyle name="Comma 17 2 2" xfId="22446" xr:uid="{00000000-0005-0000-0000-0000AA570000}"/>
    <cellStyle name="Comma 18" xfId="22447" xr:uid="{00000000-0005-0000-0000-0000AB570000}"/>
    <cellStyle name="Comma 19" xfId="22448" xr:uid="{00000000-0005-0000-0000-0000AC570000}"/>
    <cellStyle name="Comma 19 2" xfId="22449" xr:uid="{00000000-0005-0000-0000-0000AD570000}"/>
    <cellStyle name="Comma 2" xfId="22450" xr:uid="{00000000-0005-0000-0000-0000AE570000}"/>
    <cellStyle name="Comma 2 2" xfId="22451" xr:uid="{00000000-0005-0000-0000-0000AF570000}"/>
    <cellStyle name="Comma 2 2 2" xfId="22452" xr:uid="{00000000-0005-0000-0000-0000B0570000}"/>
    <cellStyle name="Comma 2 2 2 2" xfId="22453" xr:uid="{00000000-0005-0000-0000-0000B1570000}"/>
    <cellStyle name="Comma 2 2 3" xfId="22454" xr:uid="{00000000-0005-0000-0000-0000B2570000}"/>
    <cellStyle name="Comma 2 3" xfId="22455" xr:uid="{00000000-0005-0000-0000-0000B3570000}"/>
    <cellStyle name="Comma 2 3 2" xfId="22456" xr:uid="{00000000-0005-0000-0000-0000B4570000}"/>
    <cellStyle name="Comma 2 3 2 2" xfId="22457" xr:uid="{00000000-0005-0000-0000-0000B5570000}"/>
    <cellStyle name="Comma 2 3 3" xfId="22458" xr:uid="{00000000-0005-0000-0000-0000B6570000}"/>
    <cellStyle name="Comma 2 4" xfId="22459" xr:uid="{00000000-0005-0000-0000-0000B7570000}"/>
    <cellStyle name="Comma 2 5" xfId="22460" xr:uid="{00000000-0005-0000-0000-0000B8570000}"/>
    <cellStyle name="Comma 2 5 2" xfId="22461" xr:uid="{00000000-0005-0000-0000-0000B9570000}"/>
    <cellStyle name="Comma 2 6" xfId="22462" xr:uid="{00000000-0005-0000-0000-0000BA570000}"/>
    <cellStyle name="Comma 2 7" xfId="22463" xr:uid="{00000000-0005-0000-0000-0000BB570000}"/>
    <cellStyle name="Comma 2 8" xfId="22464" xr:uid="{00000000-0005-0000-0000-0000BC570000}"/>
    <cellStyle name="Comma 2 9" xfId="2" xr:uid="{00000000-0005-0000-0000-0000BD570000}"/>
    <cellStyle name="Comma 20" xfId="22465" xr:uid="{00000000-0005-0000-0000-0000BE570000}"/>
    <cellStyle name="Comma 21" xfId="22466" xr:uid="{00000000-0005-0000-0000-0000BF570000}"/>
    <cellStyle name="Comma 22" xfId="22467" xr:uid="{00000000-0005-0000-0000-0000C0570000}"/>
    <cellStyle name="Comma 23" xfId="22468" xr:uid="{00000000-0005-0000-0000-0000C1570000}"/>
    <cellStyle name="Comma 24" xfId="22469" xr:uid="{00000000-0005-0000-0000-0000C2570000}"/>
    <cellStyle name="Comma 25" xfId="22470" xr:uid="{00000000-0005-0000-0000-0000C3570000}"/>
    <cellStyle name="Comma 3" xfId="22471" xr:uid="{00000000-0005-0000-0000-0000C4570000}"/>
    <cellStyle name="Comma 3 2" xfId="22472" xr:uid="{00000000-0005-0000-0000-0000C5570000}"/>
    <cellStyle name="Comma 3 2 2" xfId="22473" xr:uid="{00000000-0005-0000-0000-0000C6570000}"/>
    <cellStyle name="Comma 3 2 2 2" xfId="22474" xr:uid="{00000000-0005-0000-0000-0000C7570000}"/>
    <cellStyle name="Comma 3 3" xfId="22475" xr:uid="{00000000-0005-0000-0000-0000C8570000}"/>
    <cellStyle name="Comma 3 3 2" xfId="22476" xr:uid="{00000000-0005-0000-0000-0000C9570000}"/>
    <cellStyle name="Comma 3 3 2 2" xfId="22477" xr:uid="{00000000-0005-0000-0000-0000CA570000}"/>
    <cellStyle name="Comma 3 4" xfId="22478" xr:uid="{00000000-0005-0000-0000-0000CB570000}"/>
    <cellStyle name="Comma 3 5" xfId="22479" xr:uid="{00000000-0005-0000-0000-0000CC570000}"/>
    <cellStyle name="Comma 3 5 2" xfId="22480" xr:uid="{00000000-0005-0000-0000-0000CD570000}"/>
    <cellStyle name="Comma 4" xfId="22481" xr:uid="{00000000-0005-0000-0000-0000CE570000}"/>
    <cellStyle name="Comma 4 2" xfId="22482" xr:uid="{00000000-0005-0000-0000-0000CF570000}"/>
    <cellStyle name="Comma 4 2 2" xfId="22483" xr:uid="{00000000-0005-0000-0000-0000D0570000}"/>
    <cellStyle name="Comma 4 2 2 2" xfId="22484" xr:uid="{00000000-0005-0000-0000-0000D1570000}"/>
    <cellStyle name="Comma 4 2 3" xfId="22485" xr:uid="{00000000-0005-0000-0000-0000D2570000}"/>
    <cellStyle name="Comma 4 3" xfId="22486" xr:uid="{00000000-0005-0000-0000-0000D3570000}"/>
    <cellStyle name="Comma 4 4" xfId="22487" xr:uid="{00000000-0005-0000-0000-0000D4570000}"/>
    <cellStyle name="Comma 4 4 2" xfId="22488" xr:uid="{00000000-0005-0000-0000-0000D5570000}"/>
    <cellStyle name="Comma 4 5" xfId="22489" xr:uid="{00000000-0005-0000-0000-0000D6570000}"/>
    <cellStyle name="Comma 5" xfId="22490" xr:uid="{00000000-0005-0000-0000-0000D7570000}"/>
    <cellStyle name="Comma 5 2" xfId="22491" xr:uid="{00000000-0005-0000-0000-0000D8570000}"/>
    <cellStyle name="Comma 5 2 2" xfId="22492" xr:uid="{00000000-0005-0000-0000-0000D9570000}"/>
    <cellStyle name="Comma 5 2 2 2" xfId="22493" xr:uid="{00000000-0005-0000-0000-0000DA570000}"/>
    <cellStyle name="Comma 5 3" xfId="22494" xr:uid="{00000000-0005-0000-0000-0000DB570000}"/>
    <cellStyle name="Comma 5 4" xfId="22495" xr:uid="{00000000-0005-0000-0000-0000DC570000}"/>
    <cellStyle name="Comma 5 4 2" xfId="22496" xr:uid="{00000000-0005-0000-0000-0000DD570000}"/>
    <cellStyle name="Comma 5 5" xfId="22497" xr:uid="{00000000-0005-0000-0000-0000DE570000}"/>
    <cellStyle name="Comma 6" xfId="22498" xr:uid="{00000000-0005-0000-0000-0000DF570000}"/>
    <cellStyle name="Comma 6 2" xfId="22499" xr:uid="{00000000-0005-0000-0000-0000E0570000}"/>
    <cellStyle name="Comma 6 2 2" xfId="22500" xr:uid="{00000000-0005-0000-0000-0000E1570000}"/>
    <cellStyle name="Comma 6 2 2 2" xfId="22501" xr:uid="{00000000-0005-0000-0000-0000E2570000}"/>
    <cellStyle name="Comma 6 3" xfId="22502" xr:uid="{00000000-0005-0000-0000-0000E3570000}"/>
    <cellStyle name="Comma 6 4" xfId="22503" xr:uid="{00000000-0005-0000-0000-0000E4570000}"/>
    <cellStyle name="Comma 6 4 2" xfId="22504" xr:uid="{00000000-0005-0000-0000-0000E5570000}"/>
    <cellStyle name="Comma 6 5" xfId="22505" xr:uid="{00000000-0005-0000-0000-0000E6570000}"/>
    <cellStyle name="Comma 7" xfId="22506" xr:uid="{00000000-0005-0000-0000-0000E7570000}"/>
    <cellStyle name="Comma 7 2" xfId="22507" xr:uid="{00000000-0005-0000-0000-0000E8570000}"/>
    <cellStyle name="Comma 7 2 2" xfId="22508" xr:uid="{00000000-0005-0000-0000-0000E9570000}"/>
    <cellStyle name="Comma 7 2 2 2" xfId="22509" xr:uid="{00000000-0005-0000-0000-0000EA570000}"/>
    <cellStyle name="Comma 7 3" xfId="22510" xr:uid="{00000000-0005-0000-0000-0000EB570000}"/>
    <cellStyle name="Comma 7 4" xfId="22511" xr:uid="{00000000-0005-0000-0000-0000EC570000}"/>
    <cellStyle name="Comma 7 4 2" xfId="22512" xr:uid="{00000000-0005-0000-0000-0000ED570000}"/>
    <cellStyle name="Comma 8" xfId="22513" xr:uid="{00000000-0005-0000-0000-0000EE570000}"/>
    <cellStyle name="Comma 8 2" xfId="22514" xr:uid="{00000000-0005-0000-0000-0000EF570000}"/>
    <cellStyle name="Comma 8 2 2" xfId="22515" xr:uid="{00000000-0005-0000-0000-0000F0570000}"/>
    <cellStyle name="Comma 8 2 2 2" xfId="22516" xr:uid="{00000000-0005-0000-0000-0000F1570000}"/>
    <cellStyle name="Comma 8 3" xfId="22517" xr:uid="{00000000-0005-0000-0000-0000F2570000}"/>
    <cellStyle name="Comma 8 4" xfId="22518" xr:uid="{00000000-0005-0000-0000-0000F3570000}"/>
    <cellStyle name="Comma 8 4 2" xfId="22519" xr:uid="{00000000-0005-0000-0000-0000F4570000}"/>
    <cellStyle name="Comma 9" xfId="22520" xr:uid="{00000000-0005-0000-0000-0000F5570000}"/>
    <cellStyle name="Comma 9 2" xfId="22521" xr:uid="{00000000-0005-0000-0000-0000F6570000}"/>
    <cellStyle name="Comma 9 2 2" xfId="22522" xr:uid="{00000000-0005-0000-0000-0000F7570000}"/>
    <cellStyle name="Comma 9 2 2 2" xfId="22523" xr:uid="{00000000-0005-0000-0000-0000F8570000}"/>
    <cellStyle name="Comma 9 3" xfId="22524" xr:uid="{00000000-0005-0000-0000-0000F9570000}"/>
    <cellStyle name="Comma 9 4" xfId="22525" xr:uid="{00000000-0005-0000-0000-0000FA570000}"/>
    <cellStyle name="Comma 9 4 2" xfId="22526" xr:uid="{00000000-0005-0000-0000-0000FB570000}"/>
    <cellStyle name="Copied" xfId="22527" xr:uid="{00000000-0005-0000-0000-0000FC570000}"/>
    <cellStyle name="Currency 2" xfId="22528" xr:uid="{00000000-0005-0000-0000-0000FD570000}"/>
    <cellStyle name="Currency 2 2" xfId="22529" xr:uid="{00000000-0005-0000-0000-0000FE570000}"/>
    <cellStyle name="Currency 2 2 2" xfId="22530" xr:uid="{00000000-0005-0000-0000-0000FF570000}"/>
    <cellStyle name="Currency 2 2 2 2" xfId="22531" xr:uid="{00000000-0005-0000-0000-000000580000}"/>
    <cellStyle name="Currency 2 2 2 2 2" xfId="22532" xr:uid="{00000000-0005-0000-0000-000001580000}"/>
    <cellStyle name="Currency 2 2 3" xfId="22533" xr:uid="{00000000-0005-0000-0000-000002580000}"/>
    <cellStyle name="Currency 2 2 3 2" xfId="22534" xr:uid="{00000000-0005-0000-0000-000003580000}"/>
    <cellStyle name="Currency 2 2 3 2 2" xfId="22535" xr:uid="{00000000-0005-0000-0000-000004580000}"/>
    <cellStyle name="Currency 2 2 4" xfId="22536" xr:uid="{00000000-0005-0000-0000-000005580000}"/>
    <cellStyle name="Currency 2 2 5" xfId="22537" xr:uid="{00000000-0005-0000-0000-000006580000}"/>
    <cellStyle name="Currency 2 2 5 2" xfId="22538" xr:uid="{00000000-0005-0000-0000-000007580000}"/>
    <cellStyle name="Currency 2 3" xfId="22539" xr:uid="{00000000-0005-0000-0000-000008580000}"/>
    <cellStyle name="Currency 2 3 2" xfId="22540" xr:uid="{00000000-0005-0000-0000-000009580000}"/>
    <cellStyle name="Currency 2 3 2 2" xfId="22541" xr:uid="{00000000-0005-0000-0000-00000A580000}"/>
    <cellStyle name="Currency 2 4" xfId="22542" xr:uid="{00000000-0005-0000-0000-00000B580000}"/>
    <cellStyle name="Currency 2 4 2" xfId="22543" xr:uid="{00000000-0005-0000-0000-00000C580000}"/>
    <cellStyle name="Currency 2 4 2 2" xfId="22544" xr:uid="{00000000-0005-0000-0000-00000D580000}"/>
    <cellStyle name="Currency 2 5" xfId="22545" xr:uid="{00000000-0005-0000-0000-00000E580000}"/>
    <cellStyle name="Currency 2 6" xfId="22546" xr:uid="{00000000-0005-0000-0000-00000F580000}"/>
    <cellStyle name="Currency 2 6 2" xfId="22547" xr:uid="{00000000-0005-0000-0000-000010580000}"/>
    <cellStyle name="Currency 2 7" xfId="22548" xr:uid="{00000000-0005-0000-0000-000011580000}"/>
    <cellStyle name="Currency 2 8" xfId="22549" xr:uid="{00000000-0005-0000-0000-000012580000}"/>
    <cellStyle name="Currency 3" xfId="22550" xr:uid="{00000000-0005-0000-0000-000013580000}"/>
    <cellStyle name="Currency 3 2" xfId="22551" xr:uid="{00000000-0005-0000-0000-000014580000}"/>
    <cellStyle name="Currency 3 2 2" xfId="22552" xr:uid="{00000000-0005-0000-0000-000015580000}"/>
    <cellStyle name="Currency 3 2 2 2" xfId="22553" xr:uid="{00000000-0005-0000-0000-000016580000}"/>
    <cellStyle name="Currency 3 3" xfId="22554" xr:uid="{00000000-0005-0000-0000-000017580000}"/>
    <cellStyle name="Currency 3 3 2" xfId="22555" xr:uid="{00000000-0005-0000-0000-000018580000}"/>
    <cellStyle name="Currency 3 3 2 2" xfId="22556" xr:uid="{00000000-0005-0000-0000-000019580000}"/>
    <cellStyle name="Currency 3 4" xfId="22557" xr:uid="{00000000-0005-0000-0000-00001A580000}"/>
    <cellStyle name="Currency 3 5" xfId="22558" xr:uid="{00000000-0005-0000-0000-00001B580000}"/>
    <cellStyle name="Currency 3 5 2" xfId="22559" xr:uid="{00000000-0005-0000-0000-00001C580000}"/>
    <cellStyle name="Currency 4" xfId="22560" xr:uid="{00000000-0005-0000-0000-00001D580000}"/>
    <cellStyle name="Dollar" xfId="22561" xr:uid="{00000000-0005-0000-0000-00001E580000}"/>
    <cellStyle name="Dollar 2" xfId="22562" xr:uid="{00000000-0005-0000-0000-00001F580000}"/>
    <cellStyle name="Entered" xfId="22563" xr:uid="{00000000-0005-0000-0000-000020580000}"/>
    <cellStyle name="Euro" xfId="22564" xr:uid="{00000000-0005-0000-0000-000021580000}"/>
    <cellStyle name="Euro-" xfId="22565" xr:uid="{00000000-0005-0000-0000-000022580000}"/>
    <cellStyle name="Euro_Model output pages" xfId="22566" xr:uid="{00000000-0005-0000-0000-000023580000}"/>
    <cellStyle name="Euro-_Model output pages" xfId="22567" xr:uid="{00000000-0005-0000-0000-000024580000}"/>
    <cellStyle name="Explanatory Text 2" xfId="22568" xr:uid="{00000000-0005-0000-0000-000025580000}"/>
    <cellStyle name="Explanatory Text 3" xfId="22569" xr:uid="{00000000-0005-0000-0000-000026580000}"/>
    <cellStyle name="Explanatory Text 4" xfId="22570" xr:uid="{00000000-0005-0000-0000-000027580000}"/>
    <cellStyle name="Formula" xfId="22571" xr:uid="{00000000-0005-0000-0000-000028580000}"/>
    <cellStyle name="Good 2" xfId="22572" xr:uid="{00000000-0005-0000-0000-000029580000}"/>
    <cellStyle name="Good 3" xfId="22573" xr:uid="{00000000-0005-0000-0000-00002A580000}"/>
    <cellStyle name="Good 4" xfId="22574" xr:uid="{00000000-0005-0000-0000-00002B580000}"/>
    <cellStyle name="Grey" xfId="22575" xr:uid="{00000000-0005-0000-0000-00002C580000}"/>
    <cellStyle name="Header1" xfId="22576" xr:uid="{00000000-0005-0000-0000-00002D580000}"/>
    <cellStyle name="Header2" xfId="22577" xr:uid="{00000000-0005-0000-0000-00002E580000}"/>
    <cellStyle name="Heading 1 2" xfId="22578" xr:uid="{00000000-0005-0000-0000-00002F580000}"/>
    <cellStyle name="Heading 1 3" xfId="22579" xr:uid="{00000000-0005-0000-0000-000030580000}"/>
    <cellStyle name="Heading 1 4" xfId="22580" xr:uid="{00000000-0005-0000-0000-000031580000}"/>
    <cellStyle name="Heading 2 2" xfId="22581" xr:uid="{00000000-0005-0000-0000-000032580000}"/>
    <cellStyle name="Heading 2 3" xfId="22582" xr:uid="{00000000-0005-0000-0000-000033580000}"/>
    <cellStyle name="Heading 2 4" xfId="22583" xr:uid="{00000000-0005-0000-0000-000034580000}"/>
    <cellStyle name="Heading 3 2" xfId="22584" xr:uid="{00000000-0005-0000-0000-000035580000}"/>
    <cellStyle name="Heading 3 3" xfId="22585" xr:uid="{00000000-0005-0000-0000-000036580000}"/>
    <cellStyle name="Heading 3 4" xfId="22586" xr:uid="{00000000-0005-0000-0000-000037580000}"/>
    <cellStyle name="Heading 4 2" xfId="22587" xr:uid="{00000000-0005-0000-0000-000038580000}"/>
    <cellStyle name="Heading 4 3" xfId="22588" xr:uid="{00000000-0005-0000-0000-000039580000}"/>
    <cellStyle name="Heading 4 4" xfId="22589" xr:uid="{00000000-0005-0000-0000-00003A580000}"/>
    <cellStyle name="Hyperlink 2" xfId="22590" xr:uid="{00000000-0005-0000-0000-00003B580000}"/>
    <cellStyle name="Hyperlink 2 2" xfId="22591" xr:uid="{00000000-0005-0000-0000-00003C580000}"/>
    <cellStyle name="Hyperlink 3" xfId="22592" xr:uid="{00000000-0005-0000-0000-00003D580000}"/>
    <cellStyle name="Hyperlink 3 2" xfId="22593" xr:uid="{00000000-0005-0000-0000-00003E580000}"/>
    <cellStyle name="Hyperlink 4" xfId="22594" xr:uid="{00000000-0005-0000-0000-00003F580000}"/>
    <cellStyle name="Input [yellow]" xfId="22595" xr:uid="{00000000-0005-0000-0000-000040580000}"/>
    <cellStyle name="Input [yellow] 2" xfId="22596" xr:uid="{00000000-0005-0000-0000-000041580000}"/>
    <cellStyle name="Input 2" xfId="22597" xr:uid="{00000000-0005-0000-0000-000042580000}"/>
    <cellStyle name="Input 3" xfId="22598" xr:uid="{00000000-0005-0000-0000-000043580000}"/>
    <cellStyle name="Input 4" xfId="22599" xr:uid="{00000000-0005-0000-0000-000044580000}"/>
    <cellStyle name="ircANALYST" xfId="22600" xr:uid="{00000000-0005-0000-0000-000045580000}"/>
    <cellStyle name="ircANALYST 2" xfId="22601" xr:uid="{00000000-0005-0000-0000-000046580000}"/>
    <cellStyle name="ircCOMMENTS" xfId="22602" xr:uid="{00000000-0005-0000-0000-000047580000}"/>
    <cellStyle name="ircCOMMENTS 2" xfId="22603" xr:uid="{00000000-0005-0000-0000-000048580000}"/>
    <cellStyle name="ircCOMPANY" xfId="22604" xr:uid="{00000000-0005-0000-0000-000049580000}"/>
    <cellStyle name="ircCOMPANY 2" xfId="22605" xr:uid="{00000000-0005-0000-0000-00004A580000}"/>
    <cellStyle name="ircCOUNTRY" xfId="22606" xr:uid="{00000000-0005-0000-0000-00004B580000}"/>
    <cellStyle name="ircCOUNTRY 2" xfId="22607" xr:uid="{00000000-0005-0000-0000-00004C580000}"/>
    <cellStyle name="ircRATING" xfId="22608" xr:uid="{00000000-0005-0000-0000-00004D580000}"/>
    <cellStyle name="ircRATING 2" xfId="22609" xr:uid="{00000000-0005-0000-0000-00004E580000}"/>
    <cellStyle name="l" xfId="22610" xr:uid="{00000000-0005-0000-0000-00004F580000}"/>
    <cellStyle name="Label" xfId="22611" xr:uid="{00000000-0005-0000-0000-000050580000}"/>
    <cellStyle name="LabelCtrAcr" xfId="22612" xr:uid="{00000000-0005-0000-0000-000051580000}"/>
    <cellStyle name="Linked Cell 2" xfId="22613" xr:uid="{00000000-0005-0000-0000-000052580000}"/>
    <cellStyle name="Linked Cell 3" xfId="22614" xr:uid="{00000000-0005-0000-0000-000053580000}"/>
    <cellStyle name="Linked Cell 4" xfId="22615" xr:uid="{00000000-0005-0000-0000-000054580000}"/>
    <cellStyle name="mult" xfId="22616" xr:uid="{00000000-0005-0000-0000-000055580000}"/>
    <cellStyle name="n" xfId="22617" xr:uid="{00000000-0005-0000-0000-000056580000}"/>
    <cellStyle name="Neutral 2" xfId="22618" xr:uid="{00000000-0005-0000-0000-000057580000}"/>
    <cellStyle name="Neutral 3" xfId="22619" xr:uid="{00000000-0005-0000-0000-000058580000}"/>
    <cellStyle name="Neutral 4" xfId="22620" xr:uid="{00000000-0005-0000-0000-000059580000}"/>
    <cellStyle name="Normal" xfId="0" builtinId="0"/>
    <cellStyle name="Normal - Style1" xfId="22621" xr:uid="{00000000-0005-0000-0000-00005B580000}"/>
    <cellStyle name="Normal - Style1 2" xfId="22622" xr:uid="{00000000-0005-0000-0000-00005C580000}"/>
    <cellStyle name="Normal 10" xfId="22623" xr:uid="{00000000-0005-0000-0000-00005D580000}"/>
    <cellStyle name="Normal 10 10" xfId="22624" xr:uid="{00000000-0005-0000-0000-00005E580000}"/>
    <cellStyle name="Normal 10 10 2" xfId="22625" xr:uid="{00000000-0005-0000-0000-00005F580000}"/>
    <cellStyle name="Normal 10 10 2 2" xfId="22626" xr:uid="{00000000-0005-0000-0000-000060580000}"/>
    <cellStyle name="Normal 10 10 2 2 2" xfId="22627" xr:uid="{00000000-0005-0000-0000-000061580000}"/>
    <cellStyle name="Normal 10 10 2 2 2 2" xfId="22628" xr:uid="{00000000-0005-0000-0000-000062580000}"/>
    <cellStyle name="Normal 10 10 2 2 3" xfId="22629" xr:uid="{00000000-0005-0000-0000-000063580000}"/>
    <cellStyle name="Normal 10 10 2 3" xfId="22630" xr:uid="{00000000-0005-0000-0000-000064580000}"/>
    <cellStyle name="Normal 10 10 2 3 2" xfId="22631" xr:uid="{00000000-0005-0000-0000-000065580000}"/>
    <cellStyle name="Normal 10 10 2 4" xfId="22632" xr:uid="{00000000-0005-0000-0000-000066580000}"/>
    <cellStyle name="Normal 10 10 3" xfId="22633" xr:uid="{00000000-0005-0000-0000-000067580000}"/>
    <cellStyle name="Normal 10 10 3 2" xfId="22634" xr:uid="{00000000-0005-0000-0000-000068580000}"/>
    <cellStyle name="Normal 10 10 3 2 2" xfId="22635" xr:uid="{00000000-0005-0000-0000-000069580000}"/>
    <cellStyle name="Normal 10 10 3 3" xfId="22636" xr:uid="{00000000-0005-0000-0000-00006A580000}"/>
    <cellStyle name="Normal 10 10 4" xfId="22637" xr:uid="{00000000-0005-0000-0000-00006B580000}"/>
    <cellStyle name="Normal 10 10 4 2" xfId="22638" xr:uid="{00000000-0005-0000-0000-00006C580000}"/>
    <cellStyle name="Normal 10 10 4 2 2" xfId="22639" xr:uid="{00000000-0005-0000-0000-00006D580000}"/>
    <cellStyle name="Normal 10 10 4 3" xfId="22640" xr:uid="{00000000-0005-0000-0000-00006E580000}"/>
    <cellStyle name="Normal 10 10 5" xfId="22641" xr:uid="{00000000-0005-0000-0000-00006F580000}"/>
    <cellStyle name="Normal 10 10 5 2" xfId="22642" xr:uid="{00000000-0005-0000-0000-000070580000}"/>
    <cellStyle name="Normal 10 10 5 2 2" xfId="22643" xr:uid="{00000000-0005-0000-0000-000071580000}"/>
    <cellStyle name="Normal 10 10 5 3" xfId="22644" xr:uid="{00000000-0005-0000-0000-000072580000}"/>
    <cellStyle name="Normal 10 10 6" xfId="22645" xr:uid="{00000000-0005-0000-0000-000073580000}"/>
    <cellStyle name="Normal 10 10 6 2" xfId="22646" xr:uid="{00000000-0005-0000-0000-000074580000}"/>
    <cellStyle name="Normal 10 10 6 2 2" xfId="22647" xr:uid="{00000000-0005-0000-0000-000075580000}"/>
    <cellStyle name="Normal 10 10 6 3" xfId="22648" xr:uid="{00000000-0005-0000-0000-000076580000}"/>
    <cellStyle name="Normal 10 10 7" xfId="22649" xr:uid="{00000000-0005-0000-0000-000077580000}"/>
    <cellStyle name="Normal 10 10 7 2" xfId="22650" xr:uid="{00000000-0005-0000-0000-000078580000}"/>
    <cellStyle name="Normal 10 10 8" xfId="22651" xr:uid="{00000000-0005-0000-0000-000079580000}"/>
    <cellStyle name="Normal 10 11" xfId="22652" xr:uid="{00000000-0005-0000-0000-00007A580000}"/>
    <cellStyle name="Normal 10 11 2" xfId="22653" xr:uid="{00000000-0005-0000-0000-00007B580000}"/>
    <cellStyle name="Normal 10 11 2 2" xfId="22654" xr:uid="{00000000-0005-0000-0000-00007C580000}"/>
    <cellStyle name="Normal 10 11 2 2 2" xfId="22655" xr:uid="{00000000-0005-0000-0000-00007D580000}"/>
    <cellStyle name="Normal 10 11 2 2 2 2" xfId="22656" xr:uid="{00000000-0005-0000-0000-00007E580000}"/>
    <cellStyle name="Normal 10 11 2 2 3" xfId="22657" xr:uid="{00000000-0005-0000-0000-00007F580000}"/>
    <cellStyle name="Normal 10 11 2 3" xfId="22658" xr:uid="{00000000-0005-0000-0000-000080580000}"/>
    <cellStyle name="Normal 10 11 2 3 2" xfId="22659" xr:uid="{00000000-0005-0000-0000-000081580000}"/>
    <cellStyle name="Normal 10 11 2 4" xfId="22660" xr:uid="{00000000-0005-0000-0000-000082580000}"/>
    <cellStyle name="Normal 10 11 3" xfId="22661" xr:uid="{00000000-0005-0000-0000-000083580000}"/>
    <cellStyle name="Normal 10 11 3 2" xfId="22662" xr:uid="{00000000-0005-0000-0000-000084580000}"/>
    <cellStyle name="Normal 10 11 3 2 2" xfId="22663" xr:uid="{00000000-0005-0000-0000-000085580000}"/>
    <cellStyle name="Normal 10 11 3 3" xfId="22664" xr:uid="{00000000-0005-0000-0000-000086580000}"/>
    <cellStyle name="Normal 10 11 4" xfId="22665" xr:uid="{00000000-0005-0000-0000-000087580000}"/>
    <cellStyle name="Normal 10 11 4 2" xfId="22666" xr:uid="{00000000-0005-0000-0000-000088580000}"/>
    <cellStyle name="Normal 10 11 5" xfId="22667" xr:uid="{00000000-0005-0000-0000-000089580000}"/>
    <cellStyle name="Normal 10 12" xfId="22668" xr:uid="{00000000-0005-0000-0000-00008A580000}"/>
    <cellStyle name="Normal 10 12 2" xfId="22669" xr:uid="{00000000-0005-0000-0000-00008B580000}"/>
    <cellStyle name="Normal 10 12 2 2" xfId="22670" xr:uid="{00000000-0005-0000-0000-00008C580000}"/>
    <cellStyle name="Normal 10 12 2 2 2" xfId="22671" xr:uid="{00000000-0005-0000-0000-00008D580000}"/>
    <cellStyle name="Normal 10 12 2 2 2 2" xfId="22672" xr:uid="{00000000-0005-0000-0000-00008E580000}"/>
    <cellStyle name="Normal 10 12 2 2 3" xfId="22673" xr:uid="{00000000-0005-0000-0000-00008F580000}"/>
    <cellStyle name="Normal 10 12 2 3" xfId="22674" xr:uid="{00000000-0005-0000-0000-000090580000}"/>
    <cellStyle name="Normal 10 12 2 3 2" xfId="22675" xr:uid="{00000000-0005-0000-0000-000091580000}"/>
    <cellStyle name="Normal 10 12 2 4" xfId="22676" xr:uid="{00000000-0005-0000-0000-000092580000}"/>
    <cellStyle name="Normal 10 12 3" xfId="22677" xr:uid="{00000000-0005-0000-0000-000093580000}"/>
    <cellStyle name="Normal 10 12 3 2" xfId="22678" xr:uid="{00000000-0005-0000-0000-000094580000}"/>
    <cellStyle name="Normal 10 12 3 2 2" xfId="22679" xr:uid="{00000000-0005-0000-0000-000095580000}"/>
    <cellStyle name="Normal 10 12 3 3" xfId="22680" xr:uid="{00000000-0005-0000-0000-000096580000}"/>
    <cellStyle name="Normal 10 12 4" xfId="22681" xr:uid="{00000000-0005-0000-0000-000097580000}"/>
    <cellStyle name="Normal 10 12 4 2" xfId="22682" xr:uid="{00000000-0005-0000-0000-000098580000}"/>
    <cellStyle name="Normal 10 12 5" xfId="22683" xr:uid="{00000000-0005-0000-0000-000099580000}"/>
    <cellStyle name="Normal 10 13" xfId="22684" xr:uid="{00000000-0005-0000-0000-00009A580000}"/>
    <cellStyle name="Normal 10 13 2" xfId="22685" xr:uid="{00000000-0005-0000-0000-00009B580000}"/>
    <cellStyle name="Normal 10 13 2 2" xfId="22686" xr:uid="{00000000-0005-0000-0000-00009C580000}"/>
    <cellStyle name="Normal 10 13 2 2 2" xfId="22687" xr:uid="{00000000-0005-0000-0000-00009D580000}"/>
    <cellStyle name="Normal 10 13 2 2 2 2" xfId="22688" xr:uid="{00000000-0005-0000-0000-00009E580000}"/>
    <cellStyle name="Normal 10 13 2 2 3" xfId="22689" xr:uid="{00000000-0005-0000-0000-00009F580000}"/>
    <cellStyle name="Normal 10 13 2 3" xfId="22690" xr:uid="{00000000-0005-0000-0000-0000A0580000}"/>
    <cellStyle name="Normal 10 13 2 3 2" xfId="22691" xr:uid="{00000000-0005-0000-0000-0000A1580000}"/>
    <cellStyle name="Normal 10 13 2 4" xfId="22692" xr:uid="{00000000-0005-0000-0000-0000A2580000}"/>
    <cellStyle name="Normal 10 13 3" xfId="22693" xr:uid="{00000000-0005-0000-0000-0000A3580000}"/>
    <cellStyle name="Normal 10 13 3 2" xfId="22694" xr:uid="{00000000-0005-0000-0000-0000A4580000}"/>
    <cellStyle name="Normal 10 13 3 2 2" xfId="22695" xr:uid="{00000000-0005-0000-0000-0000A5580000}"/>
    <cellStyle name="Normal 10 13 3 3" xfId="22696" xr:uid="{00000000-0005-0000-0000-0000A6580000}"/>
    <cellStyle name="Normal 10 13 4" xfId="22697" xr:uid="{00000000-0005-0000-0000-0000A7580000}"/>
    <cellStyle name="Normal 10 13 4 2" xfId="22698" xr:uid="{00000000-0005-0000-0000-0000A8580000}"/>
    <cellStyle name="Normal 10 13 5" xfId="22699" xr:uid="{00000000-0005-0000-0000-0000A9580000}"/>
    <cellStyle name="Normal 10 14" xfId="22700" xr:uid="{00000000-0005-0000-0000-0000AA580000}"/>
    <cellStyle name="Normal 10 14 2" xfId="22701" xr:uid="{00000000-0005-0000-0000-0000AB580000}"/>
    <cellStyle name="Normal 10 14 2 2" xfId="22702" xr:uid="{00000000-0005-0000-0000-0000AC580000}"/>
    <cellStyle name="Normal 10 14 2 2 2" xfId="22703" xr:uid="{00000000-0005-0000-0000-0000AD580000}"/>
    <cellStyle name="Normal 10 14 2 3" xfId="22704" xr:uid="{00000000-0005-0000-0000-0000AE580000}"/>
    <cellStyle name="Normal 10 14 3" xfId="22705" xr:uid="{00000000-0005-0000-0000-0000AF580000}"/>
    <cellStyle name="Normal 10 14 3 2" xfId="22706" xr:uid="{00000000-0005-0000-0000-0000B0580000}"/>
    <cellStyle name="Normal 10 14 4" xfId="22707" xr:uid="{00000000-0005-0000-0000-0000B1580000}"/>
    <cellStyle name="Normal 10 15" xfId="22708" xr:uid="{00000000-0005-0000-0000-0000B2580000}"/>
    <cellStyle name="Normal 10 15 2" xfId="22709" xr:uid="{00000000-0005-0000-0000-0000B3580000}"/>
    <cellStyle name="Normal 10 15 2 2" xfId="22710" xr:uid="{00000000-0005-0000-0000-0000B4580000}"/>
    <cellStyle name="Normal 10 15 2 2 2" xfId="22711" xr:uid="{00000000-0005-0000-0000-0000B5580000}"/>
    <cellStyle name="Normal 10 15 2 3" xfId="22712" xr:uid="{00000000-0005-0000-0000-0000B6580000}"/>
    <cellStyle name="Normal 10 15 3" xfId="22713" xr:uid="{00000000-0005-0000-0000-0000B7580000}"/>
    <cellStyle name="Normal 10 15 3 2" xfId="22714" xr:uid="{00000000-0005-0000-0000-0000B8580000}"/>
    <cellStyle name="Normal 10 15 4" xfId="22715" xr:uid="{00000000-0005-0000-0000-0000B9580000}"/>
    <cellStyle name="Normal 10 16" xfId="22716" xr:uid="{00000000-0005-0000-0000-0000BA580000}"/>
    <cellStyle name="Normal 10 16 2" xfId="22717" xr:uid="{00000000-0005-0000-0000-0000BB580000}"/>
    <cellStyle name="Normal 10 16 2 2" xfId="22718" xr:uid="{00000000-0005-0000-0000-0000BC580000}"/>
    <cellStyle name="Normal 10 16 3" xfId="22719" xr:uid="{00000000-0005-0000-0000-0000BD580000}"/>
    <cellStyle name="Normal 10 17" xfId="22720" xr:uid="{00000000-0005-0000-0000-0000BE580000}"/>
    <cellStyle name="Normal 10 17 2" xfId="22721" xr:uid="{00000000-0005-0000-0000-0000BF580000}"/>
    <cellStyle name="Normal 10 17 2 2" xfId="22722" xr:uid="{00000000-0005-0000-0000-0000C0580000}"/>
    <cellStyle name="Normal 10 17 3" xfId="22723" xr:uid="{00000000-0005-0000-0000-0000C1580000}"/>
    <cellStyle name="Normal 10 18" xfId="22724" xr:uid="{00000000-0005-0000-0000-0000C2580000}"/>
    <cellStyle name="Normal 10 18 2" xfId="22725" xr:uid="{00000000-0005-0000-0000-0000C3580000}"/>
    <cellStyle name="Normal 10 18 2 2" xfId="22726" xr:uid="{00000000-0005-0000-0000-0000C4580000}"/>
    <cellStyle name="Normal 10 18 3" xfId="22727" xr:uid="{00000000-0005-0000-0000-0000C5580000}"/>
    <cellStyle name="Normal 10 19" xfId="22728" xr:uid="{00000000-0005-0000-0000-0000C6580000}"/>
    <cellStyle name="Normal 10 19 2" xfId="22729" xr:uid="{00000000-0005-0000-0000-0000C7580000}"/>
    <cellStyle name="Normal 10 19 2 2" xfId="22730" xr:uid="{00000000-0005-0000-0000-0000C8580000}"/>
    <cellStyle name="Normal 10 19 3" xfId="22731" xr:uid="{00000000-0005-0000-0000-0000C9580000}"/>
    <cellStyle name="Normal 10 2" xfId="22732" xr:uid="{00000000-0005-0000-0000-0000CA580000}"/>
    <cellStyle name="Normal 10 2 10" xfId="22733" xr:uid="{00000000-0005-0000-0000-0000CB580000}"/>
    <cellStyle name="Normal 10 2 10 2" xfId="22734" xr:uid="{00000000-0005-0000-0000-0000CC580000}"/>
    <cellStyle name="Normal 10 2 10 2 2" xfId="22735" xr:uid="{00000000-0005-0000-0000-0000CD580000}"/>
    <cellStyle name="Normal 10 2 10 2 2 2" xfId="22736" xr:uid="{00000000-0005-0000-0000-0000CE580000}"/>
    <cellStyle name="Normal 10 2 10 2 2 2 2" xfId="22737" xr:uid="{00000000-0005-0000-0000-0000CF580000}"/>
    <cellStyle name="Normal 10 2 10 2 2 3" xfId="22738" xr:uid="{00000000-0005-0000-0000-0000D0580000}"/>
    <cellStyle name="Normal 10 2 10 2 3" xfId="22739" xr:uid="{00000000-0005-0000-0000-0000D1580000}"/>
    <cellStyle name="Normal 10 2 10 2 3 2" xfId="22740" xr:uid="{00000000-0005-0000-0000-0000D2580000}"/>
    <cellStyle name="Normal 10 2 10 2 4" xfId="22741" xr:uid="{00000000-0005-0000-0000-0000D3580000}"/>
    <cellStyle name="Normal 10 2 10 3" xfId="22742" xr:uid="{00000000-0005-0000-0000-0000D4580000}"/>
    <cellStyle name="Normal 10 2 10 3 2" xfId="22743" xr:uid="{00000000-0005-0000-0000-0000D5580000}"/>
    <cellStyle name="Normal 10 2 10 3 2 2" xfId="22744" xr:uid="{00000000-0005-0000-0000-0000D6580000}"/>
    <cellStyle name="Normal 10 2 10 3 3" xfId="22745" xr:uid="{00000000-0005-0000-0000-0000D7580000}"/>
    <cellStyle name="Normal 10 2 10 4" xfId="22746" xr:uid="{00000000-0005-0000-0000-0000D8580000}"/>
    <cellStyle name="Normal 10 2 10 4 2" xfId="22747" xr:uid="{00000000-0005-0000-0000-0000D9580000}"/>
    <cellStyle name="Normal 10 2 10 5" xfId="22748" xr:uid="{00000000-0005-0000-0000-0000DA580000}"/>
    <cellStyle name="Normal 10 2 11" xfId="22749" xr:uid="{00000000-0005-0000-0000-0000DB580000}"/>
    <cellStyle name="Normal 10 2 11 2" xfId="22750" xr:uid="{00000000-0005-0000-0000-0000DC580000}"/>
    <cellStyle name="Normal 10 2 11 2 2" xfId="22751" xr:uid="{00000000-0005-0000-0000-0000DD580000}"/>
    <cellStyle name="Normal 10 2 11 2 2 2" xfId="22752" xr:uid="{00000000-0005-0000-0000-0000DE580000}"/>
    <cellStyle name="Normal 10 2 11 2 2 2 2" xfId="22753" xr:uid="{00000000-0005-0000-0000-0000DF580000}"/>
    <cellStyle name="Normal 10 2 11 2 2 3" xfId="22754" xr:uid="{00000000-0005-0000-0000-0000E0580000}"/>
    <cellStyle name="Normal 10 2 11 2 3" xfId="22755" xr:uid="{00000000-0005-0000-0000-0000E1580000}"/>
    <cellStyle name="Normal 10 2 11 2 3 2" xfId="22756" xr:uid="{00000000-0005-0000-0000-0000E2580000}"/>
    <cellStyle name="Normal 10 2 11 2 4" xfId="22757" xr:uid="{00000000-0005-0000-0000-0000E3580000}"/>
    <cellStyle name="Normal 10 2 11 3" xfId="22758" xr:uid="{00000000-0005-0000-0000-0000E4580000}"/>
    <cellStyle name="Normal 10 2 11 3 2" xfId="22759" xr:uid="{00000000-0005-0000-0000-0000E5580000}"/>
    <cellStyle name="Normal 10 2 11 3 2 2" xfId="22760" xr:uid="{00000000-0005-0000-0000-0000E6580000}"/>
    <cellStyle name="Normal 10 2 11 3 3" xfId="22761" xr:uid="{00000000-0005-0000-0000-0000E7580000}"/>
    <cellStyle name="Normal 10 2 11 4" xfId="22762" xr:uid="{00000000-0005-0000-0000-0000E8580000}"/>
    <cellStyle name="Normal 10 2 11 4 2" xfId="22763" xr:uid="{00000000-0005-0000-0000-0000E9580000}"/>
    <cellStyle name="Normal 10 2 11 5" xfId="22764" xr:uid="{00000000-0005-0000-0000-0000EA580000}"/>
    <cellStyle name="Normal 10 2 12" xfId="22765" xr:uid="{00000000-0005-0000-0000-0000EB580000}"/>
    <cellStyle name="Normal 10 2 12 2" xfId="22766" xr:uid="{00000000-0005-0000-0000-0000EC580000}"/>
    <cellStyle name="Normal 10 2 12 2 2" xfId="22767" xr:uid="{00000000-0005-0000-0000-0000ED580000}"/>
    <cellStyle name="Normal 10 2 12 2 2 2" xfId="22768" xr:uid="{00000000-0005-0000-0000-0000EE580000}"/>
    <cellStyle name="Normal 10 2 12 2 2 2 2" xfId="22769" xr:uid="{00000000-0005-0000-0000-0000EF580000}"/>
    <cellStyle name="Normal 10 2 12 2 2 3" xfId="22770" xr:uid="{00000000-0005-0000-0000-0000F0580000}"/>
    <cellStyle name="Normal 10 2 12 2 3" xfId="22771" xr:uid="{00000000-0005-0000-0000-0000F1580000}"/>
    <cellStyle name="Normal 10 2 12 2 3 2" xfId="22772" xr:uid="{00000000-0005-0000-0000-0000F2580000}"/>
    <cellStyle name="Normal 10 2 12 2 4" xfId="22773" xr:uid="{00000000-0005-0000-0000-0000F3580000}"/>
    <cellStyle name="Normal 10 2 12 3" xfId="22774" xr:uid="{00000000-0005-0000-0000-0000F4580000}"/>
    <cellStyle name="Normal 10 2 12 3 2" xfId="22775" xr:uid="{00000000-0005-0000-0000-0000F5580000}"/>
    <cellStyle name="Normal 10 2 12 3 2 2" xfId="22776" xr:uid="{00000000-0005-0000-0000-0000F6580000}"/>
    <cellStyle name="Normal 10 2 12 3 3" xfId="22777" xr:uid="{00000000-0005-0000-0000-0000F7580000}"/>
    <cellStyle name="Normal 10 2 12 4" xfId="22778" xr:uid="{00000000-0005-0000-0000-0000F8580000}"/>
    <cellStyle name="Normal 10 2 12 4 2" xfId="22779" xr:uid="{00000000-0005-0000-0000-0000F9580000}"/>
    <cellStyle name="Normal 10 2 12 5" xfId="22780" xr:uid="{00000000-0005-0000-0000-0000FA580000}"/>
    <cellStyle name="Normal 10 2 13" xfId="22781" xr:uid="{00000000-0005-0000-0000-0000FB580000}"/>
    <cellStyle name="Normal 10 2 13 2" xfId="22782" xr:uid="{00000000-0005-0000-0000-0000FC580000}"/>
    <cellStyle name="Normal 10 2 13 2 2" xfId="22783" xr:uid="{00000000-0005-0000-0000-0000FD580000}"/>
    <cellStyle name="Normal 10 2 13 2 2 2" xfId="22784" xr:uid="{00000000-0005-0000-0000-0000FE580000}"/>
    <cellStyle name="Normal 10 2 13 2 3" xfId="22785" xr:uid="{00000000-0005-0000-0000-0000FF580000}"/>
    <cellStyle name="Normal 10 2 13 3" xfId="22786" xr:uid="{00000000-0005-0000-0000-000000590000}"/>
    <cellStyle name="Normal 10 2 13 3 2" xfId="22787" xr:uid="{00000000-0005-0000-0000-000001590000}"/>
    <cellStyle name="Normal 10 2 13 4" xfId="22788" xr:uid="{00000000-0005-0000-0000-000002590000}"/>
    <cellStyle name="Normal 10 2 14" xfId="22789" xr:uid="{00000000-0005-0000-0000-000003590000}"/>
    <cellStyle name="Normal 10 2 14 2" xfId="22790" xr:uid="{00000000-0005-0000-0000-000004590000}"/>
    <cellStyle name="Normal 10 2 14 2 2" xfId="22791" xr:uid="{00000000-0005-0000-0000-000005590000}"/>
    <cellStyle name="Normal 10 2 14 2 2 2" xfId="22792" xr:uid="{00000000-0005-0000-0000-000006590000}"/>
    <cellStyle name="Normal 10 2 14 2 3" xfId="22793" xr:uid="{00000000-0005-0000-0000-000007590000}"/>
    <cellStyle name="Normal 10 2 14 3" xfId="22794" xr:uid="{00000000-0005-0000-0000-000008590000}"/>
    <cellStyle name="Normal 10 2 14 3 2" xfId="22795" xr:uid="{00000000-0005-0000-0000-000009590000}"/>
    <cellStyle name="Normal 10 2 14 4" xfId="22796" xr:uid="{00000000-0005-0000-0000-00000A590000}"/>
    <cellStyle name="Normal 10 2 15" xfId="22797" xr:uid="{00000000-0005-0000-0000-00000B590000}"/>
    <cellStyle name="Normal 10 2 15 2" xfId="22798" xr:uid="{00000000-0005-0000-0000-00000C590000}"/>
    <cellStyle name="Normal 10 2 15 2 2" xfId="22799" xr:uid="{00000000-0005-0000-0000-00000D590000}"/>
    <cellStyle name="Normal 10 2 15 3" xfId="22800" xr:uid="{00000000-0005-0000-0000-00000E590000}"/>
    <cellStyle name="Normal 10 2 16" xfId="22801" xr:uid="{00000000-0005-0000-0000-00000F590000}"/>
    <cellStyle name="Normal 10 2 16 2" xfId="22802" xr:uid="{00000000-0005-0000-0000-000010590000}"/>
    <cellStyle name="Normal 10 2 16 2 2" xfId="22803" xr:uid="{00000000-0005-0000-0000-000011590000}"/>
    <cellStyle name="Normal 10 2 16 3" xfId="22804" xr:uid="{00000000-0005-0000-0000-000012590000}"/>
    <cellStyle name="Normal 10 2 17" xfId="22805" xr:uid="{00000000-0005-0000-0000-000013590000}"/>
    <cellStyle name="Normal 10 2 17 2" xfId="22806" xr:uid="{00000000-0005-0000-0000-000014590000}"/>
    <cellStyle name="Normal 10 2 17 2 2" xfId="22807" xr:uid="{00000000-0005-0000-0000-000015590000}"/>
    <cellStyle name="Normal 10 2 17 3" xfId="22808" xr:uid="{00000000-0005-0000-0000-000016590000}"/>
    <cellStyle name="Normal 10 2 18" xfId="22809" xr:uid="{00000000-0005-0000-0000-000017590000}"/>
    <cellStyle name="Normal 10 2 18 2" xfId="22810" xr:uid="{00000000-0005-0000-0000-000018590000}"/>
    <cellStyle name="Normal 10 2 18 2 2" xfId="22811" xr:uid="{00000000-0005-0000-0000-000019590000}"/>
    <cellStyle name="Normal 10 2 18 3" xfId="22812" xr:uid="{00000000-0005-0000-0000-00001A590000}"/>
    <cellStyle name="Normal 10 2 19" xfId="22813" xr:uid="{00000000-0005-0000-0000-00001B590000}"/>
    <cellStyle name="Normal 10 2 19 2" xfId="22814" xr:uid="{00000000-0005-0000-0000-00001C590000}"/>
    <cellStyle name="Normal 10 2 2" xfId="22815" xr:uid="{00000000-0005-0000-0000-00001D590000}"/>
    <cellStyle name="Normal 10 2 2 10" xfId="22816" xr:uid="{00000000-0005-0000-0000-00001E590000}"/>
    <cellStyle name="Normal 10 2 2 10 2" xfId="22817" xr:uid="{00000000-0005-0000-0000-00001F590000}"/>
    <cellStyle name="Normal 10 2 2 10 2 2" xfId="22818" xr:uid="{00000000-0005-0000-0000-000020590000}"/>
    <cellStyle name="Normal 10 2 2 10 3" xfId="22819" xr:uid="{00000000-0005-0000-0000-000021590000}"/>
    <cellStyle name="Normal 10 2 2 11" xfId="22820" xr:uid="{00000000-0005-0000-0000-000022590000}"/>
    <cellStyle name="Normal 10 2 2 11 2" xfId="22821" xr:uid="{00000000-0005-0000-0000-000023590000}"/>
    <cellStyle name="Normal 10 2 2 11 2 2" xfId="22822" xr:uid="{00000000-0005-0000-0000-000024590000}"/>
    <cellStyle name="Normal 10 2 2 11 3" xfId="22823" xr:uid="{00000000-0005-0000-0000-000025590000}"/>
    <cellStyle name="Normal 10 2 2 12" xfId="22824" xr:uid="{00000000-0005-0000-0000-000026590000}"/>
    <cellStyle name="Normal 10 2 2 12 2" xfId="22825" xr:uid="{00000000-0005-0000-0000-000027590000}"/>
    <cellStyle name="Normal 10 2 2 12 2 2" xfId="22826" xr:uid="{00000000-0005-0000-0000-000028590000}"/>
    <cellStyle name="Normal 10 2 2 12 3" xfId="22827" xr:uid="{00000000-0005-0000-0000-000029590000}"/>
    <cellStyle name="Normal 10 2 2 13" xfId="22828" xr:uid="{00000000-0005-0000-0000-00002A590000}"/>
    <cellStyle name="Normal 10 2 2 13 2" xfId="22829" xr:uid="{00000000-0005-0000-0000-00002B590000}"/>
    <cellStyle name="Normal 10 2 2 14" xfId="22830" xr:uid="{00000000-0005-0000-0000-00002C590000}"/>
    <cellStyle name="Normal 10 2 2 2" xfId="22831" xr:uid="{00000000-0005-0000-0000-00002D590000}"/>
    <cellStyle name="Normal 10 2 2 2 2" xfId="22832" xr:uid="{00000000-0005-0000-0000-00002E590000}"/>
    <cellStyle name="Normal 10 2 2 2 2 2" xfId="22833" xr:uid="{00000000-0005-0000-0000-00002F590000}"/>
    <cellStyle name="Normal 10 2 2 2 2 2 2" xfId="22834" xr:uid="{00000000-0005-0000-0000-000030590000}"/>
    <cellStyle name="Normal 10 2 2 2 2 2 2 2" xfId="22835" xr:uid="{00000000-0005-0000-0000-000031590000}"/>
    <cellStyle name="Normal 10 2 2 2 2 2 3" xfId="22836" xr:uid="{00000000-0005-0000-0000-000032590000}"/>
    <cellStyle name="Normal 10 2 2 2 2 3" xfId="22837" xr:uid="{00000000-0005-0000-0000-000033590000}"/>
    <cellStyle name="Normal 10 2 2 2 2 3 2" xfId="22838" xr:uid="{00000000-0005-0000-0000-000034590000}"/>
    <cellStyle name="Normal 10 2 2 2 2 4" xfId="22839" xr:uid="{00000000-0005-0000-0000-000035590000}"/>
    <cellStyle name="Normal 10 2 2 2 3" xfId="22840" xr:uid="{00000000-0005-0000-0000-000036590000}"/>
    <cellStyle name="Normal 10 2 2 2 3 2" xfId="22841" xr:uid="{00000000-0005-0000-0000-000037590000}"/>
    <cellStyle name="Normal 10 2 2 2 3 2 2" xfId="22842" xr:uid="{00000000-0005-0000-0000-000038590000}"/>
    <cellStyle name="Normal 10 2 2 2 3 3" xfId="22843" xr:uid="{00000000-0005-0000-0000-000039590000}"/>
    <cellStyle name="Normal 10 2 2 2 4" xfId="22844" xr:uid="{00000000-0005-0000-0000-00003A590000}"/>
    <cellStyle name="Normal 10 2 2 2 4 2" xfId="22845" xr:uid="{00000000-0005-0000-0000-00003B590000}"/>
    <cellStyle name="Normal 10 2 2 2 4 2 2" xfId="22846" xr:uid="{00000000-0005-0000-0000-00003C590000}"/>
    <cellStyle name="Normal 10 2 2 2 4 3" xfId="22847" xr:uid="{00000000-0005-0000-0000-00003D590000}"/>
    <cellStyle name="Normal 10 2 2 2 5" xfId="22848" xr:uid="{00000000-0005-0000-0000-00003E590000}"/>
    <cellStyle name="Normal 10 2 2 2 5 2" xfId="22849" xr:uid="{00000000-0005-0000-0000-00003F590000}"/>
    <cellStyle name="Normal 10 2 2 2 5 2 2" xfId="22850" xr:uid="{00000000-0005-0000-0000-000040590000}"/>
    <cellStyle name="Normal 10 2 2 2 5 3" xfId="22851" xr:uid="{00000000-0005-0000-0000-000041590000}"/>
    <cellStyle name="Normal 10 2 2 2 6" xfId="22852" xr:uid="{00000000-0005-0000-0000-000042590000}"/>
    <cellStyle name="Normal 10 2 2 2 6 2" xfId="22853" xr:uid="{00000000-0005-0000-0000-000043590000}"/>
    <cellStyle name="Normal 10 2 2 2 6 2 2" xfId="22854" xr:uid="{00000000-0005-0000-0000-000044590000}"/>
    <cellStyle name="Normal 10 2 2 2 6 3" xfId="22855" xr:uid="{00000000-0005-0000-0000-000045590000}"/>
    <cellStyle name="Normal 10 2 2 2 7" xfId="22856" xr:uid="{00000000-0005-0000-0000-000046590000}"/>
    <cellStyle name="Normal 10 2 2 2 7 2" xfId="22857" xr:uid="{00000000-0005-0000-0000-000047590000}"/>
    <cellStyle name="Normal 10 2 2 2 8" xfId="22858" xr:uid="{00000000-0005-0000-0000-000048590000}"/>
    <cellStyle name="Normal 10 2 2 3" xfId="22859" xr:uid="{00000000-0005-0000-0000-000049590000}"/>
    <cellStyle name="Normal 10 2 2 3 2" xfId="22860" xr:uid="{00000000-0005-0000-0000-00004A590000}"/>
    <cellStyle name="Normal 10 2 2 3 2 2" xfId="22861" xr:uid="{00000000-0005-0000-0000-00004B590000}"/>
    <cellStyle name="Normal 10 2 2 3 2 2 2" xfId="22862" xr:uid="{00000000-0005-0000-0000-00004C590000}"/>
    <cellStyle name="Normal 10 2 2 3 2 2 2 2" xfId="22863" xr:uid="{00000000-0005-0000-0000-00004D590000}"/>
    <cellStyle name="Normal 10 2 2 3 2 2 3" xfId="22864" xr:uid="{00000000-0005-0000-0000-00004E590000}"/>
    <cellStyle name="Normal 10 2 2 3 2 3" xfId="22865" xr:uid="{00000000-0005-0000-0000-00004F590000}"/>
    <cellStyle name="Normal 10 2 2 3 2 3 2" xfId="22866" xr:uid="{00000000-0005-0000-0000-000050590000}"/>
    <cellStyle name="Normal 10 2 2 3 2 4" xfId="22867" xr:uid="{00000000-0005-0000-0000-000051590000}"/>
    <cellStyle name="Normal 10 2 2 3 3" xfId="22868" xr:uid="{00000000-0005-0000-0000-000052590000}"/>
    <cellStyle name="Normal 10 2 2 3 3 2" xfId="22869" xr:uid="{00000000-0005-0000-0000-000053590000}"/>
    <cellStyle name="Normal 10 2 2 3 3 2 2" xfId="22870" xr:uid="{00000000-0005-0000-0000-000054590000}"/>
    <cellStyle name="Normal 10 2 2 3 3 3" xfId="22871" xr:uid="{00000000-0005-0000-0000-000055590000}"/>
    <cellStyle name="Normal 10 2 2 3 4" xfId="22872" xr:uid="{00000000-0005-0000-0000-000056590000}"/>
    <cellStyle name="Normal 10 2 2 3 4 2" xfId="22873" xr:uid="{00000000-0005-0000-0000-000057590000}"/>
    <cellStyle name="Normal 10 2 2 3 4 2 2" xfId="22874" xr:uid="{00000000-0005-0000-0000-000058590000}"/>
    <cellStyle name="Normal 10 2 2 3 4 3" xfId="22875" xr:uid="{00000000-0005-0000-0000-000059590000}"/>
    <cellStyle name="Normal 10 2 2 3 5" xfId="22876" xr:uid="{00000000-0005-0000-0000-00005A590000}"/>
    <cellStyle name="Normal 10 2 2 3 5 2" xfId="22877" xr:uid="{00000000-0005-0000-0000-00005B590000}"/>
    <cellStyle name="Normal 10 2 2 3 5 2 2" xfId="22878" xr:uid="{00000000-0005-0000-0000-00005C590000}"/>
    <cellStyle name="Normal 10 2 2 3 5 3" xfId="22879" xr:uid="{00000000-0005-0000-0000-00005D590000}"/>
    <cellStyle name="Normal 10 2 2 3 6" xfId="22880" xr:uid="{00000000-0005-0000-0000-00005E590000}"/>
    <cellStyle name="Normal 10 2 2 3 6 2" xfId="22881" xr:uid="{00000000-0005-0000-0000-00005F590000}"/>
    <cellStyle name="Normal 10 2 2 3 6 2 2" xfId="22882" xr:uid="{00000000-0005-0000-0000-000060590000}"/>
    <cellStyle name="Normal 10 2 2 3 6 3" xfId="22883" xr:uid="{00000000-0005-0000-0000-000061590000}"/>
    <cellStyle name="Normal 10 2 2 3 7" xfId="22884" xr:uid="{00000000-0005-0000-0000-000062590000}"/>
    <cellStyle name="Normal 10 2 2 3 7 2" xfId="22885" xr:uid="{00000000-0005-0000-0000-000063590000}"/>
    <cellStyle name="Normal 10 2 2 3 8" xfId="22886" xr:uid="{00000000-0005-0000-0000-000064590000}"/>
    <cellStyle name="Normal 10 2 2 4" xfId="22887" xr:uid="{00000000-0005-0000-0000-000065590000}"/>
    <cellStyle name="Normal 10 2 2 4 2" xfId="22888" xr:uid="{00000000-0005-0000-0000-000066590000}"/>
    <cellStyle name="Normal 10 2 2 4 2 2" xfId="22889" xr:uid="{00000000-0005-0000-0000-000067590000}"/>
    <cellStyle name="Normal 10 2 2 4 2 2 2" xfId="22890" xr:uid="{00000000-0005-0000-0000-000068590000}"/>
    <cellStyle name="Normal 10 2 2 4 2 2 2 2" xfId="22891" xr:uid="{00000000-0005-0000-0000-000069590000}"/>
    <cellStyle name="Normal 10 2 2 4 2 2 3" xfId="22892" xr:uid="{00000000-0005-0000-0000-00006A590000}"/>
    <cellStyle name="Normal 10 2 2 4 2 3" xfId="22893" xr:uid="{00000000-0005-0000-0000-00006B590000}"/>
    <cellStyle name="Normal 10 2 2 4 2 3 2" xfId="22894" xr:uid="{00000000-0005-0000-0000-00006C590000}"/>
    <cellStyle name="Normal 10 2 2 4 2 4" xfId="22895" xr:uid="{00000000-0005-0000-0000-00006D590000}"/>
    <cellStyle name="Normal 10 2 2 4 3" xfId="22896" xr:uid="{00000000-0005-0000-0000-00006E590000}"/>
    <cellStyle name="Normal 10 2 2 4 3 2" xfId="22897" xr:uid="{00000000-0005-0000-0000-00006F590000}"/>
    <cellStyle name="Normal 10 2 2 4 3 2 2" xfId="22898" xr:uid="{00000000-0005-0000-0000-000070590000}"/>
    <cellStyle name="Normal 10 2 2 4 3 3" xfId="22899" xr:uid="{00000000-0005-0000-0000-000071590000}"/>
    <cellStyle name="Normal 10 2 2 4 4" xfId="22900" xr:uid="{00000000-0005-0000-0000-000072590000}"/>
    <cellStyle name="Normal 10 2 2 4 4 2" xfId="22901" xr:uid="{00000000-0005-0000-0000-000073590000}"/>
    <cellStyle name="Normal 10 2 2 4 4 2 2" xfId="22902" xr:uid="{00000000-0005-0000-0000-000074590000}"/>
    <cellStyle name="Normal 10 2 2 4 4 3" xfId="22903" xr:uid="{00000000-0005-0000-0000-000075590000}"/>
    <cellStyle name="Normal 10 2 2 4 5" xfId="22904" xr:uid="{00000000-0005-0000-0000-000076590000}"/>
    <cellStyle name="Normal 10 2 2 4 5 2" xfId="22905" xr:uid="{00000000-0005-0000-0000-000077590000}"/>
    <cellStyle name="Normal 10 2 2 4 5 2 2" xfId="22906" xr:uid="{00000000-0005-0000-0000-000078590000}"/>
    <cellStyle name="Normal 10 2 2 4 5 3" xfId="22907" xr:uid="{00000000-0005-0000-0000-000079590000}"/>
    <cellStyle name="Normal 10 2 2 4 6" xfId="22908" xr:uid="{00000000-0005-0000-0000-00007A590000}"/>
    <cellStyle name="Normal 10 2 2 4 6 2" xfId="22909" xr:uid="{00000000-0005-0000-0000-00007B590000}"/>
    <cellStyle name="Normal 10 2 2 4 6 2 2" xfId="22910" xr:uid="{00000000-0005-0000-0000-00007C590000}"/>
    <cellStyle name="Normal 10 2 2 4 6 3" xfId="22911" xr:uid="{00000000-0005-0000-0000-00007D590000}"/>
    <cellStyle name="Normal 10 2 2 4 7" xfId="22912" xr:uid="{00000000-0005-0000-0000-00007E590000}"/>
    <cellStyle name="Normal 10 2 2 4 7 2" xfId="22913" xr:uid="{00000000-0005-0000-0000-00007F590000}"/>
    <cellStyle name="Normal 10 2 2 4 8" xfId="22914" xr:uid="{00000000-0005-0000-0000-000080590000}"/>
    <cellStyle name="Normal 10 2 2 5" xfId="22915" xr:uid="{00000000-0005-0000-0000-000081590000}"/>
    <cellStyle name="Normal 10 2 2 5 2" xfId="22916" xr:uid="{00000000-0005-0000-0000-000082590000}"/>
    <cellStyle name="Normal 10 2 2 5 2 2" xfId="22917" xr:uid="{00000000-0005-0000-0000-000083590000}"/>
    <cellStyle name="Normal 10 2 2 5 2 2 2" xfId="22918" xr:uid="{00000000-0005-0000-0000-000084590000}"/>
    <cellStyle name="Normal 10 2 2 5 2 2 2 2" xfId="22919" xr:uid="{00000000-0005-0000-0000-000085590000}"/>
    <cellStyle name="Normal 10 2 2 5 2 2 3" xfId="22920" xr:uid="{00000000-0005-0000-0000-000086590000}"/>
    <cellStyle name="Normal 10 2 2 5 2 3" xfId="22921" xr:uid="{00000000-0005-0000-0000-000087590000}"/>
    <cellStyle name="Normal 10 2 2 5 2 3 2" xfId="22922" xr:uid="{00000000-0005-0000-0000-000088590000}"/>
    <cellStyle name="Normal 10 2 2 5 2 4" xfId="22923" xr:uid="{00000000-0005-0000-0000-000089590000}"/>
    <cellStyle name="Normal 10 2 2 5 3" xfId="22924" xr:uid="{00000000-0005-0000-0000-00008A590000}"/>
    <cellStyle name="Normal 10 2 2 5 3 2" xfId="22925" xr:uid="{00000000-0005-0000-0000-00008B590000}"/>
    <cellStyle name="Normal 10 2 2 5 3 2 2" xfId="22926" xr:uid="{00000000-0005-0000-0000-00008C590000}"/>
    <cellStyle name="Normal 10 2 2 5 3 3" xfId="22927" xr:uid="{00000000-0005-0000-0000-00008D590000}"/>
    <cellStyle name="Normal 10 2 2 5 4" xfId="22928" xr:uid="{00000000-0005-0000-0000-00008E590000}"/>
    <cellStyle name="Normal 10 2 2 5 4 2" xfId="22929" xr:uid="{00000000-0005-0000-0000-00008F590000}"/>
    <cellStyle name="Normal 10 2 2 5 5" xfId="22930" xr:uid="{00000000-0005-0000-0000-000090590000}"/>
    <cellStyle name="Normal 10 2 2 6" xfId="22931" xr:uid="{00000000-0005-0000-0000-000091590000}"/>
    <cellStyle name="Normal 10 2 2 6 2" xfId="22932" xr:uid="{00000000-0005-0000-0000-000092590000}"/>
    <cellStyle name="Normal 10 2 2 6 2 2" xfId="22933" xr:uid="{00000000-0005-0000-0000-000093590000}"/>
    <cellStyle name="Normal 10 2 2 6 2 2 2" xfId="22934" xr:uid="{00000000-0005-0000-0000-000094590000}"/>
    <cellStyle name="Normal 10 2 2 6 2 2 2 2" xfId="22935" xr:uid="{00000000-0005-0000-0000-000095590000}"/>
    <cellStyle name="Normal 10 2 2 6 2 2 3" xfId="22936" xr:uid="{00000000-0005-0000-0000-000096590000}"/>
    <cellStyle name="Normal 10 2 2 6 2 3" xfId="22937" xr:uid="{00000000-0005-0000-0000-000097590000}"/>
    <cellStyle name="Normal 10 2 2 6 2 3 2" xfId="22938" xr:uid="{00000000-0005-0000-0000-000098590000}"/>
    <cellStyle name="Normal 10 2 2 6 2 4" xfId="22939" xr:uid="{00000000-0005-0000-0000-000099590000}"/>
    <cellStyle name="Normal 10 2 2 6 3" xfId="22940" xr:uid="{00000000-0005-0000-0000-00009A590000}"/>
    <cellStyle name="Normal 10 2 2 6 3 2" xfId="22941" xr:uid="{00000000-0005-0000-0000-00009B590000}"/>
    <cellStyle name="Normal 10 2 2 6 3 2 2" xfId="22942" xr:uid="{00000000-0005-0000-0000-00009C590000}"/>
    <cellStyle name="Normal 10 2 2 6 3 3" xfId="22943" xr:uid="{00000000-0005-0000-0000-00009D590000}"/>
    <cellStyle name="Normal 10 2 2 6 4" xfId="22944" xr:uid="{00000000-0005-0000-0000-00009E590000}"/>
    <cellStyle name="Normal 10 2 2 6 4 2" xfId="22945" xr:uid="{00000000-0005-0000-0000-00009F590000}"/>
    <cellStyle name="Normal 10 2 2 6 5" xfId="22946" xr:uid="{00000000-0005-0000-0000-0000A0590000}"/>
    <cellStyle name="Normal 10 2 2 7" xfId="22947" xr:uid="{00000000-0005-0000-0000-0000A1590000}"/>
    <cellStyle name="Normal 10 2 2 7 2" xfId="22948" xr:uid="{00000000-0005-0000-0000-0000A2590000}"/>
    <cellStyle name="Normal 10 2 2 7 2 2" xfId="22949" xr:uid="{00000000-0005-0000-0000-0000A3590000}"/>
    <cellStyle name="Normal 10 2 2 7 2 2 2" xfId="22950" xr:uid="{00000000-0005-0000-0000-0000A4590000}"/>
    <cellStyle name="Normal 10 2 2 7 2 3" xfId="22951" xr:uid="{00000000-0005-0000-0000-0000A5590000}"/>
    <cellStyle name="Normal 10 2 2 7 3" xfId="22952" xr:uid="{00000000-0005-0000-0000-0000A6590000}"/>
    <cellStyle name="Normal 10 2 2 7 3 2" xfId="22953" xr:uid="{00000000-0005-0000-0000-0000A7590000}"/>
    <cellStyle name="Normal 10 2 2 7 4" xfId="22954" xr:uid="{00000000-0005-0000-0000-0000A8590000}"/>
    <cellStyle name="Normal 10 2 2 8" xfId="22955" xr:uid="{00000000-0005-0000-0000-0000A9590000}"/>
    <cellStyle name="Normal 10 2 2 8 2" xfId="22956" xr:uid="{00000000-0005-0000-0000-0000AA590000}"/>
    <cellStyle name="Normal 10 2 2 8 2 2" xfId="22957" xr:uid="{00000000-0005-0000-0000-0000AB590000}"/>
    <cellStyle name="Normal 10 2 2 8 2 2 2" xfId="22958" xr:uid="{00000000-0005-0000-0000-0000AC590000}"/>
    <cellStyle name="Normal 10 2 2 8 2 3" xfId="22959" xr:uid="{00000000-0005-0000-0000-0000AD590000}"/>
    <cellStyle name="Normal 10 2 2 8 3" xfId="22960" xr:uid="{00000000-0005-0000-0000-0000AE590000}"/>
    <cellStyle name="Normal 10 2 2 8 3 2" xfId="22961" xr:uid="{00000000-0005-0000-0000-0000AF590000}"/>
    <cellStyle name="Normal 10 2 2 8 4" xfId="22962" xr:uid="{00000000-0005-0000-0000-0000B0590000}"/>
    <cellStyle name="Normal 10 2 2 9" xfId="22963" xr:uid="{00000000-0005-0000-0000-0000B1590000}"/>
    <cellStyle name="Normal 10 2 2 9 2" xfId="22964" xr:uid="{00000000-0005-0000-0000-0000B2590000}"/>
    <cellStyle name="Normal 10 2 2 9 2 2" xfId="22965" xr:uid="{00000000-0005-0000-0000-0000B3590000}"/>
    <cellStyle name="Normal 10 2 2 9 3" xfId="22966" xr:uid="{00000000-0005-0000-0000-0000B4590000}"/>
    <cellStyle name="Normal 10 2 20" xfId="22967" xr:uid="{00000000-0005-0000-0000-0000B5590000}"/>
    <cellStyle name="Normal 10 2 3" xfId="22968" xr:uid="{00000000-0005-0000-0000-0000B6590000}"/>
    <cellStyle name="Normal 10 2 3 10" xfId="22969" xr:uid="{00000000-0005-0000-0000-0000B7590000}"/>
    <cellStyle name="Normal 10 2 3 10 2" xfId="22970" xr:uid="{00000000-0005-0000-0000-0000B8590000}"/>
    <cellStyle name="Normal 10 2 3 10 2 2" xfId="22971" xr:uid="{00000000-0005-0000-0000-0000B9590000}"/>
    <cellStyle name="Normal 10 2 3 10 3" xfId="22972" xr:uid="{00000000-0005-0000-0000-0000BA590000}"/>
    <cellStyle name="Normal 10 2 3 11" xfId="22973" xr:uid="{00000000-0005-0000-0000-0000BB590000}"/>
    <cellStyle name="Normal 10 2 3 11 2" xfId="22974" xr:uid="{00000000-0005-0000-0000-0000BC590000}"/>
    <cellStyle name="Normal 10 2 3 11 2 2" xfId="22975" xr:uid="{00000000-0005-0000-0000-0000BD590000}"/>
    <cellStyle name="Normal 10 2 3 11 3" xfId="22976" xr:uid="{00000000-0005-0000-0000-0000BE590000}"/>
    <cellStyle name="Normal 10 2 3 12" xfId="22977" xr:uid="{00000000-0005-0000-0000-0000BF590000}"/>
    <cellStyle name="Normal 10 2 3 12 2" xfId="22978" xr:uid="{00000000-0005-0000-0000-0000C0590000}"/>
    <cellStyle name="Normal 10 2 3 12 2 2" xfId="22979" xr:uid="{00000000-0005-0000-0000-0000C1590000}"/>
    <cellStyle name="Normal 10 2 3 12 3" xfId="22980" xr:uid="{00000000-0005-0000-0000-0000C2590000}"/>
    <cellStyle name="Normal 10 2 3 13" xfId="22981" xr:uid="{00000000-0005-0000-0000-0000C3590000}"/>
    <cellStyle name="Normal 10 2 3 13 2" xfId="22982" xr:uid="{00000000-0005-0000-0000-0000C4590000}"/>
    <cellStyle name="Normal 10 2 3 14" xfId="22983" xr:uid="{00000000-0005-0000-0000-0000C5590000}"/>
    <cellStyle name="Normal 10 2 3 2" xfId="22984" xr:uid="{00000000-0005-0000-0000-0000C6590000}"/>
    <cellStyle name="Normal 10 2 3 2 2" xfId="22985" xr:uid="{00000000-0005-0000-0000-0000C7590000}"/>
    <cellStyle name="Normal 10 2 3 2 2 2" xfId="22986" xr:uid="{00000000-0005-0000-0000-0000C8590000}"/>
    <cellStyle name="Normal 10 2 3 2 2 2 2" xfId="22987" xr:uid="{00000000-0005-0000-0000-0000C9590000}"/>
    <cellStyle name="Normal 10 2 3 2 2 2 2 2" xfId="22988" xr:uid="{00000000-0005-0000-0000-0000CA590000}"/>
    <cellStyle name="Normal 10 2 3 2 2 2 3" xfId="22989" xr:uid="{00000000-0005-0000-0000-0000CB590000}"/>
    <cellStyle name="Normal 10 2 3 2 2 3" xfId="22990" xr:uid="{00000000-0005-0000-0000-0000CC590000}"/>
    <cellStyle name="Normal 10 2 3 2 2 3 2" xfId="22991" xr:uid="{00000000-0005-0000-0000-0000CD590000}"/>
    <cellStyle name="Normal 10 2 3 2 2 4" xfId="22992" xr:uid="{00000000-0005-0000-0000-0000CE590000}"/>
    <cellStyle name="Normal 10 2 3 2 3" xfId="22993" xr:uid="{00000000-0005-0000-0000-0000CF590000}"/>
    <cellStyle name="Normal 10 2 3 2 3 2" xfId="22994" xr:uid="{00000000-0005-0000-0000-0000D0590000}"/>
    <cellStyle name="Normal 10 2 3 2 3 2 2" xfId="22995" xr:uid="{00000000-0005-0000-0000-0000D1590000}"/>
    <cellStyle name="Normal 10 2 3 2 3 3" xfId="22996" xr:uid="{00000000-0005-0000-0000-0000D2590000}"/>
    <cellStyle name="Normal 10 2 3 2 4" xfId="22997" xr:uid="{00000000-0005-0000-0000-0000D3590000}"/>
    <cellStyle name="Normal 10 2 3 2 4 2" xfId="22998" xr:uid="{00000000-0005-0000-0000-0000D4590000}"/>
    <cellStyle name="Normal 10 2 3 2 4 2 2" xfId="22999" xr:uid="{00000000-0005-0000-0000-0000D5590000}"/>
    <cellStyle name="Normal 10 2 3 2 4 3" xfId="23000" xr:uid="{00000000-0005-0000-0000-0000D6590000}"/>
    <cellStyle name="Normal 10 2 3 2 5" xfId="23001" xr:uid="{00000000-0005-0000-0000-0000D7590000}"/>
    <cellStyle name="Normal 10 2 3 2 5 2" xfId="23002" xr:uid="{00000000-0005-0000-0000-0000D8590000}"/>
    <cellStyle name="Normal 10 2 3 2 5 2 2" xfId="23003" xr:uid="{00000000-0005-0000-0000-0000D9590000}"/>
    <cellStyle name="Normal 10 2 3 2 5 3" xfId="23004" xr:uid="{00000000-0005-0000-0000-0000DA590000}"/>
    <cellStyle name="Normal 10 2 3 2 6" xfId="23005" xr:uid="{00000000-0005-0000-0000-0000DB590000}"/>
    <cellStyle name="Normal 10 2 3 2 6 2" xfId="23006" xr:uid="{00000000-0005-0000-0000-0000DC590000}"/>
    <cellStyle name="Normal 10 2 3 2 6 2 2" xfId="23007" xr:uid="{00000000-0005-0000-0000-0000DD590000}"/>
    <cellStyle name="Normal 10 2 3 2 6 3" xfId="23008" xr:uid="{00000000-0005-0000-0000-0000DE590000}"/>
    <cellStyle name="Normal 10 2 3 2 7" xfId="23009" xr:uid="{00000000-0005-0000-0000-0000DF590000}"/>
    <cellStyle name="Normal 10 2 3 2 7 2" xfId="23010" xr:uid="{00000000-0005-0000-0000-0000E0590000}"/>
    <cellStyle name="Normal 10 2 3 2 8" xfId="23011" xr:uid="{00000000-0005-0000-0000-0000E1590000}"/>
    <cellStyle name="Normal 10 2 3 3" xfId="23012" xr:uid="{00000000-0005-0000-0000-0000E2590000}"/>
    <cellStyle name="Normal 10 2 3 3 2" xfId="23013" xr:uid="{00000000-0005-0000-0000-0000E3590000}"/>
    <cellStyle name="Normal 10 2 3 3 2 2" xfId="23014" xr:uid="{00000000-0005-0000-0000-0000E4590000}"/>
    <cellStyle name="Normal 10 2 3 3 2 2 2" xfId="23015" xr:uid="{00000000-0005-0000-0000-0000E5590000}"/>
    <cellStyle name="Normal 10 2 3 3 2 2 2 2" xfId="23016" xr:uid="{00000000-0005-0000-0000-0000E6590000}"/>
    <cellStyle name="Normal 10 2 3 3 2 2 3" xfId="23017" xr:uid="{00000000-0005-0000-0000-0000E7590000}"/>
    <cellStyle name="Normal 10 2 3 3 2 3" xfId="23018" xr:uid="{00000000-0005-0000-0000-0000E8590000}"/>
    <cellStyle name="Normal 10 2 3 3 2 3 2" xfId="23019" xr:uid="{00000000-0005-0000-0000-0000E9590000}"/>
    <cellStyle name="Normal 10 2 3 3 2 4" xfId="23020" xr:uid="{00000000-0005-0000-0000-0000EA590000}"/>
    <cellStyle name="Normal 10 2 3 3 3" xfId="23021" xr:uid="{00000000-0005-0000-0000-0000EB590000}"/>
    <cellStyle name="Normal 10 2 3 3 3 2" xfId="23022" xr:uid="{00000000-0005-0000-0000-0000EC590000}"/>
    <cellStyle name="Normal 10 2 3 3 3 2 2" xfId="23023" xr:uid="{00000000-0005-0000-0000-0000ED590000}"/>
    <cellStyle name="Normal 10 2 3 3 3 3" xfId="23024" xr:uid="{00000000-0005-0000-0000-0000EE590000}"/>
    <cellStyle name="Normal 10 2 3 3 4" xfId="23025" xr:uid="{00000000-0005-0000-0000-0000EF590000}"/>
    <cellStyle name="Normal 10 2 3 3 4 2" xfId="23026" xr:uid="{00000000-0005-0000-0000-0000F0590000}"/>
    <cellStyle name="Normal 10 2 3 3 4 2 2" xfId="23027" xr:uid="{00000000-0005-0000-0000-0000F1590000}"/>
    <cellStyle name="Normal 10 2 3 3 4 3" xfId="23028" xr:uid="{00000000-0005-0000-0000-0000F2590000}"/>
    <cellStyle name="Normal 10 2 3 3 5" xfId="23029" xr:uid="{00000000-0005-0000-0000-0000F3590000}"/>
    <cellStyle name="Normal 10 2 3 3 5 2" xfId="23030" xr:uid="{00000000-0005-0000-0000-0000F4590000}"/>
    <cellStyle name="Normal 10 2 3 3 5 2 2" xfId="23031" xr:uid="{00000000-0005-0000-0000-0000F5590000}"/>
    <cellStyle name="Normal 10 2 3 3 5 3" xfId="23032" xr:uid="{00000000-0005-0000-0000-0000F6590000}"/>
    <cellStyle name="Normal 10 2 3 3 6" xfId="23033" xr:uid="{00000000-0005-0000-0000-0000F7590000}"/>
    <cellStyle name="Normal 10 2 3 3 6 2" xfId="23034" xr:uid="{00000000-0005-0000-0000-0000F8590000}"/>
    <cellStyle name="Normal 10 2 3 3 6 2 2" xfId="23035" xr:uid="{00000000-0005-0000-0000-0000F9590000}"/>
    <cellStyle name="Normal 10 2 3 3 6 3" xfId="23036" xr:uid="{00000000-0005-0000-0000-0000FA590000}"/>
    <cellStyle name="Normal 10 2 3 3 7" xfId="23037" xr:uid="{00000000-0005-0000-0000-0000FB590000}"/>
    <cellStyle name="Normal 10 2 3 3 7 2" xfId="23038" xr:uid="{00000000-0005-0000-0000-0000FC590000}"/>
    <cellStyle name="Normal 10 2 3 3 8" xfId="23039" xr:uid="{00000000-0005-0000-0000-0000FD590000}"/>
    <cellStyle name="Normal 10 2 3 4" xfId="23040" xr:uid="{00000000-0005-0000-0000-0000FE590000}"/>
    <cellStyle name="Normal 10 2 3 4 2" xfId="23041" xr:uid="{00000000-0005-0000-0000-0000FF590000}"/>
    <cellStyle name="Normal 10 2 3 4 2 2" xfId="23042" xr:uid="{00000000-0005-0000-0000-0000005A0000}"/>
    <cellStyle name="Normal 10 2 3 4 2 2 2" xfId="23043" xr:uid="{00000000-0005-0000-0000-0000015A0000}"/>
    <cellStyle name="Normal 10 2 3 4 2 2 2 2" xfId="23044" xr:uid="{00000000-0005-0000-0000-0000025A0000}"/>
    <cellStyle name="Normal 10 2 3 4 2 2 3" xfId="23045" xr:uid="{00000000-0005-0000-0000-0000035A0000}"/>
    <cellStyle name="Normal 10 2 3 4 2 3" xfId="23046" xr:uid="{00000000-0005-0000-0000-0000045A0000}"/>
    <cellStyle name="Normal 10 2 3 4 2 3 2" xfId="23047" xr:uid="{00000000-0005-0000-0000-0000055A0000}"/>
    <cellStyle name="Normal 10 2 3 4 2 4" xfId="23048" xr:uid="{00000000-0005-0000-0000-0000065A0000}"/>
    <cellStyle name="Normal 10 2 3 4 3" xfId="23049" xr:uid="{00000000-0005-0000-0000-0000075A0000}"/>
    <cellStyle name="Normal 10 2 3 4 3 2" xfId="23050" xr:uid="{00000000-0005-0000-0000-0000085A0000}"/>
    <cellStyle name="Normal 10 2 3 4 3 2 2" xfId="23051" xr:uid="{00000000-0005-0000-0000-0000095A0000}"/>
    <cellStyle name="Normal 10 2 3 4 3 3" xfId="23052" xr:uid="{00000000-0005-0000-0000-00000A5A0000}"/>
    <cellStyle name="Normal 10 2 3 4 4" xfId="23053" xr:uid="{00000000-0005-0000-0000-00000B5A0000}"/>
    <cellStyle name="Normal 10 2 3 4 4 2" xfId="23054" xr:uid="{00000000-0005-0000-0000-00000C5A0000}"/>
    <cellStyle name="Normal 10 2 3 4 4 2 2" xfId="23055" xr:uid="{00000000-0005-0000-0000-00000D5A0000}"/>
    <cellStyle name="Normal 10 2 3 4 4 3" xfId="23056" xr:uid="{00000000-0005-0000-0000-00000E5A0000}"/>
    <cellStyle name="Normal 10 2 3 4 5" xfId="23057" xr:uid="{00000000-0005-0000-0000-00000F5A0000}"/>
    <cellStyle name="Normal 10 2 3 4 5 2" xfId="23058" xr:uid="{00000000-0005-0000-0000-0000105A0000}"/>
    <cellStyle name="Normal 10 2 3 4 5 2 2" xfId="23059" xr:uid="{00000000-0005-0000-0000-0000115A0000}"/>
    <cellStyle name="Normal 10 2 3 4 5 3" xfId="23060" xr:uid="{00000000-0005-0000-0000-0000125A0000}"/>
    <cellStyle name="Normal 10 2 3 4 6" xfId="23061" xr:uid="{00000000-0005-0000-0000-0000135A0000}"/>
    <cellStyle name="Normal 10 2 3 4 6 2" xfId="23062" xr:uid="{00000000-0005-0000-0000-0000145A0000}"/>
    <cellStyle name="Normal 10 2 3 4 6 2 2" xfId="23063" xr:uid="{00000000-0005-0000-0000-0000155A0000}"/>
    <cellStyle name="Normal 10 2 3 4 6 3" xfId="23064" xr:uid="{00000000-0005-0000-0000-0000165A0000}"/>
    <cellStyle name="Normal 10 2 3 4 7" xfId="23065" xr:uid="{00000000-0005-0000-0000-0000175A0000}"/>
    <cellStyle name="Normal 10 2 3 4 7 2" xfId="23066" xr:uid="{00000000-0005-0000-0000-0000185A0000}"/>
    <cellStyle name="Normal 10 2 3 4 8" xfId="23067" xr:uid="{00000000-0005-0000-0000-0000195A0000}"/>
    <cellStyle name="Normal 10 2 3 5" xfId="23068" xr:uid="{00000000-0005-0000-0000-00001A5A0000}"/>
    <cellStyle name="Normal 10 2 3 5 2" xfId="23069" xr:uid="{00000000-0005-0000-0000-00001B5A0000}"/>
    <cellStyle name="Normal 10 2 3 5 2 2" xfId="23070" xr:uid="{00000000-0005-0000-0000-00001C5A0000}"/>
    <cellStyle name="Normal 10 2 3 5 2 2 2" xfId="23071" xr:uid="{00000000-0005-0000-0000-00001D5A0000}"/>
    <cellStyle name="Normal 10 2 3 5 2 2 2 2" xfId="23072" xr:uid="{00000000-0005-0000-0000-00001E5A0000}"/>
    <cellStyle name="Normal 10 2 3 5 2 2 3" xfId="23073" xr:uid="{00000000-0005-0000-0000-00001F5A0000}"/>
    <cellStyle name="Normal 10 2 3 5 2 3" xfId="23074" xr:uid="{00000000-0005-0000-0000-0000205A0000}"/>
    <cellStyle name="Normal 10 2 3 5 2 3 2" xfId="23075" xr:uid="{00000000-0005-0000-0000-0000215A0000}"/>
    <cellStyle name="Normal 10 2 3 5 2 4" xfId="23076" xr:uid="{00000000-0005-0000-0000-0000225A0000}"/>
    <cellStyle name="Normal 10 2 3 5 3" xfId="23077" xr:uid="{00000000-0005-0000-0000-0000235A0000}"/>
    <cellStyle name="Normal 10 2 3 5 3 2" xfId="23078" xr:uid="{00000000-0005-0000-0000-0000245A0000}"/>
    <cellStyle name="Normal 10 2 3 5 3 2 2" xfId="23079" xr:uid="{00000000-0005-0000-0000-0000255A0000}"/>
    <cellStyle name="Normal 10 2 3 5 3 3" xfId="23080" xr:uid="{00000000-0005-0000-0000-0000265A0000}"/>
    <cellStyle name="Normal 10 2 3 5 4" xfId="23081" xr:uid="{00000000-0005-0000-0000-0000275A0000}"/>
    <cellStyle name="Normal 10 2 3 5 4 2" xfId="23082" xr:uid="{00000000-0005-0000-0000-0000285A0000}"/>
    <cellStyle name="Normal 10 2 3 5 5" xfId="23083" xr:uid="{00000000-0005-0000-0000-0000295A0000}"/>
    <cellStyle name="Normal 10 2 3 6" xfId="23084" xr:uid="{00000000-0005-0000-0000-00002A5A0000}"/>
    <cellStyle name="Normal 10 2 3 6 2" xfId="23085" xr:uid="{00000000-0005-0000-0000-00002B5A0000}"/>
    <cellStyle name="Normal 10 2 3 6 2 2" xfId="23086" xr:uid="{00000000-0005-0000-0000-00002C5A0000}"/>
    <cellStyle name="Normal 10 2 3 6 2 2 2" xfId="23087" xr:uid="{00000000-0005-0000-0000-00002D5A0000}"/>
    <cellStyle name="Normal 10 2 3 6 2 2 2 2" xfId="23088" xr:uid="{00000000-0005-0000-0000-00002E5A0000}"/>
    <cellStyle name="Normal 10 2 3 6 2 2 3" xfId="23089" xr:uid="{00000000-0005-0000-0000-00002F5A0000}"/>
    <cellStyle name="Normal 10 2 3 6 2 3" xfId="23090" xr:uid="{00000000-0005-0000-0000-0000305A0000}"/>
    <cellStyle name="Normal 10 2 3 6 2 3 2" xfId="23091" xr:uid="{00000000-0005-0000-0000-0000315A0000}"/>
    <cellStyle name="Normal 10 2 3 6 2 4" xfId="23092" xr:uid="{00000000-0005-0000-0000-0000325A0000}"/>
    <cellStyle name="Normal 10 2 3 6 3" xfId="23093" xr:uid="{00000000-0005-0000-0000-0000335A0000}"/>
    <cellStyle name="Normal 10 2 3 6 3 2" xfId="23094" xr:uid="{00000000-0005-0000-0000-0000345A0000}"/>
    <cellStyle name="Normal 10 2 3 6 3 2 2" xfId="23095" xr:uid="{00000000-0005-0000-0000-0000355A0000}"/>
    <cellStyle name="Normal 10 2 3 6 3 3" xfId="23096" xr:uid="{00000000-0005-0000-0000-0000365A0000}"/>
    <cellStyle name="Normal 10 2 3 6 4" xfId="23097" xr:uid="{00000000-0005-0000-0000-0000375A0000}"/>
    <cellStyle name="Normal 10 2 3 6 4 2" xfId="23098" xr:uid="{00000000-0005-0000-0000-0000385A0000}"/>
    <cellStyle name="Normal 10 2 3 6 5" xfId="23099" xr:uid="{00000000-0005-0000-0000-0000395A0000}"/>
    <cellStyle name="Normal 10 2 3 7" xfId="23100" xr:uid="{00000000-0005-0000-0000-00003A5A0000}"/>
    <cellStyle name="Normal 10 2 3 7 2" xfId="23101" xr:uid="{00000000-0005-0000-0000-00003B5A0000}"/>
    <cellStyle name="Normal 10 2 3 7 2 2" xfId="23102" xr:uid="{00000000-0005-0000-0000-00003C5A0000}"/>
    <cellStyle name="Normal 10 2 3 7 2 2 2" xfId="23103" xr:uid="{00000000-0005-0000-0000-00003D5A0000}"/>
    <cellStyle name="Normal 10 2 3 7 2 3" xfId="23104" xr:uid="{00000000-0005-0000-0000-00003E5A0000}"/>
    <cellStyle name="Normal 10 2 3 7 3" xfId="23105" xr:uid="{00000000-0005-0000-0000-00003F5A0000}"/>
    <cellStyle name="Normal 10 2 3 7 3 2" xfId="23106" xr:uid="{00000000-0005-0000-0000-0000405A0000}"/>
    <cellStyle name="Normal 10 2 3 7 4" xfId="23107" xr:uid="{00000000-0005-0000-0000-0000415A0000}"/>
    <cellStyle name="Normal 10 2 3 8" xfId="23108" xr:uid="{00000000-0005-0000-0000-0000425A0000}"/>
    <cellStyle name="Normal 10 2 3 8 2" xfId="23109" xr:uid="{00000000-0005-0000-0000-0000435A0000}"/>
    <cellStyle name="Normal 10 2 3 8 2 2" xfId="23110" xr:uid="{00000000-0005-0000-0000-0000445A0000}"/>
    <cellStyle name="Normal 10 2 3 8 2 2 2" xfId="23111" xr:uid="{00000000-0005-0000-0000-0000455A0000}"/>
    <cellStyle name="Normal 10 2 3 8 2 3" xfId="23112" xr:uid="{00000000-0005-0000-0000-0000465A0000}"/>
    <cellStyle name="Normal 10 2 3 8 3" xfId="23113" xr:uid="{00000000-0005-0000-0000-0000475A0000}"/>
    <cellStyle name="Normal 10 2 3 8 3 2" xfId="23114" xr:uid="{00000000-0005-0000-0000-0000485A0000}"/>
    <cellStyle name="Normal 10 2 3 8 4" xfId="23115" xr:uid="{00000000-0005-0000-0000-0000495A0000}"/>
    <cellStyle name="Normal 10 2 3 9" xfId="23116" xr:uid="{00000000-0005-0000-0000-00004A5A0000}"/>
    <cellStyle name="Normal 10 2 3 9 2" xfId="23117" xr:uid="{00000000-0005-0000-0000-00004B5A0000}"/>
    <cellStyle name="Normal 10 2 3 9 2 2" xfId="23118" xr:uid="{00000000-0005-0000-0000-00004C5A0000}"/>
    <cellStyle name="Normal 10 2 3 9 3" xfId="23119" xr:uid="{00000000-0005-0000-0000-00004D5A0000}"/>
    <cellStyle name="Normal 10 2 4" xfId="23120" xr:uid="{00000000-0005-0000-0000-00004E5A0000}"/>
    <cellStyle name="Normal 10 2 4 10" xfId="23121" xr:uid="{00000000-0005-0000-0000-00004F5A0000}"/>
    <cellStyle name="Normal 10 2 4 10 2" xfId="23122" xr:uid="{00000000-0005-0000-0000-0000505A0000}"/>
    <cellStyle name="Normal 10 2 4 10 2 2" xfId="23123" xr:uid="{00000000-0005-0000-0000-0000515A0000}"/>
    <cellStyle name="Normal 10 2 4 10 3" xfId="23124" xr:uid="{00000000-0005-0000-0000-0000525A0000}"/>
    <cellStyle name="Normal 10 2 4 11" xfId="23125" xr:uid="{00000000-0005-0000-0000-0000535A0000}"/>
    <cellStyle name="Normal 10 2 4 11 2" xfId="23126" xr:uid="{00000000-0005-0000-0000-0000545A0000}"/>
    <cellStyle name="Normal 10 2 4 11 2 2" xfId="23127" xr:uid="{00000000-0005-0000-0000-0000555A0000}"/>
    <cellStyle name="Normal 10 2 4 11 3" xfId="23128" xr:uid="{00000000-0005-0000-0000-0000565A0000}"/>
    <cellStyle name="Normal 10 2 4 12" xfId="23129" xr:uid="{00000000-0005-0000-0000-0000575A0000}"/>
    <cellStyle name="Normal 10 2 4 12 2" xfId="23130" xr:uid="{00000000-0005-0000-0000-0000585A0000}"/>
    <cellStyle name="Normal 10 2 4 12 2 2" xfId="23131" xr:uid="{00000000-0005-0000-0000-0000595A0000}"/>
    <cellStyle name="Normal 10 2 4 12 3" xfId="23132" xr:uid="{00000000-0005-0000-0000-00005A5A0000}"/>
    <cellStyle name="Normal 10 2 4 13" xfId="23133" xr:uid="{00000000-0005-0000-0000-00005B5A0000}"/>
    <cellStyle name="Normal 10 2 4 13 2" xfId="23134" xr:uid="{00000000-0005-0000-0000-00005C5A0000}"/>
    <cellStyle name="Normal 10 2 4 14" xfId="23135" xr:uid="{00000000-0005-0000-0000-00005D5A0000}"/>
    <cellStyle name="Normal 10 2 4 2" xfId="23136" xr:uid="{00000000-0005-0000-0000-00005E5A0000}"/>
    <cellStyle name="Normal 10 2 4 2 2" xfId="23137" xr:uid="{00000000-0005-0000-0000-00005F5A0000}"/>
    <cellStyle name="Normal 10 2 4 2 2 2" xfId="23138" xr:uid="{00000000-0005-0000-0000-0000605A0000}"/>
    <cellStyle name="Normal 10 2 4 2 2 2 2" xfId="23139" xr:uid="{00000000-0005-0000-0000-0000615A0000}"/>
    <cellStyle name="Normal 10 2 4 2 2 2 2 2" xfId="23140" xr:uid="{00000000-0005-0000-0000-0000625A0000}"/>
    <cellStyle name="Normal 10 2 4 2 2 2 3" xfId="23141" xr:uid="{00000000-0005-0000-0000-0000635A0000}"/>
    <cellStyle name="Normal 10 2 4 2 2 3" xfId="23142" xr:uid="{00000000-0005-0000-0000-0000645A0000}"/>
    <cellStyle name="Normal 10 2 4 2 2 3 2" xfId="23143" xr:uid="{00000000-0005-0000-0000-0000655A0000}"/>
    <cellStyle name="Normal 10 2 4 2 2 4" xfId="23144" xr:uid="{00000000-0005-0000-0000-0000665A0000}"/>
    <cellStyle name="Normal 10 2 4 2 3" xfId="23145" xr:uid="{00000000-0005-0000-0000-0000675A0000}"/>
    <cellStyle name="Normal 10 2 4 2 3 2" xfId="23146" xr:uid="{00000000-0005-0000-0000-0000685A0000}"/>
    <cellStyle name="Normal 10 2 4 2 3 2 2" xfId="23147" xr:uid="{00000000-0005-0000-0000-0000695A0000}"/>
    <cellStyle name="Normal 10 2 4 2 3 3" xfId="23148" xr:uid="{00000000-0005-0000-0000-00006A5A0000}"/>
    <cellStyle name="Normal 10 2 4 2 4" xfId="23149" xr:uid="{00000000-0005-0000-0000-00006B5A0000}"/>
    <cellStyle name="Normal 10 2 4 2 4 2" xfId="23150" xr:uid="{00000000-0005-0000-0000-00006C5A0000}"/>
    <cellStyle name="Normal 10 2 4 2 4 2 2" xfId="23151" xr:uid="{00000000-0005-0000-0000-00006D5A0000}"/>
    <cellStyle name="Normal 10 2 4 2 4 3" xfId="23152" xr:uid="{00000000-0005-0000-0000-00006E5A0000}"/>
    <cellStyle name="Normal 10 2 4 2 5" xfId="23153" xr:uid="{00000000-0005-0000-0000-00006F5A0000}"/>
    <cellStyle name="Normal 10 2 4 2 5 2" xfId="23154" xr:uid="{00000000-0005-0000-0000-0000705A0000}"/>
    <cellStyle name="Normal 10 2 4 2 5 2 2" xfId="23155" xr:uid="{00000000-0005-0000-0000-0000715A0000}"/>
    <cellStyle name="Normal 10 2 4 2 5 3" xfId="23156" xr:uid="{00000000-0005-0000-0000-0000725A0000}"/>
    <cellStyle name="Normal 10 2 4 2 6" xfId="23157" xr:uid="{00000000-0005-0000-0000-0000735A0000}"/>
    <cellStyle name="Normal 10 2 4 2 6 2" xfId="23158" xr:uid="{00000000-0005-0000-0000-0000745A0000}"/>
    <cellStyle name="Normal 10 2 4 2 6 2 2" xfId="23159" xr:uid="{00000000-0005-0000-0000-0000755A0000}"/>
    <cellStyle name="Normal 10 2 4 2 6 3" xfId="23160" xr:uid="{00000000-0005-0000-0000-0000765A0000}"/>
    <cellStyle name="Normal 10 2 4 2 7" xfId="23161" xr:uid="{00000000-0005-0000-0000-0000775A0000}"/>
    <cellStyle name="Normal 10 2 4 2 7 2" xfId="23162" xr:uid="{00000000-0005-0000-0000-0000785A0000}"/>
    <cellStyle name="Normal 10 2 4 2 8" xfId="23163" xr:uid="{00000000-0005-0000-0000-0000795A0000}"/>
    <cellStyle name="Normal 10 2 4 3" xfId="23164" xr:uid="{00000000-0005-0000-0000-00007A5A0000}"/>
    <cellStyle name="Normal 10 2 4 3 2" xfId="23165" xr:uid="{00000000-0005-0000-0000-00007B5A0000}"/>
    <cellStyle name="Normal 10 2 4 3 2 2" xfId="23166" xr:uid="{00000000-0005-0000-0000-00007C5A0000}"/>
    <cellStyle name="Normal 10 2 4 3 2 2 2" xfId="23167" xr:uid="{00000000-0005-0000-0000-00007D5A0000}"/>
    <cellStyle name="Normal 10 2 4 3 2 2 2 2" xfId="23168" xr:uid="{00000000-0005-0000-0000-00007E5A0000}"/>
    <cellStyle name="Normal 10 2 4 3 2 2 3" xfId="23169" xr:uid="{00000000-0005-0000-0000-00007F5A0000}"/>
    <cellStyle name="Normal 10 2 4 3 2 3" xfId="23170" xr:uid="{00000000-0005-0000-0000-0000805A0000}"/>
    <cellStyle name="Normal 10 2 4 3 2 3 2" xfId="23171" xr:uid="{00000000-0005-0000-0000-0000815A0000}"/>
    <cellStyle name="Normal 10 2 4 3 2 4" xfId="23172" xr:uid="{00000000-0005-0000-0000-0000825A0000}"/>
    <cellStyle name="Normal 10 2 4 3 3" xfId="23173" xr:uid="{00000000-0005-0000-0000-0000835A0000}"/>
    <cellStyle name="Normal 10 2 4 3 3 2" xfId="23174" xr:uid="{00000000-0005-0000-0000-0000845A0000}"/>
    <cellStyle name="Normal 10 2 4 3 3 2 2" xfId="23175" xr:uid="{00000000-0005-0000-0000-0000855A0000}"/>
    <cellStyle name="Normal 10 2 4 3 3 3" xfId="23176" xr:uid="{00000000-0005-0000-0000-0000865A0000}"/>
    <cellStyle name="Normal 10 2 4 3 4" xfId="23177" xr:uid="{00000000-0005-0000-0000-0000875A0000}"/>
    <cellStyle name="Normal 10 2 4 3 4 2" xfId="23178" xr:uid="{00000000-0005-0000-0000-0000885A0000}"/>
    <cellStyle name="Normal 10 2 4 3 4 2 2" xfId="23179" xr:uid="{00000000-0005-0000-0000-0000895A0000}"/>
    <cellStyle name="Normal 10 2 4 3 4 3" xfId="23180" xr:uid="{00000000-0005-0000-0000-00008A5A0000}"/>
    <cellStyle name="Normal 10 2 4 3 5" xfId="23181" xr:uid="{00000000-0005-0000-0000-00008B5A0000}"/>
    <cellStyle name="Normal 10 2 4 3 5 2" xfId="23182" xr:uid="{00000000-0005-0000-0000-00008C5A0000}"/>
    <cellStyle name="Normal 10 2 4 3 5 2 2" xfId="23183" xr:uid="{00000000-0005-0000-0000-00008D5A0000}"/>
    <cellStyle name="Normal 10 2 4 3 5 3" xfId="23184" xr:uid="{00000000-0005-0000-0000-00008E5A0000}"/>
    <cellStyle name="Normal 10 2 4 3 6" xfId="23185" xr:uid="{00000000-0005-0000-0000-00008F5A0000}"/>
    <cellStyle name="Normal 10 2 4 3 6 2" xfId="23186" xr:uid="{00000000-0005-0000-0000-0000905A0000}"/>
    <cellStyle name="Normal 10 2 4 3 6 2 2" xfId="23187" xr:uid="{00000000-0005-0000-0000-0000915A0000}"/>
    <cellStyle name="Normal 10 2 4 3 6 3" xfId="23188" xr:uid="{00000000-0005-0000-0000-0000925A0000}"/>
    <cellStyle name="Normal 10 2 4 3 7" xfId="23189" xr:uid="{00000000-0005-0000-0000-0000935A0000}"/>
    <cellStyle name="Normal 10 2 4 3 7 2" xfId="23190" xr:uid="{00000000-0005-0000-0000-0000945A0000}"/>
    <cellStyle name="Normal 10 2 4 3 8" xfId="23191" xr:uid="{00000000-0005-0000-0000-0000955A0000}"/>
    <cellStyle name="Normal 10 2 4 4" xfId="23192" xr:uid="{00000000-0005-0000-0000-0000965A0000}"/>
    <cellStyle name="Normal 10 2 4 4 2" xfId="23193" xr:uid="{00000000-0005-0000-0000-0000975A0000}"/>
    <cellStyle name="Normal 10 2 4 4 2 2" xfId="23194" xr:uid="{00000000-0005-0000-0000-0000985A0000}"/>
    <cellStyle name="Normal 10 2 4 4 2 2 2" xfId="23195" xr:uid="{00000000-0005-0000-0000-0000995A0000}"/>
    <cellStyle name="Normal 10 2 4 4 2 2 2 2" xfId="23196" xr:uid="{00000000-0005-0000-0000-00009A5A0000}"/>
    <cellStyle name="Normal 10 2 4 4 2 2 3" xfId="23197" xr:uid="{00000000-0005-0000-0000-00009B5A0000}"/>
    <cellStyle name="Normal 10 2 4 4 2 3" xfId="23198" xr:uid="{00000000-0005-0000-0000-00009C5A0000}"/>
    <cellStyle name="Normal 10 2 4 4 2 3 2" xfId="23199" xr:uid="{00000000-0005-0000-0000-00009D5A0000}"/>
    <cellStyle name="Normal 10 2 4 4 2 4" xfId="23200" xr:uid="{00000000-0005-0000-0000-00009E5A0000}"/>
    <cellStyle name="Normal 10 2 4 4 3" xfId="23201" xr:uid="{00000000-0005-0000-0000-00009F5A0000}"/>
    <cellStyle name="Normal 10 2 4 4 3 2" xfId="23202" xr:uid="{00000000-0005-0000-0000-0000A05A0000}"/>
    <cellStyle name="Normal 10 2 4 4 3 2 2" xfId="23203" xr:uid="{00000000-0005-0000-0000-0000A15A0000}"/>
    <cellStyle name="Normal 10 2 4 4 3 3" xfId="23204" xr:uid="{00000000-0005-0000-0000-0000A25A0000}"/>
    <cellStyle name="Normal 10 2 4 4 4" xfId="23205" xr:uid="{00000000-0005-0000-0000-0000A35A0000}"/>
    <cellStyle name="Normal 10 2 4 4 4 2" xfId="23206" xr:uid="{00000000-0005-0000-0000-0000A45A0000}"/>
    <cellStyle name="Normal 10 2 4 4 4 2 2" xfId="23207" xr:uid="{00000000-0005-0000-0000-0000A55A0000}"/>
    <cellStyle name="Normal 10 2 4 4 4 3" xfId="23208" xr:uid="{00000000-0005-0000-0000-0000A65A0000}"/>
    <cellStyle name="Normal 10 2 4 4 5" xfId="23209" xr:uid="{00000000-0005-0000-0000-0000A75A0000}"/>
    <cellStyle name="Normal 10 2 4 4 5 2" xfId="23210" xr:uid="{00000000-0005-0000-0000-0000A85A0000}"/>
    <cellStyle name="Normal 10 2 4 4 5 2 2" xfId="23211" xr:uid="{00000000-0005-0000-0000-0000A95A0000}"/>
    <cellStyle name="Normal 10 2 4 4 5 3" xfId="23212" xr:uid="{00000000-0005-0000-0000-0000AA5A0000}"/>
    <cellStyle name="Normal 10 2 4 4 6" xfId="23213" xr:uid="{00000000-0005-0000-0000-0000AB5A0000}"/>
    <cellStyle name="Normal 10 2 4 4 6 2" xfId="23214" xr:uid="{00000000-0005-0000-0000-0000AC5A0000}"/>
    <cellStyle name="Normal 10 2 4 4 6 2 2" xfId="23215" xr:uid="{00000000-0005-0000-0000-0000AD5A0000}"/>
    <cellStyle name="Normal 10 2 4 4 6 3" xfId="23216" xr:uid="{00000000-0005-0000-0000-0000AE5A0000}"/>
    <cellStyle name="Normal 10 2 4 4 7" xfId="23217" xr:uid="{00000000-0005-0000-0000-0000AF5A0000}"/>
    <cellStyle name="Normal 10 2 4 4 7 2" xfId="23218" xr:uid="{00000000-0005-0000-0000-0000B05A0000}"/>
    <cellStyle name="Normal 10 2 4 4 8" xfId="23219" xr:uid="{00000000-0005-0000-0000-0000B15A0000}"/>
    <cellStyle name="Normal 10 2 4 5" xfId="23220" xr:uid="{00000000-0005-0000-0000-0000B25A0000}"/>
    <cellStyle name="Normal 10 2 4 5 2" xfId="23221" xr:uid="{00000000-0005-0000-0000-0000B35A0000}"/>
    <cellStyle name="Normal 10 2 4 5 2 2" xfId="23222" xr:uid="{00000000-0005-0000-0000-0000B45A0000}"/>
    <cellStyle name="Normal 10 2 4 5 2 2 2" xfId="23223" xr:uid="{00000000-0005-0000-0000-0000B55A0000}"/>
    <cellStyle name="Normal 10 2 4 5 2 2 2 2" xfId="23224" xr:uid="{00000000-0005-0000-0000-0000B65A0000}"/>
    <cellStyle name="Normal 10 2 4 5 2 2 3" xfId="23225" xr:uid="{00000000-0005-0000-0000-0000B75A0000}"/>
    <cellStyle name="Normal 10 2 4 5 2 3" xfId="23226" xr:uid="{00000000-0005-0000-0000-0000B85A0000}"/>
    <cellStyle name="Normal 10 2 4 5 2 3 2" xfId="23227" xr:uid="{00000000-0005-0000-0000-0000B95A0000}"/>
    <cellStyle name="Normal 10 2 4 5 2 4" xfId="23228" xr:uid="{00000000-0005-0000-0000-0000BA5A0000}"/>
    <cellStyle name="Normal 10 2 4 5 3" xfId="23229" xr:uid="{00000000-0005-0000-0000-0000BB5A0000}"/>
    <cellStyle name="Normal 10 2 4 5 3 2" xfId="23230" xr:uid="{00000000-0005-0000-0000-0000BC5A0000}"/>
    <cellStyle name="Normal 10 2 4 5 3 2 2" xfId="23231" xr:uid="{00000000-0005-0000-0000-0000BD5A0000}"/>
    <cellStyle name="Normal 10 2 4 5 3 3" xfId="23232" xr:uid="{00000000-0005-0000-0000-0000BE5A0000}"/>
    <cellStyle name="Normal 10 2 4 5 4" xfId="23233" xr:uid="{00000000-0005-0000-0000-0000BF5A0000}"/>
    <cellStyle name="Normal 10 2 4 5 4 2" xfId="23234" xr:uid="{00000000-0005-0000-0000-0000C05A0000}"/>
    <cellStyle name="Normal 10 2 4 5 5" xfId="23235" xr:uid="{00000000-0005-0000-0000-0000C15A0000}"/>
    <cellStyle name="Normal 10 2 4 6" xfId="23236" xr:uid="{00000000-0005-0000-0000-0000C25A0000}"/>
    <cellStyle name="Normal 10 2 4 6 2" xfId="23237" xr:uid="{00000000-0005-0000-0000-0000C35A0000}"/>
    <cellStyle name="Normal 10 2 4 6 2 2" xfId="23238" xr:uid="{00000000-0005-0000-0000-0000C45A0000}"/>
    <cellStyle name="Normal 10 2 4 6 2 2 2" xfId="23239" xr:uid="{00000000-0005-0000-0000-0000C55A0000}"/>
    <cellStyle name="Normal 10 2 4 6 2 2 2 2" xfId="23240" xr:uid="{00000000-0005-0000-0000-0000C65A0000}"/>
    <cellStyle name="Normal 10 2 4 6 2 2 3" xfId="23241" xr:uid="{00000000-0005-0000-0000-0000C75A0000}"/>
    <cellStyle name="Normal 10 2 4 6 2 3" xfId="23242" xr:uid="{00000000-0005-0000-0000-0000C85A0000}"/>
    <cellStyle name="Normal 10 2 4 6 2 3 2" xfId="23243" xr:uid="{00000000-0005-0000-0000-0000C95A0000}"/>
    <cellStyle name="Normal 10 2 4 6 2 4" xfId="23244" xr:uid="{00000000-0005-0000-0000-0000CA5A0000}"/>
    <cellStyle name="Normal 10 2 4 6 3" xfId="23245" xr:uid="{00000000-0005-0000-0000-0000CB5A0000}"/>
    <cellStyle name="Normal 10 2 4 6 3 2" xfId="23246" xr:uid="{00000000-0005-0000-0000-0000CC5A0000}"/>
    <cellStyle name="Normal 10 2 4 6 3 2 2" xfId="23247" xr:uid="{00000000-0005-0000-0000-0000CD5A0000}"/>
    <cellStyle name="Normal 10 2 4 6 3 3" xfId="23248" xr:uid="{00000000-0005-0000-0000-0000CE5A0000}"/>
    <cellStyle name="Normal 10 2 4 6 4" xfId="23249" xr:uid="{00000000-0005-0000-0000-0000CF5A0000}"/>
    <cellStyle name="Normal 10 2 4 6 4 2" xfId="23250" xr:uid="{00000000-0005-0000-0000-0000D05A0000}"/>
    <cellStyle name="Normal 10 2 4 6 5" xfId="23251" xr:uid="{00000000-0005-0000-0000-0000D15A0000}"/>
    <cellStyle name="Normal 10 2 4 7" xfId="23252" xr:uid="{00000000-0005-0000-0000-0000D25A0000}"/>
    <cellStyle name="Normal 10 2 4 7 2" xfId="23253" xr:uid="{00000000-0005-0000-0000-0000D35A0000}"/>
    <cellStyle name="Normal 10 2 4 7 2 2" xfId="23254" xr:uid="{00000000-0005-0000-0000-0000D45A0000}"/>
    <cellStyle name="Normal 10 2 4 7 2 2 2" xfId="23255" xr:uid="{00000000-0005-0000-0000-0000D55A0000}"/>
    <cellStyle name="Normal 10 2 4 7 2 3" xfId="23256" xr:uid="{00000000-0005-0000-0000-0000D65A0000}"/>
    <cellStyle name="Normal 10 2 4 7 3" xfId="23257" xr:uid="{00000000-0005-0000-0000-0000D75A0000}"/>
    <cellStyle name="Normal 10 2 4 7 3 2" xfId="23258" xr:uid="{00000000-0005-0000-0000-0000D85A0000}"/>
    <cellStyle name="Normal 10 2 4 7 4" xfId="23259" xr:uid="{00000000-0005-0000-0000-0000D95A0000}"/>
    <cellStyle name="Normal 10 2 4 8" xfId="23260" xr:uid="{00000000-0005-0000-0000-0000DA5A0000}"/>
    <cellStyle name="Normal 10 2 4 8 2" xfId="23261" xr:uid="{00000000-0005-0000-0000-0000DB5A0000}"/>
    <cellStyle name="Normal 10 2 4 8 2 2" xfId="23262" xr:uid="{00000000-0005-0000-0000-0000DC5A0000}"/>
    <cellStyle name="Normal 10 2 4 8 2 2 2" xfId="23263" xr:uid="{00000000-0005-0000-0000-0000DD5A0000}"/>
    <cellStyle name="Normal 10 2 4 8 2 3" xfId="23264" xr:uid="{00000000-0005-0000-0000-0000DE5A0000}"/>
    <cellStyle name="Normal 10 2 4 8 3" xfId="23265" xr:uid="{00000000-0005-0000-0000-0000DF5A0000}"/>
    <cellStyle name="Normal 10 2 4 8 3 2" xfId="23266" xr:uid="{00000000-0005-0000-0000-0000E05A0000}"/>
    <cellStyle name="Normal 10 2 4 8 4" xfId="23267" xr:uid="{00000000-0005-0000-0000-0000E15A0000}"/>
    <cellStyle name="Normal 10 2 4 9" xfId="23268" xr:uid="{00000000-0005-0000-0000-0000E25A0000}"/>
    <cellStyle name="Normal 10 2 4 9 2" xfId="23269" xr:uid="{00000000-0005-0000-0000-0000E35A0000}"/>
    <cellStyle name="Normal 10 2 4 9 2 2" xfId="23270" xr:uid="{00000000-0005-0000-0000-0000E45A0000}"/>
    <cellStyle name="Normal 10 2 4 9 3" xfId="23271" xr:uid="{00000000-0005-0000-0000-0000E55A0000}"/>
    <cellStyle name="Normal 10 2 5" xfId="23272" xr:uid="{00000000-0005-0000-0000-0000E65A0000}"/>
    <cellStyle name="Normal 10 2 5 10" xfId="23273" xr:uid="{00000000-0005-0000-0000-0000E75A0000}"/>
    <cellStyle name="Normal 10 2 5 10 2" xfId="23274" xr:uid="{00000000-0005-0000-0000-0000E85A0000}"/>
    <cellStyle name="Normal 10 2 5 10 2 2" xfId="23275" xr:uid="{00000000-0005-0000-0000-0000E95A0000}"/>
    <cellStyle name="Normal 10 2 5 10 3" xfId="23276" xr:uid="{00000000-0005-0000-0000-0000EA5A0000}"/>
    <cellStyle name="Normal 10 2 5 11" xfId="23277" xr:uid="{00000000-0005-0000-0000-0000EB5A0000}"/>
    <cellStyle name="Normal 10 2 5 11 2" xfId="23278" xr:uid="{00000000-0005-0000-0000-0000EC5A0000}"/>
    <cellStyle name="Normal 10 2 5 11 2 2" xfId="23279" xr:uid="{00000000-0005-0000-0000-0000ED5A0000}"/>
    <cellStyle name="Normal 10 2 5 11 3" xfId="23280" xr:uid="{00000000-0005-0000-0000-0000EE5A0000}"/>
    <cellStyle name="Normal 10 2 5 12" xfId="23281" xr:uid="{00000000-0005-0000-0000-0000EF5A0000}"/>
    <cellStyle name="Normal 10 2 5 12 2" xfId="23282" xr:uid="{00000000-0005-0000-0000-0000F05A0000}"/>
    <cellStyle name="Normal 10 2 5 12 2 2" xfId="23283" xr:uid="{00000000-0005-0000-0000-0000F15A0000}"/>
    <cellStyle name="Normal 10 2 5 12 3" xfId="23284" xr:uid="{00000000-0005-0000-0000-0000F25A0000}"/>
    <cellStyle name="Normal 10 2 5 13" xfId="23285" xr:uid="{00000000-0005-0000-0000-0000F35A0000}"/>
    <cellStyle name="Normal 10 2 5 13 2" xfId="23286" xr:uid="{00000000-0005-0000-0000-0000F45A0000}"/>
    <cellStyle name="Normal 10 2 5 14" xfId="23287" xr:uid="{00000000-0005-0000-0000-0000F55A0000}"/>
    <cellStyle name="Normal 10 2 5 2" xfId="23288" xr:uid="{00000000-0005-0000-0000-0000F65A0000}"/>
    <cellStyle name="Normal 10 2 5 2 2" xfId="23289" xr:uid="{00000000-0005-0000-0000-0000F75A0000}"/>
    <cellStyle name="Normal 10 2 5 2 2 2" xfId="23290" xr:uid="{00000000-0005-0000-0000-0000F85A0000}"/>
    <cellStyle name="Normal 10 2 5 2 2 2 2" xfId="23291" xr:uid="{00000000-0005-0000-0000-0000F95A0000}"/>
    <cellStyle name="Normal 10 2 5 2 2 2 2 2" xfId="23292" xr:uid="{00000000-0005-0000-0000-0000FA5A0000}"/>
    <cellStyle name="Normal 10 2 5 2 2 2 3" xfId="23293" xr:uid="{00000000-0005-0000-0000-0000FB5A0000}"/>
    <cellStyle name="Normal 10 2 5 2 2 3" xfId="23294" xr:uid="{00000000-0005-0000-0000-0000FC5A0000}"/>
    <cellStyle name="Normal 10 2 5 2 2 3 2" xfId="23295" xr:uid="{00000000-0005-0000-0000-0000FD5A0000}"/>
    <cellStyle name="Normal 10 2 5 2 2 4" xfId="23296" xr:uid="{00000000-0005-0000-0000-0000FE5A0000}"/>
    <cellStyle name="Normal 10 2 5 2 3" xfId="23297" xr:uid="{00000000-0005-0000-0000-0000FF5A0000}"/>
    <cellStyle name="Normal 10 2 5 2 3 2" xfId="23298" xr:uid="{00000000-0005-0000-0000-0000005B0000}"/>
    <cellStyle name="Normal 10 2 5 2 3 2 2" xfId="23299" xr:uid="{00000000-0005-0000-0000-0000015B0000}"/>
    <cellStyle name="Normal 10 2 5 2 3 3" xfId="23300" xr:uid="{00000000-0005-0000-0000-0000025B0000}"/>
    <cellStyle name="Normal 10 2 5 2 4" xfId="23301" xr:uid="{00000000-0005-0000-0000-0000035B0000}"/>
    <cellStyle name="Normal 10 2 5 2 4 2" xfId="23302" xr:uid="{00000000-0005-0000-0000-0000045B0000}"/>
    <cellStyle name="Normal 10 2 5 2 4 2 2" xfId="23303" xr:uid="{00000000-0005-0000-0000-0000055B0000}"/>
    <cellStyle name="Normal 10 2 5 2 4 3" xfId="23304" xr:uid="{00000000-0005-0000-0000-0000065B0000}"/>
    <cellStyle name="Normal 10 2 5 2 5" xfId="23305" xr:uid="{00000000-0005-0000-0000-0000075B0000}"/>
    <cellStyle name="Normal 10 2 5 2 5 2" xfId="23306" xr:uid="{00000000-0005-0000-0000-0000085B0000}"/>
    <cellStyle name="Normal 10 2 5 2 5 2 2" xfId="23307" xr:uid="{00000000-0005-0000-0000-0000095B0000}"/>
    <cellStyle name="Normal 10 2 5 2 5 3" xfId="23308" xr:uid="{00000000-0005-0000-0000-00000A5B0000}"/>
    <cellStyle name="Normal 10 2 5 2 6" xfId="23309" xr:uid="{00000000-0005-0000-0000-00000B5B0000}"/>
    <cellStyle name="Normal 10 2 5 2 6 2" xfId="23310" xr:uid="{00000000-0005-0000-0000-00000C5B0000}"/>
    <cellStyle name="Normal 10 2 5 2 6 2 2" xfId="23311" xr:uid="{00000000-0005-0000-0000-00000D5B0000}"/>
    <cellStyle name="Normal 10 2 5 2 6 3" xfId="23312" xr:uid="{00000000-0005-0000-0000-00000E5B0000}"/>
    <cellStyle name="Normal 10 2 5 2 7" xfId="23313" xr:uid="{00000000-0005-0000-0000-00000F5B0000}"/>
    <cellStyle name="Normal 10 2 5 2 7 2" xfId="23314" xr:uid="{00000000-0005-0000-0000-0000105B0000}"/>
    <cellStyle name="Normal 10 2 5 2 8" xfId="23315" xr:uid="{00000000-0005-0000-0000-0000115B0000}"/>
    <cellStyle name="Normal 10 2 5 3" xfId="23316" xr:uid="{00000000-0005-0000-0000-0000125B0000}"/>
    <cellStyle name="Normal 10 2 5 3 2" xfId="23317" xr:uid="{00000000-0005-0000-0000-0000135B0000}"/>
    <cellStyle name="Normal 10 2 5 3 2 2" xfId="23318" xr:uid="{00000000-0005-0000-0000-0000145B0000}"/>
    <cellStyle name="Normal 10 2 5 3 2 2 2" xfId="23319" xr:uid="{00000000-0005-0000-0000-0000155B0000}"/>
    <cellStyle name="Normal 10 2 5 3 2 2 2 2" xfId="23320" xr:uid="{00000000-0005-0000-0000-0000165B0000}"/>
    <cellStyle name="Normal 10 2 5 3 2 2 3" xfId="23321" xr:uid="{00000000-0005-0000-0000-0000175B0000}"/>
    <cellStyle name="Normal 10 2 5 3 2 3" xfId="23322" xr:uid="{00000000-0005-0000-0000-0000185B0000}"/>
    <cellStyle name="Normal 10 2 5 3 2 3 2" xfId="23323" xr:uid="{00000000-0005-0000-0000-0000195B0000}"/>
    <cellStyle name="Normal 10 2 5 3 2 4" xfId="23324" xr:uid="{00000000-0005-0000-0000-00001A5B0000}"/>
    <cellStyle name="Normal 10 2 5 3 3" xfId="23325" xr:uid="{00000000-0005-0000-0000-00001B5B0000}"/>
    <cellStyle name="Normal 10 2 5 3 3 2" xfId="23326" xr:uid="{00000000-0005-0000-0000-00001C5B0000}"/>
    <cellStyle name="Normal 10 2 5 3 3 2 2" xfId="23327" xr:uid="{00000000-0005-0000-0000-00001D5B0000}"/>
    <cellStyle name="Normal 10 2 5 3 3 3" xfId="23328" xr:uid="{00000000-0005-0000-0000-00001E5B0000}"/>
    <cellStyle name="Normal 10 2 5 3 4" xfId="23329" xr:uid="{00000000-0005-0000-0000-00001F5B0000}"/>
    <cellStyle name="Normal 10 2 5 3 4 2" xfId="23330" xr:uid="{00000000-0005-0000-0000-0000205B0000}"/>
    <cellStyle name="Normal 10 2 5 3 4 2 2" xfId="23331" xr:uid="{00000000-0005-0000-0000-0000215B0000}"/>
    <cellStyle name="Normal 10 2 5 3 4 3" xfId="23332" xr:uid="{00000000-0005-0000-0000-0000225B0000}"/>
    <cellStyle name="Normal 10 2 5 3 5" xfId="23333" xr:uid="{00000000-0005-0000-0000-0000235B0000}"/>
    <cellStyle name="Normal 10 2 5 3 5 2" xfId="23334" xr:uid="{00000000-0005-0000-0000-0000245B0000}"/>
    <cellStyle name="Normal 10 2 5 3 5 2 2" xfId="23335" xr:uid="{00000000-0005-0000-0000-0000255B0000}"/>
    <cellStyle name="Normal 10 2 5 3 5 3" xfId="23336" xr:uid="{00000000-0005-0000-0000-0000265B0000}"/>
    <cellStyle name="Normal 10 2 5 3 6" xfId="23337" xr:uid="{00000000-0005-0000-0000-0000275B0000}"/>
    <cellStyle name="Normal 10 2 5 3 6 2" xfId="23338" xr:uid="{00000000-0005-0000-0000-0000285B0000}"/>
    <cellStyle name="Normal 10 2 5 3 6 2 2" xfId="23339" xr:uid="{00000000-0005-0000-0000-0000295B0000}"/>
    <cellStyle name="Normal 10 2 5 3 6 3" xfId="23340" xr:uid="{00000000-0005-0000-0000-00002A5B0000}"/>
    <cellStyle name="Normal 10 2 5 3 7" xfId="23341" xr:uid="{00000000-0005-0000-0000-00002B5B0000}"/>
    <cellStyle name="Normal 10 2 5 3 7 2" xfId="23342" xr:uid="{00000000-0005-0000-0000-00002C5B0000}"/>
    <cellStyle name="Normal 10 2 5 3 8" xfId="23343" xr:uid="{00000000-0005-0000-0000-00002D5B0000}"/>
    <cellStyle name="Normal 10 2 5 4" xfId="23344" xr:uid="{00000000-0005-0000-0000-00002E5B0000}"/>
    <cellStyle name="Normal 10 2 5 4 2" xfId="23345" xr:uid="{00000000-0005-0000-0000-00002F5B0000}"/>
    <cellStyle name="Normal 10 2 5 4 2 2" xfId="23346" xr:uid="{00000000-0005-0000-0000-0000305B0000}"/>
    <cellStyle name="Normal 10 2 5 4 2 2 2" xfId="23347" xr:uid="{00000000-0005-0000-0000-0000315B0000}"/>
    <cellStyle name="Normal 10 2 5 4 2 2 2 2" xfId="23348" xr:uid="{00000000-0005-0000-0000-0000325B0000}"/>
    <cellStyle name="Normal 10 2 5 4 2 2 3" xfId="23349" xr:uid="{00000000-0005-0000-0000-0000335B0000}"/>
    <cellStyle name="Normal 10 2 5 4 2 3" xfId="23350" xr:uid="{00000000-0005-0000-0000-0000345B0000}"/>
    <cellStyle name="Normal 10 2 5 4 2 3 2" xfId="23351" xr:uid="{00000000-0005-0000-0000-0000355B0000}"/>
    <cellStyle name="Normal 10 2 5 4 2 4" xfId="23352" xr:uid="{00000000-0005-0000-0000-0000365B0000}"/>
    <cellStyle name="Normal 10 2 5 4 3" xfId="23353" xr:uid="{00000000-0005-0000-0000-0000375B0000}"/>
    <cellStyle name="Normal 10 2 5 4 3 2" xfId="23354" xr:uid="{00000000-0005-0000-0000-0000385B0000}"/>
    <cellStyle name="Normal 10 2 5 4 3 2 2" xfId="23355" xr:uid="{00000000-0005-0000-0000-0000395B0000}"/>
    <cellStyle name="Normal 10 2 5 4 3 3" xfId="23356" xr:uid="{00000000-0005-0000-0000-00003A5B0000}"/>
    <cellStyle name="Normal 10 2 5 4 4" xfId="23357" xr:uid="{00000000-0005-0000-0000-00003B5B0000}"/>
    <cellStyle name="Normal 10 2 5 4 4 2" xfId="23358" xr:uid="{00000000-0005-0000-0000-00003C5B0000}"/>
    <cellStyle name="Normal 10 2 5 4 4 2 2" xfId="23359" xr:uid="{00000000-0005-0000-0000-00003D5B0000}"/>
    <cellStyle name="Normal 10 2 5 4 4 3" xfId="23360" xr:uid="{00000000-0005-0000-0000-00003E5B0000}"/>
    <cellStyle name="Normal 10 2 5 4 5" xfId="23361" xr:uid="{00000000-0005-0000-0000-00003F5B0000}"/>
    <cellStyle name="Normal 10 2 5 4 5 2" xfId="23362" xr:uid="{00000000-0005-0000-0000-0000405B0000}"/>
    <cellStyle name="Normal 10 2 5 4 5 2 2" xfId="23363" xr:uid="{00000000-0005-0000-0000-0000415B0000}"/>
    <cellStyle name="Normal 10 2 5 4 5 3" xfId="23364" xr:uid="{00000000-0005-0000-0000-0000425B0000}"/>
    <cellStyle name="Normal 10 2 5 4 6" xfId="23365" xr:uid="{00000000-0005-0000-0000-0000435B0000}"/>
    <cellStyle name="Normal 10 2 5 4 6 2" xfId="23366" xr:uid="{00000000-0005-0000-0000-0000445B0000}"/>
    <cellStyle name="Normal 10 2 5 4 6 2 2" xfId="23367" xr:uid="{00000000-0005-0000-0000-0000455B0000}"/>
    <cellStyle name="Normal 10 2 5 4 6 3" xfId="23368" xr:uid="{00000000-0005-0000-0000-0000465B0000}"/>
    <cellStyle name="Normal 10 2 5 4 7" xfId="23369" xr:uid="{00000000-0005-0000-0000-0000475B0000}"/>
    <cellStyle name="Normal 10 2 5 4 7 2" xfId="23370" xr:uid="{00000000-0005-0000-0000-0000485B0000}"/>
    <cellStyle name="Normal 10 2 5 4 8" xfId="23371" xr:uid="{00000000-0005-0000-0000-0000495B0000}"/>
    <cellStyle name="Normal 10 2 5 5" xfId="23372" xr:uid="{00000000-0005-0000-0000-00004A5B0000}"/>
    <cellStyle name="Normal 10 2 5 5 2" xfId="23373" xr:uid="{00000000-0005-0000-0000-00004B5B0000}"/>
    <cellStyle name="Normal 10 2 5 5 2 2" xfId="23374" xr:uid="{00000000-0005-0000-0000-00004C5B0000}"/>
    <cellStyle name="Normal 10 2 5 5 2 2 2" xfId="23375" xr:uid="{00000000-0005-0000-0000-00004D5B0000}"/>
    <cellStyle name="Normal 10 2 5 5 2 2 2 2" xfId="23376" xr:uid="{00000000-0005-0000-0000-00004E5B0000}"/>
    <cellStyle name="Normal 10 2 5 5 2 2 3" xfId="23377" xr:uid="{00000000-0005-0000-0000-00004F5B0000}"/>
    <cellStyle name="Normal 10 2 5 5 2 3" xfId="23378" xr:uid="{00000000-0005-0000-0000-0000505B0000}"/>
    <cellStyle name="Normal 10 2 5 5 2 3 2" xfId="23379" xr:uid="{00000000-0005-0000-0000-0000515B0000}"/>
    <cellStyle name="Normal 10 2 5 5 2 4" xfId="23380" xr:uid="{00000000-0005-0000-0000-0000525B0000}"/>
    <cellStyle name="Normal 10 2 5 5 3" xfId="23381" xr:uid="{00000000-0005-0000-0000-0000535B0000}"/>
    <cellStyle name="Normal 10 2 5 5 3 2" xfId="23382" xr:uid="{00000000-0005-0000-0000-0000545B0000}"/>
    <cellStyle name="Normal 10 2 5 5 3 2 2" xfId="23383" xr:uid="{00000000-0005-0000-0000-0000555B0000}"/>
    <cellStyle name="Normal 10 2 5 5 3 3" xfId="23384" xr:uid="{00000000-0005-0000-0000-0000565B0000}"/>
    <cellStyle name="Normal 10 2 5 5 4" xfId="23385" xr:uid="{00000000-0005-0000-0000-0000575B0000}"/>
    <cellStyle name="Normal 10 2 5 5 4 2" xfId="23386" xr:uid="{00000000-0005-0000-0000-0000585B0000}"/>
    <cellStyle name="Normal 10 2 5 5 5" xfId="23387" xr:uid="{00000000-0005-0000-0000-0000595B0000}"/>
    <cellStyle name="Normal 10 2 5 6" xfId="23388" xr:uid="{00000000-0005-0000-0000-00005A5B0000}"/>
    <cellStyle name="Normal 10 2 5 6 2" xfId="23389" xr:uid="{00000000-0005-0000-0000-00005B5B0000}"/>
    <cellStyle name="Normal 10 2 5 6 2 2" xfId="23390" xr:uid="{00000000-0005-0000-0000-00005C5B0000}"/>
    <cellStyle name="Normal 10 2 5 6 2 2 2" xfId="23391" xr:uid="{00000000-0005-0000-0000-00005D5B0000}"/>
    <cellStyle name="Normal 10 2 5 6 2 2 2 2" xfId="23392" xr:uid="{00000000-0005-0000-0000-00005E5B0000}"/>
    <cellStyle name="Normal 10 2 5 6 2 2 3" xfId="23393" xr:uid="{00000000-0005-0000-0000-00005F5B0000}"/>
    <cellStyle name="Normal 10 2 5 6 2 3" xfId="23394" xr:uid="{00000000-0005-0000-0000-0000605B0000}"/>
    <cellStyle name="Normal 10 2 5 6 2 3 2" xfId="23395" xr:uid="{00000000-0005-0000-0000-0000615B0000}"/>
    <cellStyle name="Normal 10 2 5 6 2 4" xfId="23396" xr:uid="{00000000-0005-0000-0000-0000625B0000}"/>
    <cellStyle name="Normal 10 2 5 6 3" xfId="23397" xr:uid="{00000000-0005-0000-0000-0000635B0000}"/>
    <cellStyle name="Normal 10 2 5 6 3 2" xfId="23398" xr:uid="{00000000-0005-0000-0000-0000645B0000}"/>
    <cellStyle name="Normal 10 2 5 6 3 2 2" xfId="23399" xr:uid="{00000000-0005-0000-0000-0000655B0000}"/>
    <cellStyle name="Normal 10 2 5 6 3 3" xfId="23400" xr:uid="{00000000-0005-0000-0000-0000665B0000}"/>
    <cellStyle name="Normal 10 2 5 6 4" xfId="23401" xr:uid="{00000000-0005-0000-0000-0000675B0000}"/>
    <cellStyle name="Normal 10 2 5 6 4 2" xfId="23402" xr:uid="{00000000-0005-0000-0000-0000685B0000}"/>
    <cellStyle name="Normal 10 2 5 6 5" xfId="23403" xr:uid="{00000000-0005-0000-0000-0000695B0000}"/>
    <cellStyle name="Normal 10 2 5 7" xfId="23404" xr:uid="{00000000-0005-0000-0000-00006A5B0000}"/>
    <cellStyle name="Normal 10 2 5 7 2" xfId="23405" xr:uid="{00000000-0005-0000-0000-00006B5B0000}"/>
    <cellStyle name="Normal 10 2 5 7 2 2" xfId="23406" xr:uid="{00000000-0005-0000-0000-00006C5B0000}"/>
    <cellStyle name="Normal 10 2 5 7 2 2 2" xfId="23407" xr:uid="{00000000-0005-0000-0000-00006D5B0000}"/>
    <cellStyle name="Normal 10 2 5 7 2 3" xfId="23408" xr:uid="{00000000-0005-0000-0000-00006E5B0000}"/>
    <cellStyle name="Normal 10 2 5 7 3" xfId="23409" xr:uid="{00000000-0005-0000-0000-00006F5B0000}"/>
    <cellStyle name="Normal 10 2 5 7 3 2" xfId="23410" xr:uid="{00000000-0005-0000-0000-0000705B0000}"/>
    <cellStyle name="Normal 10 2 5 7 4" xfId="23411" xr:uid="{00000000-0005-0000-0000-0000715B0000}"/>
    <cellStyle name="Normal 10 2 5 8" xfId="23412" xr:uid="{00000000-0005-0000-0000-0000725B0000}"/>
    <cellStyle name="Normal 10 2 5 8 2" xfId="23413" xr:uid="{00000000-0005-0000-0000-0000735B0000}"/>
    <cellStyle name="Normal 10 2 5 8 2 2" xfId="23414" xr:uid="{00000000-0005-0000-0000-0000745B0000}"/>
    <cellStyle name="Normal 10 2 5 8 2 2 2" xfId="23415" xr:uid="{00000000-0005-0000-0000-0000755B0000}"/>
    <cellStyle name="Normal 10 2 5 8 2 3" xfId="23416" xr:uid="{00000000-0005-0000-0000-0000765B0000}"/>
    <cellStyle name="Normal 10 2 5 8 3" xfId="23417" xr:uid="{00000000-0005-0000-0000-0000775B0000}"/>
    <cellStyle name="Normal 10 2 5 8 3 2" xfId="23418" xr:uid="{00000000-0005-0000-0000-0000785B0000}"/>
    <cellStyle name="Normal 10 2 5 8 4" xfId="23419" xr:uid="{00000000-0005-0000-0000-0000795B0000}"/>
    <cellStyle name="Normal 10 2 5 9" xfId="23420" xr:uid="{00000000-0005-0000-0000-00007A5B0000}"/>
    <cellStyle name="Normal 10 2 5 9 2" xfId="23421" xr:uid="{00000000-0005-0000-0000-00007B5B0000}"/>
    <cellStyle name="Normal 10 2 5 9 2 2" xfId="23422" xr:uid="{00000000-0005-0000-0000-00007C5B0000}"/>
    <cellStyle name="Normal 10 2 5 9 3" xfId="23423" xr:uid="{00000000-0005-0000-0000-00007D5B0000}"/>
    <cellStyle name="Normal 10 2 6" xfId="23424" xr:uid="{00000000-0005-0000-0000-00007E5B0000}"/>
    <cellStyle name="Normal 10 2 6 10" xfId="23425" xr:uid="{00000000-0005-0000-0000-00007F5B0000}"/>
    <cellStyle name="Normal 10 2 6 10 2" xfId="23426" xr:uid="{00000000-0005-0000-0000-0000805B0000}"/>
    <cellStyle name="Normal 10 2 6 10 2 2" xfId="23427" xr:uid="{00000000-0005-0000-0000-0000815B0000}"/>
    <cellStyle name="Normal 10 2 6 10 3" xfId="23428" xr:uid="{00000000-0005-0000-0000-0000825B0000}"/>
    <cellStyle name="Normal 10 2 6 11" xfId="23429" xr:uid="{00000000-0005-0000-0000-0000835B0000}"/>
    <cellStyle name="Normal 10 2 6 11 2" xfId="23430" xr:uid="{00000000-0005-0000-0000-0000845B0000}"/>
    <cellStyle name="Normal 10 2 6 11 2 2" xfId="23431" xr:uid="{00000000-0005-0000-0000-0000855B0000}"/>
    <cellStyle name="Normal 10 2 6 11 3" xfId="23432" xr:uid="{00000000-0005-0000-0000-0000865B0000}"/>
    <cellStyle name="Normal 10 2 6 12" xfId="23433" xr:uid="{00000000-0005-0000-0000-0000875B0000}"/>
    <cellStyle name="Normal 10 2 6 12 2" xfId="23434" xr:uid="{00000000-0005-0000-0000-0000885B0000}"/>
    <cellStyle name="Normal 10 2 6 12 2 2" xfId="23435" xr:uid="{00000000-0005-0000-0000-0000895B0000}"/>
    <cellStyle name="Normal 10 2 6 12 3" xfId="23436" xr:uid="{00000000-0005-0000-0000-00008A5B0000}"/>
    <cellStyle name="Normal 10 2 6 13" xfId="23437" xr:uid="{00000000-0005-0000-0000-00008B5B0000}"/>
    <cellStyle name="Normal 10 2 6 13 2" xfId="23438" xr:uid="{00000000-0005-0000-0000-00008C5B0000}"/>
    <cellStyle name="Normal 10 2 6 14" xfId="23439" xr:uid="{00000000-0005-0000-0000-00008D5B0000}"/>
    <cellStyle name="Normal 10 2 6 2" xfId="23440" xr:uid="{00000000-0005-0000-0000-00008E5B0000}"/>
    <cellStyle name="Normal 10 2 6 2 2" xfId="23441" xr:uid="{00000000-0005-0000-0000-00008F5B0000}"/>
    <cellStyle name="Normal 10 2 6 2 2 2" xfId="23442" xr:uid="{00000000-0005-0000-0000-0000905B0000}"/>
    <cellStyle name="Normal 10 2 6 2 2 2 2" xfId="23443" xr:uid="{00000000-0005-0000-0000-0000915B0000}"/>
    <cellStyle name="Normal 10 2 6 2 2 2 2 2" xfId="23444" xr:uid="{00000000-0005-0000-0000-0000925B0000}"/>
    <cellStyle name="Normal 10 2 6 2 2 2 3" xfId="23445" xr:uid="{00000000-0005-0000-0000-0000935B0000}"/>
    <cellStyle name="Normal 10 2 6 2 2 3" xfId="23446" xr:uid="{00000000-0005-0000-0000-0000945B0000}"/>
    <cellStyle name="Normal 10 2 6 2 2 3 2" xfId="23447" xr:uid="{00000000-0005-0000-0000-0000955B0000}"/>
    <cellStyle name="Normal 10 2 6 2 2 4" xfId="23448" xr:uid="{00000000-0005-0000-0000-0000965B0000}"/>
    <cellStyle name="Normal 10 2 6 2 3" xfId="23449" xr:uid="{00000000-0005-0000-0000-0000975B0000}"/>
    <cellStyle name="Normal 10 2 6 2 3 2" xfId="23450" xr:uid="{00000000-0005-0000-0000-0000985B0000}"/>
    <cellStyle name="Normal 10 2 6 2 3 2 2" xfId="23451" xr:uid="{00000000-0005-0000-0000-0000995B0000}"/>
    <cellStyle name="Normal 10 2 6 2 3 3" xfId="23452" xr:uid="{00000000-0005-0000-0000-00009A5B0000}"/>
    <cellStyle name="Normal 10 2 6 2 4" xfId="23453" xr:uid="{00000000-0005-0000-0000-00009B5B0000}"/>
    <cellStyle name="Normal 10 2 6 2 4 2" xfId="23454" xr:uid="{00000000-0005-0000-0000-00009C5B0000}"/>
    <cellStyle name="Normal 10 2 6 2 4 2 2" xfId="23455" xr:uid="{00000000-0005-0000-0000-00009D5B0000}"/>
    <cellStyle name="Normal 10 2 6 2 4 3" xfId="23456" xr:uid="{00000000-0005-0000-0000-00009E5B0000}"/>
    <cellStyle name="Normal 10 2 6 2 5" xfId="23457" xr:uid="{00000000-0005-0000-0000-00009F5B0000}"/>
    <cellStyle name="Normal 10 2 6 2 5 2" xfId="23458" xr:uid="{00000000-0005-0000-0000-0000A05B0000}"/>
    <cellStyle name="Normal 10 2 6 2 5 2 2" xfId="23459" xr:uid="{00000000-0005-0000-0000-0000A15B0000}"/>
    <cellStyle name="Normal 10 2 6 2 5 3" xfId="23460" xr:uid="{00000000-0005-0000-0000-0000A25B0000}"/>
    <cellStyle name="Normal 10 2 6 2 6" xfId="23461" xr:uid="{00000000-0005-0000-0000-0000A35B0000}"/>
    <cellStyle name="Normal 10 2 6 2 6 2" xfId="23462" xr:uid="{00000000-0005-0000-0000-0000A45B0000}"/>
    <cellStyle name="Normal 10 2 6 2 6 2 2" xfId="23463" xr:uid="{00000000-0005-0000-0000-0000A55B0000}"/>
    <cellStyle name="Normal 10 2 6 2 6 3" xfId="23464" xr:uid="{00000000-0005-0000-0000-0000A65B0000}"/>
    <cellStyle name="Normal 10 2 6 2 7" xfId="23465" xr:uid="{00000000-0005-0000-0000-0000A75B0000}"/>
    <cellStyle name="Normal 10 2 6 2 7 2" xfId="23466" xr:uid="{00000000-0005-0000-0000-0000A85B0000}"/>
    <cellStyle name="Normal 10 2 6 2 8" xfId="23467" xr:uid="{00000000-0005-0000-0000-0000A95B0000}"/>
    <cellStyle name="Normal 10 2 6 3" xfId="23468" xr:uid="{00000000-0005-0000-0000-0000AA5B0000}"/>
    <cellStyle name="Normal 10 2 6 3 2" xfId="23469" xr:uid="{00000000-0005-0000-0000-0000AB5B0000}"/>
    <cellStyle name="Normal 10 2 6 3 2 2" xfId="23470" xr:uid="{00000000-0005-0000-0000-0000AC5B0000}"/>
    <cellStyle name="Normal 10 2 6 3 2 2 2" xfId="23471" xr:uid="{00000000-0005-0000-0000-0000AD5B0000}"/>
    <cellStyle name="Normal 10 2 6 3 2 2 2 2" xfId="23472" xr:uid="{00000000-0005-0000-0000-0000AE5B0000}"/>
    <cellStyle name="Normal 10 2 6 3 2 2 3" xfId="23473" xr:uid="{00000000-0005-0000-0000-0000AF5B0000}"/>
    <cellStyle name="Normal 10 2 6 3 2 3" xfId="23474" xr:uid="{00000000-0005-0000-0000-0000B05B0000}"/>
    <cellStyle name="Normal 10 2 6 3 2 3 2" xfId="23475" xr:uid="{00000000-0005-0000-0000-0000B15B0000}"/>
    <cellStyle name="Normal 10 2 6 3 2 4" xfId="23476" xr:uid="{00000000-0005-0000-0000-0000B25B0000}"/>
    <cellStyle name="Normal 10 2 6 3 3" xfId="23477" xr:uid="{00000000-0005-0000-0000-0000B35B0000}"/>
    <cellStyle name="Normal 10 2 6 3 3 2" xfId="23478" xr:uid="{00000000-0005-0000-0000-0000B45B0000}"/>
    <cellStyle name="Normal 10 2 6 3 3 2 2" xfId="23479" xr:uid="{00000000-0005-0000-0000-0000B55B0000}"/>
    <cellStyle name="Normal 10 2 6 3 3 3" xfId="23480" xr:uid="{00000000-0005-0000-0000-0000B65B0000}"/>
    <cellStyle name="Normal 10 2 6 3 4" xfId="23481" xr:uid="{00000000-0005-0000-0000-0000B75B0000}"/>
    <cellStyle name="Normal 10 2 6 3 4 2" xfId="23482" xr:uid="{00000000-0005-0000-0000-0000B85B0000}"/>
    <cellStyle name="Normal 10 2 6 3 4 2 2" xfId="23483" xr:uid="{00000000-0005-0000-0000-0000B95B0000}"/>
    <cellStyle name="Normal 10 2 6 3 4 3" xfId="23484" xr:uid="{00000000-0005-0000-0000-0000BA5B0000}"/>
    <cellStyle name="Normal 10 2 6 3 5" xfId="23485" xr:uid="{00000000-0005-0000-0000-0000BB5B0000}"/>
    <cellStyle name="Normal 10 2 6 3 5 2" xfId="23486" xr:uid="{00000000-0005-0000-0000-0000BC5B0000}"/>
    <cellStyle name="Normal 10 2 6 3 5 2 2" xfId="23487" xr:uid="{00000000-0005-0000-0000-0000BD5B0000}"/>
    <cellStyle name="Normal 10 2 6 3 5 3" xfId="23488" xr:uid="{00000000-0005-0000-0000-0000BE5B0000}"/>
    <cellStyle name="Normal 10 2 6 3 6" xfId="23489" xr:uid="{00000000-0005-0000-0000-0000BF5B0000}"/>
    <cellStyle name="Normal 10 2 6 3 6 2" xfId="23490" xr:uid="{00000000-0005-0000-0000-0000C05B0000}"/>
    <cellStyle name="Normal 10 2 6 3 6 2 2" xfId="23491" xr:uid="{00000000-0005-0000-0000-0000C15B0000}"/>
    <cellStyle name="Normal 10 2 6 3 6 3" xfId="23492" xr:uid="{00000000-0005-0000-0000-0000C25B0000}"/>
    <cellStyle name="Normal 10 2 6 3 7" xfId="23493" xr:uid="{00000000-0005-0000-0000-0000C35B0000}"/>
    <cellStyle name="Normal 10 2 6 3 7 2" xfId="23494" xr:uid="{00000000-0005-0000-0000-0000C45B0000}"/>
    <cellStyle name="Normal 10 2 6 3 8" xfId="23495" xr:uid="{00000000-0005-0000-0000-0000C55B0000}"/>
    <cellStyle name="Normal 10 2 6 4" xfId="23496" xr:uid="{00000000-0005-0000-0000-0000C65B0000}"/>
    <cellStyle name="Normal 10 2 6 4 2" xfId="23497" xr:uid="{00000000-0005-0000-0000-0000C75B0000}"/>
    <cellStyle name="Normal 10 2 6 4 2 2" xfId="23498" xr:uid="{00000000-0005-0000-0000-0000C85B0000}"/>
    <cellStyle name="Normal 10 2 6 4 2 2 2" xfId="23499" xr:uid="{00000000-0005-0000-0000-0000C95B0000}"/>
    <cellStyle name="Normal 10 2 6 4 2 2 2 2" xfId="23500" xr:uid="{00000000-0005-0000-0000-0000CA5B0000}"/>
    <cellStyle name="Normal 10 2 6 4 2 2 3" xfId="23501" xr:uid="{00000000-0005-0000-0000-0000CB5B0000}"/>
    <cellStyle name="Normal 10 2 6 4 2 3" xfId="23502" xr:uid="{00000000-0005-0000-0000-0000CC5B0000}"/>
    <cellStyle name="Normal 10 2 6 4 2 3 2" xfId="23503" xr:uid="{00000000-0005-0000-0000-0000CD5B0000}"/>
    <cellStyle name="Normal 10 2 6 4 2 4" xfId="23504" xr:uid="{00000000-0005-0000-0000-0000CE5B0000}"/>
    <cellStyle name="Normal 10 2 6 4 3" xfId="23505" xr:uid="{00000000-0005-0000-0000-0000CF5B0000}"/>
    <cellStyle name="Normal 10 2 6 4 3 2" xfId="23506" xr:uid="{00000000-0005-0000-0000-0000D05B0000}"/>
    <cellStyle name="Normal 10 2 6 4 3 2 2" xfId="23507" xr:uid="{00000000-0005-0000-0000-0000D15B0000}"/>
    <cellStyle name="Normal 10 2 6 4 3 3" xfId="23508" xr:uid="{00000000-0005-0000-0000-0000D25B0000}"/>
    <cellStyle name="Normal 10 2 6 4 4" xfId="23509" xr:uid="{00000000-0005-0000-0000-0000D35B0000}"/>
    <cellStyle name="Normal 10 2 6 4 4 2" xfId="23510" xr:uid="{00000000-0005-0000-0000-0000D45B0000}"/>
    <cellStyle name="Normal 10 2 6 4 4 2 2" xfId="23511" xr:uid="{00000000-0005-0000-0000-0000D55B0000}"/>
    <cellStyle name="Normal 10 2 6 4 4 3" xfId="23512" xr:uid="{00000000-0005-0000-0000-0000D65B0000}"/>
    <cellStyle name="Normal 10 2 6 4 5" xfId="23513" xr:uid="{00000000-0005-0000-0000-0000D75B0000}"/>
    <cellStyle name="Normal 10 2 6 4 5 2" xfId="23514" xr:uid="{00000000-0005-0000-0000-0000D85B0000}"/>
    <cellStyle name="Normal 10 2 6 4 5 2 2" xfId="23515" xr:uid="{00000000-0005-0000-0000-0000D95B0000}"/>
    <cellStyle name="Normal 10 2 6 4 5 3" xfId="23516" xr:uid="{00000000-0005-0000-0000-0000DA5B0000}"/>
    <cellStyle name="Normal 10 2 6 4 6" xfId="23517" xr:uid="{00000000-0005-0000-0000-0000DB5B0000}"/>
    <cellStyle name="Normal 10 2 6 4 6 2" xfId="23518" xr:uid="{00000000-0005-0000-0000-0000DC5B0000}"/>
    <cellStyle name="Normal 10 2 6 4 6 2 2" xfId="23519" xr:uid="{00000000-0005-0000-0000-0000DD5B0000}"/>
    <cellStyle name="Normal 10 2 6 4 6 3" xfId="23520" xr:uid="{00000000-0005-0000-0000-0000DE5B0000}"/>
    <cellStyle name="Normal 10 2 6 4 7" xfId="23521" xr:uid="{00000000-0005-0000-0000-0000DF5B0000}"/>
    <cellStyle name="Normal 10 2 6 4 7 2" xfId="23522" xr:uid="{00000000-0005-0000-0000-0000E05B0000}"/>
    <cellStyle name="Normal 10 2 6 4 8" xfId="23523" xr:uid="{00000000-0005-0000-0000-0000E15B0000}"/>
    <cellStyle name="Normal 10 2 6 5" xfId="23524" xr:uid="{00000000-0005-0000-0000-0000E25B0000}"/>
    <cellStyle name="Normal 10 2 6 5 2" xfId="23525" xr:uid="{00000000-0005-0000-0000-0000E35B0000}"/>
    <cellStyle name="Normal 10 2 6 5 2 2" xfId="23526" xr:uid="{00000000-0005-0000-0000-0000E45B0000}"/>
    <cellStyle name="Normal 10 2 6 5 2 2 2" xfId="23527" xr:uid="{00000000-0005-0000-0000-0000E55B0000}"/>
    <cellStyle name="Normal 10 2 6 5 2 2 2 2" xfId="23528" xr:uid="{00000000-0005-0000-0000-0000E65B0000}"/>
    <cellStyle name="Normal 10 2 6 5 2 2 3" xfId="23529" xr:uid="{00000000-0005-0000-0000-0000E75B0000}"/>
    <cellStyle name="Normal 10 2 6 5 2 3" xfId="23530" xr:uid="{00000000-0005-0000-0000-0000E85B0000}"/>
    <cellStyle name="Normal 10 2 6 5 2 3 2" xfId="23531" xr:uid="{00000000-0005-0000-0000-0000E95B0000}"/>
    <cellStyle name="Normal 10 2 6 5 2 4" xfId="23532" xr:uid="{00000000-0005-0000-0000-0000EA5B0000}"/>
    <cellStyle name="Normal 10 2 6 5 3" xfId="23533" xr:uid="{00000000-0005-0000-0000-0000EB5B0000}"/>
    <cellStyle name="Normal 10 2 6 5 3 2" xfId="23534" xr:uid="{00000000-0005-0000-0000-0000EC5B0000}"/>
    <cellStyle name="Normal 10 2 6 5 3 2 2" xfId="23535" xr:uid="{00000000-0005-0000-0000-0000ED5B0000}"/>
    <cellStyle name="Normal 10 2 6 5 3 3" xfId="23536" xr:uid="{00000000-0005-0000-0000-0000EE5B0000}"/>
    <cellStyle name="Normal 10 2 6 5 4" xfId="23537" xr:uid="{00000000-0005-0000-0000-0000EF5B0000}"/>
    <cellStyle name="Normal 10 2 6 5 4 2" xfId="23538" xr:uid="{00000000-0005-0000-0000-0000F05B0000}"/>
    <cellStyle name="Normal 10 2 6 5 5" xfId="23539" xr:uid="{00000000-0005-0000-0000-0000F15B0000}"/>
    <cellStyle name="Normal 10 2 6 6" xfId="23540" xr:uid="{00000000-0005-0000-0000-0000F25B0000}"/>
    <cellStyle name="Normal 10 2 6 6 2" xfId="23541" xr:uid="{00000000-0005-0000-0000-0000F35B0000}"/>
    <cellStyle name="Normal 10 2 6 6 2 2" xfId="23542" xr:uid="{00000000-0005-0000-0000-0000F45B0000}"/>
    <cellStyle name="Normal 10 2 6 6 2 2 2" xfId="23543" xr:uid="{00000000-0005-0000-0000-0000F55B0000}"/>
    <cellStyle name="Normal 10 2 6 6 2 2 2 2" xfId="23544" xr:uid="{00000000-0005-0000-0000-0000F65B0000}"/>
    <cellStyle name="Normal 10 2 6 6 2 2 3" xfId="23545" xr:uid="{00000000-0005-0000-0000-0000F75B0000}"/>
    <cellStyle name="Normal 10 2 6 6 2 3" xfId="23546" xr:uid="{00000000-0005-0000-0000-0000F85B0000}"/>
    <cellStyle name="Normal 10 2 6 6 2 3 2" xfId="23547" xr:uid="{00000000-0005-0000-0000-0000F95B0000}"/>
    <cellStyle name="Normal 10 2 6 6 2 4" xfId="23548" xr:uid="{00000000-0005-0000-0000-0000FA5B0000}"/>
    <cellStyle name="Normal 10 2 6 6 3" xfId="23549" xr:uid="{00000000-0005-0000-0000-0000FB5B0000}"/>
    <cellStyle name="Normal 10 2 6 6 3 2" xfId="23550" xr:uid="{00000000-0005-0000-0000-0000FC5B0000}"/>
    <cellStyle name="Normal 10 2 6 6 3 2 2" xfId="23551" xr:uid="{00000000-0005-0000-0000-0000FD5B0000}"/>
    <cellStyle name="Normal 10 2 6 6 3 3" xfId="23552" xr:uid="{00000000-0005-0000-0000-0000FE5B0000}"/>
    <cellStyle name="Normal 10 2 6 6 4" xfId="23553" xr:uid="{00000000-0005-0000-0000-0000FF5B0000}"/>
    <cellStyle name="Normal 10 2 6 6 4 2" xfId="23554" xr:uid="{00000000-0005-0000-0000-0000005C0000}"/>
    <cellStyle name="Normal 10 2 6 6 5" xfId="23555" xr:uid="{00000000-0005-0000-0000-0000015C0000}"/>
    <cellStyle name="Normal 10 2 6 7" xfId="23556" xr:uid="{00000000-0005-0000-0000-0000025C0000}"/>
    <cellStyle name="Normal 10 2 6 7 2" xfId="23557" xr:uid="{00000000-0005-0000-0000-0000035C0000}"/>
    <cellStyle name="Normal 10 2 6 7 2 2" xfId="23558" xr:uid="{00000000-0005-0000-0000-0000045C0000}"/>
    <cellStyle name="Normal 10 2 6 7 2 2 2" xfId="23559" xr:uid="{00000000-0005-0000-0000-0000055C0000}"/>
    <cellStyle name="Normal 10 2 6 7 2 3" xfId="23560" xr:uid="{00000000-0005-0000-0000-0000065C0000}"/>
    <cellStyle name="Normal 10 2 6 7 3" xfId="23561" xr:uid="{00000000-0005-0000-0000-0000075C0000}"/>
    <cellStyle name="Normal 10 2 6 7 3 2" xfId="23562" xr:uid="{00000000-0005-0000-0000-0000085C0000}"/>
    <cellStyle name="Normal 10 2 6 7 4" xfId="23563" xr:uid="{00000000-0005-0000-0000-0000095C0000}"/>
    <cellStyle name="Normal 10 2 6 8" xfId="23564" xr:uid="{00000000-0005-0000-0000-00000A5C0000}"/>
    <cellStyle name="Normal 10 2 6 8 2" xfId="23565" xr:uid="{00000000-0005-0000-0000-00000B5C0000}"/>
    <cellStyle name="Normal 10 2 6 8 2 2" xfId="23566" xr:uid="{00000000-0005-0000-0000-00000C5C0000}"/>
    <cellStyle name="Normal 10 2 6 8 2 2 2" xfId="23567" xr:uid="{00000000-0005-0000-0000-00000D5C0000}"/>
    <cellStyle name="Normal 10 2 6 8 2 3" xfId="23568" xr:uid="{00000000-0005-0000-0000-00000E5C0000}"/>
    <cellStyle name="Normal 10 2 6 8 3" xfId="23569" xr:uid="{00000000-0005-0000-0000-00000F5C0000}"/>
    <cellStyle name="Normal 10 2 6 8 3 2" xfId="23570" xr:uid="{00000000-0005-0000-0000-0000105C0000}"/>
    <cellStyle name="Normal 10 2 6 8 4" xfId="23571" xr:uid="{00000000-0005-0000-0000-0000115C0000}"/>
    <cellStyle name="Normal 10 2 6 9" xfId="23572" xr:uid="{00000000-0005-0000-0000-0000125C0000}"/>
    <cellStyle name="Normal 10 2 6 9 2" xfId="23573" xr:uid="{00000000-0005-0000-0000-0000135C0000}"/>
    <cellStyle name="Normal 10 2 6 9 2 2" xfId="23574" xr:uid="{00000000-0005-0000-0000-0000145C0000}"/>
    <cellStyle name="Normal 10 2 6 9 3" xfId="23575" xr:uid="{00000000-0005-0000-0000-0000155C0000}"/>
    <cellStyle name="Normal 10 2 7" xfId="23576" xr:uid="{00000000-0005-0000-0000-0000165C0000}"/>
    <cellStyle name="Normal 10 2 7 2" xfId="23577" xr:uid="{00000000-0005-0000-0000-0000175C0000}"/>
    <cellStyle name="Normal 10 2 7 2 2" xfId="23578" xr:uid="{00000000-0005-0000-0000-0000185C0000}"/>
    <cellStyle name="Normal 10 2 7 2 2 2" xfId="23579" xr:uid="{00000000-0005-0000-0000-0000195C0000}"/>
    <cellStyle name="Normal 10 2 7 2 2 2 2" xfId="23580" xr:uid="{00000000-0005-0000-0000-00001A5C0000}"/>
    <cellStyle name="Normal 10 2 7 2 2 3" xfId="23581" xr:uid="{00000000-0005-0000-0000-00001B5C0000}"/>
    <cellStyle name="Normal 10 2 7 2 3" xfId="23582" xr:uid="{00000000-0005-0000-0000-00001C5C0000}"/>
    <cellStyle name="Normal 10 2 7 2 3 2" xfId="23583" xr:uid="{00000000-0005-0000-0000-00001D5C0000}"/>
    <cellStyle name="Normal 10 2 7 2 4" xfId="23584" xr:uid="{00000000-0005-0000-0000-00001E5C0000}"/>
    <cellStyle name="Normal 10 2 7 3" xfId="23585" xr:uid="{00000000-0005-0000-0000-00001F5C0000}"/>
    <cellStyle name="Normal 10 2 7 3 2" xfId="23586" xr:uid="{00000000-0005-0000-0000-0000205C0000}"/>
    <cellStyle name="Normal 10 2 7 3 2 2" xfId="23587" xr:uid="{00000000-0005-0000-0000-0000215C0000}"/>
    <cellStyle name="Normal 10 2 7 3 3" xfId="23588" xr:uid="{00000000-0005-0000-0000-0000225C0000}"/>
    <cellStyle name="Normal 10 2 7 4" xfId="23589" xr:uid="{00000000-0005-0000-0000-0000235C0000}"/>
    <cellStyle name="Normal 10 2 7 4 2" xfId="23590" xr:uid="{00000000-0005-0000-0000-0000245C0000}"/>
    <cellStyle name="Normal 10 2 7 4 2 2" xfId="23591" xr:uid="{00000000-0005-0000-0000-0000255C0000}"/>
    <cellStyle name="Normal 10 2 7 4 3" xfId="23592" xr:uid="{00000000-0005-0000-0000-0000265C0000}"/>
    <cellStyle name="Normal 10 2 7 5" xfId="23593" xr:uid="{00000000-0005-0000-0000-0000275C0000}"/>
    <cellStyle name="Normal 10 2 7 5 2" xfId="23594" xr:uid="{00000000-0005-0000-0000-0000285C0000}"/>
    <cellStyle name="Normal 10 2 7 5 2 2" xfId="23595" xr:uid="{00000000-0005-0000-0000-0000295C0000}"/>
    <cellStyle name="Normal 10 2 7 5 3" xfId="23596" xr:uid="{00000000-0005-0000-0000-00002A5C0000}"/>
    <cellStyle name="Normal 10 2 7 6" xfId="23597" xr:uid="{00000000-0005-0000-0000-00002B5C0000}"/>
    <cellStyle name="Normal 10 2 7 6 2" xfId="23598" xr:uid="{00000000-0005-0000-0000-00002C5C0000}"/>
    <cellStyle name="Normal 10 2 7 6 2 2" xfId="23599" xr:uid="{00000000-0005-0000-0000-00002D5C0000}"/>
    <cellStyle name="Normal 10 2 7 6 3" xfId="23600" xr:uid="{00000000-0005-0000-0000-00002E5C0000}"/>
    <cellStyle name="Normal 10 2 7 7" xfId="23601" xr:uid="{00000000-0005-0000-0000-00002F5C0000}"/>
    <cellStyle name="Normal 10 2 7 7 2" xfId="23602" xr:uid="{00000000-0005-0000-0000-0000305C0000}"/>
    <cellStyle name="Normal 10 2 7 8" xfId="23603" xr:uid="{00000000-0005-0000-0000-0000315C0000}"/>
    <cellStyle name="Normal 10 2 8" xfId="23604" xr:uid="{00000000-0005-0000-0000-0000325C0000}"/>
    <cellStyle name="Normal 10 2 8 2" xfId="23605" xr:uid="{00000000-0005-0000-0000-0000335C0000}"/>
    <cellStyle name="Normal 10 2 8 2 2" xfId="23606" xr:uid="{00000000-0005-0000-0000-0000345C0000}"/>
    <cellStyle name="Normal 10 2 8 2 2 2" xfId="23607" xr:uid="{00000000-0005-0000-0000-0000355C0000}"/>
    <cellStyle name="Normal 10 2 8 2 2 2 2" xfId="23608" xr:uid="{00000000-0005-0000-0000-0000365C0000}"/>
    <cellStyle name="Normal 10 2 8 2 2 3" xfId="23609" xr:uid="{00000000-0005-0000-0000-0000375C0000}"/>
    <cellStyle name="Normal 10 2 8 2 3" xfId="23610" xr:uid="{00000000-0005-0000-0000-0000385C0000}"/>
    <cellStyle name="Normal 10 2 8 2 3 2" xfId="23611" xr:uid="{00000000-0005-0000-0000-0000395C0000}"/>
    <cellStyle name="Normal 10 2 8 2 4" xfId="23612" xr:uid="{00000000-0005-0000-0000-00003A5C0000}"/>
    <cellStyle name="Normal 10 2 8 3" xfId="23613" xr:uid="{00000000-0005-0000-0000-00003B5C0000}"/>
    <cellStyle name="Normal 10 2 8 3 2" xfId="23614" xr:uid="{00000000-0005-0000-0000-00003C5C0000}"/>
    <cellStyle name="Normal 10 2 8 3 2 2" xfId="23615" xr:uid="{00000000-0005-0000-0000-00003D5C0000}"/>
    <cellStyle name="Normal 10 2 8 3 3" xfId="23616" xr:uid="{00000000-0005-0000-0000-00003E5C0000}"/>
    <cellStyle name="Normal 10 2 8 4" xfId="23617" xr:uid="{00000000-0005-0000-0000-00003F5C0000}"/>
    <cellStyle name="Normal 10 2 8 4 2" xfId="23618" xr:uid="{00000000-0005-0000-0000-0000405C0000}"/>
    <cellStyle name="Normal 10 2 8 4 2 2" xfId="23619" xr:uid="{00000000-0005-0000-0000-0000415C0000}"/>
    <cellStyle name="Normal 10 2 8 4 3" xfId="23620" xr:uid="{00000000-0005-0000-0000-0000425C0000}"/>
    <cellStyle name="Normal 10 2 8 5" xfId="23621" xr:uid="{00000000-0005-0000-0000-0000435C0000}"/>
    <cellStyle name="Normal 10 2 8 5 2" xfId="23622" xr:uid="{00000000-0005-0000-0000-0000445C0000}"/>
    <cellStyle name="Normal 10 2 8 5 2 2" xfId="23623" xr:uid="{00000000-0005-0000-0000-0000455C0000}"/>
    <cellStyle name="Normal 10 2 8 5 3" xfId="23624" xr:uid="{00000000-0005-0000-0000-0000465C0000}"/>
    <cellStyle name="Normal 10 2 8 6" xfId="23625" xr:uid="{00000000-0005-0000-0000-0000475C0000}"/>
    <cellStyle name="Normal 10 2 8 6 2" xfId="23626" xr:uid="{00000000-0005-0000-0000-0000485C0000}"/>
    <cellStyle name="Normal 10 2 8 6 2 2" xfId="23627" xr:uid="{00000000-0005-0000-0000-0000495C0000}"/>
    <cellStyle name="Normal 10 2 8 6 3" xfId="23628" xr:uid="{00000000-0005-0000-0000-00004A5C0000}"/>
    <cellStyle name="Normal 10 2 8 7" xfId="23629" xr:uid="{00000000-0005-0000-0000-00004B5C0000}"/>
    <cellStyle name="Normal 10 2 8 7 2" xfId="23630" xr:uid="{00000000-0005-0000-0000-00004C5C0000}"/>
    <cellStyle name="Normal 10 2 8 8" xfId="23631" xr:uid="{00000000-0005-0000-0000-00004D5C0000}"/>
    <cellStyle name="Normal 10 2 9" xfId="23632" xr:uid="{00000000-0005-0000-0000-00004E5C0000}"/>
    <cellStyle name="Normal 10 2 9 2" xfId="23633" xr:uid="{00000000-0005-0000-0000-00004F5C0000}"/>
    <cellStyle name="Normal 10 2 9 2 2" xfId="23634" xr:uid="{00000000-0005-0000-0000-0000505C0000}"/>
    <cellStyle name="Normal 10 2 9 2 2 2" xfId="23635" xr:uid="{00000000-0005-0000-0000-0000515C0000}"/>
    <cellStyle name="Normal 10 2 9 2 2 2 2" xfId="23636" xr:uid="{00000000-0005-0000-0000-0000525C0000}"/>
    <cellStyle name="Normal 10 2 9 2 2 3" xfId="23637" xr:uid="{00000000-0005-0000-0000-0000535C0000}"/>
    <cellStyle name="Normal 10 2 9 2 3" xfId="23638" xr:uid="{00000000-0005-0000-0000-0000545C0000}"/>
    <cellStyle name="Normal 10 2 9 2 3 2" xfId="23639" xr:uid="{00000000-0005-0000-0000-0000555C0000}"/>
    <cellStyle name="Normal 10 2 9 2 4" xfId="23640" xr:uid="{00000000-0005-0000-0000-0000565C0000}"/>
    <cellStyle name="Normal 10 2 9 3" xfId="23641" xr:uid="{00000000-0005-0000-0000-0000575C0000}"/>
    <cellStyle name="Normal 10 2 9 3 2" xfId="23642" xr:uid="{00000000-0005-0000-0000-0000585C0000}"/>
    <cellStyle name="Normal 10 2 9 3 2 2" xfId="23643" xr:uid="{00000000-0005-0000-0000-0000595C0000}"/>
    <cellStyle name="Normal 10 2 9 3 3" xfId="23644" xr:uid="{00000000-0005-0000-0000-00005A5C0000}"/>
    <cellStyle name="Normal 10 2 9 4" xfId="23645" xr:uid="{00000000-0005-0000-0000-00005B5C0000}"/>
    <cellStyle name="Normal 10 2 9 4 2" xfId="23646" xr:uid="{00000000-0005-0000-0000-00005C5C0000}"/>
    <cellStyle name="Normal 10 2 9 4 2 2" xfId="23647" xr:uid="{00000000-0005-0000-0000-00005D5C0000}"/>
    <cellStyle name="Normal 10 2 9 4 3" xfId="23648" xr:uid="{00000000-0005-0000-0000-00005E5C0000}"/>
    <cellStyle name="Normal 10 2 9 5" xfId="23649" xr:uid="{00000000-0005-0000-0000-00005F5C0000}"/>
    <cellStyle name="Normal 10 2 9 5 2" xfId="23650" xr:uid="{00000000-0005-0000-0000-0000605C0000}"/>
    <cellStyle name="Normal 10 2 9 5 2 2" xfId="23651" xr:uid="{00000000-0005-0000-0000-0000615C0000}"/>
    <cellStyle name="Normal 10 2 9 5 3" xfId="23652" xr:uid="{00000000-0005-0000-0000-0000625C0000}"/>
    <cellStyle name="Normal 10 2 9 6" xfId="23653" xr:uid="{00000000-0005-0000-0000-0000635C0000}"/>
    <cellStyle name="Normal 10 2 9 6 2" xfId="23654" xr:uid="{00000000-0005-0000-0000-0000645C0000}"/>
    <cellStyle name="Normal 10 2 9 6 2 2" xfId="23655" xr:uid="{00000000-0005-0000-0000-0000655C0000}"/>
    <cellStyle name="Normal 10 2 9 6 3" xfId="23656" xr:uid="{00000000-0005-0000-0000-0000665C0000}"/>
    <cellStyle name="Normal 10 2 9 7" xfId="23657" xr:uid="{00000000-0005-0000-0000-0000675C0000}"/>
    <cellStyle name="Normal 10 2 9 7 2" xfId="23658" xr:uid="{00000000-0005-0000-0000-0000685C0000}"/>
    <cellStyle name="Normal 10 2 9 8" xfId="23659" xr:uid="{00000000-0005-0000-0000-0000695C0000}"/>
    <cellStyle name="Normal 10 20" xfId="23660" xr:uid="{00000000-0005-0000-0000-00006A5C0000}"/>
    <cellStyle name="Normal 10 20 2" xfId="23661" xr:uid="{00000000-0005-0000-0000-00006B5C0000}"/>
    <cellStyle name="Normal 10 21" xfId="23662" xr:uid="{00000000-0005-0000-0000-00006C5C0000}"/>
    <cellStyle name="Normal 10 3" xfId="23663" xr:uid="{00000000-0005-0000-0000-00006D5C0000}"/>
    <cellStyle name="Normal 10 3 10" xfId="23664" xr:uid="{00000000-0005-0000-0000-00006E5C0000}"/>
    <cellStyle name="Normal 10 3 10 2" xfId="23665" xr:uid="{00000000-0005-0000-0000-00006F5C0000}"/>
    <cellStyle name="Normal 10 3 10 2 2" xfId="23666" xr:uid="{00000000-0005-0000-0000-0000705C0000}"/>
    <cellStyle name="Normal 10 3 10 3" xfId="23667" xr:uid="{00000000-0005-0000-0000-0000715C0000}"/>
    <cellStyle name="Normal 10 3 11" xfId="23668" xr:uid="{00000000-0005-0000-0000-0000725C0000}"/>
    <cellStyle name="Normal 10 3 11 2" xfId="23669" xr:uid="{00000000-0005-0000-0000-0000735C0000}"/>
    <cellStyle name="Normal 10 3 11 2 2" xfId="23670" xr:uid="{00000000-0005-0000-0000-0000745C0000}"/>
    <cellStyle name="Normal 10 3 11 3" xfId="23671" xr:uid="{00000000-0005-0000-0000-0000755C0000}"/>
    <cellStyle name="Normal 10 3 12" xfId="23672" xr:uid="{00000000-0005-0000-0000-0000765C0000}"/>
    <cellStyle name="Normal 10 3 12 2" xfId="23673" xr:uid="{00000000-0005-0000-0000-0000775C0000}"/>
    <cellStyle name="Normal 10 3 12 2 2" xfId="23674" xr:uid="{00000000-0005-0000-0000-0000785C0000}"/>
    <cellStyle name="Normal 10 3 12 3" xfId="23675" xr:uid="{00000000-0005-0000-0000-0000795C0000}"/>
    <cellStyle name="Normal 10 3 13" xfId="23676" xr:uid="{00000000-0005-0000-0000-00007A5C0000}"/>
    <cellStyle name="Normal 10 3 13 2" xfId="23677" xr:uid="{00000000-0005-0000-0000-00007B5C0000}"/>
    <cellStyle name="Normal 10 3 14" xfId="23678" xr:uid="{00000000-0005-0000-0000-00007C5C0000}"/>
    <cellStyle name="Normal 10 3 2" xfId="23679" xr:uid="{00000000-0005-0000-0000-00007D5C0000}"/>
    <cellStyle name="Normal 10 3 2 2" xfId="23680" xr:uid="{00000000-0005-0000-0000-00007E5C0000}"/>
    <cellStyle name="Normal 10 3 2 2 2" xfId="23681" xr:uid="{00000000-0005-0000-0000-00007F5C0000}"/>
    <cellStyle name="Normal 10 3 2 2 2 2" xfId="23682" xr:uid="{00000000-0005-0000-0000-0000805C0000}"/>
    <cellStyle name="Normal 10 3 2 2 2 2 2" xfId="23683" xr:uid="{00000000-0005-0000-0000-0000815C0000}"/>
    <cellStyle name="Normal 10 3 2 2 2 3" xfId="23684" xr:uid="{00000000-0005-0000-0000-0000825C0000}"/>
    <cellStyle name="Normal 10 3 2 2 3" xfId="23685" xr:uid="{00000000-0005-0000-0000-0000835C0000}"/>
    <cellStyle name="Normal 10 3 2 2 3 2" xfId="23686" xr:uid="{00000000-0005-0000-0000-0000845C0000}"/>
    <cellStyle name="Normal 10 3 2 2 4" xfId="23687" xr:uid="{00000000-0005-0000-0000-0000855C0000}"/>
    <cellStyle name="Normal 10 3 2 3" xfId="23688" xr:uid="{00000000-0005-0000-0000-0000865C0000}"/>
    <cellStyle name="Normal 10 3 2 3 2" xfId="23689" xr:uid="{00000000-0005-0000-0000-0000875C0000}"/>
    <cellStyle name="Normal 10 3 2 3 2 2" xfId="23690" xr:uid="{00000000-0005-0000-0000-0000885C0000}"/>
    <cellStyle name="Normal 10 3 2 3 3" xfId="23691" xr:uid="{00000000-0005-0000-0000-0000895C0000}"/>
    <cellStyle name="Normal 10 3 2 4" xfId="23692" xr:uid="{00000000-0005-0000-0000-00008A5C0000}"/>
    <cellStyle name="Normal 10 3 2 4 2" xfId="23693" xr:uid="{00000000-0005-0000-0000-00008B5C0000}"/>
    <cellStyle name="Normal 10 3 2 4 2 2" xfId="23694" xr:uid="{00000000-0005-0000-0000-00008C5C0000}"/>
    <cellStyle name="Normal 10 3 2 4 3" xfId="23695" xr:uid="{00000000-0005-0000-0000-00008D5C0000}"/>
    <cellStyle name="Normal 10 3 2 5" xfId="23696" xr:uid="{00000000-0005-0000-0000-00008E5C0000}"/>
    <cellStyle name="Normal 10 3 2 5 2" xfId="23697" xr:uid="{00000000-0005-0000-0000-00008F5C0000}"/>
    <cellStyle name="Normal 10 3 2 5 2 2" xfId="23698" xr:uid="{00000000-0005-0000-0000-0000905C0000}"/>
    <cellStyle name="Normal 10 3 2 5 3" xfId="23699" xr:uid="{00000000-0005-0000-0000-0000915C0000}"/>
    <cellStyle name="Normal 10 3 2 6" xfId="23700" xr:uid="{00000000-0005-0000-0000-0000925C0000}"/>
    <cellStyle name="Normal 10 3 2 6 2" xfId="23701" xr:uid="{00000000-0005-0000-0000-0000935C0000}"/>
    <cellStyle name="Normal 10 3 2 6 2 2" xfId="23702" xr:uid="{00000000-0005-0000-0000-0000945C0000}"/>
    <cellStyle name="Normal 10 3 2 6 3" xfId="23703" xr:uid="{00000000-0005-0000-0000-0000955C0000}"/>
    <cellStyle name="Normal 10 3 2 7" xfId="23704" xr:uid="{00000000-0005-0000-0000-0000965C0000}"/>
    <cellStyle name="Normal 10 3 2 7 2" xfId="23705" xr:uid="{00000000-0005-0000-0000-0000975C0000}"/>
    <cellStyle name="Normal 10 3 2 8" xfId="23706" xr:uid="{00000000-0005-0000-0000-0000985C0000}"/>
    <cellStyle name="Normal 10 3 3" xfId="23707" xr:uid="{00000000-0005-0000-0000-0000995C0000}"/>
    <cellStyle name="Normal 10 3 3 2" xfId="23708" xr:uid="{00000000-0005-0000-0000-00009A5C0000}"/>
    <cellStyle name="Normal 10 3 3 2 2" xfId="23709" xr:uid="{00000000-0005-0000-0000-00009B5C0000}"/>
    <cellStyle name="Normal 10 3 3 2 2 2" xfId="23710" xr:uid="{00000000-0005-0000-0000-00009C5C0000}"/>
    <cellStyle name="Normal 10 3 3 2 2 2 2" xfId="23711" xr:uid="{00000000-0005-0000-0000-00009D5C0000}"/>
    <cellStyle name="Normal 10 3 3 2 2 3" xfId="23712" xr:uid="{00000000-0005-0000-0000-00009E5C0000}"/>
    <cellStyle name="Normal 10 3 3 2 3" xfId="23713" xr:uid="{00000000-0005-0000-0000-00009F5C0000}"/>
    <cellStyle name="Normal 10 3 3 2 3 2" xfId="23714" xr:uid="{00000000-0005-0000-0000-0000A05C0000}"/>
    <cellStyle name="Normal 10 3 3 2 4" xfId="23715" xr:uid="{00000000-0005-0000-0000-0000A15C0000}"/>
    <cellStyle name="Normal 10 3 3 3" xfId="23716" xr:uid="{00000000-0005-0000-0000-0000A25C0000}"/>
    <cellStyle name="Normal 10 3 3 3 2" xfId="23717" xr:uid="{00000000-0005-0000-0000-0000A35C0000}"/>
    <cellStyle name="Normal 10 3 3 3 2 2" xfId="23718" xr:uid="{00000000-0005-0000-0000-0000A45C0000}"/>
    <cellStyle name="Normal 10 3 3 3 3" xfId="23719" xr:uid="{00000000-0005-0000-0000-0000A55C0000}"/>
    <cellStyle name="Normal 10 3 3 4" xfId="23720" xr:uid="{00000000-0005-0000-0000-0000A65C0000}"/>
    <cellStyle name="Normal 10 3 3 4 2" xfId="23721" xr:uid="{00000000-0005-0000-0000-0000A75C0000}"/>
    <cellStyle name="Normal 10 3 3 4 2 2" xfId="23722" xr:uid="{00000000-0005-0000-0000-0000A85C0000}"/>
    <cellStyle name="Normal 10 3 3 4 3" xfId="23723" xr:uid="{00000000-0005-0000-0000-0000A95C0000}"/>
    <cellStyle name="Normal 10 3 3 5" xfId="23724" xr:uid="{00000000-0005-0000-0000-0000AA5C0000}"/>
    <cellStyle name="Normal 10 3 3 5 2" xfId="23725" xr:uid="{00000000-0005-0000-0000-0000AB5C0000}"/>
    <cellStyle name="Normal 10 3 3 5 2 2" xfId="23726" xr:uid="{00000000-0005-0000-0000-0000AC5C0000}"/>
    <cellStyle name="Normal 10 3 3 5 3" xfId="23727" xr:uid="{00000000-0005-0000-0000-0000AD5C0000}"/>
    <cellStyle name="Normal 10 3 3 6" xfId="23728" xr:uid="{00000000-0005-0000-0000-0000AE5C0000}"/>
    <cellStyle name="Normal 10 3 3 6 2" xfId="23729" xr:uid="{00000000-0005-0000-0000-0000AF5C0000}"/>
    <cellStyle name="Normal 10 3 3 6 2 2" xfId="23730" xr:uid="{00000000-0005-0000-0000-0000B05C0000}"/>
    <cellStyle name="Normal 10 3 3 6 3" xfId="23731" xr:uid="{00000000-0005-0000-0000-0000B15C0000}"/>
    <cellStyle name="Normal 10 3 3 7" xfId="23732" xr:uid="{00000000-0005-0000-0000-0000B25C0000}"/>
    <cellStyle name="Normal 10 3 3 7 2" xfId="23733" xr:uid="{00000000-0005-0000-0000-0000B35C0000}"/>
    <cellStyle name="Normal 10 3 3 8" xfId="23734" xr:uid="{00000000-0005-0000-0000-0000B45C0000}"/>
    <cellStyle name="Normal 10 3 4" xfId="23735" xr:uid="{00000000-0005-0000-0000-0000B55C0000}"/>
    <cellStyle name="Normal 10 3 4 2" xfId="23736" xr:uid="{00000000-0005-0000-0000-0000B65C0000}"/>
    <cellStyle name="Normal 10 3 4 2 2" xfId="23737" xr:uid="{00000000-0005-0000-0000-0000B75C0000}"/>
    <cellStyle name="Normal 10 3 4 2 2 2" xfId="23738" xr:uid="{00000000-0005-0000-0000-0000B85C0000}"/>
    <cellStyle name="Normal 10 3 4 2 2 2 2" xfId="23739" xr:uid="{00000000-0005-0000-0000-0000B95C0000}"/>
    <cellStyle name="Normal 10 3 4 2 2 3" xfId="23740" xr:uid="{00000000-0005-0000-0000-0000BA5C0000}"/>
    <cellStyle name="Normal 10 3 4 2 3" xfId="23741" xr:uid="{00000000-0005-0000-0000-0000BB5C0000}"/>
    <cellStyle name="Normal 10 3 4 2 3 2" xfId="23742" xr:uid="{00000000-0005-0000-0000-0000BC5C0000}"/>
    <cellStyle name="Normal 10 3 4 2 4" xfId="23743" xr:uid="{00000000-0005-0000-0000-0000BD5C0000}"/>
    <cellStyle name="Normal 10 3 4 3" xfId="23744" xr:uid="{00000000-0005-0000-0000-0000BE5C0000}"/>
    <cellStyle name="Normal 10 3 4 3 2" xfId="23745" xr:uid="{00000000-0005-0000-0000-0000BF5C0000}"/>
    <cellStyle name="Normal 10 3 4 3 2 2" xfId="23746" xr:uid="{00000000-0005-0000-0000-0000C05C0000}"/>
    <cellStyle name="Normal 10 3 4 3 3" xfId="23747" xr:uid="{00000000-0005-0000-0000-0000C15C0000}"/>
    <cellStyle name="Normal 10 3 4 4" xfId="23748" xr:uid="{00000000-0005-0000-0000-0000C25C0000}"/>
    <cellStyle name="Normal 10 3 4 4 2" xfId="23749" xr:uid="{00000000-0005-0000-0000-0000C35C0000}"/>
    <cellStyle name="Normal 10 3 4 4 2 2" xfId="23750" xr:uid="{00000000-0005-0000-0000-0000C45C0000}"/>
    <cellStyle name="Normal 10 3 4 4 3" xfId="23751" xr:uid="{00000000-0005-0000-0000-0000C55C0000}"/>
    <cellStyle name="Normal 10 3 4 5" xfId="23752" xr:uid="{00000000-0005-0000-0000-0000C65C0000}"/>
    <cellStyle name="Normal 10 3 4 5 2" xfId="23753" xr:uid="{00000000-0005-0000-0000-0000C75C0000}"/>
    <cellStyle name="Normal 10 3 4 5 2 2" xfId="23754" xr:uid="{00000000-0005-0000-0000-0000C85C0000}"/>
    <cellStyle name="Normal 10 3 4 5 3" xfId="23755" xr:uid="{00000000-0005-0000-0000-0000C95C0000}"/>
    <cellStyle name="Normal 10 3 4 6" xfId="23756" xr:uid="{00000000-0005-0000-0000-0000CA5C0000}"/>
    <cellStyle name="Normal 10 3 4 6 2" xfId="23757" xr:uid="{00000000-0005-0000-0000-0000CB5C0000}"/>
    <cellStyle name="Normal 10 3 4 6 2 2" xfId="23758" xr:uid="{00000000-0005-0000-0000-0000CC5C0000}"/>
    <cellStyle name="Normal 10 3 4 6 3" xfId="23759" xr:uid="{00000000-0005-0000-0000-0000CD5C0000}"/>
    <cellStyle name="Normal 10 3 4 7" xfId="23760" xr:uid="{00000000-0005-0000-0000-0000CE5C0000}"/>
    <cellStyle name="Normal 10 3 4 7 2" xfId="23761" xr:uid="{00000000-0005-0000-0000-0000CF5C0000}"/>
    <cellStyle name="Normal 10 3 4 8" xfId="23762" xr:uid="{00000000-0005-0000-0000-0000D05C0000}"/>
    <cellStyle name="Normal 10 3 5" xfId="23763" xr:uid="{00000000-0005-0000-0000-0000D15C0000}"/>
    <cellStyle name="Normal 10 3 5 2" xfId="23764" xr:uid="{00000000-0005-0000-0000-0000D25C0000}"/>
    <cellStyle name="Normal 10 3 5 2 2" xfId="23765" xr:uid="{00000000-0005-0000-0000-0000D35C0000}"/>
    <cellStyle name="Normal 10 3 5 2 2 2" xfId="23766" xr:uid="{00000000-0005-0000-0000-0000D45C0000}"/>
    <cellStyle name="Normal 10 3 5 2 2 2 2" xfId="23767" xr:uid="{00000000-0005-0000-0000-0000D55C0000}"/>
    <cellStyle name="Normal 10 3 5 2 2 3" xfId="23768" xr:uid="{00000000-0005-0000-0000-0000D65C0000}"/>
    <cellStyle name="Normal 10 3 5 2 3" xfId="23769" xr:uid="{00000000-0005-0000-0000-0000D75C0000}"/>
    <cellStyle name="Normal 10 3 5 2 3 2" xfId="23770" xr:uid="{00000000-0005-0000-0000-0000D85C0000}"/>
    <cellStyle name="Normal 10 3 5 2 4" xfId="23771" xr:uid="{00000000-0005-0000-0000-0000D95C0000}"/>
    <cellStyle name="Normal 10 3 5 3" xfId="23772" xr:uid="{00000000-0005-0000-0000-0000DA5C0000}"/>
    <cellStyle name="Normal 10 3 5 3 2" xfId="23773" xr:uid="{00000000-0005-0000-0000-0000DB5C0000}"/>
    <cellStyle name="Normal 10 3 5 3 2 2" xfId="23774" xr:uid="{00000000-0005-0000-0000-0000DC5C0000}"/>
    <cellStyle name="Normal 10 3 5 3 3" xfId="23775" xr:uid="{00000000-0005-0000-0000-0000DD5C0000}"/>
    <cellStyle name="Normal 10 3 5 4" xfId="23776" xr:uid="{00000000-0005-0000-0000-0000DE5C0000}"/>
    <cellStyle name="Normal 10 3 5 4 2" xfId="23777" xr:uid="{00000000-0005-0000-0000-0000DF5C0000}"/>
    <cellStyle name="Normal 10 3 5 5" xfId="23778" xr:uid="{00000000-0005-0000-0000-0000E05C0000}"/>
    <cellStyle name="Normal 10 3 6" xfId="23779" xr:uid="{00000000-0005-0000-0000-0000E15C0000}"/>
    <cellStyle name="Normal 10 3 6 2" xfId="23780" xr:uid="{00000000-0005-0000-0000-0000E25C0000}"/>
    <cellStyle name="Normal 10 3 6 2 2" xfId="23781" xr:uid="{00000000-0005-0000-0000-0000E35C0000}"/>
    <cellStyle name="Normal 10 3 6 2 2 2" xfId="23782" xr:uid="{00000000-0005-0000-0000-0000E45C0000}"/>
    <cellStyle name="Normal 10 3 6 2 2 2 2" xfId="23783" xr:uid="{00000000-0005-0000-0000-0000E55C0000}"/>
    <cellStyle name="Normal 10 3 6 2 2 3" xfId="23784" xr:uid="{00000000-0005-0000-0000-0000E65C0000}"/>
    <cellStyle name="Normal 10 3 6 2 3" xfId="23785" xr:uid="{00000000-0005-0000-0000-0000E75C0000}"/>
    <cellStyle name="Normal 10 3 6 2 3 2" xfId="23786" xr:uid="{00000000-0005-0000-0000-0000E85C0000}"/>
    <cellStyle name="Normal 10 3 6 2 4" xfId="23787" xr:uid="{00000000-0005-0000-0000-0000E95C0000}"/>
    <cellStyle name="Normal 10 3 6 3" xfId="23788" xr:uid="{00000000-0005-0000-0000-0000EA5C0000}"/>
    <cellStyle name="Normal 10 3 6 3 2" xfId="23789" xr:uid="{00000000-0005-0000-0000-0000EB5C0000}"/>
    <cellStyle name="Normal 10 3 6 3 2 2" xfId="23790" xr:uid="{00000000-0005-0000-0000-0000EC5C0000}"/>
    <cellStyle name="Normal 10 3 6 3 3" xfId="23791" xr:uid="{00000000-0005-0000-0000-0000ED5C0000}"/>
    <cellStyle name="Normal 10 3 6 4" xfId="23792" xr:uid="{00000000-0005-0000-0000-0000EE5C0000}"/>
    <cellStyle name="Normal 10 3 6 4 2" xfId="23793" xr:uid="{00000000-0005-0000-0000-0000EF5C0000}"/>
    <cellStyle name="Normal 10 3 6 5" xfId="23794" xr:uid="{00000000-0005-0000-0000-0000F05C0000}"/>
    <cellStyle name="Normal 10 3 7" xfId="23795" xr:uid="{00000000-0005-0000-0000-0000F15C0000}"/>
    <cellStyle name="Normal 10 3 7 2" xfId="23796" xr:uid="{00000000-0005-0000-0000-0000F25C0000}"/>
    <cellStyle name="Normal 10 3 7 2 2" xfId="23797" xr:uid="{00000000-0005-0000-0000-0000F35C0000}"/>
    <cellStyle name="Normal 10 3 7 2 2 2" xfId="23798" xr:uid="{00000000-0005-0000-0000-0000F45C0000}"/>
    <cellStyle name="Normal 10 3 7 2 3" xfId="23799" xr:uid="{00000000-0005-0000-0000-0000F55C0000}"/>
    <cellStyle name="Normal 10 3 7 3" xfId="23800" xr:uid="{00000000-0005-0000-0000-0000F65C0000}"/>
    <cellStyle name="Normal 10 3 7 3 2" xfId="23801" xr:uid="{00000000-0005-0000-0000-0000F75C0000}"/>
    <cellStyle name="Normal 10 3 7 4" xfId="23802" xr:uid="{00000000-0005-0000-0000-0000F85C0000}"/>
    <cellStyle name="Normal 10 3 8" xfId="23803" xr:uid="{00000000-0005-0000-0000-0000F95C0000}"/>
    <cellStyle name="Normal 10 3 8 2" xfId="23804" xr:uid="{00000000-0005-0000-0000-0000FA5C0000}"/>
    <cellStyle name="Normal 10 3 8 2 2" xfId="23805" xr:uid="{00000000-0005-0000-0000-0000FB5C0000}"/>
    <cellStyle name="Normal 10 3 8 2 2 2" xfId="23806" xr:uid="{00000000-0005-0000-0000-0000FC5C0000}"/>
    <cellStyle name="Normal 10 3 8 2 3" xfId="23807" xr:uid="{00000000-0005-0000-0000-0000FD5C0000}"/>
    <cellStyle name="Normal 10 3 8 3" xfId="23808" xr:uid="{00000000-0005-0000-0000-0000FE5C0000}"/>
    <cellStyle name="Normal 10 3 8 3 2" xfId="23809" xr:uid="{00000000-0005-0000-0000-0000FF5C0000}"/>
    <cellStyle name="Normal 10 3 8 4" xfId="23810" xr:uid="{00000000-0005-0000-0000-0000005D0000}"/>
    <cellStyle name="Normal 10 3 9" xfId="23811" xr:uid="{00000000-0005-0000-0000-0000015D0000}"/>
    <cellStyle name="Normal 10 3 9 2" xfId="23812" xr:uid="{00000000-0005-0000-0000-0000025D0000}"/>
    <cellStyle name="Normal 10 3 9 2 2" xfId="23813" xr:uid="{00000000-0005-0000-0000-0000035D0000}"/>
    <cellStyle name="Normal 10 3 9 3" xfId="23814" xr:uid="{00000000-0005-0000-0000-0000045D0000}"/>
    <cellStyle name="Normal 10 4" xfId="23815" xr:uid="{00000000-0005-0000-0000-0000055D0000}"/>
    <cellStyle name="Normal 10 4 10" xfId="23816" xr:uid="{00000000-0005-0000-0000-0000065D0000}"/>
    <cellStyle name="Normal 10 4 10 2" xfId="23817" xr:uid="{00000000-0005-0000-0000-0000075D0000}"/>
    <cellStyle name="Normal 10 4 10 2 2" xfId="23818" xr:uid="{00000000-0005-0000-0000-0000085D0000}"/>
    <cellStyle name="Normal 10 4 10 3" xfId="23819" xr:uid="{00000000-0005-0000-0000-0000095D0000}"/>
    <cellStyle name="Normal 10 4 11" xfId="23820" xr:uid="{00000000-0005-0000-0000-00000A5D0000}"/>
    <cellStyle name="Normal 10 4 11 2" xfId="23821" xr:uid="{00000000-0005-0000-0000-00000B5D0000}"/>
    <cellStyle name="Normal 10 4 11 2 2" xfId="23822" xr:uid="{00000000-0005-0000-0000-00000C5D0000}"/>
    <cellStyle name="Normal 10 4 11 3" xfId="23823" xr:uid="{00000000-0005-0000-0000-00000D5D0000}"/>
    <cellStyle name="Normal 10 4 12" xfId="23824" xr:uid="{00000000-0005-0000-0000-00000E5D0000}"/>
    <cellStyle name="Normal 10 4 12 2" xfId="23825" xr:uid="{00000000-0005-0000-0000-00000F5D0000}"/>
    <cellStyle name="Normal 10 4 12 2 2" xfId="23826" xr:uid="{00000000-0005-0000-0000-0000105D0000}"/>
    <cellStyle name="Normal 10 4 12 3" xfId="23827" xr:uid="{00000000-0005-0000-0000-0000115D0000}"/>
    <cellStyle name="Normal 10 4 13" xfId="23828" xr:uid="{00000000-0005-0000-0000-0000125D0000}"/>
    <cellStyle name="Normal 10 4 13 2" xfId="23829" xr:uid="{00000000-0005-0000-0000-0000135D0000}"/>
    <cellStyle name="Normal 10 4 14" xfId="23830" xr:uid="{00000000-0005-0000-0000-0000145D0000}"/>
    <cellStyle name="Normal 10 4 2" xfId="23831" xr:uid="{00000000-0005-0000-0000-0000155D0000}"/>
    <cellStyle name="Normal 10 4 2 2" xfId="23832" xr:uid="{00000000-0005-0000-0000-0000165D0000}"/>
    <cellStyle name="Normal 10 4 2 2 2" xfId="23833" xr:uid="{00000000-0005-0000-0000-0000175D0000}"/>
    <cellStyle name="Normal 10 4 2 2 2 2" xfId="23834" xr:uid="{00000000-0005-0000-0000-0000185D0000}"/>
    <cellStyle name="Normal 10 4 2 2 2 2 2" xfId="23835" xr:uid="{00000000-0005-0000-0000-0000195D0000}"/>
    <cellStyle name="Normal 10 4 2 2 2 3" xfId="23836" xr:uid="{00000000-0005-0000-0000-00001A5D0000}"/>
    <cellStyle name="Normal 10 4 2 2 3" xfId="23837" xr:uid="{00000000-0005-0000-0000-00001B5D0000}"/>
    <cellStyle name="Normal 10 4 2 2 3 2" xfId="23838" xr:uid="{00000000-0005-0000-0000-00001C5D0000}"/>
    <cellStyle name="Normal 10 4 2 2 4" xfId="23839" xr:uid="{00000000-0005-0000-0000-00001D5D0000}"/>
    <cellStyle name="Normal 10 4 2 3" xfId="23840" xr:uid="{00000000-0005-0000-0000-00001E5D0000}"/>
    <cellStyle name="Normal 10 4 2 3 2" xfId="23841" xr:uid="{00000000-0005-0000-0000-00001F5D0000}"/>
    <cellStyle name="Normal 10 4 2 3 2 2" xfId="23842" xr:uid="{00000000-0005-0000-0000-0000205D0000}"/>
    <cellStyle name="Normal 10 4 2 3 3" xfId="23843" xr:uid="{00000000-0005-0000-0000-0000215D0000}"/>
    <cellStyle name="Normal 10 4 2 4" xfId="23844" xr:uid="{00000000-0005-0000-0000-0000225D0000}"/>
    <cellStyle name="Normal 10 4 2 4 2" xfId="23845" xr:uid="{00000000-0005-0000-0000-0000235D0000}"/>
    <cellStyle name="Normal 10 4 2 4 2 2" xfId="23846" xr:uid="{00000000-0005-0000-0000-0000245D0000}"/>
    <cellStyle name="Normal 10 4 2 4 3" xfId="23847" xr:uid="{00000000-0005-0000-0000-0000255D0000}"/>
    <cellStyle name="Normal 10 4 2 5" xfId="23848" xr:uid="{00000000-0005-0000-0000-0000265D0000}"/>
    <cellStyle name="Normal 10 4 2 5 2" xfId="23849" xr:uid="{00000000-0005-0000-0000-0000275D0000}"/>
    <cellStyle name="Normal 10 4 2 5 2 2" xfId="23850" xr:uid="{00000000-0005-0000-0000-0000285D0000}"/>
    <cellStyle name="Normal 10 4 2 5 3" xfId="23851" xr:uid="{00000000-0005-0000-0000-0000295D0000}"/>
    <cellStyle name="Normal 10 4 2 6" xfId="23852" xr:uid="{00000000-0005-0000-0000-00002A5D0000}"/>
    <cellStyle name="Normal 10 4 2 6 2" xfId="23853" xr:uid="{00000000-0005-0000-0000-00002B5D0000}"/>
    <cellStyle name="Normal 10 4 2 6 2 2" xfId="23854" xr:uid="{00000000-0005-0000-0000-00002C5D0000}"/>
    <cellStyle name="Normal 10 4 2 6 3" xfId="23855" xr:uid="{00000000-0005-0000-0000-00002D5D0000}"/>
    <cellStyle name="Normal 10 4 2 7" xfId="23856" xr:uid="{00000000-0005-0000-0000-00002E5D0000}"/>
    <cellStyle name="Normal 10 4 2 7 2" xfId="23857" xr:uid="{00000000-0005-0000-0000-00002F5D0000}"/>
    <cellStyle name="Normal 10 4 2 8" xfId="23858" xr:uid="{00000000-0005-0000-0000-0000305D0000}"/>
    <cellStyle name="Normal 10 4 3" xfId="23859" xr:uid="{00000000-0005-0000-0000-0000315D0000}"/>
    <cellStyle name="Normal 10 4 3 2" xfId="23860" xr:uid="{00000000-0005-0000-0000-0000325D0000}"/>
    <cellStyle name="Normal 10 4 3 2 2" xfId="23861" xr:uid="{00000000-0005-0000-0000-0000335D0000}"/>
    <cellStyle name="Normal 10 4 3 2 2 2" xfId="23862" xr:uid="{00000000-0005-0000-0000-0000345D0000}"/>
    <cellStyle name="Normal 10 4 3 2 2 2 2" xfId="23863" xr:uid="{00000000-0005-0000-0000-0000355D0000}"/>
    <cellStyle name="Normal 10 4 3 2 2 3" xfId="23864" xr:uid="{00000000-0005-0000-0000-0000365D0000}"/>
    <cellStyle name="Normal 10 4 3 2 3" xfId="23865" xr:uid="{00000000-0005-0000-0000-0000375D0000}"/>
    <cellStyle name="Normal 10 4 3 2 3 2" xfId="23866" xr:uid="{00000000-0005-0000-0000-0000385D0000}"/>
    <cellStyle name="Normal 10 4 3 2 4" xfId="23867" xr:uid="{00000000-0005-0000-0000-0000395D0000}"/>
    <cellStyle name="Normal 10 4 3 3" xfId="23868" xr:uid="{00000000-0005-0000-0000-00003A5D0000}"/>
    <cellStyle name="Normal 10 4 3 3 2" xfId="23869" xr:uid="{00000000-0005-0000-0000-00003B5D0000}"/>
    <cellStyle name="Normal 10 4 3 3 2 2" xfId="23870" xr:uid="{00000000-0005-0000-0000-00003C5D0000}"/>
    <cellStyle name="Normal 10 4 3 3 3" xfId="23871" xr:uid="{00000000-0005-0000-0000-00003D5D0000}"/>
    <cellStyle name="Normal 10 4 3 4" xfId="23872" xr:uid="{00000000-0005-0000-0000-00003E5D0000}"/>
    <cellStyle name="Normal 10 4 3 4 2" xfId="23873" xr:uid="{00000000-0005-0000-0000-00003F5D0000}"/>
    <cellStyle name="Normal 10 4 3 4 2 2" xfId="23874" xr:uid="{00000000-0005-0000-0000-0000405D0000}"/>
    <cellStyle name="Normal 10 4 3 4 3" xfId="23875" xr:uid="{00000000-0005-0000-0000-0000415D0000}"/>
    <cellStyle name="Normal 10 4 3 5" xfId="23876" xr:uid="{00000000-0005-0000-0000-0000425D0000}"/>
    <cellStyle name="Normal 10 4 3 5 2" xfId="23877" xr:uid="{00000000-0005-0000-0000-0000435D0000}"/>
    <cellStyle name="Normal 10 4 3 5 2 2" xfId="23878" xr:uid="{00000000-0005-0000-0000-0000445D0000}"/>
    <cellStyle name="Normal 10 4 3 5 3" xfId="23879" xr:uid="{00000000-0005-0000-0000-0000455D0000}"/>
    <cellStyle name="Normal 10 4 3 6" xfId="23880" xr:uid="{00000000-0005-0000-0000-0000465D0000}"/>
    <cellStyle name="Normal 10 4 3 6 2" xfId="23881" xr:uid="{00000000-0005-0000-0000-0000475D0000}"/>
    <cellStyle name="Normal 10 4 3 6 2 2" xfId="23882" xr:uid="{00000000-0005-0000-0000-0000485D0000}"/>
    <cellStyle name="Normal 10 4 3 6 3" xfId="23883" xr:uid="{00000000-0005-0000-0000-0000495D0000}"/>
    <cellStyle name="Normal 10 4 3 7" xfId="23884" xr:uid="{00000000-0005-0000-0000-00004A5D0000}"/>
    <cellStyle name="Normal 10 4 3 7 2" xfId="23885" xr:uid="{00000000-0005-0000-0000-00004B5D0000}"/>
    <cellStyle name="Normal 10 4 3 8" xfId="23886" xr:uid="{00000000-0005-0000-0000-00004C5D0000}"/>
    <cellStyle name="Normal 10 4 4" xfId="23887" xr:uid="{00000000-0005-0000-0000-00004D5D0000}"/>
    <cellStyle name="Normal 10 4 4 2" xfId="23888" xr:uid="{00000000-0005-0000-0000-00004E5D0000}"/>
    <cellStyle name="Normal 10 4 4 2 2" xfId="23889" xr:uid="{00000000-0005-0000-0000-00004F5D0000}"/>
    <cellStyle name="Normal 10 4 4 2 2 2" xfId="23890" xr:uid="{00000000-0005-0000-0000-0000505D0000}"/>
    <cellStyle name="Normal 10 4 4 2 2 2 2" xfId="23891" xr:uid="{00000000-0005-0000-0000-0000515D0000}"/>
    <cellStyle name="Normal 10 4 4 2 2 3" xfId="23892" xr:uid="{00000000-0005-0000-0000-0000525D0000}"/>
    <cellStyle name="Normal 10 4 4 2 3" xfId="23893" xr:uid="{00000000-0005-0000-0000-0000535D0000}"/>
    <cellStyle name="Normal 10 4 4 2 3 2" xfId="23894" xr:uid="{00000000-0005-0000-0000-0000545D0000}"/>
    <cellStyle name="Normal 10 4 4 2 4" xfId="23895" xr:uid="{00000000-0005-0000-0000-0000555D0000}"/>
    <cellStyle name="Normal 10 4 4 3" xfId="23896" xr:uid="{00000000-0005-0000-0000-0000565D0000}"/>
    <cellStyle name="Normal 10 4 4 3 2" xfId="23897" xr:uid="{00000000-0005-0000-0000-0000575D0000}"/>
    <cellStyle name="Normal 10 4 4 3 2 2" xfId="23898" xr:uid="{00000000-0005-0000-0000-0000585D0000}"/>
    <cellStyle name="Normal 10 4 4 3 3" xfId="23899" xr:uid="{00000000-0005-0000-0000-0000595D0000}"/>
    <cellStyle name="Normal 10 4 4 4" xfId="23900" xr:uid="{00000000-0005-0000-0000-00005A5D0000}"/>
    <cellStyle name="Normal 10 4 4 4 2" xfId="23901" xr:uid="{00000000-0005-0000-0000-00005B5D0000}"/>
    <cellStyle name="Normal 10 4 4 4 2 2" xfId="23902" xr:uid="{00000000-0005-0000-0000-00005C5D0000}"/>
    <cellStyle name="Normal 10 4 4 4 3" xfId="23903" xr:uid="{00000000-0005-0000-0000-00005D5D0000}"/>
    <cellStyle name="Normal 10 4 4 5" xfId="23904" xr:uid="{00000000-0005-0000-0000-00005E5D0000}"/>
    <cellStyle name="Normal 10 4 4 5 2" xfId="23905" xr:uid="{00000000-0005-0000-0000-00005F5D0000}"/>
    <cellStyle name="Normal 10 4 4 5 2 2" xfId="23906" xr:uid="{00000000-0005-0000-0000-0000605D0000}"/>
    <cellStyle name="Normal 10 4 4 5 3" xfId="23907" xr:uid="{00000000-0005-0000-0000-0000615D0000}"/>
    <cellStyle name="Normal 10 4 4 6" xfId="23908" xr:uid="{00000000-0005-0000-0000-0000625D0000}"/>
    <cellStyle name="Normal 10 4 4 6 2" xfId="23909" xr:uid="{00000000-0005-0000-0000-0000635D0000}"/>
    <cellStyle name="Normal 10 4 4 6 2 2" xfId="23910" xr:uid="{00000000-0005-0000-0000-0000645D0000}"/>
    <cellStyle name="Normal 10 4 4 6 3" xfId="23911" xr:uid="{00000000-0005-0000-0000-0000655D0000}"/>
    <cellStyle name="Normal 10 4 4 7" xfId="23912" xr:uid="{00000000-0005-0000-0000-0000665D0000}"/>
    <cellStyle name="Normal 10 4 4 7 2" xfId="23913" xr:uid="{00000000-0005-0000-0000-0000675D0000}"/>
    <cellStyle name="Normal 10 4 4 8" xfId="23914" xr:uid="{00000000-0005-0000-0000-0000685D0000}"/>
    <cellStyle name="Normal 10 4 5" xfId="23915" xr:uid="{00000000-0005-0000-0000-0000695D0000}"/>
    <cellStyle name="Normal 10 4 5 2" xfId="23916" xr:uid="{00000000-0005-0000-0000-00006A5D0000}"/>
    <cellStyle name="Normal 10 4 5 2 2" xfId="23917" xr:uid="{00000000-0005-0000-0000-00006B5D0000}"/>
    <cellStyle name="Normal 10 4 5 2 2 2" xfId="23918" xr:uid="{00000000-0005-0000-0000-00006C5D0000}"/>
    <cellStyle name="Normal 10 4 5 2 2 2 2" xfId="23919" xr:uid="{00000000-0005-0000-0000-00006D5D0000}"/>
    <cellStyle name="Normal 10 4 5 2 2 3" xfId="23920" xr:uid="{00000000-0005-0000-0000-00006E5D0000}"/>
    <cellStyle name="Normal 10 4 5 2 3" xfId="23921" xr:uid="{00000000-0005-0000-0000-00006F5D0000}"/>
    <cellStyle name="Normal 10 4 5 2 3 2" xfId="23922" xr:uid="{00000000-0005-0000-0000-0000705D0000}"/>
    <cellStyle name="Normal 10 4 5 2 4" xfId="23923" xr:uid="{00000000-0005-0000-0000-0000715D0000}"/>
    <cellStyle name="Normal 10 4 5 3" xfId="23924" xr:uid="{00000000-0005-0000-0000-0000725D0000}"/>
    <cellStyle name="Normal 10 4 5 3 2" xfId="23925" xr:uid="{00000000-0005-0000-0000-0000735D0000}"/>
    <cellStyle name="Normal 10 4 5 3 2 2" xfId="23926" xr:uid="{00000000-0005-0000-0000-0000745D0000}"/>
    <cellStyle name="Normal 10 4 5 3 3" xfId="23927" xr:uid="{00000000-0005-0000-0000-0000755D0000}"/>
    <cellStyle name="Normal 10 4 5 4" xfId="23928" xr:uid="{00000000-0005-0000-0000-0000765D0000}"/>
    <cellStyle name="Normal 10 4 5 4 2" xfId="23929" xr:uid="{00000000-0005-0000-0000-0000775D0000}"/>
    <cellStyle name="Normal 10 4 5 5" xfId="23930" xr:uid="{00000000-0005-0000-0000-0000785D0000}"/>
    <cellStyle name="Normal 10 4 6" xfId="23931" xr:uid="{00000000-0005-0000-0000-0000795D0000}"/>
    <cellStyle name="Normal 10 4 6 2" xfId="23932" xr:uid="{00000000-0005-0000-0000-00007A5D0000}"/>
    <cellStyle name="Normal 10 4 6 2 2" xfId="23933" xr:uid="{00000000-0005-0000-0000-00007B5D0000}"/>
    <cellStyle name="Normal 10 4 6 2 2 2" xfId="23934" xr:uid="{00000000-0005-0000-0000-00007C5D0000}"/>
    <cellStyle name="Normal 10 4 6 2 2 2 2" xfId="23935" xr:uid="{00000000-0005-0000-0000-00007D5D0000}"/>
    <cellStyle name="Normal 10 4 6 2 2 3" xfId="23936" xr:uid="{00000000-0005-0000-0000-00007E5D0000}"/>
    <cellStyle name="Normal 10 4 6 2 3" xfId="23937" xr:uid="{00000000-0005-0000-0000-00007F5D0000}"/>
    <cellStyle name="Normal 10 4 6 2 3 2" xfId="23938" xr:uid="{00000000-0005-0000-0000-0000805D0000}"/>
    <cellStyle name="Normal 10 4 6 2 4" xfId="23939" xr:uid="{00000000-0005-0000-0000-0000815D0000}"/>
    <cellStyle name="Normal 10 4 6 3" xfId="23940" xr:uid="{00000000-0005-0000-0000-0000825D0000}"/>
    <cellStyle name="Normal 10 4 6 3 2" xfId="23941" xr:uid="{00000000-0005-0000-0000-0000835D0000}"/>
    <cellStyle name="Normal 10 4 6 3 2 2" xfId="23942" xr:uid="{00000000-0005-0000-0000-0000845D0000}"/>
    <cellStyle name="Normal 10 4 6 3 3" xfId="23943" xr:uid="{00000000-0005-0000-0000-0000855D0000}"/>
    <cellStyle name="Normal 10 4 6 4" xfId="23944" xr:uid="{00000000-0005-0000-0000-0000865D0000}"/>
    <cellStyle name="Normal 10 4 6 4 2" xfId="23945" xr:uid="{00000000-0005-0000-0000-0000875D0000}"/>
    <cellStyle name="Normal 10 4 6 5" xfId="23946" xr:uid="{00000000-0005-0000-0000-0000885D0000}"/>
    <cellStyle name="Normal 10 4 7" xfId="23947" xr:uid="{00000000-0005-0000-0000-0000895D0000}"/>
    <cellStyle name="Normal 10 4 7 2" xfId="23948" xr:uid="{00000000-0005-0000-0000-00008A5D0000}"/>
    <cellStyle name="Normal 10 4 7 2 2" xfId="23949" xr:uid="{00000000-0005-0000-0000-00008B5D0000}"/>
    <cellStyle name="Normal 10 4 7 2 2 2" xfId="23950" xr:uid="{00000000-0005-0000-0000-00008C5D0000}"/>
    <cellStyle name="Normal 10 4 7 2 3" xfId="23951" xr:uid="{00000000-0005-0000-0000-00008D5D0000}"/>
    <cellStyle name="Normal 10 4 7 3" xfId="23952" xr:uid="{00000000-0005-0000-0000-00008E5D0000}"/>
    <cellStyle name="Normal 10 4 7 3 2" xfId="23953" xr:uid="{00000000-0005-0000-0000-00008F5D0000}"/>
    <cellStyle name="Normal 10 4 7 4" xfId="23954" xr:uid="{00000000-0005-0000-0000-0000905D0000}"/>
    <cellStyle name="Normal 10 4 8" xfId="23955" xr:uid="{00000000-0005-0000-0000-0000915D0000}"/>
    <cellStyle name="Normal 10 4 8 2" xfId="23956" xr:uid="{00000000-0005-0000-0000-0000925D0000}"/>
    <cellStyle name="Normal 10 4 8 2 2" xfId="23957" xr:uid="{00000000-0005-0000-0000-0000935D0000}"/>
    <cellStyle name="Normal 10 4 8 2 2 2" xfId="23958" xr:uid="{00000000-0005-0000-0000-0000945D0000}"/>
    <cellStyle name="Normal 10 4 8 2 3" xfId="23959" xr:uid="{00000000-0005-0000-0000-0000955D0000}"/>
    <cellStyle name="Normal 10 4 8 3" xfId="23960" xr:uid="{00000000-0005-0000-0000-0000965D0000}"/>
    <cellStyle name="Normal 10 4 8 3 2" xfId="23961" xr:uid="{00000000-0005-0000-0000-0000975D0000}"/>
    <cellStyle name="Normal 10 4 8 4" xfId="23962" xr:uid="{00000000-0005-0000-0000-0000985D0000}"/>
    <cellStyle name="Normal 10 4 9" xfId="23963" xr:uid="{00000000-0005-0000-0000-0000995D0000}"/>
    <cellStyle name="Normal 10 4 9 2" xfId="23964" xr:uid="{00000000-0005-0000-0000-00009A5D0000}"/>
    <cellStyle name="Normal 10 4 9 2 2" xfId="23965" xr:uid="{00000000-0005-0000-0000-00009B5D0000}"/>
    <cellStyle name="Normal 10 4 9 3" xfId="23966" xr:uid="{00000000-0005-0000-0000-00009C5D0000}"/>
    <cellStyle name="Normal 10 5" xfId="23967" xr:uid="{00000000-0005-0000-0000-00009D5D0000}"/>
    <cellStyle name="Normal 10 5 10" xfId="23968" xr:uid="{00000000-0005-0000-0000-00009E5D0000}"/>
    <cellStyle name="Normal 10 5 10 2" xfId="23969" xr:uid="{00000000-0005-0000-0000-00009F5D0000}"/>
    <cellStyle name="Normal 10 5 10 2 2" xfId="23970" xr:uid="{00000000-0005-0000-0000-0000A05D0000}"/>
    <cellStyle name="Normal 10 5 10 3" xfId="23971" xr:uid="{00000000-0005-0000-0000-0000A15D0000}"/>
    <cellStyle name="Normal 10 5 11" xfId="23972" xr:uid="{00000000-0005-0000-0000-0000A25D0000}"/>
    <cellStyle name="Normal 10 5 11 2" xfId="23973" xr:uid="{00000000-0005-0000-0000-0000A35D0000}"/>
    <cellStyle name="Normal 10 5 11 2 2" xfId="23974" xr:uid="{00000000-0005-0000-0000-0000A45D0000}"/>
    <cellStyle name="Normal 10 5 11 3" xfId="23975" xr:uid="{00000000-0005-0000-0000-0000A55D0000}"/>
    <cellStyle name="Normal 10 5 12" xfId="23976" xr:uid="{00000000-0005-0000-0000-0000A65D0000}"/>
    <cellStyle name="Normal 10 5 12 2" xfId="23977" xr:uid="{00000000-0005-0000-0000-0000A75D0000}"/>
    <cellStyle name="Normal 10 5 12 2 2" xfId="23978" xr:uid="{00000000-0005-0000-0000-0000A85D0000}"/>
    <cellStyle name="Normal 10 5 12 3" xfId="23979" xr:uid="{00000000-0005-0000-0000-0000A95D0000}"/>
    <cellStyle name="Normal 10 5 13" xfId="23980" xr:uid="{00000000-0005-0000-0000-0000AA5D0000}"/>
    <cellStyle name="Normal 10 5 13 2" xfId="23981" xr:uid="{00000000-0005-0000-0000-0000AB5D0000}"/>
    <cellStyle name="Normal 10 5 14" xfId="23982" xr:uid="{00000000-0005-0000-0000-0000AC5D0000}"/>
    <cellStyle name="Normal 10 5 2" xfId="23983" xr:uid="{00000000-0005-0000-0000-0000AD5D0000}"/>
    <cellStyle name="Normal 10 5 2 2" xfId="23984" xr:uid="{00000000-0005-0000-0000-0000AE5D0000}"/>
    <cellStyle name="Normal 10 5 2 2 2" xfId="23985" xr:uid="{00000000-0005-0000-0000-0000AF5D0000}"/>
    <cellStyle name="Normal 10 5 2 2 2 2" xfId="23986" xr:uid="{00000000-0005-0000-0000-0000B05D0000}"/>
    <cellStyle name="Normal 10 5 2 2 2 2 2" xfId="23987" xr:uid="{00000000-0005-0000-0000-0000B15D0000}"/>
    <cellStyle name="Normal 10 5 2 2 2 3" xfId="23988" xr:uid="{00000000-0005-0000-0000-0000B25D0000}"/>
    <cellStyle name="Normal 10 5 2 2 3" xfId="23989" xr:uid="{00000000-0005-0000-0000-0000B35D0000}"/>
    <cellStyle name="Normal 10 5 2 2 3 2" xfId="23990" xr:uid="{00000000-0005-0000-0000-0000B45D0000}"/>
    <cellStyle name="Normal 10 5 2 2 4" xfId="23991" xr:uid="{00000000-0005-0000-0000-0000B55D0000}"/>
    <cellStyle name="Normal 10 5 2 3" xfId="23992" xr:uid="{00000000-0005-0000-0000-0000B65D0000}"/>
    <cellStyle name="Normal 10 5 2 3 2" xfId="23993" xr:uid="{00000000-0005-0000-0000-0000B75D0000}"/>
    <cellStyle name="Normal 10 5 2 3 2 2" xfId="23994" xr:uid="{00000000-0005-0000-0000-0000B85D0000}"/>
    <cellStyle name="Normal 10 5 2 3 3" xfId="23995" xr:uid="{00000000-0005-0000-0000-0000B95D0000}"/>
    <cellStyle name="Normal 10 5 2 4" xfId="23996" xr:uid="{00000000-0005-0000-0000-0000BA5D0000}"/>
    <cellStyle name="Normal 10 5 2 4 2" xfId="23997" xr:uid="{00000000-0005-0000-0000-0000BB5D0000}"/>
    <cellStyle name="Normal 10 5 2 4 2 2" xfId="23998" xr:uid="{00000000-0005-0000-0000-0000BC5D0000}"/>
    <cellStyle name="Normal 10 5 2 4 3" xfId="23999" xr:uid="{00000000-0005-0000-0000-0000BD5D0000}"/>
    <cellStyle name="Normal 10 5 2 5" xfId="24000" xr:uid="{00000000-0005-0000-0000-0000BE5D0000}"/>
    <cellStyle name="Normal 10 5 2 5 2" xfId="24001" xr:uid="{00000000-0005-0000-0000-0000BF5D0000}"/>
    <cellStyle name="Normal 10 5 2 5 2 2" xfId="24002" xr:uid="{00000000-0005-0000-0000-0000C05D0000}"/>
    <cellStyle name="Normal 10 5 2 5 3" xfId="24003" xr:uid="{00000000-0005-0000-0000-0000C15D0000}"/>
    <cellStyle name="Normal 10 5 2 6" xfId="24004" xr:uid="{00000000-0005-0000-0000-0000C25D0000}"/>
    <cellStyle name="Normal 10 5 2 6 2" xfId="24005" xr:uid="{00000000-0005-0000-0000-0000C35D0000}"/>
    <cellStyle name="Normal 10 5 2 6 2 2" xfId="24006" xr:uid="{00000000-0005-0000-0000-0000C45D0000}"/>
    <cellStyle name="Normal 10 5 2 6 3" xfId="24007" xr:uid="{00000000-0005-0000-0000-0000C55D0000}"/>
    <cellStyle name="Normal 10 5 2 7" xfId="24008" xr:uid="{00000000-0005-0000-0000-0000C65D0000}"/>
    <cellStyle name="Normal 10 5 2 7 2" xfId="24009" xr:uid="{00000000-0005-0000-0000-0000C75D0000}"/>
    <cellStyle name="Normal 10 5 2 8" xfId="24010" xr:uid="{00000000-0005-0000-0000-0000C85D0000}"/>
    <cellStyle name="Normal 10 5 3" xfId="24011" xr:uid="{00000000-0005-0000-0000-0000C95D0000}"/>
    <cellStyle name="Normal 10 5 3 2" xfId="24012" xr:uid="{00000000-0005-0000-0000-0000CA5D0000}"/>
    <cellStyle name="Normal 10 5 3 2 2" xfId="24013" xr:uid="{00000000-0005-0000-0000-0000CB5D0000}"/>
    <cellStyle name="Normal 10 5 3 2 2 2" xfId="24014" xr:uid="{00000000-0005-0000-0000-0000CC5D0000}"/>
    <cellStyle name="Normal 10 5 3 2 2 2 2" xfId="24015" xr:uid="{00000000-0005-0000-0000-0000CD5D0000}"/>
    <cellStyle name="Normal 10 5 3 2 2 3" xfId="24016" xr:uid="{00000000-0005-0000-0000-0000CE5D0000}"/>
    <cellStyle name="Normal 10 5 3 2 3" xfId="24017" xr:uid="{00000000-0005-0000-0000-0000CF5D0000}"/>
    <cellStyle name="Normal 10 5 3 2 3 2" xfId="24018" xr:uid="{00000000-0005-0000-0000-0000D05D0000}"/>
    <cellStyle name="Normal 10 5 3 2 4" xfId="24019" xr:uid="{00000000-0005-0000-0000-0000D15D0000}"/>
    <cellStyle name="Normal 10 5 3 3" xfId="24020" xr:uid="{00000000-0005-0000-0000-0000D25D0000}"/>
    <cellStyle name="Normal 10 5 3 3 2" xfId="24021" xr:uid="{00000000-0005-0000-0000-0000D35D0000}"/>
    <cellStyle name="Normal 10 5 3 3 2 2" xfId="24022" xr:uid="{00000000-0005-0000-0000-0000D45D0000}"/>
    <cellStyle name="Normal 10 5 3 3 3" xfId="24023" xr:uid="{00000000-0005-0000-0000-0000D55D0000}"/>
    <cellStyle name="Normal 10 5 3 4" xfId="24024" xr:uid="{00000000-0005-0000-0000-0000D65D0000}"/>
    <cellStyle name="Normal 10 5 3 4 2" xfId="24025" xr:uid="{00000000-0005-0000-0000-0000D75D0000}"/>
    <cellStyle name="Normal 10 5 3 4 2 2" xfId="24026" xr:uid="{00000000-0005-0000-0000-0000D85D0000}"/>
    <cellStyle name="Normal 10 5 3 4 3" xfId="24027" xr:uid="{00000000-0005-0000-0000-0000D95D0000}"/>
    <cellStyle name="Normal 10 5 3 5" xfId="24028" xr:uid="{00000000-0005-0000-0000-0000DA5D0000}"/>
    <cellStyle name="Normal 10 5 3 5 2" xfId="24029" xr:uid="{00000000-0005-0000-0000-0000DB5D0000}"/>
    <cellStyle name="Normal 10 5 3 5 2 2" xfId="24030" xr:uid="{00000000-0005-0000-0000-0000DC5D0000}"/>
    <cellStyle name="Normal 10 5 3 5 3" xfId="24031" xr:uid="{00000000-0005-0000-0000-0000DD5D0000}"/>
    <cellStyle name="Normal 10 5 3 6" xfId="24032" xr:uid="{00000000-0005-0000-0000-0000DE5D0000}"/>
    <cellStyle name="Normal 10 5 3 6 2" xfId="24033" xr:uid="{00000000-0005-0000-0000-0000DF5D0000}"/>
    <cellStyle name="Normal 10 5 3 6 2 2" xfId="24034" xr:uid="{00000000-0005-0000-0000-0000E05D0000}"/>
    <cellStyle name="Normal 10 5 3 6 3" xfId="24035" xr:uid="{00000000-0005-0000-0000-0000E15D0000}"/>
    <cellStyle name="Normal 10 5 3 7" xfId="24036" xr:uid="{00000000-0005-0000-0000-0000E25D0000}"/>
    <cellStyle name="Normal 10 5 3 7 2" xfId="24037" xr:uid="{00000000-0005-0000-0000-0000E35D0000}"/>
    <cellStyle name="Normal 10 5 3 8" xfId="24038" xr:uid="{00000000-0005-0000-0000-0000E45D0000}"/>
    <cellStyle name="Normal 10 5 4" xfId="24039" xr:uid="{00000000-0005-0000-0000-0000E55D0000}"/>
    <cellStyle name="Normal 10 5 4 2" xfId="24040" xr:uid="{00000000-0005-0000-0000-0000E65D0000}"/>
    <cellStyle name="Normal 10 5 4 2 2" xfId="24041" xr:uid="{00000000-0005-0000-0000-0000E75D0000}"/>
    <cellStyle name="Normal 10 5 4 2 2 2" xfId="24042" xr:uid="{00000000-0005-0000-0000-0000E85D0000}"/>
    <cellStyle name="Normal 10 5 4 2 2 2 2" xfId="24043" xr:uid="{00000000-0005-0000-0000-0000E95D0000}"/>
    <cellStyle name="Normal 10 5 4 2 2 3" xfId="24044" xr:uid="{00000000-0005-0000-0000-0000EA5D0000}"/>
    <cellStyle name="Normal 10 5 4 2 3" xfId="24045" xr:uid="{00000000-0005-0000-0000-0000EB5D0000}"/>
    <cellStyle name="Normal 10 5 4 2 3 2" xfId="24046" xr:uid="{00000000-0005-0000-0000-0000EC5D0000}"/>
    <cellStyle name="Normal 10 5 4 2 4" xfId="24047" xr:uid="{00000000-0005-0000-0000-0000ED5D0000}"/>
    <cellStyle name="Normal 10 5 4 3" xfId="24048" xr:uid="{00000000-0005-0000-0000-0000EE5D0000}"/>
    <cellStyle name="Normal 10 5 4 3 2" xfId="24049" xr:uid="{00000000-0005-0000-0000-0000EF5D0000}"/>
    <cellStyle name="Normal 10 5 4 3 2 2" xfId="24050" xr:uid="{00000000-0005-0000-0000-0000F05D0000}"/>
    <cellStyle name="Normal 10 5 4 3 3" xfId="24051" xr:uid="{00000000-0005-0000-0000-0000F15D0000}"/>
    <cellStyle name="Normal 10 5 4 4" xfId="24052" xr:uid="{00000000-0005-0000-0000-0000F25D0000}"/>
    <cellStyle name="Normal 10 5 4 4 2" xfId="24053" xr:uid="{00000000-0005-0000-0000-0000F35D0000}"/>
    <cellStyle name="Normal 10 5 4 4 2 2" xfId="24054" xr:uid="{00000000-0005-0000-0000-0000F45D0000}"/>
    <cellStyle name="Normal 10 5 4 4 3" xfId="24055" xr:uid="{00000000-0005-0000-0000-0000F55D0000}"/>
    <cellStyle name="Normal 10 5 4 5" xfId="24056" xr:uid="{00000000-0005-0000-0000-0000F65D0000}"/>
    <cellStyle name="Normal 10 5 4 5 2" xfId="24057" xr:uid="{00000000-0005-0000-0000-0000F75D0000}"/>
    <cellStyle name="Normal 10 5 4 5 2 2" xfId="24058" xr:uid="{00000000-0005-0000-0000-0000F85D0000}"/>
    <cellStyle name="Normal 10 5 4 5 3" xfId="24059" xr:uid="{00000000-0005-0000-0000-0000F95D0000}"/>
    <cellStyle name="Normal 10 5 4 6" xfId="24060" xr:uid="{00000000-0005-0000-0000-0000FA5D0000}"/>
    <cellStyle name="Normal 10 5 4 6 2" xfId="24061" xr:uid="{00000000-0005-0000-0000-0000FB5D0000}"/>
    <cellStyle name="Normal 10 5 4 6 2 2" xfId="24062" xr:uid="{00000000-0005-0000-0000-0000FC5D0000}"/>
    <cellStyle name="Normal 10 5 4 6 3" xfId="24063" xr:uid="{00000000-0005-0000-0000-0000FD5D0000}"/>
    <cellStyle name="Normal 10 5 4 7" xfId="24064" xr:uid="{00000000-0005-0000-0000-0000FE5D0000}"/>
    <cellStyle name="Normal 10 5 4 7 2" xfId="24065" xr:uid="{00000000-0005-0000-0000-0000FF5D0000}"/>
    <cellStyle name="Normal 10 5 4 8" xfId="24066" xr:uid="{00000000-0005-0000-0000-0000005E0000}"/>
    <cellStyle name="Normal 10 5 5" xfId="24067" xr:uid="{00000000-0005-0000-0000-0000015E0000}"/>
    <cellStyle name="Normal 10 5 5 2" xfId="24068" xr:uid="{00000000-0005-0000-0000-0000025E0000}"/>
    <cellStyle name="Normal 10 5 5 2 2" xfId="24069" xr:uid="{00000000-0005-0000-0000-0000035E0000}"/>
    <cellStyle name="Normal 10 5 5 2 2 2" xfId="24070" xr:uid="{00000000-0005-0000-0000-0000045E0000}"/>
    <cellStyle name="Normal 10 5 5 2 2 2 2" xfId="24071" xr:uid="{00000000-0005-0000-0000-0000055E0000}"/>
    <cellStyle name="Normal 10 5 5 2 2 3" xfId="24072" xr:uid="{00000000-0005-0000-0000-0000065E0000}"/>
    <cellStyle name="Normal 10 5 5 2 3" xfId="24073" xr:uid="{00000000-0005-0000-0000-0000075E0000}"/>
    <cellStyle name="Normal 10 5 5 2 3 2" xfId="24074" xr:uid="{00000000-0005-0000-0000-0000085E0000}"/>
    <cellStyle name="Normal 10 5 5 2 4" xfId="24075" xr:uid="{00000000-0005-0000-0000-0000095E0000}"/>
    <cellStyle name="Normal 10 5 5 3" xfId="24076" xr:uid="{00000000-0005-0000-0000-00000A5E0000}"/>
    <cellStyle name="Normal 10 5 5 3 2" xfId="24077" xr:uid="{00000000-0005-0000-0000-00000B5E0000}"/>
    <cellStyle name="Normal 10 5 5 3 2 2" xfId="24078" xr:uid="{00000000-0005-0000-0000-00000C5E0000}"/>
    <cellStyle name="Normal 10 5 5 3 3" xfId="24079" xr:uid="{00000000-0005-0000-0000-00000D5E0000}"/>
    <cellStyle name="Normal 10 5 5 4" xfId="24080" xr:uid="{00000000-0005-0000-0000-00000E5E0000}"/>
    <cellStyle name="Normal 10 5 5 4 2" xfId="24081" xr:uid="{00000000-0005-0000-0000-00000F5E0000}"/>
    <cellStyle name="Normal 10 5 5 5" xfId="24082" xr:uid="{00000000-0005-0000-0000-0000105E0000}"/>
    <cellStyle name="Normal 10 5 6" xfId="24083" xr:uid="{00000000-0005-0000-0000-0000115E0000}"/>
    <cellStyle name="Normal 10 5 6 2" xfId="24084" xr:uid="{00000000-0005-0000-0000-0000125E0000}"/>
    <cellStyle name="Normal 10 5 6 2 2" xfId="24085" xr:uid="{00000000-0005-0000-0000-0000135E0000}"/>
    <cellStyle name="Normal 10 5 6 2 2 2" xfId="24086" xr:uid="{00000000-0005-0000-0000-0000145E0000}"/>
    <cellStyle name="Normal 10 5 6 2 2 2 2" xfId="24087" xr:uid="{00000000-0005-0000-0000-0000155E0000}"/>
    <cellStyle name="Normal 10 5 6 2 2 3" xfId="24088" xr:uid="{00000000-0005-0000-0000-0000165E0000}"/>
    <cellStyle name="Normal 10 5 6 2 3" xfId="24089" xr:uid="{00000000-0005-0000-0000-0000175E0000}"/>
    <cellStyle name="Normal 10 5 6 2 3 2" xfId="24090" xr:uid="{00000000-0005-0000-0000-0000185E0000}"/>
    <cellStyle name="Normal 10 5 6 2 4" xfId="24091" xr:uid="{00000000-0005-0000-0000-0000195E0000}"/>
    <cellStyle name="Normal 10 5 6 3" xfId="24092" xr:uid="{00000000-0005-0000-0000-00001A5E0000}"/>
    <cellStyle name="Normal 10 5 6 3 2" xfId="24093" xr:uid="{00000000-0005-0000-0000-00001B5E0000}"/>
    <cellStyle name="Normal 10 5 6 3 2 2" xfId="24094" xr:uid="{00000000-0005-0000-0000-00001C5E0000}"/>
    <cellStyle name="Normal 10 5 6 3 3" xfId="24095" xr:uid="{00000000-0005-0000-0000-00001D5E0000}"/>
    <cellStyle name="Normal 10 5 6 4" xfId="24096" xr:uid="{00000000-0005-0000-0000-00001E5E0000}"/>
    <cellStyle name="Normal 10 5 6 4 2" xfId="24097" xr:uid="{00000000-0005-0000-0000-00001F5E0000}"/>
    <cellStyle name="Normal 10 5 6 5" xfId="24098" xr:uid="{00000000-0005-0000-0000-0000205E0000}"/>
    <cellStyle name="Normal 10 5 7" xfId="24099" xr:uid="{00000000-0005-0000-0000-0000215E0000}"/>
    <cellStyle name="Normal 10 5 7 2" xfId="24100" xr:uid="{00000000-0005-0000-0000-0000225E0000}"/>
    <cellStyle name="Normal 10 5 7 2 2" xfId="24101" xr:uid="{00000000-0005-0000-0000-0000235E0000}"/>
    <cellStyle name="Normal 10 5 7 2 2 2" xfId="24102" xr:uid="{00000000-0005-0000-0000-0000245E0000}"/>
    <cellStyle name="Normal 10 5 7 2 3" xfId="24103" xr:uid="{00000000-0005-0000-0000-0000255E0000}"/>
    <cellStyle name="Normal 10 5 7 3" xfId="24104" xr:uid="{00000000-0005-0000-0000-0000265E0000}"/>
    <cellStyle name="Normal 10 5 7 3 2" xfId="24105" xr:uid="{00000000-0005-0000-0000-0000275E0000}"/>
    <cellStyle name="Normal 10 5 7 4" xfId="24106" xr:uid="{00000000-0005-0000-0000-0000285E0000}"/>
    <cellStyle name="Normal 10 5 8" xfId="24107" xr:uid="{00000000-0005-0000-0000-0000295E0000}"/>
    <cellStyle name="Normal 10 5 8 2" xfId="24108" xr:uid="{00000000-0005-0000-0000-00002A5E0000}"/>
    <cellStyle name="Normal 10 5 8 2 2" xfId="24109" xr:uid="{00000000-0005-0000-0000-00002B5E0000}"/>
    <cellStyle name="Normal 10 5 8 2 2 2" xfId="24110" xr:uid="{00000000-0005-0000-0000-00002C5E0000}"/>
    <cellStyle name="Normal 10 5 8 2 3" xfId="24111" xr:uid="{00000000-0005-0000-0000-00002D5E0000}"/>
    <cellStyle name="Normal 10 5 8 3" xfId="24112" xr:uid="{00000000-0005-0000-0000-00002E5E0000}"/>
    <cellStyle name="Normal 10 5 8 3 2" xfId="24113" xr:uid="{00000000-0005-0000-0000-00002F5E0000}"/>
    <cellStyle name="Normal 10 5 8 4" xfId="24114" xr:uid="{00000000-0005-0000-0000-0000305E0000}"/>
    <cellStyle name="Normal 10 5 9" xfId="24115" xr:uid="{00000000-0005-0000-0000-0000315E0000}"/>
    <cellStyle name="Normal 10 5 9 2" xfId="24116" xr:uid="{00000000-0005-0000-0000-0000325E0000}"/>
    <cellStyle name="Normal 10 5 9 2 2" xfId="24117" xr:uid="{00000000-0005-0000-0000-0000335E0000}"/>
    <cellStyle name="Normal 10 5 9 3" xfId="24118" xr:uid="{00000000-0005-0000-0000-0000345E0000}"/>
    <cellStyle name="Normal 10 6" xfId="24119" xr:uid="{00000000-0005-0000-0000-0000355E0000}"/>
    <cellStyle name="Normal 10 6 10" xfId="24120" xr:uid="{00000000-0005-0000-0000-0000365E0000}"/>
    <cellStyle name="Normal 10 6 10 2" xfId="24121" xr:uid="{00000000-0005-0000-0000-0000375E0000}"/>
    <cellStyle name="Normal 10 6 10 2 2" xfId="24122" xr:uid="{00000000-0005-0000-0000-0000385E0000}"/>
    <cellStyle name="Normal 10 6 10 3" xfId="24123" xr:uid="{00000000-0005-0000-0000-0000395E0000}"/>
    <cellStyle name="Normal 10 6 11" xfId="24124" xr:uid="{00000000-0005-0000-0000-00003A5E0000}"/>
    <cellStyle name="Normal 10 6 11 2" xfId="24125" xr:uid="{00000000-0005-0000-0000-00003B5E0000}"/>
    <cellStyle name="Normal 10 6 11 2 2" xfId="24126" xr:uid="{00000000-0005-0000-0000-00003C5E0000}"/>
    <cellStyle name="Normal 10 6 11 3" xfId="24127" xr:uid="{00000000-0005-0000-0000-00003D5E0000}"/>
    <cellStyle name="Normal 10 6 12" xfId="24128" xr:uid="{00000000-0005-0000-0000-00003E5E0000}"/>
    <cellStyle name="Normal 10 6 12 2" xfId="24129" xr:uid="{00000000-0005-0000-0000-00003F5E0000}"/>
    <cellStyle name="Normal 10 6 12 2 2" xfId="24130" xr:uid="{00000000-0005-0000-0000-0000405E0000}"/>
    <cellStyle name="Normal 10 6 12 3" xfId="24131" xr:uid="{00000000-0005-0000-0000-0000415E0000}"/>
    <cellStyle name="Normal 10 6 13" xfId="24132" xr:uid="{00000000-0005-0000-0000-0000425E0000}"/>
    <cellStyle name="Normal 10 6 13 2" xfId="24133" xr:uid="{00000000-0005-0000-0000-0000435E0000}"/>
    <cellStyle name="Normal 10 6 14" xfId="24134" xr:uid="{00000000-0005-0000-0000-0000445E0000}"/>
    <cellStyle name="Normal 10 6 2" xfId="24135" xr:uid="{00000000-0005-0000-0000-0000455E0000}"/>
    <cellStyle name="Normal 10 6 2 2" xfId="24136" xr:uid="{00000000-0005-0000-0000-0000465E0000}"/>
    <cellStyle name="Normal 10 6 2 2 2" xfId="24137" xr:uid="{00000000-0005-0000-0000-0000475E0000}"/>
    <cellStyle name="Normal 10 6 2 2 2 2" xfId="24138" xr:uid="{00000000-0005-0000-0000-0000485E0000}"/>
    <cellStyle name="Normal 10 6 2 2 2 2 2" xfId="24139" xr:uid="{00000000-0005-0000-0000-0000495E0000}"/>
    <cellStyle name="Normal 10 6 2 2 2 3" xfId="24140" xr:uid="{00000000-0005-0000-0000-00004A5E0000}"/>
    <cellStyle name="Normal 10 6 2 2 3" xfId="24141" xr:uid="{00000000-0005-0000-0000-00004B5E0000}"/>
    <cellStyle name="Normal 10 6 2 2 3 2" xfId="24142" xr:uid="{00000000-0005-0000-0000-00004C5E0000}"/>
    <cellStyle name="Normal 10 6 2 2 4" xfId="24143" xr:uid="{00000000-0005-0000-0000-00004D5E0000}"/>
    <cellStyle name="Normal 10 6 2 3" xfId="24144" xr:uid="{00000000-0005-0000-0000-00004E5E0000}"/>
    <cellStyle name="Normal 10 6 2 3 2" xfId="24145" xr:uid="{00000000-0005-0000-0000-00004F5E0000}"/>
    <cellStyle name="Normal 10 6 2 3 2 2" xfId="24146" xr:uid="{00000000-0005-0000-0000-0000505E0000}"/>
    <cellStyle name="Normal 10 6 2 3 3" xfId="24147" xr:uid="{00000000-0005-0000-0000-0000515E0000}"/>
    <cellStyle name="Normal 10 6 2 4" xfId="24148" xr:uid="{00000000-0005-0000-0000-0000525E0000}"/>
    <cellStyle name="Normal 10 6 2 4 2" xfId="24149" xr:uid="{00000000-0005-0000-0000-0000535E0000}"/>
    <cellStyle name="Normal 10 6 2 4 2 2" xfId="24150" xr:uid="{00000000-0005-0000-0000-0000545E0000}"/>
    <cellStyle name="Normal 10 6 2 4 3" xfId="24151" xr:uid="{00000000-0005-0000-0000-0000555E0000}"/>
    <cellStyle name="Normal 10 6 2 5" xfId="24152" xr:uid="{00000000-0005-0000-0000-0000565E0000}"/>
    <cellStyle name="Normal 10 6 2 5 2" xfId="24153" xr:uid="{00000000-0005-0000-0000-0000575E0000}"/>
    <cellStyle name="Normal 10 6 2 5 2 2" xfId="24154" xr:uid="{00000000-0005-0000-0000-0000585E0000}"/>
    <cellStyle name="Normal 10 6 2 5 3" xfId="24155" xr:uid="{00000000-0005-0000-0000-0000595E0000}"/>
    <cellStyle name="Normal 10 6 2 6" xfId="24156" xr:uid="{00000000-0005-0000-0000-00005A5E0000}"/>
    <cellStyle name="Normal 10 6 2 6 2" xfId="24157" xr:uid="{00000000-0005-0000-0000-00005B5E0000}"/>
    <cellStyle name="Normal 10 6 2 6 2 2" xfId="24158" xr:uid="{00000000-0005-0000-0000-00005C5E0000}"/>
    <cellStyle name="Normal 10 6 2 6 3" xfId="24159" xr:uid="{00000000-0005-0000-0000-00005D5E0000}"/>
    <cellStyle name="Normal 10 6 2 7" xfId="24160" xr:uid="{00000000-0005-0000-0000-00005E5E0000}"/>
    <cellStyle name="Normal 10 6 2 7 2" xfId="24161" xr:uid="{00000000-0005-0000-0000-00005F5E0000}"/>
    <cellStyle name="Normal 10 6 2 8" xfId="24162" xr:uid="{00000000-0005-0000-0000-0000605E0000}"/>
    <cellStyle name="Normal 10 6 3" xfId="24163" xr:uid="{00000000-0005-0000-0000-0000615E0000}"/>
    <cellStyle name="Normal 10 6 3 2" xfId="24164" xr:uid="{00000000-0005-0000-0000-0000625E0000}"/>
    <cellStyle name="Normal 10 6 3 2 2" xfId="24165" xr:uid="{00000000-0005-0000-0000-0000635E0000}"/>
    <cellStyle name="Normal 10 6 3 2 2 2" xfId="24166" xr:uid="{00000000-0005-0000-0000-0000645E0000}"/>
    <cellStyle name="Normal 10 6 3 2 2 2 2" xfId="24167" xr:uid="{00000000-0005-0000-0000-0000655E0000}"/>
    <cellStyle name="Normal 10 6 3 2 2 3" xfId="24168" xr:uid="{00000000-0005-0000-0000-0000665E0000}"/>
    <cellStyle name="Normal 10 6 3 2 3" xfId="24169" xr:uid="{00000000-0005-0000-0000-0000675E0000}"/>
    <cellStyle name="Normal 10 6 3 2 3 2" xfId="24170" xr:uid="{00000000-0005-0000-0000-0000685E0000}"/>
    <cellStyle name="Normal 10 6 3 2 4" xfId="24171" xr:uid="{00000000-0005-0000-0000-0000695E0000}"/>
    <cellStyle name="Normal 10 6 3 3" xfId="24172" xr:uid="{00000000-0005-0000-0000-00006A5E0000}"/>
    <cellStyle name="Normal 10 6 3 3 2" xfId="24173" xr:uid="{00000000-0005-0000-0000-00006B5E0000}"/>
    <cellStyle name="Normal 10 6 3 3 2 2" xfId="24174" xr:uid="{00000000-0005-0000-0000-00006C5E0000}"/>
    <cellStyle name="Normal 10 6 3 3 3" xfId="24175" xr:uid="{00000000-0005-0000-0000-00006D5E0000}"/>
    <cellStyle name="Normal 10 6 3 4" xfId="24176" xr:uid="{00000000-0005-0000-0000-00006E5E0000}"/>
    <cellStyle name="Normal 10 6 3 4 2" xfId="24177" xr:uid="{00000000-0005-0000-0000-00006F5E0000}"/>
    <cellStyle name="Normal 10 6 3 4 2 2" xfId="24178" xr:uid="{00000000-0005-0000-0000-0000705E0000}"/>
    <cellStyle name="Normal 10 6 3 4 3" xfId="24179" xr:uid="{00000000-0005-0000-0000-0000715E0000}"/>
    <cellStyle name="Normal 10 6 3 5" xfId="24180" xr:uid="{00000000-0005-0000-0000-0000725E0000}"/>
    <cellStyle name="Normal 10 6 3 5 2" xfId="24181" xr:uid="{00000000-0005-0000-0000-0000735E0000}"/>
    <cellStyle name="Normal 10 6 3 5 2 2" xfId="24182" xr:uid="{00000000-0005-0000-0000-0000745E0000}"/>
    <cellStyle name="Normal 10 6 3 5 3" xfId="24183" xr:uid="{00000000-0005-0000-0000-0000755E0000}"/>
    <cellStyle name="Normal 10 6 3 6" xfId="24184" xr:uid="{00000000-0005-0000-0000-0000765E0000}"/>
    <cellStyle name="Normal 10 6 3 6 2" xfId="24185" xr:uid="{00000000-0005-0000-0000-0000775E0000}"/>
    <cellStyle name="Normal 10 6 3 6 2 2" xfId="24186" xr:uid="{00000000-0005-0000-0000-0000785E0000}"/>
    <cellStyle name="Normal 10 6 3 6 3" xfId="24187" xr:uid="{00000000-0005-0000-0000-0000795E0000}"/>
    <cellStyle name="Normal 10 6 3 7" xfId="24188" xr:uid="{00000000-0005-0000-0000-00007A5E0000}"/>
    <cellStyle name="Normal 10 6 3 7 2" xfId="24189" xr:uid="{00000000-0005-0000-0000-00007B5E0000}"/>
    <cellStyle name="Normal 10 6 3 8" xfId="24190" xr:uid="{00000000-0005-0000-0000-00007C5E0000}"/>
    <cellStyle name="Normal 10 6 4" xfId="24191" xr:uid="{00000000-0005-0000-0000-00007D5E0000}"/>
    <cellStyle name="Normal 10 6 4 2" xfId="24192" xr:uid="{00000000-0005-0000-0000-00007E5E0000}"/>
    <cellStyle name="Normal 10 6 4 2 2" xfId="24193" xr:uid="{00000000-0005-0000-0000-00007F5E0000}"/>
    <cellStyle name="Normal 10 6 4 2 2 2" xfId="24194" xr:uid="{00000000-0005-0000-0000-0000805E0000}"/>
    <cellStyle name="Normal 10 6 4 2 2 2 2" xfId="24195" xr:uid="{00000000-0005-0000-0000-0000815E0000}"/>
    <cellStyle name="Normal 10 6 4 2 2 3" xfId="24196" xr:uid="{00000000-0005-0000-0000-0000825E0000}"/>
    <cellStyle name="Normal 10 6 4 2 3" xfId="24197" xr:uid="{00000000-0005-0000-0000-0000835E0000}"/>
    <cellStyle name="Normal 10 6 4 2 3 2" xfId="24198" xr:uid="{00000000-0005-0000-0000-0000845E0000}"/>
    <cellStyle name="Normal 10 6 4 2 4" xfId="24199" xr:uid="{00000000-0005-0000-0000-0000855E0000}"/>
    <cellStyle name="Normal 10 6 4 3" xfId="24200" xr:uid="{00000000-0005-0000-0000-0000865E0000}"/>
    <cellStyle name="Normal 10 6 4 3 2" xfId="24201" xr:uid="{00000000-0005-0000-0000-0000875E0000}"/>
    <cellStyle name="Normal 10 6 4 3 2 2" xfId="24202" xr:uid="{00000000-0005-0000-0000-0000885E0000}"/>
    <cellStyle name="Normal 10 6 4 3 3" xfId="24203" xr:uid="{00000000-0005-0000-0000-0000895E0000}"/>
    <cellStyle name="Normal 10 6 4 4" xfId="24204" xr:uid="{00000000-0005-0000-0000-00008A5E0000}"/>
    <cellStyle name="Normal 10 6 4 4 2" xfId="24205" xr:uid="{00000000-0005-0000-0000-00008B5E0000}"/>
    <cellStyle name="Normal 10 6 4 4 2 2" xfId="24206" xr:uid="{00000000-0005-0000-0000-00008C5E0000}"/>
    <cellStyle name="Normal 10 6 4 4 3" xfId="24207" xr:uid="{00000000-0005-0000-0000-00008D5E0000}"/>
    <cellStyle name="Normal 10 6 4 5" xfId="24208" xr:uid="{00000000-0005-0000-0000-00008E5E0000}"/>
    <cellStyle name="Normal 10 6 4 5 2" xfId="24209" xr:uid="{00000000-0005-0000-0000-00008F5E0000}"/>
    <cellStyle name="Normal 10 6 4 5 2 2" xfId="24210" xr:uid="{00000000-0005-0000-0000-0000905E0000}"/>
    <cellStyle name="Normal 10 6 4 5 3" xfId="24211" xr:uid="{00000000-0005-0000-0000-0000915E0000}"/>
    <cellStyle name="Normal 10 6 4 6" xfId="24212" xr:uid="{00000000-0005-0000-0000-0000925E0000}"/>
    <cellStyle name="Normal 10 6 4 6 2" xfId="24213" xr:uid="{00000000-0005-0000-0000-0000935E0000}"/>
    <cellStyle name="Normal 10 6 4 6 2 2" xfId="24214" xr:uid="{00000000-0005-0000-0000-0000945E0000}"/>
    <cellStyle name="Normal 10 6 4 6 3" xfId="24215" xr:uid="{00000000-0005-0000-0000-0000955E0000}"/>
    <cellStyle name="Normal 10 6 4 7" xfId="24216" xr:uid="{00000000-0005-0000-0000-0000965E0000}"/>
    <cellStyle name="Normal 10 6 4 7 2" xfId="24217" xr:uid="{00000000-0005-0000-0000-0000975E0000}"/>
    <cellStyle name="Normal 10 6 4 8" xfId="24218" xr:uid="{00000000-0005-0000-0000-0000985E0000}"/>
    <cellStyle name="Normal 10 6 5" xfId="24219" xr:uid="{00000000-0005-0000-0000-0000995E0000}"/>
    <cellStyle name="Normal 10 6 5 2" xfId="24220" xr:uid="{00000000-0005-0000-0000-00009A5E0000}"/>
    <cellStyle name="Normal 10 6 5 2 2" xfId="24221" xr:uid="{00000000-0005-0000-0000-00009B5E0000}"/>
    <cellStyle name="Normal 10 6 5 2 2 2" xfId="24222" xr:uid="{00000000-0005-0000-0000-00009C5E0000}"/>
    <cellStyle name="Normal 10 6 5 2 2 2 2" xfId="24223" xr:uid="{00000000-0005-0000-0000-00009D5E0000}"/>
    <cellStyle name="Normal 10 6 5 2 2 3" xfId="24224" xr:uid="{00000000-0005-0000-0000-00009E5E0000}"/>
    <cellStyle name="Normal 10 6 5 2 3" xfId="24225" xr:uid="{00000000-0005-0000-0000-00009F5E0000}"/>
    <cellStyle name="Normal 10 6 5 2 3 2" xfId="24226" xr:uid="{00000000-0005-0000-0000-0000A05E0000}"/>
    <cellStyle name="Normal 10 6 5 2 4" xfId="24227" xr:uid="{00000000-0005-0000-0000-0000A15E0000}"/>
    <cellStyle name="Normal 10 6 5 3" xfId="24228" xr:uid="{00000000-0005-0000-0000-0000A25E0000}"/>
    <cellStyle name="Normal 10 6 5 3 2" xfId="24229" xr:uid="{00000000-0005-0000-0000-0000A35E0000}"/>
    <cellStyle name="Normal 10 6 5 3 2 2" xfId="24230" xr:uid="{00000000-0005-0000-0000-0000A45E0000}"/>
    <cellStyle name="Normal 10 6 5 3 3" xfId="24231" xr:uid="{00000000-0005-0000-0000-0000A55E0000}"/>
    <cellStyle name="Normal 10 6 5 4" xfId="24232" xr:uid="{00000000-0005-0000-0000-0000A65E0000}"/>
    <cellStyle name="Normal 10 6 5 4 2" xfId="24233" xr:uid="{00000000-0005-0000-0000-0000A75E0000}"/>
    <cellStyle name="Normal 10 6 5 5" xfId="24234" xr:uid="{00000000-0005-0000-0000-0000A85E0000}"/>
    <cellStyle name="Normal 10 6 6" xfId="24235" xr:uid="{00000000-0005-0000-0000-0000A95E0000}"/>
    <cellStyle name="Normal 10 6 6 2" xfId="24236" xr:uid="{00000000-0005-0000-0000-0000AA5E0000}"/>
    <cellStyle name="Normal 10 6 6 2 2" xfId="24237" xr:uid="{00000000-0005-0000-0000-0000AB5E0000}"/>
    <cellStyle name="Normal 10 6 6 2 2 2" xfId="24238" xr:uid="{00000000-0005-0000-0000-0000AC5E0000}"/>
    <cellStyle name="Normal 10 6 6 2 2 2 2" xfId="24239" xr:uid="{00000000-0005-0000-0000-0000AD5E0000}"/>
    <cellStyle name="Normal 10 6 6 2 2 3" xfId="24240" xr:uid="{00000000-0005-0000-0000-0000AE5E0000}"/>
    <cellStyle name="Normal 10 6 6 2 3" xfId="24241" xr:uid="{00000000-0005-0000-0000-0000AF5E0000}"/>
    <cellStyle name="Normal 10 6 6 2 3 2" xfId="24242" xr:uid="{00000000-0005-0000-0000-0000B05E0000}"/>
    <cellStyle name="Normal 10 6 6 2 4" xfId="24243" xr:uid="{00000000-0005-0000-0000-0000B15E0000}"/>
    <cellStyle name="Normal 10 6 6 3" xfId="24244" xr:uid="{00000000-0005-0000-0000-0000B25E0000}"/>
    <cellStyle name="Normal 10 6 6 3 2" xfId="24245" xr:uid="{00000000-0005-0000-0000-0000B35E0000}"/>
    <cellStyle name="Normal 10 6 6 3 2 2" xfId="24246" xr:uid="{00000000-0005-0000-0000-0000B45E0000}"/>
    <cellStyle name="Normal 10 6 6 3 3" xfId="24247" xr:uid="{00000000-0005-0000-0000-0000B55E0000}"/>
    <cellStyle name="Normal 10 6 6 4" xfId="24248" xr:uid="{00000000-0005-0000-0000-0000B65E0000}"/>
    <cellStyle name="Normal 10 6 6 4 2" xfId="24249" xr:uid="{00000000-0005-0000-0000-0000B75E0000}"/>
    <cellStyle name="Normal 10 6 6 5" xfId="24250" xr:uid="{00000000-0005-0000-0000-0000B85E0000}"/>
    <cellStyle name="Normal 10 6 7" xfId="24251" xr:uid="{00000000-0005-0000-0000-0000B95E0000}"/>
    <cellStyle name="Normal 10 6 7 2" xfId="24252" xr:uid="{00000000-0005-0000-0000-0000BA5E0000}"/>
    <cellStyle name="Normal 10 6 7 2 2" xfId="24253" xr:uid="{00000000-0005-0000-0000-0000BB5E0000}"/>
    <cellStyle name="Normal 10 6 7 2 2 2" xfId="24254" xr:uid="{00000000-0005-0000-0000-0000BC5E0000}"/>
    <cellStyle name="Normal 10 6 7 2 3" xfId="24255" xr:uid="{00000000-0005-0000-0000-0000BD5E0000}"/>
    <cellStyle name="Normal 10 6 7 3" xfId="24256" xr:uid="{00000000-0005-0000-0000-0000BE5E0000}"/>
    <cellStyle name="Normal 10 6 7 3 2" xfId="24257" xr:uid="{00000000-0005-0000-0000-0000BF5E0000}"/>
    <cellStyle name="Normal 10 6 7 4" xfId="24258" xr:uid="{00000000-0005-0000-0000-0000C05E0000}"/>
    <cellStyle name="Normal 10 6 8" xfId="24259" xr:uid="{00000000-0005-0000-0000-0000C15E0000}"/>
    <cellStyle name="Normal 10 6 8 2" xfId="24260" xr:uid="{00000000-0005-0000-0000-0000C25E0000}"/>
    <cellStyle name="Normal 10 6 8 2 2" xfId="24261" xr:uid="{00000000-0005-0000-0000-0000C35E0000}"/>
    <cellStyle name="Normal 10 6 8 2 2 2" xfId="24262" xr:uid="{00000000-0005-0000-0000-0000C45E0000}"/>
    <cellStyle name="Normal 10 6 8 2 3" xfId="24263" xr:uid="{00000000-0005-0000-0000-0000C55E0000}"/>
    <cellStyle name="Normal 10 6 8 3" xfId="24264" xr:uid="{00000000-0005-0000-0000-0000C65E0000}"/>
    <cellStyle name="Normal 10 6 8 3 2" xfId="24265" xr:uid="{00000000-0005-0000-0000-0000C75E0000}"/>
    <cellStyle name="Normal 10 6 8 4" xfId="24266" xr:uid="{00000000-0005-0000-0000-0000C85E0000}"/>
    <cellStyle name="Normal 10 6 9" xfId="24267" xr:uid="{00000000-0005-0000-0000-0000C95E0000}"/>
    <cellStyle name="Normal 10 6 9 2" xfId="24268" xr:uid="{00000000-0005-0000-0000-0000CA5E0000}"/>
    <cellStyle name="Normal 10 6 9 2 2" xfId="24269" xr:uid="{00000000-0005-0000-0000-0000CB5E0000}"/>
    <cellStyle name="Normal 10 6 9 3" xfId="24270" xr:uid="{00000000-0005-0000-0000-0000CC5E0000}"/>
    <cellStyle name="Normal 10 7" xfId="24271" xr:uid="{00000000-0005-0000-0000-0000CD5E0000}"/>
    <cellStyle name="Normal 10 7 10" xfId="24272" xr:uid="{00000000-0005-0000-0000-0000CE5E0000}"/>
    <cellStyle name="Normal 10 7 10 2" xfId="24273" xr:uid="{00000000-0005-0000-0000-0000CF5E0000}"/>
    <cellStyle name="Normal 10 7 10 2 2" xfId="24274" xr:uid="{00000000-0005-0000-0000-0000D05E0000}"/>
    <cellStyle name="Normal 10 7 10 3" xfId="24275" xr:uid="{00000000-0005-0000-0000-0000D15E0000}"/>
    <cellStyle name="Normal 10 7 11" xfId="24276" xr:uid="{00000000-0005-0000-0000-0000D25E0000}"/>
    <cellStyle name="Normal 10 7 11 2" xfId="24277" xr:uid="{00000000-0005-0000-0000-0000D35E0000}"/>
    <cellStyle name="Normal 10 7 11 2 2" xfId="24278" xr:uid="{00000000-0005-0000-0000-0000D45E0000}"/>
    <cellStyle name="Normal 10 7 11 3" xfId="24279" xr:uid="{00000000-0005-0000-0000-0000D55E0000}"/>
    <cellStyle name="Normal 10 7 12" xfId="24280" xr:uid="{00000000-0005-0000-0000-0000D65E0000}"/>
    <cellStyle name="Normal 10 7 12 2" xfId="24281" xr:uid="{00000000-0005-0000-0000-0000D75E0000}"/>
    <cellStyle name="Normal 10 7 12 2 2" xfId="24282" xr:uid="{00000000-0005-0000-0000-0000D85E0000}"/>
    <cellStyle name="Normal 10 7 12 3" xfId="24283" xr:uid="{00000000-0005-0000-0000-0000D95E0000}"/>
    <cellStyle name="Normal 10 7 13" xfId="24284" xr:uid="{00000000-0005-0000-0000-0000DA5E0000}"/>
    <cellStyle name="Normal 10 7 13 2" xfId="24285" xr:uid="{00000000-0005-0000-0000-0000DB5E0000}"/>
    <cellStyle name="Normal 10 7 14" xfId="24286" xr:uid="{00000000-0005-0000-0000-0000DC5E0000}"/>
    <cellStyle name="Normal 10 7 2" xfId="24287" xr:uid="{00000000-0005-0000-0000-0000DD5E0000}"/>
    <cellStyle name="Normal 10 7 2 2" xfId="24288" xr:uid="{00000000-0005-0000-0000-0000DE5E0000}"/>
    <cellStyle name="Normal 10 7 2 2 2" xfId="24289" xr:uid="{00000000-0005-0000-0000-0000DF5E0000}"/>
    <cellStyle name="Normal 10 7 2 2 2 2" xfId="24290" xr:uid="{00000000-0005-0000-0000-0000E05E0000}"/>
    <cellStyle name="Normal 10 7 2 2 2 2 2" xfId="24291" xr:uid="{00000000-0005-0000-0000-0000E15E0000}"/>
    <cellStyle name="Normal 10 7 2 2 2 3" xfId="24292" xr:uid="{00000000-0005-0000-0000-0000E25E0000}"/>
    <cellStyle name="Normal 10 7 2 2 3" xfId="24293" xr:uid="{00000000-0005-0000-0000-0000E35E0000}"/>
    <cellStyle name="Normal 10 7 2 2 3 2" xfId="24294" xr:uid="{00000000-0005-0000-0000-0000E45E0000}"/>
    <cellStyle name="Normal 10 7 2 2 4" xfId="24295" xr:uid="{00000000-0005-0000-0000-0000E55E0000}"/>
    <cellStyle name="Normal 10 7 2 3" xfId="24296" xr:uid="{00000000-0005-0000-0000-0000E65E0000}"/>
    <cellStyle name="Normal 10 7 2 3 2" xfId="24297" xr:uid="{00000000-0005-0000-0000-0000E75E0000}"/>
    <cellStyle name="Normal 10 7 2 3 2 2" xfId="24298" xr:uid="{00000000-0005-0000-0000-0000E85E0000}"/>
    <cellStyle name="Normal 10 7 2 3 3" xfId="24299" xr:uid="{00000000-0005-0000-0000-0000E95E0000}"/>
    <cellStyle name="Normal 10 7 2 4" xfId="24300" xr:uid="{00000000-0005-0000-0000-0000EA5E0000}"/>
    <cellStyle name="Normal 10 7 2 4 2" xfId="24301" xr:uid="{00000000-0005-0000-0000-0000EB5E0000}"/>
    <cellStyle name="Normal 10 7 2 4 2 2" xfId="24302" xr:uid="{00000000-0005-0000-0000-0000EC5E0000}"/>
    <cellStyle name="Normal 10 7 2 4 3" xfId="24303" xr:uid="{00000000-0005-0000-0000-0000ED5E0000}"/>
    <cellStyle name="Normal 10 7 2 5" xfId="24304" xr:uid="{00000000-0005-0000-0000-0000EE5E0000}"/>
    <cellStyle name="Normal 10 7 2 5 2" xfId="24305" xr:uid="{00000000-0005-0000-0000-0000EF5E0000}"/>
    <cellStyle name="Normal 10 7 2 5 2 2" xfId="24306" xr:uid="{00000000-0005-0000-0000-0000F05E0000}"/>
    <cellStyle name="Normal 10 7 2 5 3" xfId="24307" xr:uid="{00000000-0005-0000-0000-0000F15E0000}"/>
    <cellStyle name="Normal 10 7 2 6" xfId="24308" xr:uid="{00000000-0005-0000-0000-0000F25E0000}"/>
    <cellStyle name="Normal 10 7 2 6 2" xfId="24309" xr:uid="{00000000-0005-0000-0000-0000F35E0000}"/>
    <cellStyle name="Normal 10 7 2 6 2 2" xfId="24310" xr:uid="{00000000-0005-0000-0000-0000F45E0000}"/>
    <cellStyle name="Normal 10 7 2 6 3" xfId="24311" xr:uid="{00000000-0005-0000-0000-0000F55E0000}"/>
    <cellStyle name="Normal 10 7 2 7" xfId="24312" xr:uid="{00000000-0005-0000-0000-0000F65E0000}"/>
    <cellStyle name="Normal 10 7 2 7 2" xfId="24313" xr:uid="{00000000-0005-0000-0000-0000F75E0000}"/>
    <cellStyle name="Normal 10 7 2 8" xfId="24314" xr:uid="{00000000-0005-0000-0000-0000F85E0000}"/>
    <cellStyle name="Normal 10 7 3" xfId="24315" xr:uid="{00000000-0005-0000-0000-0000F95E0000}"/>
    <cellStyle name="Normal 10 7 3 2" xfId="24316" xr:uid="{00000000-0005-0000-0000-0000FA5E0000}"/>
    <cellStyle name="Normal 10 7 3 2 2" xfId="24317" xr:uid="{00000000-0005-0000-0000-0000FB5E0000}"/>
    <cellStyle name="Normal 10 7 3 2 2 2" xfId="24318" xr:uid="{00000000-0005-0000-0000-0000FC5E0000}"/>
    <cellStyle name="Normal 10 7 3 2 2 2 2" xfId="24319" xr:uid="{00000000-0005-0000-0000-0000FD5E0000}"/>
    <cellStyle name="Normal 10 7 3 2 2 3" xfId="24320" xr:uid="{00000000-0005-0000-0000-0000FE5E0000}"/>
    <cellStyle name="Normal 10 7 3 2 3" xfId="24321" xr:uid="{00000000-0005-0000-0000-0000FF5E0000}"/>
    <cellStyle name="Normal 10 7 3 2 3 2" xfId="24322" xr:uid="{00000000-0005-0000-0000-0000005F0000}"/>
    <cellStyle name="Normal 10 7 3 2 4" xfId="24323" xr:uid="{00000000-0005-0000-0000-0000015F0000}"/>
    <cellStyle name="Normal 10 7 3 3" xfId="24324" xr:uid="{00000000-0005-0000-0000-0000025F0000}"/>
    <cellStyle name="Normal 10 7 3 3 2" xfId="24325" xr:uid="{00000000-0005-0000-0000-0000035F0000}"/>
    <cellStyle name="Normal 10 7 3 3 2 2" xfId="24326" xr:uid="{00000000-0005-0000-0000-0000045F0000}"/>
    <cellStyle name="Normal 10 7 3 3 3" xfId="24327" xr:uid="{00000000-0005-0000-0000-0000055F0000}"/>
    <cellStyle name="Normal 10 7 3 4" xfId="24328" xr:uid="{00000000-0005-0000-0000-0000065F0000}"/>
    <cellStyle name="Normal 10 7 3 4 2" xfId="24329" xr:uid="{00000000-0005-0000-0000-0000075F0000}"/>
    <cellStyle name="Normal 10 7 3 4 2 2" xfId="24330" xr:uid="{00000000-0005-0000-0000-0000085F0000}"/>
    <cellStyle name="Normal 10 7 3 4 3" xfId="24331" xr:uid="{00000000-0005-0000-0000-0000095F0000}"/>
    <cellStyle name="Normal 10 7 3 5" xfId="24332" xr:uid="{00000000-0005-0000-0000-00000A5F0000}"/>
    <cellStyle name="Normal 10 7 3 5 2" xfId="24333" xr:uid="{00000000-0005-0000-0000-00000B5F0000}"/>
    <cellStyle name="Normal 10 7 3 5 2 2" xfId="24334" xr:uid="{00000000-0005-0000-0000-00000C5F0000}"/>
    <cellStyle name="Normal 10 7 3 5 3" xfId="24335" xr:uid="{00000000-0005-0000-0000-00000D5F0000}"/>
    <cellStyle name="Normal 10 7 3 6" xfId="24336" xr:uid="{00000000-0005-0000-0000-00000E5F0000}"/>
    <cellStyle name="Normal 10 7 3 6 2" xfId="24337" xr:uid="{00000000-0005-0000-0000-00000F5F0000}"/>
    <cellStyle name="Normal 10 7 3 6 2 2" xfId="24338" xr:uid="{00000000-0005-0000-0000-0000105F0000}"/>
    <cellStyle name="Normal 10 7 3 6 3" xfId="24339" xr:uid="{00000000-0005-0000-0000-0000115F0000}"/>
    <cellStyle name="Normal 10 7 3 7" xfId="24340" xr:uid="{00000000-0005-0000-0000-0000125F0000}"/>
    <cellStyle name="Normal 10 7 3 7 2" xfId="24341" xr:uid="{00000000-0005-0000-0000-0000135F0000}"/>
    <cellStyle name="Normal 10 7 3 8" xfId="24342" xr:uid="{00000000-0005-0000-0000-0000145F0000}"/>
    <cellStyle name="Normal 10 7 4" xfId="24343" xr:uid="{00000000-0005-0000-0000-0000155F0000}"/>
    <cellStyle name="Normal 10 7 4 2" xfId="24344" xr:uid="{00000000-0005-0000-0000-0000165F0000}"/>
    <cellStyle name="Normal 10 7 4 2 2" xfId="24345" xr:uid="{00000000-0005-0000-0000-0000175F0000}"/>
    <cellStyle name="Normal 10 7 4 2 2 2" xfId="24346" xr:uid="{00000000-0005-0000-0000-0000185F0000}"/>
    <cellStyle name="Normal 10 7 4 2 2 2 2" xfId="24347" xr:uid="{00000000-0005-0000-0000-0000195F0000}"/>
    <cellStyle name="Normal 10 7 4 2 2 3" xfId="24348" xr:uid="{00000000-0005-0000-0000-00001A5F0000}"/>
    <cellStyle name="Normal 10 7 4 2 3" xfId="24349" xr:uid="{00000000-0005-0000-0000-00001B5F0000}"/>
    <cellStyle name="Normal 10 7 4 2 3 2" xfId="24350" xr:uid="{00000000-0005-0000-0000-00001C5F0000}"/>
    <cellStyle name="Normal 10 7 4 2 4" xfId="24351" xr:uid="{00000000-0005-0000-0000-00001D5F0000}"/>
    <cellStyle name="Normal 10 7 4 3" xfId="24352" xr:uid="{00000000-0005-0000-0000-00001E5F0000}"/>
    <cellStyle name="Normal 10 7 4 3 2" xfId="24353" xr:uid="{00000000-0005-0000-0000-00001F5F0000}"/>
    <cellStyle name="Normal 10 7 4 3 2 2" xfId="24354" xr:uid="{00000000-0005-0000-0000-0000205F0000}"/>
    <cellStyle name="Normal 10 7 4 3 3" xfId="24355" xr:uid="{00000000-0005-0000-0000-0000215F0000}"/>
    <cellStyle name="Normal 10 7 4 4" xfId="24356" xr:uid="{00000000-0005-0000-0000-0000225F0000}"/>
    <cellStyle name="Normal 10 7 4 4 2" xfId="24357" xr:uid="{00000000-0005-0000-0000-0000235F0000}"/>
    <cellStyle name="Normal 10 7 4 4 2 2" xfId="24358" xr:uid="{00000000-0005-0000-0000-0000245F0000}"/>
    <cellStyle name="Normal 10 7 4 4 3" xfId="24359" xr:uid="{00000000-0005-0000-0000-0000255F0000}"/>
    <cellStyle name="Normal 10 7 4 5" xfId="24360" xr:uid="{00000000-0005-0000-0000-0000265F0000}"/>
    <cellStyle name="Normal 10 7 4 5 2" xfId="24361" xr:uid="{00000000-0005-0000-0000-0000275F0000}"/>
    <cellStyle name="Normal 10 7 4 5 2 2" xfId="24362" xr:uid="{00000000-0005-0000-0000-0000285F0000}"/>
    <cellStyle name="Normal 10 7 4 5 3" xfId="24363" xr:uid="{00000000-0005-0000-0000-0000295F0000}"/>
    <cellStyle name="Normal 10 7 4 6" xfId="24364" xr:uid="{00000000-0005-0000-0000-00002A5F0000}"/>
    <cellStyle name="Normal 10 7 4 6 2" xfId="24365" xr:uid="{00000000-0005-0000-0000-00002B5F0000}"/>
    <cellStyle name="Normal 10 7 4 6 2 2" xfId="24366" xr:uid="{00000000-0005-0000-0000-00002C5F0000}"/>
    <cellStyle name="Normal 10 7 4 6 3" xfId="24367" xr:uid="{00000000-0005-0000-0000-00002D5F0000}"/>
    <cellStyle name="Normal 10 7 4 7" xfId="24368" xr:uid="{00000000-0005-0000-0000-00002E5F0000}"/>
    <cellStyle name="Normal 10 7 4 7 2" xfId="24369" xr:uid="{00000000-0005-0000-0000-00002F5F0000}"/>
    <cellStyle name="Normal 10 7 4 8" xfId="24370" xr:uid="{00000000-0005-0000-0000-0000305F0000}"/>
    <cellStyle name="Normal 10 7 5" xfId="24371" xr:uid="{00000000-0005-0000-0000-0000315F0000}"/>
    <cellStyle name="Normal 10 7 5 2" xfId="24372" xr:uid="{00000000-0005-0000-0000-0000325F0000}"/>
    <cellStyle name="Normal 10 7 5 2 2" xfId="24373" xr:uid="{00000000-0005-0000-0000-0000335F0000}"/>
    <cellStyle name="Normal 10 7 5 2 2 2" xfId="24374" xr:uid="{00000000-0005-0000-0000-0000345F0000}"/>
    <cellStyle name="Normal 10 7 5 2 2 2 2" xfId="24375" xr:uid="{00000000-0005-0000-0000-0000355F0000}"/>
    <cellStyle name="Normal 10 7 5 2 2 3" xfId="24376" xr:uid="{00000000-0005-0000-0000-0000365F0000}"/>
    <cellStyle name="Normal 10 7 5 2 3" xfId="24377" xr:uid="{00000000-0005-0000-0000-0000375F0000}"/>
    <cellStyle name="Normal 10 7 5 2 3 2" xfId="24378" xr:uid="{00000000-0005-0000-0000-0000385F0000}"/>
    <cellStyle name="Normal 10 7 5 2 4" xfId="24379" xr:uid="{00000000-0005-0000-0000-0000395F0000}"/>
    <cellStyle name="Normal 10 7 5 3" xfId="24380" xr:uid="{00000000-0005-0000-0000-00003A5F0000}"/>
    <cellStyle name="Normal 10 7 5 3 2" xfId="24381" xr:uid="{00000000-0005-0000-0000-00003B5F0000}"/>
    <cellStyle name="Normal 10 7 5 3 2 2" xfId="24382" xr:uid="{00000000-0005-0000-0000-00003C5F0000}"/>
    <cellStyle name="Normal 10 7 5 3 3" xfId="24383" xr:uid="{00000000-0005-0000-0000-00003D5F0000}"/>
    <cellStyle name="Normal 10 7 5 4" xfId="24384" xr:uid="{00000000-0005-0000-0000-00003E5F0000}"/>
    <cellStyle name="Normal 10 7 5 4 2" xfId="24385" xr:uid="{00000000-0005-0000-0000-00003F5F0000}"/>
    <cellStyle name="Normal 10 7 5 5" xfId="24386" xr:uid="{00000000-0005-0000-0000-0000405F0000}"/>
    <cellStyle name="Normal 10 7 6" xfId="24387" xr:uid="{00000000-0005-0000-0000-0000415F0000}"/>
    <cellStyle name="Normal 10 7 6 2" xfId="24388" xr:uid="{00000000-0005-0000-0000-0000425F0000}"/>
    <cellStyle name="Normal 10 7 6 2 2" xfId="24389" xr:uid="{00000000-0005-0000-0000-0000435F0000}"/>
    <cellStyle name="Normal 10 7 6 2 2 2" xfId="24390" xr:uid="{00000000-0005-0000-0000-0000445F0000}"/>
    <cellStyle name="Normal 10 7 6 2 2 2 2" xfId="24391" xr:uid="{00000000-0005-0000-0000-0000455F0000}"/>
    <cellStyle name="Normal 10 7 6 2 2 3" xfId="24392" xr:uid="{00000000-0005-0000-0000-0000465F0000}"/>
    <cellStyle name="Normal 10 7 6 2 3" xfId="24393" xr:uid="{00000000-0005-0000-0000-0000475F0000}"/>
    <cellStyle name="Normal 10 7 6 2 3 2" xfId="24394" xr:uid="{00000000-0005-0000-0000-0000485F0000}"/>
    <cellStyle name="Normal 10 7 6 2 4" xfId="24395" xr:uid="{00000000-0005-0000-0000-0000495F0000}"/>
    <cellStyle name="Normal 10 7 6 3" xfId="24396" xr:uid="{00000000-0005-0000-0000-00004A5F0000}"/>
    <cellStyle name="Normal 10 7 6 3 2" xfId="24397" xr:uid="{00000000-0005-0000-0000-00004B5F0000}"/>
    <cellStyle name="Normal 10 7 6 3 2 2" xfId="24398" xr:uid="{00000000-0005-0000-0000-00004C5F0000}"/>
    <cellStyle name="Normal 10 7 6 3 3" xfId="24399" xr:uid="{00000000-0005-0000-0000-00004D5F0000}"/>
    <cellStyle name="Normal 10 7 6 4" xfId="24400" xr:uid="{00000000-0005-0000-0000-00004E5F0000}"/>
    <cellStyle name="Normal 10 7 6 4 2" xfId="24401" xr:uid="{00000000-0005-0000-0000-00004F5F0000}"/>
    <cellStyle name="Normal 10 7 6 5" xfId="24402" xr:uid="{00000000-0005-0000-0000-0000505F0000}"/>
    <cellStyle name="Normal 10 7 7" xfId="24403" xr:uid="{00000000-0005-0000-0000-0000515F0000}"/>
    <cellStyle name="Normal 10 7 7 2" xfId="24404" xr:uid="{00000000-0005-0000-0000-0000525F0000}"/>
    <cellStyle name="Normal 10 7 7 2 2" xfId="24405" xr:uid="{00000000-0005-0000-0000-0000535F0000}"/>
    <cellStyle name="Normal 10 7 7 2 2 2" xfId="24406" xr:uid="{00000000-0005-0000-0000-0000545F0000}"/>
    <cellStyle name="Normal 10 7 7 2 3" xfId="24407" xr:uid="{00000000-0005-0000-0000-0000555F0000}"/>
    <cellStyle name="Normal 10 7 7 3" xfId="24408" xr:uid="{00000000-0005-0000-0000-0000565F0000}"/>
    <cellStyle name="Normal 10 7 7 3 2" xfId="24409" xr:uid="{00000000-0005-0000-0000-0000575F0000}"/>
    <cellStyle name="Normal 10 7 7 4" xfId="24410" xr:uid="{00000000-0005-0000-0000-0000585F0000}"/>
    <cellStyle name="Normal 10 7 8" xfId="24411" xr:uid="{00000000-0005-0000-0000-0000595F0000}"/>
    <cellStyle name="Normal 10 7 8 2" xfId="24412" xr:uid="{00000000-0005-0000-0000-00005A5F0000}"/>
    <cellStyle name="Normal 10 7 8 2 2" xfId="24413" xr:uid="{00000000-0005-0000-0000-00005B5F0000}"/>
    <cellStyle name="Normal 10 7 8 2 2 2" xfId="24414" xr:uid="{00000000-0005-0000-0000-00005C5F0000}"/>
    <cellStyle name="Normal 10 7 8 2 3" xfId="24415" xr:uid="{00000000-0005-0000-0000-00005D5F0000}"/>
    <cellStyle name="Normal 10 7 8 3" xfId="24416" xr:uid="{00000000-0005-0000-0000-00005E5F0000}"/>
    <cellStyle name="Normal 10 7 8 3 2" xfId="24417" xr:uid="{00000000-0005-0000-0000-00005F5F0000}"/>
    <cellStyle name="Normal 10 7 8 4" xfId="24418" xr:uid="{00000000-0005-0000-0000-0000605F0000}"/>
    <cellStyle name="Normal 10 7 9" xfId="24419" xr:uid="{00000000-0005-0000-0000-0000615F0000}"/>
    <cellStyle name="Normal 10 7 9 2" xfId="24420" xr:uid="{00000000-0005-0000-0000-0000625F0000}"/>
    <cellStyle name="Normal 10 7 9 2 2" xfId="24421" xr:uid="{00000000-0005-0000-0000-0000635F0000}"/>
    <cellStyle name="Normal 10 7 9 3" xfId="24422" xr:uid="{00000000-0005-0000-0000-0000645F0000}"/>
    <cellStyle name="Normal 10 8" xfId="24423" xr:uid="{00000000-0005-0000-0000-0000655F0000}"/>
    <cellStyle name="Normal 10 8 2" xfId="24424" xr:uid="{00000000-0005-0000-0000-0000665F0000}"/>
    <cellStyle name="Normal 10 8 2 2" xfId="24425" xr:uid="{00000000-0005-0000-0000-0000675F0000}"/>
    <cellStyle name="Normal 10 8 2 2 2" xfId="24426" xr:uid="{00000000-0005-0000-0000-0000685F0000}"/>
    <cellStyle name="Normal 10 8 2 2 2 2" xfId="24427" xr:uid="{00000000-0005-0000-0000-0000695F0000}"/>
    <cellStyle name="Normal 10 8 2 2 3" xfId="24428" xr:uid="{00000000-0005-0000-0000-00006A5F0000}"/>
    <cellStyle name="Normal 10 8 2 3" xfId="24429" xr:uid="{00000000-0005-0000-0000-00006B5F0000}"/>
    <cellStyle name="Normal 10 8 2 3 2" xfId="24430" xr:uid="{00000000-0005-0000-0000-00006C5F0000}"/>
    <cellStyle name="Normal 10 8 2 4" xfId="24431" xr:uid="{00000000-0005-0000-0000-00006D5F0000}"/>
    <cellStyle name="Normal 10 8 3" xfId="24432" xr:uid="{00000000-0005-0000-0000-00006E5F0000}"/>
    <cellStyle name="Normal 10 8 3 2" xfId="24433" xr:uid="{00000000-0005-0000-0000-00006F5F0000}"/>
    <cellStyle name="Normal 10 8 3 2 2" xfId="24434" xr:uid="{00000000-0005-0000-0000-0000705F0000}"/>
    <cellStyle name="Normal 10 8 3 3" xfId="24435" xr:uid="{00000000-0005-0000-0000-0000715F0000}"/>
    <cellStyle name="Normal 10 8 4" xfId="24436" xr:uid="{00000000-0005-0000-0000-0000725F0000}"/>
    <cellStyle name="Normal 10 8 4 2" xfId="24437" xr:uid="{00000000-0005-0000-0000-0000735F0000}"/>
    <cellStyle name="Normal 10 8 4 2 2" xfId="24438" xr:uid="{00000000-0005-0000-0000-0000745F0000}"/>
    <cellStyle name="Normal 10 8 4 3" xfId="24439" xr:uid="{00000000-0005-0000-0000-0000755F0000}"/>
    <cellStyle name="Normal 10 8 5" xfId="24440" xr:uid="{00000000-0005-0000-0000-0000765F0000}"/>
    <cellStyle name="Normal 10 8 5 2" xfId="24441" xr:uid="{00000000-0005-0000-0000-0000775F0000}"/>
    <cellStyle name="Normal 10 8 5 2 2" xfId="24442" xr:uid="{00000000-0005-0000-0000-0000785F0000}"/>
    <cellStyle name="Normal 10 8 5 3" xfId="24443" xr:uid="{00000000-0005-0000-0000-0000795F0000}"/>
    <cellStyle name="Normal 10 8 6" xfId="24444" xr:uid="{00000000-0005-0000-0000-00007A5F0000}"/>
    <cellStyle name="Normal 10 8 6 2" xfId="24445" xr:uid="{00000000-0005-0000-0000-00007B5F0000}"/>
    <cellStyle name="Normal 10 8 6 2 2" xfId="24446" xr:uid="{00000000-0005-0000-0000-00007C5F0000}"/>
    <cellStyle name="Normal 10 8 6 3" xfId="24447" xr:uid="{00000000-0005-0000-0000-00007D5F0000}"/>
    <cellStyle name="Normal 10 8 7" xfId="24448" xr:uid="{00000000-0005-0000-0000-00007E5F0000}"/>
    <cellStyle name="Normal 10 8 7 2" xfId="24449" xr:uid="{00000000-0005-0000-0000-00007F5F0000}"/>
    <cellStyle name="Normal 10 8 8" xfId="24450" xr:uid="{00000000-0005-0000-0000-0000805F0000}"/>
    <cellStyle name="Normal 10 9" xfId="24451" xr:uid="{00000000-0005-0000-0000-0000815F0000}"/>
    <cellStyle name="Normal 10 9 2" xfId="24452" xr:uid="{00000000-0005-0000-0000-0000825F0000}"/>
    <cellStyle name="Normal 10 9 2 2" xfId="24453" xr:uid="{00000000-0005-0000-0000-0000835F0000}"/>
    <cellStyle name="Normal 10 9 2 2 2" xfId="24454" xr:uid="{00000000-0005-0000-0000-0000845F0000}"/>
    <cellStyle name="Normal 10 9 2 2 2 2" xfId="24455" xr:uid="{00000000-0005-0000-0000-0000855F0000}"/>
    <cellStyle name="Normal 10 9 2 2 3" xfId="24456" xr:uid="{00000000-0005-0000-0000-0000865F0000}"/>
    <cellStyle name="Normal 10 9 2 3" xfId="24457" xr:uid="{00000000-0005-0000-0000-0000875F0000}"/>
    <cellStyle name="Normal 10 9 2 3 2" xfId="24458" xr:uid="{00000000-0005-0000-0000-0000885F0000}"/>
    <cellStyle name="Normal 10 9 2 4" xfId="24459" xr:uid="{00000000-0005-0000-0000-0000895F0000}"/>
    <cellStyle name="Normal 10 9 3" xfId="24460" xr:uid="{00000000-0005-0000-0000-00008A5F0000}"/>
    <cellStyle name="Normal 10 9 3 2" xfId="24461" xr:uid="{00000000-0005-0000-0000-00008B5F0000}"/>
    <cellStyle name="Normal 10 9 3 2 2" xfId="24462" xr:uid="{00000000-0005-0000-0000-00008C5F0000}"/>
    <cellStyle name="Normal 10 9 3 3" xfId="24463" xr:uid="{00000000-0005-0000-0000-00008D5F0000}"/>
    <cellStyle name="Normal 10 9 4" xfId="24464" xr:uid="{00000000-0005-0000-0000-00008E5F0000}"/>
    <cellStyle name="Normal 10 9 4 2" xfId="24465" xr:uid="{00000000-0005-0000-0000-00008F5F0000}"/>
    <cellStyle name="Normal 10 9 4 2 2" xfId="24466" xr:uid="{00000000-0005-0000-0000-0000905F0000}"/>
    <cellStyle name="Normal 10 9 4 3" xfId="24467" xr:uid="{00000000-0005-0000-0000-0000915F0000}"/>
    <cellStyle name="Normal 10 9 5" xfId="24468" xr:uid="{00000000-0005-0000-0000-0000925F0000}"/>
    <cellStyle name="Normal 10 9 5 2" xfId="24469" xr:uid="{00000000-0005-0000-0000-0000935F0000}"/>
    <cellStyle name="Normal 10 9 5 2 2" xfId="24470" xr:uid="{00000000-0005-0000-0000-0000945F0000}"/>
    <cellStyle name="Normal 10 9 5 3" xfId="24471" xr:uid="{00000000-0005-0000-0000-0000955F0000}"/>
    <cellStyle name="Normal 10 9 6" xfId="24472" xr:uid="{00000000-0005-0000-0000-0000965F0000}"/>
    <cellStyle name="Normal 10 9 6 2" xfId="24473" xr:uid="{00000000-0005-0000-0000-0000975F0000}"/>
    <cellStyle name="Normal 10 9 6 2 2" xfId="24474" xr:uid="{00000000-0005-0000-0000-0000985F0000}"/>
    <cellStyle name="Normal 10 9 6 3" xfId="24475" xr:uid="{00000000-0005-0000-0000-0000995F0000}"/>
    <cellStyle name="Normal 10 9 7" xfId="24476" xr:uid="{00000000-0005-0000-0000-00009A5F0000}"/>
    <cellStyle name="Normal 10 9 7 2" xfId="24477" xr:uid="{00000000-0005-0000-0000-00009B5F0000}"/>
    <cellStyle name="Normal 10 9 8" xfId="24478" xr:uid="{00000000-0005-0000-0000-00009C5F0000}"/>
    <cellStyle name="Normal 11" xfId="24479" xr:uid="{00000000-0005-0000-0000-00009D5F0000}"/>
    <cellStyle name="Normal 12" xfId="24480" xr:uid="{00000000-0005-0000-0000-00009E5F0000}"/>
    <cellStyle name="Normal 12 10" xfId="24481" xr:uid="{00000000-0005-0000-0000-00009F5F0000}"/>
    <cellStyle name="Normal 12 10 2" xfId="24482" xr:uid="{00000000-0005-0000-0000-0000A05F0000}"/>
    <cellStyle name="Normal 12 10 2 2" xfId="24483" xr:uid="{00000000-0005-0000-0000-0000A15F0000}"/>
    <cellStyle name="Normal 12 10 3" xfId="24484" xr:uid="{00000000-0005-0000-0000-0000A25F0000}"/>
    <cellStyle name="Normal 12 11" xfId="24485" xr:uid="{00000000-0005-0000-0000-0000A35F0000}"/>
    <cellStyle name="Normal 12 11 2" xfId="24486" xr:uid="{00000000-0005-0000-0000-0000A45F0000}"/>
    <cellStyle name="Normal 12 11 2 2" xfId="24487" xr:uid="{00000000-0005-0000-0000-0000A55F0000}"/>
    <cellStyle name="Normal 12 11 3" xfId="24488" xr:uid="{00000000-0005-0000-0000-0000A65F0000}"/>
    <cellStyle name="Normal 12 12" xfId="24489" xr:uid="{00000000-0005-0000-0000-0000A75F0000}"/>
    <cellStyle name="Normal 12 12 2" xfId="24490" xr:uid="{00000000-0005-0000-0000-0000A85F0000}"/>
    <cellStyle name="Normal 12 12 2 2" xfId="24491" xr:uid="{00000000-0005-0000-0000-0000A95F0000}"/>
    <cellStyle name="Normal 12 12 3" xfId="24492" xr:uid="{00000000-0005-0000-0000-0000AA5F0000}"/>
    <cellStyle name="Normal 12 13" xfId="24493" xr:uid="{00000000-0005-0000-0000-0000AB5F0000}"/>
    <cellStyle name="Normal 12 13 2" xfId="24494" xr:uid="{00000000-0005-0000-0000-0000AC5F0000}"/>
    <cellStyle name="Normal 12 14" xfId="24495" xr:uid="{00000000-0005-0000-0000-0000AD5F0000}"/>
    <cellStyle name="Normal 12 2" xfId="24496" xr:uid="{00000000-0005-0000-0000-0000AE5F0000}"/>
    <cellStyle name="Normal 12 2 2" xfId="24497" xr:uid="{00000000-0005-0000-0000-0000AF5F0000}"/>
    <cellStyle name="Normal 12 2 2 2" xfId="24498" xr:uid="{00000000-0005-0000-0000-0000B05F0000}"/>
    <cellStyle name="Normal 12 2 2 2 2" xfId="24499" xr:uid="{00000000-0005-0000-0000-0000B15F0000}"/>
    <cellStyle name="Normal 12 2 2 2 2 2" xfId="24500" xr:uid="{00000000-0005-0000-0000-0000B25F0000}"/>
    <cellStyle name="Normal 12 2 2 2 3" xfId="24501" xr:uid="{00000000-0005-0000-0000-0000B35F0000}"/>
    <cellStyle name="Normal 12 2 2 3" xfId="24502" xr:uid="{00000000-0005-0000-0000-0000B45F0000}"/>
    <cellStyle name="Normal 12 2 2 3 2" xfId="24503" xr:uid="{00000000-0005-0000-0000-0000B55F0000}"/>
    <cellStyle name="Normal 12 2 2 4" xfId="24504" xr:uid="{00000000-0005-0000-0000-0000B65F0000}"/>
    <cellStyle name="Normal 12 2 3" xfId="24505" xr:uid="{00000000-0005-0000-0000-0000B75F0000}"/>
    <cellStyle name="Normal 12 2 3 2" xfId="24506" xr:uid="{00000000-0005-0000-0000-0000B85F0000}"/>
    <cellStyle name="Normal 12 2 3 2 2" xfId="24507" xr:uid="{00000000-0005-0000-0000-0000B95F0000}"/>
    <cellStyle name="Normal 12 2 3 3" xfId="24508" xr:uid="{00000000-0005-0000-0000-0000BA5F0000}"/>
    <cellStyle name="Normal 12 2 4" xfId="24509" xr:uid="{00000000-0005-0000-0000-0000BB5F0000}"/>
    <cellStyle name="Normal 12 2 4 2" xfId="24510" xr:uid="{00000000-0005-0000-0000-0000BC5F0000}"/>
    <cellStyle name="Normal 12 2 4 2 2" xfId="24511" xr:uid="{00000000-0005-0000-0000-0000BD5F0000}"/>
    <cellStyle name="Normal 12 2 4 3" xfId="24512" xr:uid="{00000000-0005-0000-0000-0000BE5F0000}"/>
    <cellStyle name="Normal 12 2 5" xfId="24513" xr:uid="{00000000-0005-0000-0000-0000BF5F0000}"/>
    <cellStyle name="Normal 12 2 5 2" xfId="24514" xr:uid="{00000000-0005-0000-0000-0000C05F0000}"/>
    <cellStyle name="Normal 12 2 5 2 2" xfId="24515" xr:uid="{00000000-0005-0000-0000-0000C15F0000}"/>
    <cellStyle name="Normal 12 2 5 3" xfId="24516" xr:uid="{00000000-0005-0000-0000-0000C25F0000}"/>
    <cellStyle name="Normal 12 2 6" xfId="24517" xr:uid="{00000000-0005-0000-0000-0000C35F0000}"/>
    <cellStyle name="Normal 12 2 6 2" xfId="24518" xr:uid="{00000000-0005-0000-0000-0000C45F0000}"/>
    <cellStyle name="Normal 12 2 6 2 2" xfId="24519" xr:uid="{00000000-0005-0000-0000-0000C55F0000}"/>
    <cellStyle name="Normal 12 2 6 3" xfId="24520" xr:uid="{00000000-0005-0000-0000-0000C65F0000}"/>
    <cellStyle name="Normal 12 2 7" xfId="24521" xr:uid="{00000000-0005-0000-0000-0000C75F0000}"/>
    <cellStyle name="Normal 12 2 7 2" xfId="24522" xr:uid="{00000000-0005-0000-0000-0000C85F0000}"/>
    <cellStyle name="Normal 12 2 8" xfId="24523" xr:uid="{00000000-0005-0000-0000-0000C95F0000}"/>
    <cellStyle name="Normal 12 3" xfId="24524" xr:uid="{00000000-0005-0000-0000-0000CA5F0000}"/>
    <cellStyle name="Normal 12 3 2" xfId="24525" xr:uid="{00000000-0005-0000-0000-0000CB5F0000}"/>
    <cellStyle name="Normal 12 3 2 2" xfId="24526" xr:uid="{00000000-0005-0000-0000-0000CC5F0000}"/>
    <cellStyle name="Normal 12 3 2 2 2" xfId="24527" xr:uid="{00000000-0005-0000-0000-0000CD5F0000}"/>
    <cellStyle name="Normal 12 3 2 2 2 2" xfId="24528" xr:uid="{00000000-0005-0000-0000-0000CE5F0000}"/>
    <cellStyle name="Normal 12 3 2 2 3" xfId="24529" xr:uid="{00000000-0005-0000-0000-0000CF5F0000}"/>
    <cellStyle name="Normal 12 3 2 3" xfId="24530" xr:uid="{00000000-0005-0000-0000-0000D05F0000}"/>
    <cellStyle name="Normal 12 3 2 3 2" xfId="24531" xr:uid="{00000000-0005-0000-0000-0000D15F0000}"/>
    <cellStyle name="Normal 12 3 2 4" xfId="24532" xr:uid="{00000000-0005-0000-0000-0000D25F0000}"/>
    <cellStyle name="Normal 12 3 3" xfId="24533" xr:uid="{00000000-0005-0000-0000-0000D35F0000}"/>
    <cellStyle name="Normal 12 3 3 2" xfId="24534" xr:uid="{00000000-0005-0000-0000-0000D45F0000}"/>
    <cellStyle name="Normal 12 3 3 2 2" xfId="24535" xr:uid="{00000000-0005-0000-0000-0000D55F0000}"/>
    <cellStyle name="Normal 12 3 3 3" xfId="24536" xr:uid="{00000000-0005-0000-0000-0000D65F0000}"/>
    <cellStyle name="Normal 12 3 4" xfId="24537" xr:uid="{00000000-0005-0000-0000-0000D75F0000}"/>
    <cellStyle name="Normal 12 3 4 2" xfId="24538" xr:uid="{00000000-0005-0000-0000-0000D85F0000}"/>
    <cellStyle name="Normal 12 3 4 2 2" xfId="24539" xr:uid="{00000000-0005-0000-0000-0000D95F0000}"/>
    <cellStyle name="Normal 12 3 4 3" xfId="24540" xr:uid="{00000000-0005-0000-0000-0000DA5F0000}"/>
    <cellStyle name="Normal 12 3 5" xfId="24541" xr:uid="{00000000-0005-0000-0000-0000DB5F0000}"/>
    <cellStyle name="Normal 12 3 5 2" xfId="24542" xr:uid="{00000000-0005-0000-0000-0000DC5F0000}"/>
    <cellStyle name="Normal 12 3 5 2 2" xfId="24543" xr:uid="{00000000-0005-0000-0000-0000DD5F0000}"/>
    <cellStyle name="Normal 12 3 5 3" xfId="24544" xr:uid="{00000000-0005-0000-0000-0000DE5F0000}"/>
    <cellStyle name="Normal 12 3 6" xfId="24545" xr:uid="{00000000-0005-0000-0000-0000DF5F0000}"/>
    <cellStyle name="Normal 12 3 6 2" xfId="24546" xr:uid="{00000000-0005-0000-0000-0000E05F0000}"/>
    <cellStyle name="Normal 12 3 6 2 2" xfId="24547" xr:uid="{00000000-0005-0000-0000-0000E15F0000}"/>
    <cellStyle name="Normal 12 3 6 3" xfId="24548" xr:uid="{00000000-0005-0000-0000-0000E25F0000}"/>
    <cellStyle name="Normal 12 3 7" xfId="24549" xr:uid="{00000000-0005-0000-0000-0000E35F0000}"/>
    <cellStyle name="Normal 12 3 7 2" xfId="24550" xr:uid="{00000000-0005-0000-0000-0000E45F0000}"/>
    <cellStyle name="Normal 12 3 8" xfId="24551" xr:uid="{00000000-0005-0000-0000-0000E55F0000}"/>
    <cellStyle name="Normal 12 4" xfId="24552" xr:uid="{00000000-0005-0000-0000-0000E65F0000}"/>
    <cellStyle name="Normal 12 4 2" xfId="24553" xr:uid="{00000000-0005-0000-0000-0000E75F0000}"/>
    <cellStyle name="Normal 12 4 2 2" xfId="24554" xr:uid="{00000000-0005-0000-0000-0000E85F0000}"/>
    <cellStyle name="Normal 12 4 2 2 2" xfId="24555" xr:uid="{00000000-0005-0000-0000-0000E95F0000}"/>
    <cellStyle name="Normal 12 4 2 2 2 2" xfId="24556" xr:uid="{00000000-0005-0000-0000-0000EA5F0000}"/>
    <cellStyle name="Normal 12 4 2 2 3" xfId="24557" xr:uid="{00000000-0005-0000-0000-0000EB5F0000}"/>
    <cellStyle name="Normal 12 4 2 3" xfId="24558" xr:uid="{00000000-0005-0000-0000-0000EC5F0000}"/>
    <cellStyle name="Normal 12 4 2 3 2" xfId="24559" xr:uid="{00000000-0005-0000-0000-0000ED5F0000}"/>
    <cellStyle name="Normal 12 4 2 4" xfId="24560" xr:uid="{00000000-0005-0000-0000-0000EE5F0000}"/>
    <cellStyle name="Normal 12 4 3" xfId="24561" xr:uid="{00000000-0005-0000-0000-0000EF5F0000}"/>
    <cellStyle name="Normal 12 4 3 2" xfId="24562" xr:uid="{00000000-0005-0000-0000-0000F05F0000}"/>
    <cellStyle name="Normal 12 4 3 2 2" xfId="24563" xr:uid="{00000000-0005-0000-0000-0000F15F0000}"/>
    <cellStyle name="Normal 12 4 3 3" xfId="24564" xr:uid="{00000000-0005-0000-0000-0000F25F0000}"/>
    <cellStyle name="Normal 12 4 4" xfId="24565" xr:uid="{00000000-0005-0000-0000-0000F35F0000}"/>
    <cellStyle name="Normal 12 4 4 2" xfId="24566" xr:uid="{00000000-0005-0000-0000-0000F45F0000}"/>
    <cellStyle name="Normal 12 4 4 2 2" xfId="24567" xr:uid="{00000000-0005-0000-0000-0000F55F0000}"/>
    <cellStyle name="Normal 12 4 4 3" xfId="24568" xr:uid="{00000000-0005-0000-0000-0000F65F0000}"/>
    <cellStyle name="Normal 12 4 5" xfId="24569" xr:uid="{00000000-0005-0000-0000-0000F75F0000}"/>
    <cellStyle name="Normal 12 4 5 2" xfId="24570" xr:uid="{00000000-0005-0000-0000-0000F85F0000}"/>
    <cellStyle name="Normal 12 4 5 2 2" xfId="24571" xr:uid="{00000000-0005-0000-0000-0000F95F0000}"/>
    <cellStyle name="Normal 12 4 5 3" xfId="24572" xr:uid="{00000000-0005-0000-0000-0000FA5F0000}"/>
    <cellStyle name="Normal 12 4 6" xfId="24573" xr:uid="{00000000-0005-0000-0000-0000FB5F0000}"/>
    <cellStyle name="Normal 12 4 6 2" xfId="24574" xr:uid="{00000000-0005-0000-0000-0000FC5F0000}"/>
    <cellStyle name="Normal 12 4 6 2 2" xfId="24575" xr:uid="{00000000-0005-0000-0000-0000FD5F0000}"/>
    <cellStyle name="Normal 12 4 6 3" xfId="24576" xr:uid="{00000000-0005-0000-0000-0000FE5F0000}"/>
    <cellStyle name="Normal 12 4 7" xfId="24577" xr:uid="{00000000-0005-0000-0000-0000FF5F0000}"/>
    <cellStyle name="Normal 12 4 7 2" xfId="24578" xr:uid="{00000000-0005-0000-0000-000000600000}"/>
    <cellStyle name="Normal 12 4 8" xfId="24579" xr:uid="{00000000-0005-0000-0000-000001600000}"/>
    <cellStyle name="Normal 12 5" xfId="24580" xr:uid="{00000000-0005-0000-0000-000002600000}"/>
    <cellStyle name="Normal 12 5 2" xfId="24581" xr:uid="{00000000-0005-0000-0000-000003600000}"/>
    <cellStyle name="Normal 12 5 2 2" xfId="24582" xr:uid="{00000000-0005-0000-0000-000004600000}"/>
    <cellStyle name="Normal 12 5 2 2 2" xfId="24583" xr:uid="{00000000-0005-0000-0000-000005600000}"/>
    <cellStyle name="Normal 12 5 2 2 2 2" xfId="24584" xr:uid="{00000000-0005-0000-0000-000006600000}"/>
    <cellStyle name="Normal 12 5 2 2 3" xfId="24585" xr:uid="{00000000-0005-0000-0000-000007600000}"/>
    <cellStyle name="Normal 12 5 2 3" xfId="24586" xr:uid="{00000000-0005-0000-0000-000008600000}"/>
    <cellStyle name="Normal 12 5 2 3 2" xfId="24587" xr:uid="{00000000-0005-0000-0000-000009600000}"/>
    <cellStyle name="Normal 12 5 2 4" xfId="24588" xr:uid="{00000000-0005-0000-0000-00000A600000}"/>
    <cellStyle name="Normal 12 5 3" xfId="24589" xr:uid="{00000000-0005-0000-0000-00000B600000}"/>
    <cellStyle name="Normal 12 5 3 2" xfId="24590" xr:uid="{00000000-0005-0000-0000-00000C600000}"/>
    <cellStyle name="Normal 12 5 3 2 2" xfId="24591" xr:uid="{00000000-0005-0000-0000-00000D600000}"/>
    <cellStyle name="Normal 12 5 3 3" xfId="24592" xr:uid="{00000000-0005-0000-0000-00000E600000}"/>
    <cellStyle name="Normal 12 5 4" xfId="24593" xr:uid="{00000000-0005-0000-0000-00000F600000}"/>
    <cellStyle name="Normal 12 5 4 2" xfId="24594" xr:uid="{00000000-0005-0000-0000-000010600000}"/>
    <cellStyle name="Normal 12 5 5" xfId="24595" xr:uid="{00000000-0005-0000-0000-000011600000}"/>
    <cellStyle name="Normal 12 6" xfId="24596" xr:uid="{00000000-0005-0000-0000-000012600000}"/>
    <cellStyle name="Normal 12 6 2" xfId="24597" xr:uid="{00000000-0005-0000-0000-000013600000}"/>
    <cellStyle name="Normal 12 6 2 2" xfId="24598" xr:uid="{00000000-0005-0000-0000-000014600000}"/>
    <cellStyle name="Normal 12 6 2 2 2" xfId="24599" xr:uid="{00000000-0005-0000-0000-000015600000}"/>
    <cellStyle name="Normal 12 6 2 2 2 2" xfId="24600" xr:uid="{00000000-0005-0000-0000-000016600000}"/>
    <cellStyle name="Normal 12 6 2 2 3" xfId="24601" xr:uid="{00000000-0005-0000-0000-000017600000}"/>
    <cellStyle name="Normal 12 6 2 3" xfId="24602" xr:uid="{00000000-0005-0000-0000-000018600000}"/>
    <cellStyle name="Normal 12 6 2 3 2" xfId="24603" xr:uid="{00000000-0005-0000-0000-000019600000}"/>
    <cellStyle name="Normal 12 6 2 4" xfId="24604" xr:uid="{00000000-0005-0000-0000-00001A600000}"/>
    <cellStyle name="Normal 12 6 3" xfId="24605" xr:uid="{00000000-0005-0000-0000-00001B600000}"/>
    <cellStyle name="Normal 12 6 3 2" xfId="24606" xr:uid="{00000000-0005-0000-0000-00001C600000}"/>
    <cellStyle name="Normal 12 6 3 2 2" xfId="24607" xr:uid="{00000000-0005-0000-0000-00001D600000}"/>
    <cellStyle name="Normal 12 6 3 3" xfId="24608" xr:uid="{00000000-0005-0000-0000-00001E600000}"/>
    <cellStyle name="Normal 12 6 4" xfId="24609" xr:uid="{00000000-0005-0000-0000-00001F600000}"/>
    <cellStyle name="Normal 12 6 4 2" xfId="24610" xr:uid="{00000000-0005-0000-0000-000020600000}"/>
    <cellStyle name="Normal 12 6 5" xfId="24611" xr:uid="{00000000-0005-0000-0000-000021600000}"/>
    <cellStyle name="Normal 12 7" xfId="24612" xr:uid="{00000000-0005-0000-0000-000022600000}"/>
    <cellStyle name="Normal 12 7 2" xfId="24613" xr:uid="{00000000-0005-0000-0000-000023600000}"/>
    <cellStyle name="Normal 12 7 2 2" xfId="24614" xr:uid="{00000000-0005-0000-0000-000024600000}"/>
    <cellStyle name="Normal 12 7 2 2 2" xfId="24615" xr:uid="{00000000-0005-0000-0000-000025600000}"/>
    <cellStyle name="Normal 12 7 2 3" xfId="24616" xr:uid="{00000000-0005-0000-0000-000026600000}"/>
    <cellStyle name="Normal 12 7 3" xfId="24617" xr:uid="{00000000-0005-0000-0000-000027600000}"/>
    <cellStyle name="Normal 12 7 3 2" xfId="24618" xr:uid="{00000000-0005-0000-0000-000028600000}"/>
    <cellStyle name="Normal 12 7 4" xfId="24619" xr:uid="{00000000-0005-0000-0000-000029600000}"/>
    <cellStyle name="Normal 12 8" xfId="24620" xr:uid="{00000000-0005-0000-0000-00002A600000}"/>
    <cellStyle name="Normal 12 8 2" xfId="24621" xr:uid="{00000000-0005-0000-0000-00002B600000}"/>
    <cellStyle name="Normal 12 8 2 2" xfId="24622" xr:uid="{00000000-0005-0000-0000-00002C600000}"/>
    <cellStyle name="Normal 12 8 2 2 2" xfId="24623" xr:uid="{00000000-0005-0000-0000-00002D600000}"/>
    <cellStyle name="Normal 12 8 2 3" xfId="24624" xr:uid="{00000000-0005-0000-0000-00002E600000}"/>
    <cellStyle name="Normal 12 8 3" xfId="24625" xr:uid="{00000000-0005-0000-0000-00002F600000}"/>
    <cellStyle name="Normal 12 8 3 2" xfId="24626" xr:uid="{00000000-0005-0000-0000-000030600000}"/>
    <cellStyle name="Normal 12 8 4" xfId="24627" xr:uid="{00000000-0005-0000-0000-000031600000}"/>
    <cellStyle name="Normal 12 9" xfId="24628" xr:uid="{00000000-0005-0000-0000-000032600000}"/>
    <cellStyle name="Normal 12 9 2" xfId="24629" xr:uid="{00000000-0005-0000-0000-000033600000}"/>
    <cellStyle name="Normal 12 9 2 2" xfId="24630" xr:uid="{00000000-0005-0000-0000-000034600000}"/>
    <cellStyle name="Normal 12 9 3" xfId="24631" xr:uid="{00000000-0005-0000-0000-000035600000}"/>
    <cellStyle name="Normal 13" xfId="24632" xr:uid="{00000000-0005-0000-0000-000036600000}"/>
    <cellStyle name="Normal 13 10" xfId="24633" xr:uid="{00000000-0005-0000-0000-000037600000}"/>
    <cellStyle name="Normal 13 10 2" xfId="24634" xr:uid="{00000000-0005-0000-0000-000038600000}"/>
    <cellStyle name="Normal 13 10 2 2" xfId="24635" xr:uid="{00000000-0005-0000-0000-000039600000}"/>
    <cellStyle name="Normal 13 10 3" xfId="24636" xr:uid="{00000000-0005-0000-0000-00003A600000}"/>
    <cellStyle name="Normal 13 11" xfId="24637" xr:uid="{00000000-0005-0000-0000-00003B600000}"/>
    <cellStyle name="Normal 13 11 2" xfId="24638" xr:uid="{00000000-0005-0000-0000-00003C600000}"/>
    <cellStyle name="Normal 13 11 2 2" xfId="24639" xr:uid="{00000000-0005-0000-0000-00003D600000}"/>
    <cellStyle name="Normal 13 11 3" xfId="24640" xr:uid="{00000000-0005-0000-0000-00003E600000}"/>
    <cellStyle name="Normal 13 12" xfId="24641" xr:uid="{00000000-0005-0000-0000-00003F600000}"/>
    <cellStyle name="Normal 13 12 2" xfId="24642" xr:uid="{00000000-0005-0000-0000-000040600000}"/>
    <cellStyle name="Normal 13 12 2 2" xfId="24643" xr:uid="{00000000-0005-0000-0000-000041600000}"/>
    <cellStyle name="Normal 13 12 3" xfId="24644" xr:uid="{00000000-0005-0000-0000-000042600000}"/>
    <cellStyle name="Normal 13 13" xfId="24645" xr:uid="{00000000-0005-0000-0000-000043600000}"/>
    <cellStyle name="Normal 13 13 2" xfId="24646" xr:uid="{00000000-0005-0000-0000-000044600000}"/>
    <cellStyle name="Normal 13 14" xfId="24647" xr:uid="{00000000-0005-0000-0000-000045600000}"/>
    <cellStyle name="Normal 13 2" xfId="24648" xr:uid="{00000000-0005-0000-0000-000046600000}"/>
    <cellStyle name="Normal 13 2 2" xfId="24649" xr:uid="{00000000-0005-0000-0000-000047600000}"/>
    <cellStyle name="Normal 13 2 2 2" xfId="24650" xr:uid="{00000000-0005-0000-0000-000048600000}"/>
    <cellStyle name="Normal 13 2 2 2 2" xfId="24651" xr:uid="{00000000-0005-0000-0000-000049600000}"/>
    <cellStyle name="Normal 13 2 2 2 2 2" xfId="24652" xr:uid="{00000000-0005-0000-0000-00004A600000}"/>
    <cellStyle name="Normal 13 2 2 2 3" xfId="24653" xr:uid="{00000000-0005-0000-0000-00004B600000}"/>
    <cellStyle name="Normal 13 2 2 3" xfId="24654" xr:uid="{00000000-0005-0000-0000-00004C600000}"/>
    <cellStyle name="Normal 13 2 2 3 2" xfId="24655" xr:uid="{00000000-0005-0000-0000-00004D600000}"/>
    <cellStyle name="Normal 13 2 2 4" xfId="24656" xr:uid="{00000000-0005-0000-0000-00004E600000}"/>
    <cellStyle name="Normal 13 2 3" xfId="24657" xr:uid="{00000000-0005-0000-0000-00004F600000}"/>
    <cellStyle name="Normal 13 2 3 2" xfId="24658" xr:uid="{00000000-0005-0000-0000-000050600000}"/>
    <cellStyle name="Normal 13 2 3 2 2" xfId="24659" xr:uid="{00000000-0005-0000-0000-000051600000}"/>
    <cellStyle name="Normal 13 2 3 3" xfId="24660" xr:uid="{00000000-0005-0000-0000-000052600000}"/>
    <cellStyle name="Normal 13 2 4" xfId="24661" xr:uid="{00000000-0005-0000-0000-000053600000}"/>
    <cellStyle name="Normal 13 2 4 2" xfId="24662" xr:uid="{00000000-0005-0000-0000-000054600000}"/>
    <cellStyle name="Normal 13 2 4 2 2" xfId="24663" xr:uid="{00000000-0005-0000-0000-000055600000}"/>
    <cellStyle name="Normal 13 2 4 3" xfId="24664" xr:uid="{00000000-0005-0000-0000-000056600000}"/>
    <cellStyle name="Normal 13 2 5" xfId="24665" xr:uid="{00000000-0005-0000-0000-000057600000}"/>
    <cellStyle name="Normal 13 2 5 2" xfId="24666" xr:uid="{00000000-0005-0000-0000-000058600000}"/>
    <cellStyle name="Normal 13 2 5 2 2" xfId="24667" xr:uid="{00000000-0005-0000-0000-000059600000}"/>
    <cellStyle name="Normal 13 2 5 3" xfId="24668" xr:uid="{00000000-0005-0000-0000-00005A600000}"/>
    <cellStyle name="Normal 13 2 6" xfId="24669" xr:uid="{00000000-0005-0000-0000-00005B600000}"/>
    <cellStyle name="Normal 13 2 6 2" xfId="24670" xr:uid="{00000000-0005-0000-0000-00005C600000}"/>
    <cellStyle name="Normal 13 2 6 2 2" xfId="24671" xr:uid="{00000000-0005-0000-0000-00005D600000}"/>
    <cellStyle name="Normal 13 2 6 3" xfId="24672" xr:uid="{00000000-0005-0000-0000-00005E600000}"/>
    <cellStyle name="Normal 13 2 7" xfId="24673" xr:uid="{00000000-0005-0000-0000-00005F600000}"/>
    <cellStyle name="Normal 13 2 7 2" xfId="24674" xr:uid="{00000000-0005-0000-0000-000060600000}"/>
    <cellStyle name="Normal 13 2 8" xfId="24675" xr:uid="{00000000-0005-0000-0000-000061600000}"/>
    <cellStyle name="Normal 13 3" xfId="24676" xr:uid="{00000000-0005-0000-0000-000062600000}"/>
    <cellStyle name="Normal 13 3 2" xfId="24677" xr:uid="{00000000-0005-0000-0000-000063600000}"/>
    <cellStyle name="Normal 13 3 2 2" xfId="24678" xr:uid="{00000000-0005-0000-0000-000064600000}"/>
    <cellStyle name="Normal 13 3 2 2 2" xfId="24679" xr:uid="{00000000-0005-0000-0000-000065600000}"/>
    <cellStyle name="Normal 13 3 2 2 2 2" xfId="24680" xr:uid="{00000000-0005-0000-0000-000066600000}"/>
    <cellStyle name="Normal 13 3 2 2 3" xfId="24681" xr:uid="{00000000-0005-0000-0000-000067600000}"/>
    <cellStyle name="Normal 13 3 2 3" xfId="24682" xr:uid="{00000000-0005-0000-0000-000068600000}"/>
    <cellStyle name="Normal 13 3 2 3 2" xfId="24683" xr:uid="{00000000-0005-0000-0000-000069600000}"/>
    <cellStyle name="Normal 13 3 2 4" xfId="24684" xr:uid="{00000000-0005-0000-0000-00006A600000}"/>
    <cellStyle name="Normal 13 3 3" xfId="24685" xr:uid="{00000000-0005-0000-0000-00006B600000}"/>
    <cellStyle name="Normal 13 3 3 2" xfId="24686" xr:uid="{00000000-0005-0000-0000-00006C600000}"/>
    <cellStyle name="Normal 13 3 3 2 2" xfId="24687" xr:uid="{00000000-0005-0000-0000-00006D600000}"/>
    <cellStyle name="Normal 13 3 3 3" xfId="24688" xr:uid="{00000000-0005-0000-0000-00006E600000}"/>
    <cellStyle name="Normal 13 3 4" xfId="24689" xr:uid="{00000000-0005-0000-0000-00006F600000}"/>
    <cellStyle name="Normal 13 3 4 2" xfId="24690" xr:uid="{00000000-0005-0000-0000-000070600000}"/>
    <cellStyle name="Normal 13 3 4 2 2" xfId="24691" xr:uid="{00000000-0005-0000-0000-000071600000}"/>
    <cellStyle name="Normal 13 3 4 3" xfId="24692" xr:uid="{00000000-0005-0000-0000-000072600000}"/>
    <cellStyle name="Normal 13 3 5" xfId="24693" xr:uid="{00000000-0005-0000-0000-000073600000}"/>
    <cellStyle name="Normal 13 3 5 2" xfId="24694" xr:uid="{00000000-0005-0000-0000-000074600000}"/>
    <cellStyle name="Normal 13 3 5 2 2" xfId="24695" xr:uid="{00000000-0005-0000-0000-000075600000}"/>
    <cellStyle name="Normal 13 3 5 3" xfId="24696" xr:uid="{00000000-0005-0000-0000-000076600000}"/>
    <cellStyle name="Normal 13 3 6" xfId="24697" xr:uid="{00000000-0005-0000-0000-000077600000}"/>
    <cellStyle name="Normal 13 3 6 2" xfId="24698" xr:uid="{00000000-0005-0000-0000-000078600000}"/>
    <cellStyle name="Normal 13 3 6 2 2" xfId="24699" xr:uid="{00000000-0005-0000-0000-000079600000}"/>
    <cellStyle name="Normal 13 3 6 3" xfId="24700" xr:uid="{00000000-0005-0000-0000-00007A600000}"/>
    <cellStyle name="Normal 13 3 7" xfId="24701" xr:uid="{00000000-0005-0000-0000-00007B600000}"/>
    <cellStyle name="Normal 13 3 7 2" xfId="24702" xr:uid="{00000000-0005-0000-0000-00007C600000}"/>
    <cellStyle name="Normal 13 3 8" xfId="24703" xr:uid="{00000000-0005-0000-0000-00007D600000}"/>
    <cellStyle name="Normal 13 4" xfId="24704" xr:uid="{00000000-0005-0000-0000-00007E600000}"/>
    <cellStyle name="Normal 13 4 2" xfId="24705" xr:uid="{00000000-0005-0000-0000-00007F600000}"/>
    <cellStyle name="Normal 13 4 2 2" xfId="24706" xr:uid="{00000000-0005-0000-0000-000080600000}"/>
    <cellStyle name="Normal 13 4 2 2 2" xfId="24707" xr:uid="{00000000-0005-0000-0000-000081600000}"/>
    <cellStyle name="Normal 13 4 2 2 2 2" xfId="24708" xr:uid="{00000000-0005-0000-0000-000082600000}"/>
    <cellStyle name="Normal 13 4 2 2 3" xfId="24709" xr:uid="{00000000-0005-0000-0000-000083600000}"/>
    <cellStyle name="Normal 13 4 2 3" xfId="24710" xr:uid="{00000000-0005-0000-0000-000084600000}"/>
    <cellStyle name="Normal 13 4 2 3 2" xfId="24711" xr:uid="{00000000-0005-0000-0000-000085600000}"/>
    <cellStyle name="Normal 13 4 2 4" xfId="24712" xr:uid="{00000000-0005-0000-0000-000086600000}"/>
    <cellStyle name="Normal 13 4 3" xfId="24713" xr:uid="{00000000-0005-0000-0000-000087600000}"/>
    <cellStyle name="Normal 13 4 3 2" xfId="24714" xr:uid="{00000000-0005-0000-0000-000088600000}"/>
    <cellStyle name="Normal 13 4 3 2 2" xfId="24715" xr:uid="{00000000-0005-0000-0000-000089600000}"/>
    <cellStyle name="Normal 13 4 3 3" xfId="24716" xr:uid="{00000000-0005-0000-0000-00008A600000}"/>
    <cellStyle name="Normal 13 4 4" xfId="24717" xr:uid="{00000000-0005-0000-0000-00008B600000}"/>
    <cellStyle name="Normal 13 4 4 2" xfId="24718" xr:uid="{00000000-0005-0000-0000-00008C600000}"/>
    <cellStyle name="Normal 13 4 4 2 2" xfId="24719" xr:uid="{00000000-0005-0000-0000-00008D600000}"/>
    <cellStyle name="Normal 13 4 4 3" xfId="24720" xr:uid="{00000000-0005-0000-0000-00008E600000}"/>
    <cellStyle name="Normal 13 4 5" xfId="24721" xr:uid="{00000000-0005-0000-0000-00008F600000}"/>
    <cellStyle name="Normal 13 4 5 2" xfId="24722" xr:uid="{00000000-0005-0000-0000-000090600000}"/>
    <cellStyle name="Normal 13 4 5 2 2" xfId="24723" xr:uid="{00000000-0005-0000-0000-000091600000}"/>
    <cellStyle name="Normal 13 4 5 3" xfId="24724" xr:uid="{00000000-0005-0000-0000-000092600000}"/>
    <cellStyle name="Normal 13 4 6" xfId="24725" xr:uid="{00000000-0005-0000-0000-000093600000}"/>
    <cellStyle name="Normal 13 4 6 2" xfId="24726" xr:uid="{00000000-0005-0000-0000-000094600000}"/>
    <cellStyle name="Normal 13 4 6 2 2" xfId="24727" xr:uid="{00000000-0005-0000-0000-000095600000}"/>
    <cellStyle name="Normal 13 4 6 3" xfId="24728" xr:uid="{00000000-0005-0000-0000-000096600000}"/>
    <cellStyle name="Normal 13 4 7" xfId="24729" xr:uid="{00000000-0005-0000-0000-000097600000}"/>
    <cellStyle name="Normal 13 4 7 2" xfId="24730" xr:uid="{00000000-0005-0000-0000-000098600000}"/>
    <cellStyle name="Normal 13 4 8" xfId="24731" xr:uid="{00000000-0005-0000-0000-000099600000}"/>
    <cellStyle name="Normal 13 5" xfId="24732" xr:uid="{00000000-0005-0000-0000-00009A600000}"/>
    <cellStyle name="Normal 13 5 2" xfId="24733" xr:uid="{00000000-0005-0000-0000-00009B600000}"/>
    <cellStyle name="Normal 13 5 2 2" xfId="24734" xr:uid="{00000000-0005-0000-0000-00009C600000}"/>
    <cellStyle name="Normal 13 5 2 2 2" xfId="24735" xr:uid="{00000000-0005-0000-0000-00009D600000}"/>
    <cellStyle name="Normal 13 5 2 2 2 2" xfId="24736" xr:uid="{00000000-0005-0000-0000-00009E600000}"/>
    <cellStyle name="Normal 13 5 2 2 3" xfId="24737" xr:uid="{00000000-0005-0000-0000-00009F600000}"/>
    <cellStyle name="Normal 13 5 2 3" xfId="24738" xr:uid="{00000000-0005-0000-0000-0000A0600000}"/>
    <cellStyle name="Normal 13 5 2 3 2" xfId="24739" xr:uid="{00000000-0005-0000-0000-0000A1600000}"/>
    <cellStyle name="Normal 13 5 2 4" xfId="24740" xr:uid="{00000000-0005-0000-0000-0000A2600000}"/>
    <cellStyle name="Normal 13 5 3" xfId="24741" xr:uid="{00000000-0005-0000-0000-0000A3600000}"/>
    <cellStyle name="Normal 13 5 3 2" xfId="24742" xr:uid="{00000000-0005-0000-0000-0000A4600000}"/>
    <cellStyle name="Normal 13 5 3 2 2" xfId="24743" xr:uid="{00000000-0005-0000-0000-0000A5600000}"/>
    <cellStyle name="Normal 13 5 3 3" xfId="24744" xr:uid="{00000000-0005-0000-0000-0000A6600000}"/>
    <cellStyle name="Normal 13 5 4" xfId="24745" xr:uid="{00000000-0005-0000-0000-0000A7600000}"/>
    <cellStyle name="Normal 13 5 4 2" xfId="24746" xr:uid="{00000000-0005-0000-0000-0000A8600000}"/>
    <cellStyle name="Normal 13 5 5" xfId="24747" xr:uid="{00000000-0005-0000-0000-0000A9600000}"/>
    <cellStyle name="Normal 13 6" xfId="24748" xr:uid="{00000000-0005-0000-0000-0000AA600000}"/>
    <cellStyle name="Normal 13 6 2" xfId="24749" xr:uid="{00000000-0005-0000-0000-0000AB600000}"/>
    <cellStyle name="Normal 13 6 2 2" xfId="24750" xr:uid="{00000000-0005-0000-0000-0000AC600000}"/>
    <cellStyle name="Normal 13 6 2 2 2" xfId="24751" xr:uid="{00000000-0005-0000-0000-0000AD600000}"/>
    <cellStyle name="Normal 13 6 2 2 2 2" xfId="24752" xr:uid="{00000000-0005-0000-0000-0000AE600000}"/>
    <cellStyle name="Normal 13 6 2 2 3" xfId="24753" xr:uid="{00000000-0005-0000-0000-0000AF600000}"/>
    <cellStyle name="Normal 13 6 2 3" xfId="24754" xr:uid="{00000000-0005-0000-0000-0000B0600000}"/>
    <cellStyle name="Normal 13 6 2 3 2" xfId="24755" xr:uid="{00000000-0005-0000-0000-0000B1600000}"/>
    <cellStyle name="Normal 13 6 2 4" xfId="24756" xr:uid="{00000000-0005-0000-0000-0000B2600000}"/>
    <cellStyle name="Normal 13 6 3" xfId="24757" xr:uid="{00000000-0005-0000-0000-0000B3600000}"/>
    <cellStyle name="Normal 13 6 3 2" xfId="24758" xr:uid="{00000000-0005-0000-0000-0000B4600000}"/>
    <cellStyle name="Normal 13 6 3 2 2" xfId="24759" xr:uid="{00000000-0005-0000-0000-0000B5600000}"/>
    <cellStyle name="Normal 13 6 3 3" xfId="24760" xr:uid="{00000000-0005-0000-0000-0000B6600000}"/>
    <cellStyle name="Normal 13 6 4" xfId="24761" xr:uid="{00000000-0005-0000-0000-0000B7600000}"/>
    <cellStyle name="Normal 13 6 4 2" xfId="24762" xr:uid="{00000000-0005-0000-0000-0000B8600000}"/>
    <cellStyle name="Normal 13 6 5" xfId="24763" xr:uid="{00000000-0005-0000-0000-0000B9600000}"/>
    <cellStyle name="Normal 13 7" xfId="24764" xr:uid="{00000000-0005-0000-0000-0000BA600000}"/>
    <cellStyle name="Normal 13 7 2" xfId="24765" xr:uid="{00000000-0005-0000-0000-0000BB600000}"/>
    <cellStyle name="Normal 13 7 2 2" xfId="24766" xr:uid="{00000000-0005-0000-0000-0000BC600000}"/>
    <cellStyle name="Normal 13 7 2 2 2" xfId="24767" xr:uid="{00000000-0005-0000-0000-0000BD600000}"/>
    <cellStyle name="Normal 13 7 2 3" xfId="24768" xr:uid="{00000000-0005-0000-0000-0000BE600000}"/>
    <cellStyle name="Normal 13 7 3" xfId="24769" xr:uid="{00000000-0005-0000-0000-0000BF600000}"/>
    <cellStyle name="Normal 13 7 3 2" xfId="24770" xr:uid="{00000000-0005-0000-0000-0000C0600000}"/>
    <cellStyle name="Normal 13 7 4" xfId="24771" xr:uid="{00000000-0005-0000-0000-0000C1600000}"/>
    <cellStyle name="Normal 13 8" xfId="24772" xr:uid="{00000000-0005-0000-0000-0000C2600000}"/>
    <cellStyle name="Normal 13 8 2" xfId="24773" xr:uid="{00000000-0005-0000-0000-0000C3600000}"/>
    <cellStyle name="Normal 13 8 2 2" xfId="24774" xr:uid="{00000000-0005-0000-0000-0000C4600000}"/>
    <cellStyle name="Normal 13 8 2 2 2" xfId="24775" xr:uid="{00000000-0005-0000-0000-0000C5600000}"/>
    <cellStyle name="Normal 13 8 2 3" xfId="24776" xr:uid="{00000000-0005-0000-0000-0000C6600000}"/>
    <cellStyle name="Normal 13 8 3" xfId="24777" xr:uid="{00000000-0005-0000-0000-0000C7600000}"/>
    <cellStyle name="Normal 13 8 3 2" xfId="24778" xr:uid="{00000000-0005-0000-0000-0000C8600000}"/>
    <cellStyle name="Normal 13 8 4" xfId="24779" xr:uid="{00000000-0005-0000-0000-0000C9600000}"/>
    <cellStyle name="Normal 13 9" xfId="24780" xr:uid="{00000000-0005-0000-0000-0000CA600000}"/>
    <cellStyle name="Normal 13 9 2" xfId="24781" xr:uid="{00000000-0005-0000-0000-0000CB600000}"/>
    <cellStyle name="Normal 13 9 2 2" xfId="24782" xr:uid="{00000000-0005-0000-0000-0000CC600000}"/>
    <cellStyle name="Normal 13 9 3" xfId="24783" xr:uid="{00000000-0005-0000-0000-0000CD600000}"/>
    <cellStyle name="Normal 14" xfId="24784" xr:uid="{00000000-0005-0000-0000-0000CE600000}"/>
    <cellStyle name="Normal 14 2" xfId="24785" xr:uid="{00000000-0005-0000-0000-0000CF600000}"/>
    <cellStyle name="Normal 15" xfId="24786" xr:uid="{00000000-0005-0000-0000-0000D0600000}"/>
    <cellStyle name="Normal 16" xfId="24787" xr:uid="{00000000-0005-0000-0000-0000D1600000}"/>
    <cellStyle name="Normal 17" xfId="24788" xr:uid="{00000000-0005-0000-0000-0000D2600000}"/>
    <cellStyle name="Normal 18" xfId="24789" xr:uid="{00000000-0005-0000-0000-0000D3600000}"/>
    <cellStyle name="Normal 18 2" xfId="24790" xr:uid="{00000000-0005-0000-0000-0000D4600000}"/>
    <cellStyle name="Normal 19" xfId="24791" xr:uid="{00000000-0005-0000-0000-0000D5600000}"/>
    <cellStyle name="Normal 2" xfId="1" xr:uid="{00000000-0005-0000-0000-0000D6600000}"/>
    <cellStyle name="Normal 2 10" xfId="24792" xr:uid="{00000000-0005-0000-0000-0000D7600000}"/>
    <cellStyle name="Normal 2 2" xfId="24793" xr:uid="{00000000-0005-0000-0000-0000D8600000}"/>
    <cellStyle name="Normal 2 2 10" xfId="24794" xr:uid="{00000000-0005-0000-0000-0000D9600000}"/>
    <cellStyle name="Normal 2 2 10 10" xfId="24795" xr:uid="{00000000-0005-0000-0000-0000DA600000}"/>
    <cellStyle name="Normal 2 2 10 10 2" xfId="24796" xr:uid="{00000000-0005-0000-0000-0000DB600000}"/>
    <cellStyle name="Normal 2 2 10 10 2 2" xfId="24797" xr:uid="{00000000-0005-0000-0000-0000DC600000}"/>
    <cellStyle name="Normal 2 2 10 10 3" xfId="24798" xr:uid="{00000000-0005-0000-0000-0000DD600000}"/>
    <cellStyle name="Normal 2 2 10 11" xfId="24799" xr:uid="{00000000-0005-0000-0000-0000DE600000}"/>
    <cellStyle name="Normal 2 2 10 11 2" xfId="24800" xr:uid="{00000000-0005-0000-0000-0000DF600000}"/>
    <cellStyle name="Normal 2 2 10 11 2 2" xfId="24801" xr:uid="{00000000-0005-0000-0000-0000E0600000}"/>
    <cellStyle name="Normal 2 2 10 11 3" xfId="24802" xr:uid="{00000000-0005-0000-0000-0000E1600000}"/>
    <cellStyle name="Normal 2 2 10 12" xfId="24803" xr:uid="{00000000-0005-0000-0000-0000E2600000}"/>
    <cellStyle name="Normal 2 2 10 12 2" xfId="24804" xr:uid="{00000000-0005-0000-0000-0000E3600000}"/>
    <cellStyle name="Normal 2 2 10 12 2 2" xfId="24805" xr:uid="{00000000-0005-0000-0000-0000E4600000}"/>
    <cellStyle name="Normal 2 2 10 12 3" xfId="24806" xr:uid="{00000000-0005-0000-0000-0000E5600000}"/>
    <cellStyle name="Normal 2 2 10 13" xfId="24807" xr:uid="{00000000-0005-0000-0000-0000E6600000}"/>
    <cellStyle name="Normal 2 2 10 13 2" xfId="24808" xr:uid="{00000000-0005-0000-0000-0000E7600000}"/>
    <cellStyle name="Normal 2 2 10 14" xfId="24809" xr:uid="{00000000-0005-0000-0000-0000E8600000}"/>
    <cellStyle name="Normal 2 2 10 2" xfId="24810" xr:uid="{00000000-0005-0000-0000-0000E9600000}"/>
    <cellStyle name="Normal 2 2 10 2 2" xfId="24811" xr:uid="{00000000-0005-0000-0000-0000EA600000}"/>
    <cellStyle name="Normal 2 2 10 2 2 2" xfId="24812" xr:uid="{00000000-0005-0000-0000-0000EB600000}"/>
    <cellStyle name="Normal 2 2 10 2 2 2 2" xfId="24813" xr:uid="{00000000-0005-0000-0000-0000EC600000}"/>
    <cellStyle name="Normal 2 2 10 2 2 2 2 2" xfId="24814" xr:uid="{00000000-0005-0000-0000-0000ED600000}"/>
    <cellStyle name="Normal 2 2 10 2 2 2 3" xfId="24815" xr:uid="{00000000-0005-0000-0000-0000EE600000}"/>
    <cellStyle name="Normal 2 2 10 2 2 3" xfId="24816" xr:uid="{00000000-0005-0000-0000-0000EF600000}"/>
    <cellStyle name="Normal 2 2 10 2 2 3 2" xfId="24817" xr:uid="{00000000-0005-0000-0000-0000F0600000}"/>
    <cellStyle name="Normal 2 2 10 2 2 4" xfId="24818" xr:uid="{00000000-0005-0000-0000-0000F1600000}"/>
    <cellStyle name="Normal 2 2 10 2 3" xfId="24819" xr:uid="{00000000-0005-0000-0000-0000F2600000}"/>
    <cellStyle name="Normal 2 2 10 2 3 2" xfId="24820" xr:uid="{00000000-0005-0000-0000-0000F3600000}"/>
    <cellStyle name="Normal 2 2 10 2 3 2 2" xfId="24821" xr:uid="{00000000-0005-0000-0000-0000F4600000}"/>
    <cellStyle name="Normal 2 2 10 2 3 3" xfId="24822" xr:uid="{00000000-0005-0000-0000-0000F5600000}"/>
    <cellStyle name="Normal 2 2 10 2 4" xfId="24823" xr:uid="{00000000-0005-0000-0000-0000F6600000}"/>
    <cellStyle name="Normal 2 2 10 2 4 2" xfId="24824" xr:uid="{00000000-0005-0000-0000-0000F7600000}"/>
    <cellStyle name="Normal 2 2 10 2 4 2 2" xfId="24825" xr:uid="{00000000-0005-0000-0000-0000F8600000}"/>
    <cellStyle name="Normal 2 2 10 2 4 3" xfId="24826" xr:uid="{00000000-0005-0000-0000-0000F9600000}"/>
    <cellStyle name="Normal 2 2 10 2 5" xfId="24827" xr:uid="{00000000-0005-0000-0000-0000FA600000}"/>
    <cellStyle name="Normal 2 2 10 2 5 2" xfId="24828" xr:uid="{00000000-0005-0000-0000-0000FB600000}"/>
    <cellStyle name="Normal 2 2 10 2 5 2 2" xfId="24829" xr:uid="{00000000-0005-0000-0000-0000FC600000}"/>
    <cellStyle name="Normal 2 2 10 2 5 3" xfId="24830" xr:uid="{00000000-0005-0000-0000-0000FD600000}"/>
    <cellStyle name="Normal 2 2 10 2 6" xfId="24831" xr:uid="{00000000-0005-0000-0000-0000FE600000}"/>
    <cellStyle name="Normal 2 2 10 2 6 2" xfId="24832" xr:uid="{00000000-0005-0000-0000-0000FF600000}"/>
    <cellStyle name="Normal 2 2 10 2 6 2 2" xfId="24833" xr:uid="{00000000-0005-0000-0000-000000610000}"/>
    <cellStyle name="Normal 2 2 10 2 6 3" xfId="24834" xr:uid="{00000000-0005-0000-0000-000001610000}"/>
    <cellStyle name="Normal 2 2 10 2 7" xfId="24835" xr:uid="{00000000-0005-0000-0000-000002610000}"/>
    <cellStyle name="Normal 2 2 10 2 7 2" xfId="24836" xr:uid="{00000000-0005-0000-0000-000003610000}"/>
    <cellStyle name="Normal 2 2 10 2 8" xfId="24837" xr:uid="{00000000-0005-0000-0000-000004610000}"/>
    <cellStyle name="Normal 2 2 10 3" xfId="24838" xr:uid="{00000000-0005-0000-0000-000005610000}"/>
    <cellStyle name="Normal 2 2 10 3 2" xfId="24839" xr:uid="{00000000-0005-0000-0000-000006610000}"/>
    <cellStyle name="Normal 2 2 10 3 2 2" xfId="24840" xr:uid="{00000000-0005-0000-0000-000007610000}"/>
    <cellStyle name="Normal 2 2 10 3 2 2 2" xfId="24841" xr:uid="{00000000-0005-0000-0000-000008610000}"/>
    <cellStyle name="Normal 2 2 10 3 2 2 2 2" xfId="24842" xr:uid="{00000000-0005-0000-0000-000009610000}"/>
    <cellStyle name="Normal 2 2 10 3 2 2 3" xfId="24843" xr:uid="{00000000-0005-0000-0000-00000A610000}"/>
    <cellStyle name="Normal 2 2 10 3 2 3" xfId="24844" xr:uid="{00000000-0005-0000-0000-00000B610000}"/>
    <cellStyle name="Normal 2 2 10 3 2 3 2" xfId="24845" xr:uid="{00000000-0005-0000-0000-00000C610000}"/>
    <cellStyle name="Normal 2 2 10 3 2 4" xfId="24846" xr:uid="{00000000-0005-0000-0000-00000D610000}"/>
    <cellStyle name="Normal 2 2 10 3 3" xfId="24847" xr:uid="{00000000-0005-0000-0000-00000E610000}"/>
    <cellStyle name="Normal 2 2 10 3 3 2" xfId="24848" xr:uid="{00000000-0005-0000-0000-00000F610000}"/>
    <cellStyle name="Normal 2 2 10 3 3 2 2" xfId="24849" xr:uid="{00000000-0005-0000-0000-000010610000}"/>
    <cellStyle name="Normal 2 2 10 3 3 3" xfId="24850" xr:uid="{00000000-0005-0000-0000-000011610000}"/>
    <cellStyle name="Normal 2 2 10 3 4" xfId="24851" xr:uid="{00000000-0005-0000-0000-000012610000}"/>
    <cellStyle name="Normal 2 2 10 3 4 2" xfId="24852" xr:uid="{00000000-0005-0000-0000-000013610000}"/>
    <cellStyle name="Normal 2 2 10 3 4 2 2" xfId="24853" xr:uid="{00000000-0005-0000-0000-000014610000}"/>
    <cellStyle name="Normal 2 2 10 3 4 3" xfId="24854" xr:uid="{00000000-0005-0000-0000-000015610000}"/>
    <cellStyle name="Normal 2 2 10 3 5" xfId="24855" xr:uid="{00000000-0005-0000-0000-000016610000}"/>
    <cellStyle name="Normal 2 2 10 3 5 2" xfId="24856" xr:uid="{00000000-0005-0000-0000-000017610000}"/>
    <cellStyle name="Normal 2 2 10 3 5 2 2" xfId="24857" xr:uid="{00000000-0005-0000-0000-000018610000}"/>
    <cellStyle name="Normal 2 2 10 3 5 3" xfId="24858" xr:uid="{00000000-0005-0000-0000-000019610000}"/>
    <cellStyle name="Normal 2 2 10 3 6" xfId="24859" xr:uid="{00000000-0005-0000-0000-00001A610000}"/>
    <cellStyle name="Normal 2 2 10 3 6 2" xfId="24860" xr:uid="{00000000-0005-0000-0000-00001B610000}"/>
    <cellStyle name="Normal 2 2 10 3 6 2 2" xfId="24861" xr:uid="{00000000-0005-0000-0000-00001C610000}"/>
    <cellStyle name="Normal 2 2 10 3 6 3" xfId="24862" xr:uid="{00000000-0005-0000-0000-00001D610000}"/>
    <cellStyle name="Normal 2 2 10 3 7" xfId="24863" xr:uid="{00000000-0005-0000-0000-00001E610000}"/>
    <cellStyle name="Normal 2 2 10 3 7 2" xfId="24864" xr:uid="{00000000-0005-0000-0000-00001F610000}"/>
    <cellStyle name="Normal 2 2 10 3 8" xfId="24865" xr:uid="{00000000-0005-0000-0000-000020610000}"/>
    <cellStyle name="Normal 2 2 10 4" xfId="24866" xr:uid="{00000000-0005-0000-0000-000021610000}"/>
    <cellStyle name="Normal 2 2 10 4 2" xfId="24867" xr:uid="{00000000-0005-0000-0000-000022610000}"/>
    <cellStyle name="Normal 2 2 10 4 2 2" xfId="24868" xr:uid="{00000000-0005-0000-0000-000023610000}"/>
    <cellStyle name="Normal 2 2 10 4 2 2 2" xfId="24869" xr:uid="{00000000-0005-0000-0000-000024610000}"/>
    <cellStyle name="Normal 2 2 10 4 2 2 2 2" xfId="24870" xr:uid="{00000000-0005-0000-0000-000025610000}"/>
    <cellStyle name="Normal 2 2 10 4 2 2 3" xfId="24871" xr:uid="{00000000-0005-0000-0000-000026610000}"/>
    <cellStyle name="Normal 2 2 10 4 2 3" xfId="24872" xr:uid="{00000000-0005-0000-0000-000027610000}"/>
    <cellStyle name="Normal 2 2 10 4 2 3 2" xfId="24873" xr:uid="{00000000-0005-0000-0000-000028610000}"/>
    <cellStyle name="Normal 2 2 10 4 2 4" xfId="24874" xr:uid="{00000000-0005-0000-0000-000029610000}"/>
    <cellStyle name="Normal 2 2 10 4 3" xfId="24875" xr:uid="{00000000-0005-0000-0000-00002A610000}"/>
    <cellStyle name="Normal 2 2 10 4 3 2" xfId="24876" xr:uid="{00000000-0005-0000-0000-00002B610000}"/>
    <cellStyle name="Normal 2 2 10 4 3 2 2" xfId="24877" xr:uid="{00000000-0005-0000-0000-00002C610000}"/>
    <cellStyle name="Normal 2 2 10 4 3 3" xfId="24878" xr:uid="{00000000-0005-0000-0000-00002D610000}"/>
    <cellStyle name="Normal 2 2 10 4 4" xfId="24879" xr:uid="{00000000-0005-0000-0000-00002E610000}"/>
    <cellStyle name="Normal 2 2 10 4 4 2" xfId="24880" xr:uid="{00000000-0005-0000-0000-00002F610000}"/>
    <cellStyle name="Normal 2 2 10 4 4 2 2" xfId="24881" xr:uid="{00000000-0005-0000-0000-000030610000}"/>
    <cellStyle name="Normal 2 2 10 4 4 3" xfId="24882" xr:uid="{00000000-0005-0000-0000-000031610000}"/>
    <cellStyle name="Normal 2 2 10 4 5" xfId="24883" xr:uid="{00000000-0005-0000-0000-000032610000}"/>
    <cellStyle name="Normal 2 2 10 4 5 2" xfId="24884" xr:uid="{00000000-0005-0000-0000-000033610000}"/>
    <cellStyle name="Normal 2 2 10 4 5 2 2" xfId="24885" xr:uid="{00000000-0005-0000-0000-000034610000}"/>
    <cellStyle name="Normal 2 2 10 4 5 3" xfId="24886" xr:uid="{00000000-0005-0000-0000-000035610000}"/>
    <cellStyle name="Normal 2 2 10 4 6" xfId="24887" xr:uid="{00000000-0005-0000-0000-000036610000}"/>
    <cellStyle name="Normal 2 2 10 4 6 2" xfId="24888" xr:uid="{00000000-0005-0000-0000-000037610000}"/>
    <cellStyle name="Normal 2 2 10 4 6 2 2" xfId="24889" xr:uid="{00000000-0005-0000-0000-000038610000}"/>
    <cellStyle name="Normal 2 2 10 4 6 3" xfId="24890" xr:uid="{00000000-0005-0000-0000-000039610000}"/>
    <cellStyle name="Normal 2 2 10 4 7" xfId="24891" xr:uid="{00000000-0005-0000-0000-00003A610000}"/>
    <cellStyle name="Normal 2 2 10 4 7 2" xfId="24892" xr:uid="{00000000-0005-0000-0000-00003B610000}"/>
    <cellStyle name="Normal 2 2 10 4 8" xfId="24893" xr:uid="{00000000-0005-0000-0000-00003C610000}"/>
    <cellStyle name="Normal 2 2 10 5" xfId="24894" xr:uid="{00000000-0005-0000-0000-00003D610000}"/>
    <cellStyle name="Normal 2 2 10 5 2" xfId="24895" xr:uid="{00000000-0005-0000-0000-00003E610000}"/>
    <cellStyle name="Normal 2 2 10 5 2 2" xfId="24896" xr:uid="{00000000-0005-0000-0000-00003F610000}"/>
    <cellStyle name="Normal 2 2 10 5 2 2 2" xfId="24897" xr:uid="{00000000-0005-0000-0000-000040610000}"/>
    <cellStyle name="Normal 2 2 10 5 2 2 2 2" xfId="24898" xr:uid="{00000000-0005-0000-0000-000041610000}"/>
    <cellStyle name="Normal 2 2 10 5 2 2 3" xfId="24899" xr:uid="{00000000-0005-0000-0000-000042610000}"/>
    <cellStyle name="Normal 2 2 10 5 2 3" xfId="24900" xr:uid="{00000000-0005-0000-0000-000043610000}"/>
    <cellStyle name="Normal 2 2 10 5 2 3 2" xfId="24901" xr:uid="{00000000-0005-0000-0000-000044610000}"/>
    <cellStyle name="Normal 2 2 10 5 2 4" xfId="24902" xr:uid="{00000000-0005-0000-0000-000045610000}"/>
    <cellStyle name="Normal 2 2 10 5 3" xfId="24903" xr:uid="{00000000-0005-0000-0000-000046610000}"/>
    <cellStyle name="Normal 2 2 10 5 3 2" xfId="24904" xr:uid="{00000000-0005-0000-0000-000047610000}"/>
    <cellStyle name="Normal 2 2 10 5 3 2 2" xfId="24905" xr:uid="{00000000-0005-0000-0000-000048610000}"/>
    <cellStyle name="Normal 2 2 10 5 3 3" xfId="24906" xr:uid="{00000000-0005-0000-0000-000049610000}"/>
    <cellStyle name="Normal 2 2 10 5 4" xfId="24907" xr:uid="{00000000-0005-0000-0000-00004A610000}"/>
    <cellStyle name="Normal 2 2 10 5 4 2" xfId="24908" xr:uid="{00000000-0005-0000-0000-00004B610000}"/>
    <cellStyle name="Normal 2 2 10 5 5" xfId="24909" xr:uid="{00000000-0005-0000-0000-00004C610000}"/>
    <cellStyle name="Normal 2 2 10 6" xfId="24910" xr:uid="{00000000-0005-0000-0000-00004D610000}"/>
    <cellStyle name="Normal 2 2 10 6 2" xfId="24911" xr:uid="{00000000-0005-0000-0000-00004E610000}"/>
    <cellStyle name="Normal 2 2 10 6 2 2" xfId="24912" xr:uid="{00000000-0005-0000-0000-00004F610000}"/>
    <cellStyle name="Normal 2 2 10 6 2 2 2" xfId="24913" xr:uid="{00000000-0005-0000-0000-000050610000}"/>
    <cellStyle name="Normal 2 2 10 6 2 2 2 2" xfId="24914" xr:uid="{00000000-0005-0000-0000-000051610000}"/>
    <cellStyle name="Normal 2 2 10 6 2 2 3" xfId="24915" xr:uid="{00000000-0005-0000-0000-000052610000}"/>
    <cellStyle name="Normal 2 2 10 6 2 3" xfId="24916" xr:uid="{00000000-0005-0000-0000-000053610000}"/>
    <cellStyle name="Normal 2 2 10 6 2 3 2" xfId="24917" xr:uid="{00000000-0005-0000-0000-000054610000}"/>
    <cellStyle name="Normal 2 2 10 6 2 4" xfId="24918" xr:uid="{00000000-0005-0000-0000-000055610000}"/>
    <cellStyle name="Normal 2 2 10 6 3" xfId="24919" xr:uid="{00000000-0005-0000-0000-000056610000}"/>
    <cellStyle name="Normal 2 2 10 6 3 2" xfId="24920" xr:uid="{00000000-0005-0000-0000-000057610000}"/>
    <cellStyle name="Normal 2 2 10 6 3 2 2" xfId="24921" xr:uid="{00000000-0005-0000-0000-000058610000}"/>
    <cellStyle name="Normal 2 2 10 6 3 3" xfId="24922" xr:uid="{00000000-0005-0000-0000-000059610000}"/>
    <cellStyle name="Normal 2 2 10 6 4" xfId="24923" xr:uid="{00000000-0005-0000-0000-00005A610000}"/>
    <cellStyle name="Normal 2 2 10 6 4 2" xfId="24924" xr:uid="{00000000-0005-0000-0000-00005B610000}"/>
    <cellStyle name="Normal 2 2 10 6 5" xfId="24925" xr:uid="{00000000-0005-0000-0000-00005C610000}"/>
    <cellStyle name="Normal 2 2 10 7" xfId="24926" xr:uid="{00000000-0005-0000-0000-00005D610000}"/>
    <cellStyle name="Normal 2 2 10 7 2" xfId="24927" xr:uid="{00000000-0005-0000-0000-00005E610000}"/>
    <cellStyle name="Normal 2 2 10 7 2 2" xfId="24928" xr:uid="{00000000-0005-0000-0000-00005F610000}"/>
    <cellStyle name="Normal 2 2 10 7 2 2 2" xfId="24929" xr:uid="{00000000-0005-0000-0000-000060610000}"/>
    <cellStyle name="Normal 2 2 10 7 2 3" xfId="24930" xr:uid="{00000000-0005-0000-0000-000061610000}"/>
    <cellStyle name="Normal 2 2 10 7 3" xfId="24931" xr:uid="{00000000-0005-0000-0000-000062610000}"/>
    <cellStyle name="Normal 2 2 10 7 3 2" xfId="24932" xr:uid="{00000000-0005-0000-0000-000063610000}"/>
    <cellStyle name="Normal 2 2 10 7 4" xfId="24933" xr:uid="{00000000-0005-0000-0000-000064610000}"/>
    <cellStyle name="Normal 2 2 10 8" xfId="24934" xr:uid="{00000000-0005-0000-0000-000065610000}"/>
    <cellStyle name="Normal 2 2 10 8 2" xfId="24935" xr:uid="{00000000-0005-0000-0000-000066610000}"/>
    <cellStyle name="Normal 2 2 10 8 2 2" xfId="24936" xr:uid="{00000000-0005-0000-0000-000067610000}"/>
    <cellStyle name="Normal 2 2 10 8 2 2 2" xfId="24937" xr:uid="{00000000-0005-0000-0000-000068610000}"/>
    <cellStyle name="Normal 2 2 10 8 2 3" xfId="24938" xr:uid="{00000000-0005-0000-0000-000069610000}"/>
    <cellStyle name="Normal 2 2 10 8 3" xfId="24939" xr:uid="{00000000-0005-0000-0000-00006A610000}"/>
    <cellStyle name="Normal 2 2 10 8 3 2" xfId="24940" xr:uid="{00000000-0005-0000-0000-00006B610000}"/>
    <cellStyle name="Normal 2 2 10 8 4" xfId="24941" xr:uid="{00000000-0005-0000-0000-00006C610000}"/>
    <cellStyle name="Normal 2 2 10 9" xfId="24942" xr:uid="{00000000-0005-0000-0000-00006D610000}"/>
    <cellStyle name="Normal 2 2 10 9 2" xfId="24943" xr:uid="{00000000-0005-0000-0000-00006E610000}"/>
    <cellStyle name="Normal 2 2 10 9 2 2" xfId="24944" xr:uid="{00000000-0005-0000-0000-00006F610000}"/>
    <cellStyle name="Normal 2 2 10 9 3" xfId="24945" xr:uid="{00000000-0005-0000-0000-000070610000}"/>
    <cellStyle name="Normal 2 2 11" xfId="24946" xr:uid="{00000000-0005-0000-0000-000071610000}"/>
    <cellStyle name="Normal 2 2 11 10" xfId="24947" xr:uid="{00000000-0005-0000-0000-000072610000}"/>
    <cellStyle name="Normal 2 2 11 10 2" xfId="24948" xr:uid="{00000000-0005-0000-0000-000073610000}"/>
    <cellStyle name="Normal 2 2 11 10 2 2" xfId="24949" xr:uid="{00000000-0005-0000-0000-000074610000}"/>
    <cellStyle name="Normal 2 2 11 10 3" xfId="24950" xr:uid="{00000000-0005-0000-0000-000075610000}"/>
    <cellStyle name="Normal 2 2 11 11" xfId="24951" xr:uid="{00000000-0005-0000-0000-000076610000}"/>
    <cellStyle name="Normal 2 2 11 11 2" xfId="24952" xr:uid="{00000000-0005-0000-0000-000077610000}"/>
    <cellStyle name="Normal 2 2 11 11 2 2" xfId="24953" xr:uid="{00000000-0005-0000-0000-000078610000}"/>
    <cellStyle name="Normal 2 2 11 11 3" xfId="24954" xr:uid="{00000000-0005-0000-0000-000079610000}"/>
    <cellStyle name="Normal 2 2 11 12" xfId="24955" xr:uid="{00000000-0005-0000-0000-00007A610000}"/>
    <cellStyle name="Normal 2 2 11 12 2" xfId="24956" xr:uid="{00000000-0005-0000-0000-00007B610000}"/>
    <cellStyle name="Normal 2 2 11 12 2 2" xfId="24957" xr:uid="{00000000-0005-0000-0000-00007C610000}"/>
    <cellStyle name="Normal 2 2 11 12 3" xfId="24958" xr:uid="{00000000-0005-0000-0000-00007D610000}"/>
    <cellStyle name="Normal 2 2 11 13" xfId="24959" xr:uid="{00000000-0005-0000-0000-00007E610000}"/>
    <cellStyle name="Normal 2 2 11 13 2" xfId="24960" xr:uid="{00000000-0005-0000-0000-00007F610000}"/>
    <cellStyle name="Normal 2 2 11 14" xfId="24961" xr:uid="{00000000-0005-0000-0000-000080610000}"/>
    <cellStyle name="Normal 2 2 11 2" xfId="24962" xr:uid="{00000000-0005-0000-0000-000081610000}"/>
    <cellStyle name="Normal 2 2 11 2 2" xfId="24963" xr:uid="{00000000-0005-0000-0000-000082610000}"/>
    <cellStyle name="Normal 2 2 11 2 2 2" xfId="24964" xr:uid="{00000000-0005-0000-0000-000083610000}"/>
    <cellStyle name="Normal 2 2 11 2 2 2 2" xfId="24965" xr:uid="{00000000-0005-0000-0000-000084610000}"/>
    <cellStyle name="Normal 2 2 11 2 2 2 2 2" xfId="24966" xr:uid="{00000000-0005-0000-0000-000085610000}"/>
    <cellStyle name="Normal 2 2 11 2 2 2 3" xfId="24967" xr:uid="{00000000-0005-0000-0000-000086610000}"/>
    <cellStyle name="Normal 2 2 11 2 2 3" xfId="24968" xr:uid="{00000000-0005-0000-0000-000087610000}"/>
    <cellStyle name="Normal 2 2 11 2 2 3 2" xfId="24969" xr:uid="{00000000-0005-0000-0000-000088610000}"/>
    <cellStyle name="Normal 2 2 11 2 2 4" xfId="24970" xr:uid="{00000000-0005-0000-0000-000089610000}"/>
    <cellStyle name="Normal 2 2 11 2 3" xfId="24971" xr:uid="{00000000-0005-0000-0000-00008A610000}"/>
    <cellStyle name="Normal 2 2 11 2 3 2" xfId="24972" xr:uid="{00000000-0005-0000-0000-00008B610000}"/>
    <cellStyle name="Normal 2 2 11 2 3 2 2" xfId="24973" xr:uid="{00000000-0005-0000-0000-00008C610000}"/>
    <cellStyle name="Normal 2 2 11 2 3 3" xfId="24974" xr:uid="{00000000-0005-0000-0000-00008D610000}"/>
    <cellStyle name="Normal 2 2 11 2 4" xfId="24975" xr:uid="{00000000-0005-0000-0000-00008E610000}"/>
    <cellStyle name="Normal 2 2 11 2 4 2" xfId="24976" xr:uid="{00000000-0005-0000-0000-00008F610000}"/>
    <cellStyle name="Normal 2 2 11 2 4 2 2" xfId="24977" xr:uid="{00000000-0005-0000-0000-000090610000}"/>
    <cellStyle name="Normal 2 2 11 2 4 3" xfId="24978" xr:uid="{00000000-0005-0000-0000-000091610000}"/>
    <cellStyle name="Normal 2 2 11 2 5" xfId="24979" xr:uid="{00000000-0005-0000-0000-000092610000}"/>
    <cellStyle name="Normal 2 2 11 2 5 2" xfId="24980" xr:uid="{00000000-0005-0000-0000-000093610000}"/>
    <cellStyle name="Normal 2 2 11 2 5 2 2" xfId="24981" xr:uid="{00000000-0005-0000-0000-000094610000}"/>
    <cellStyle name="Normal 2 2 11 2 5 3" xfId="24982" xr:uid="{00000000-0005-0000-0000-000095610000}"/>
    <cellStyle name="Normal 2 2 11 2 6" xfId="24983" xr:uid="{00000000-0005-0000-0000-000096610000}"/>
    <cellStyle name="Normal 2 2 11 2 6 2" xfId="24984" xr:uid="{00000000-0005-0000-0000-000097610000}"/>
    <cellStyle name="Normal 2 2 11 2 6 2 2" xfId="24985" xr:uid="{00000000-0005-0000-0000-000098610000}"/>
    <cellStyle name="Normal 2 2 11 2 6 3" xfId="24986" xr:uid="{00000000-0005-0000-0000-000099610000}"/>
    <cellStyle name="Normal 2 2 11 2 7" xfId="24987" xr:uid="{00000000-0005-0000-0000-00009A610000}"/>
    <cellStyle name="Normal 2 2 11 2 7 2" xfId="24988" xr:uid="{00000000-0005-0000-0000-00009B610000}"/>
    <cellStyle name="Normal 2 2 11 2 8" xfId="24989" xr:uid="{00000000-0005-0000-0000-00009C610000}"/>
    <cellStyle name="Normal 2 2 11 3" xfId="24990" xr:uid="{00000000-0005-0000-0000-00009D610000}"/>
    <cellStyle name="Normal 2 2 11 3 2" xfId="24991" xr:uid="{00000000-0005-0000-0000-00009E610000}"/>
    <cellStyle name="Normal 2 2 11 3 2 2" xfId="24992" xr:uid="{00000000-0005-0000-0000-00009F610000}"/>
    <cellStyle name="Normal 2 2 11 3 2 2 2" xfId="24993" xr:uid="{00000000-0005-0000-0000-0000A0610000}"/>
    <cellStyle name="Normal 2 2 11 3 2 2 2 2" xfId="24994" xr:uid="{00000000-0005-0000-0000-0000A1610000}"/>
    <cellStyle name="Normal 2 2 11 3 2 2 3" xfId="24995" xr:uid="{00000000-0005-0000-0000-0000A2610000}"/>
    <cellStyle name="Normal 2 2 11 3 2 3" xfId="24996" xr:uid="{00000000-0005-0000-0000-0000A3610000}"/>
    <cellStyle name="Normal 2 2 11 3 2 3 2" xfId="24997" xr:uid="{00000000-0005-0000-0000-0000A4610000}"/>
    <cellStyle name="Normal 2 2 11 3 2 4" xfId="24998" xr:uid="{00000000-0005-0000-0000-0000A5610000}"/>
    <cellStyle name="Normal 2 2 11 3 3" xfId="24999" xr:uid="{00000000-0005-0000-0000-0000A6610000}"/>
    <cellStyle name="Normal 2 2 11 3 3 2" xfId="25000" xr:uid="{00000000-0005-0000-0000-0000A7610000}"/>
    <cellStyle name="Normal 2 2 11 3 3 2 2" xfId="25001" xr:uid="{00000000-0005-0000-0000-0000A8610000}"/>
    <cellStyle name="Normal 2 2 11 3 3 3" xfId="25002" xr:uid="{00000000-0005-0000-0000-0000A9610000}"/>
    <cellStyle name="Normal 2 2 11 3 4" xfId="25003" xr:uid="{00000000-0005-0000-0000-0000AA610000}"/>
    <cellStyle name="Normal 2 2 11 3 4 2" xfId="25004" xr:uid="{00000000-0005-0000-0000-0000AB610000}"/>
    <cellStyle name="Normal 2 2 11 3 4 2 2" xfId="25005" xr:uid="{00000000-0005-0000-0000-0000AC610000}"/>
    <cellStyle name="Normal 2 2 11 3 4 3" xfId="25006" xr:uid="{00000000-0005-0000-0000-0000AD610000}"/>
    <cellStyle name="Normal 2 2 11 3 5" xfId="25007" xr:uid="{00000000-0005-0000-0000-0000AE610000}"/>
    <cellStyle name="Normal 2 2 11 3 5 2" xfId="25008" xr:uid="{00000000-0005-0000-0000-0000AF610000}"/>
    <cellStyle name="Normal 2 2 11 3 5 2 2" xfId="25009" xr:uid="{00000000-0005-0000-0000-0000B0610000}"/>
    <cellStyle name="Normal 2 2 11 3 5 3" xfId="25010" xr:uid="{00000000-0005-0000-0000-0000B1610000}"/>
    <cellStyle name="Normal 2 2 11 3 6" xfId="25011" xr:uid="{00000000-0005-0000-0000-0000B2610000}"/>
    <cellStyle name="Normal 2 2 11 3 6 2" xfId="25012" xr:uid="{00000000-0005-0000-0000-0000B3610000}"/>
    <cellStyle name="Normal 2 2 11 3 6 2 2" xfId="25013" xr:uid="{00000000-0005-0000-0000-0000B4610000}"/>
    <cellStyle name="Normal 2 2 11 3 6 3" xfId="25014" xr:uid="{00000000-0005-0000-0000-0000B5610000}"/>
    <cellStyle name="Normal 2 2 11 3 7" xfId="25015" xr:uid="{00000000-0005-0000-0000-0000B6610000}"/>
    <cellStyle name="Normal 2 2 11 3 7 2" xfId="25016" xr:uid="{00000000-0005-0000-0000-0000B7610000}"/>
    <cellStyle name="Normal 2 2 11 3 8" xfId="25017" xr:uid="{00000000-0005-0000-0000-0000B8610000}"/>
    <cellStyle name="Normal 2 2 11 4" xfId="25018" xr:uid="{00000000-0005-0000-0000-0000B9610000}"/>
    <cellStyle name="Normal 2 2 11 4 2" xfId="25019" xr:uid="{00000000-0005-0000-0000-0000BA610000}"/>
    <cellStyle name="Normal 2 2 11 4 2 2" xfId="25020" xr:uid="{00000000-0005-0000-0000-0000BB610000}"/>
    <cellStyle name="Normal 2 2 11 4 2 2 2" xfId="25021" xr:uid="{00000000-0005-0000-0000-0000BC610000}"/>
    <cellStyle name="Normal 2 2 11 4 2 2 2 2" xfId="25022" xr:uid="{00000000-0005-0000-0000-0000BD610000}"/>
    <cellStyle name="Normal 2 2 11 4 2 2 3" xfId="25023" xr:uid="{00000000-0005-0000-0000-0000BE610000}"/>
    <cellStyle name="Normal 2 2 11 4 2 3" xfId="25024" xr:uid="{00000000-0005-0000-0000-0000BF610000}"/>
    <cellStyle name="Normal 2 2 11 4 2 3 2" xfId="25025" xr:uid="{00000000-0005-0000-0000-0000C0610000}"/>
    <cellStyle name="Normal 2 2 11 4 2 4" xfId="25026" xr:uid="{00000000-0005-0000-0000-0000C1610000}"/>
    <cellStyle name="Normal 2 2 11 4 3" xfId="25027" xr:uid="{00000000-0005-0000-0000-0000C2610000}"/>
    <cellStyle name="Normal 2 2 11 4 3 2" xfId="25028" xr:uid="{00000000-0005-0000-0000-0000C3610000}"/>
    <cellStyle name="Normal 2 2 11 4 3 2 2" xfId="25029" xr:uid="{00000000-0005-0000-0000-0000C4610000}"/>
    <cellStyle name="Normal 2 2 11 4 3 3" xfId="25030" xr:uid="{00000000-0005-0000-0000-0000C5610000}"/>
    <cellStyle name="Normal 2 2 11 4 4" xfId="25031" xr:uid="{00000000-0005-0000-0000-0000C6610000}"/>
    <cellStyle name="Normal 2 2 11 4 4 2" xfId="25032" xr:uid="{00000000-0005-0000-0000-0000C7610000}"/>
    <cellStyle name="Normal 2 2 11 4 4 2 2" xfId="25033" xr:uid="{00000000-0005-0000-0000-0000C8610000}"/>
    <cellStyle name="Normal 2 2 11 4 4 3" xfId="25034" xr:uid="{00000000-0005-0000-0000-0000C9610000}"/>
    <cellStyle name="Normal 2 2 11 4 5" xfId="25035" xr:uid="{00000000-0005-0000-0000-0000CA610000}"/>
    <cellStyle name="Normal 2 2 11 4 5 2" xfId="25036" xr:uid="{00000000-0005-0000-0000-0000CB610000}"/>
    <cellStyle name="Normal 2 2 11 4 5 2 2" xfId="25037" xr:uid="{00000000-0005-0000-0000-0000CC610000}"/>
    <cellStyle name="Normal 2 2 11 4 5 3" xfId="25038" xr:uid="{00000000-0005-0000-0000-0000CD610000}"/>
    <cellStyle name="Normal 2 2 11 4 6" xfId="25039" xr:uid="{00000000-0005-0000-0000-0000CE610000}"/>
    <cellStyle name="Normal 2 2 11 4 6 2" xfId="25040" xr:uid="{00000000-0005-0000-0000-0000CF610000}"/>
    <cellStyle name="Normal 2 2 11 4 6 2 2" xfId="25041" xr:uid="{00000000-0005-0000-0000-0000D0610000}"/>
    <cellStyle name="Normal 2 2 11 4 6 3" xfId="25042" xr:uid="{00000000-0005-0000-0000-0000D1610000}"/>
    <cellStyle name="Normal 2 2 11 4 7" xfId="25043" xr:uid="{00000000-0005-0000-0000-0000D2610000}"/>
    <cellStyle name="Normal 2 2 11 4 7 2" xfId="25044" xr:uid="{00000000-0005-0000-0000-0000D3610000}"/>
    <cellStyle name="Normal 2 2 11 4 8" xfId="25045" xr:uid="{00000000-0005-0000-0000-0000D4610000}"/>
    <cellStyle name="Normal 2 2 11 5" xfId="25046" xr:uid="{00000000-0005-0000-0000-0000D5610000}"/>
    <cellStyle name="Normal 2 2 11 5 2" xfId="25047" xr:uid="{00000000-0005-0000-0000-0000D6610000}"/>
    <cellStyle name="Normal 2 2 11 5 2 2" xfId="25048" xr:uid="{00000000-0005-0000-0000-0000D7610000}"/>
    <cellStyle name="Normal 2 2 11 5 2 2 2" xfId="25049" xr:uid="{00000000-0005-0000-0000-0000D8610000}"/>
    <cellStyle name="Normal 2 2 11 5 2 2 2 2" xfId="25050" xr:uid="{00000000-0005-0000-0000-0000D9610000}"/>
    <cellStyle name="Normal 2 2 11 5 2 2 3" xfId="25051" xr:uid="{00000000-0005-0000-0000-0000DA610000}"/>
    <cellStyle name="Normal 2 2 11 5 2 3" xfId="25052" xr:uid="{00000000-0005-0000-0000-0000DB610000}"/>
    <cellStyle name="Normal 2 2 11 5 2 3 2" xfId="25053" xr:uid="{00000000-0005-0000-0000-0000DC610000}"/>
    <cellStyle name="Normal 2 2 11 5 2 4" xfId="25054" xr:uid="{00000000-0005-0000-0000-0000DD610000}"/>
    <cellStyle name="Normal 2 2 11 5 3" xfId="25055" xr:uid="{00000000-0005-0000-0000-0000DE610000}"/>
    <cellStyle name="Normal 2 2 11 5 3 2" xfId="25056" xr:uid="{00000000-0005-0000-0000-0000DF610000}"/>
    <cellStyle name="Normal 2 2 11 5 3 2 2" xfId="25057" xr:uid="{00000000-0005-0000-0000-0000E0610000}"/>
    <cellStyle name="Normal 2 2 11 5 3 3" xfId="25058" xr:uid="{00000000-0005-0000-0000-0000E1610000}"/>
    <cellStyle name="Normal 2 2 11 5 4" xfId="25059" xr:uid="{00000000-0005-0000-0000-0000E2610000}"/>
    <cellStyle name="Normal 2 2 11 5 4 2" xfId="25060" xr:uid="{00000000-0005-0000-0000-0000E3610000}"/>
    <cellStyle name="Normal 2 2 11 5 5" xfId="25061" xr:uid="{00000000-0005-0000-0000-0000E4610000}"/>
    <cellStyle name="Normal 2 2 11 6" xfId="25062" xr:uid="{00000000-0005-0000-0000-0000E5610000}"/>
    <cellStyle name="Normal 2 2 11 6 2" xfId="25063" xr:uid="{00000000-0005-0000-0000-0000E6610000}"/>
    <cellStyle name="Normal 2 2 11 6 2 2" xfId="25064" xr:uid="{00000000-0005-0000-0000-0000E7610000}"/>
    <cellStyle name="Normal 2 2 11 6 2 2 2" xfId="25065" xr:uid="{00000000-0005-0000-0000-0000E8610000}"/>
    <cellStyle name="Normal 2 2 11 6 2 2 2 2" xfId="25066" xr:uid="{00000000-0005-0000-0000-0000E9610000}"/>
    <cellStyle name="Normal 2 2 11 6 2 2 3" xfId="25067" xr:uid="{00000000-0005-0000-0000-0000EA610000}"/>
    <cellStyle name="Normal 2 2 11 6 2 3" xfId="25068" xr:uid="{00000000-0005-0000-0000-0000EB610000}"/>
    <cellStyle name="Normal 2 2 11 6 2 3 2" xfId="25069" xr:uid="{00000000-0005-0000-0000-0000EC610000}"/>
    <cellStyle name="Normal 2 2 11 6 2 4" xfId="25070" xr:uid="{00000000-0005-0000-0000-0000ED610000}"/>
    <cellStyle name="Normal 2 2 11 6 3" xfId="25071" xr:uid="{00000000-0005-0000-0000-0000EE610000}"/>
    <cellStyle name="Normal 2 2 11 6 3 2" xfId="25072" xr:uid="{00000000-0005-0000-0000-0000EF610000}"/>
    <cellStyle name="Normal 2 2 11 6 3 2 2" xfId="25073" xr:uid="{00000000-0005-0000-0000-0000F0610000}"/>
    <cellStyle name="Normal 2 2 11 6 3 3" xfId="25074" xr:uid="{00000000-0005-0000-0000-0000F1610000}"/>
    <cellStyle name="Normal 2 2 11 6 4" xfId="25075" xr:uid="{00000000-0005-0000-0000-0000F2610000}"/>
    <cellStyle name="Normal 2 2 11 6 4 2" xfId="25076" xr:uid="{00000000-0005-0000-0000-0000F3610000}"/>
    <cellStyle name="Normal 2 2 11 6 5" xfId="25077" xr:uid="{00000000-0005-0000-0000-0000F4610000}"/>
    <cellStyle name="Normal 2 2 11 7" xfId="25078" xr:uid="{00000000-0005-0000-0000-0000F5610000}"/>
    <cellStyle name="Normal 2 2 11 7 2" xfId="25079" xr:uid="{00000000-0005-0000-0000-0000F6610000}"/>
    <cellStyle name="Normal 2 2 11 7 2 2" xfId="25080" xr:uid="{00000000-0005-0000-0000-0000F7610000}"/>
    <cellStyle name="Normal 2 2 11 7 2 2 2" xfId="25081" xr:uid="{00000000-0005-0000-0000-0000F8610000}"/>
    <cellStyle name="Normal 2 2 11 7 2 3" xfId="25082" xr:uid="{00000000-0005-0000-0000-0000F9610000}"/>
    <cellStyle name="Normal 2 2 11 7 3" xfId="25083" xr:uid="{00000000-0005-0000-0000-0000FA610000}"/>
    <cellStyle name="Normal 2 2 11 7 3 2" xfId="25084" xr:uid="{00000000-0005-0000-0000-0000FB610000}"/>
    <cellStyle name="Normal 2 2 11 7 4" xfId="25085" xr:uid="{00000000-0005-0000-0000-0000FC610000}"/>
    <cellStyle name="Normal 2 2 11 8" xfId="25086" xr:uid="{00000000-0005-0000-0000-0000FD610000}"/>
    <cellStyle name="Normal 2 2 11 8 2" xfId="25087" xr:uid="{00000000-0005-0000-0000-0000FE610000}"/>
    <cellStyle name="Normal 2 2 11 8 2 2" xfId="25088" xr:uid="{00000000-0005-0000-0000-0000FF610000}"/>
    <cellStyle name="Normal 2 2 11 8 2 2 2" xfId="25089" xr:uid="{00000000-0005-0000-0000-000000620000}"/>
    <cellStyle name="Normal 2 2 11 8 2 3" xfId="25090" xr:uid="{00000000-0005-0000-0000-000001620000}"/>
    <cellStyle name="Normal 2 2 11 8 3" xfId="25091" xr:uid="{00000000-0005-0000-0000-000002620000}"/>
    <cellStyle name="Normal 2 2 11 8 3 2" xfId="25092" xr:uid="{00000000-0005-0000-0000-000003620000}"/>
    <cellStyle name="Normal 2 2 11 8 4" xfId="25093" xr:uid="{00000000-0005-0000-0000-000004620000}"/>
    <cellStyle name="Normal 2 2 11 9" xfId="25094" xr:uid="{00000000-0005-0000-0000-000005620000}"/>
    <cellStyle name="Normal 2 2 11 9 2" xfId="25095" xr:uid="{00000000-0005-0000-0000-000006620000}"/>
    <cellStyle name="Normal 2 2 11 9 2 2" xfId="25096" xr:uid="{00000000-0005-0000-0000-000007620000}"/>
    <cellStyle name="Normal 2 2 11 9 3" xfId="25097" xr:uid="{00000000-0005-0000-0000-000008620000}"/>
    <cellStyle name="Normal 2 2 12" xfId="25098" xr:uid="{00000000-0005-0000-0000-000009620000}"/>
    <cellStyle name="Normal 2 2 12 10" xfId="25099" xr:uid="{00000000-0005-0000-0000-00000A620000}"/>
    <cellStyle name="Normal 2 2 12 10 2" xfId="25100" xr:uid="{00000000-0005-0000-0000-00000B620000}"/>
    <cellStyle name="Normal 2 2 12 10 2 2" xfId="25101" xr:uid="{00000000-0005-0000-0000-00000C620000}"/>
    <cellStyle name="Normal 2 2 12 10 3" xfId="25102" xr:uid="{00000000-0005-0000-0000-00000D620000}"/>
    <cellStyle name="Normal 2 2 12 11" xfId="25103" xr:uid="{00000000-0005-0000-0000-00000E620000}"/>
    <cellStyle name="Normal 2 2 12 11 2" xfId="25104" xr:uid="{00000000-0005-0000-0000-00000F620000}"/>
    <cellStyle name="Normal 2 2 12 11 2 2" xfId="25105" xr:uid="{00000000-0005-0000-0000-000010620000}"/>
    <cellStyle name="Normal 2 2 12 11 3" xfId="25106" xr:uid="{00000000-0005-0000-0000-000011620000}"/>
    <cellStyle name="Normal 2 2 12 12" xfId="25107" xr:uid="{00000000-0005-0000-0000-000012620000}"/>
    <cellStyle name="Normal 2 2 12 12 2" xfId="25108" xr:uid="{00000000-0005-0000-0000-000013620000}"/>
    <cellStyle name="Normal 2 2 12 12 2 2" xfId="25109" xr:uid="{00000000-0005-0000-0000-000014620000}"/>
    <cellStyle name="Normal 2 2 12 12 3" xfId="25110" xr:uid="{00000000-0005-0000-0000-000015620000}"/>
    <cellStyle name="Normal 2 2 12 13" xfId="25111" xr:uid="{00000000-0005-0000-0000-000016620000}"/>
    <cellStyle name="Normal 2 2 12 13 2" xfId="25112" xr:uid="{00000000-0005-0000-0000-000017620000}"/>
    <cellStyle name="Normal 2 2 12 14" xfId="25113" xr:uid="{00000000-0005-0000-0000-000018620000}"/>
    <cellStyle name="Normal 2 2 12 2" xfId="25114" xr:uid="{00000000-0005-0000-0000-000019620000}"/>
    <cellStyle name="Normal 2 2 12 2 2" xfId="25115" xr:uid="{00000000-0005-0000-0000-00001A620000}"/>
    <cellStyle name="Normal 2 2 12 2 2 2" xfId="25116" xr:uid="{00000000-0005-0000-0000-00001B620000}"/>
    <cellStyle name="Normal 2 2 12 2 2 2 2" xfId="25117" xr:uid="{00000000-0005-0000-0000-00001C620000}"/>
    <cellStyle name="Normal 2 2 12 2 2 2 2 2" xfId="25118" xr:uid="{00000000-0005-0000-0000-00001D620000}"/>
    <cellStyle name="Normal 2 2 12 2 2 2 3" xfId="25119" xr:uid="{00000000-0005-0000-0000-00001E620000}"/>
    <cellStyle name="Normal 2 2 12 2 2 3" xfId="25120" xr:uid="{00000000-0005-0000-0000-00001F620000}"/>
    <cellStyle name="Normal 2 2 12 2 2 3 2" xfId="25121" xr:uid="{00000000-0005-0000-0000-000020620000}"/>
    <cellStyle name="Normal 2 2 12 2 2 4" xfId="25122" xr:uid="{00000000-0005-0000-0000-000021620000}"/>
    <cellStyle name="Normal 2 2 12 2 3" xfId="25123" xr:uid="{00000000-0005-0000-0000-000022620000}"/>
    <cellStyle name="Normal 2 2 12 2 3 2" xfId="25124" xr:uid="{00000000-0005-0000-0000-000023620000}"/>
    <cellStyle name="Normal 2 2 12 2 3 2 2" xfId="25125" xr:uid="{00000000-0005-0000-0000-000024620000}"/>
    <cellStyle name="Normal 2 2 12 2 3 3" xfId="25126" xr:uid="{00000000-0005-0000-0000-000025620000}"/>
    <cellStyle name="Normal 2 2 12 2 4" xfId="25127" xr:uid="{00000000-0005-0000-0000-000026620000}"/>
    <cellStyle name="Normal 2 2 12 2 4 2" xfId="25128" xr:uid="{00000000-0005-0000-0000-000027620000}"/>
    <cellStyle name="Normal 2 2 12 2 4 2 2" xfId="25129" xr:uid="{00000000-0005-0000-0000-000028620000}"/>
    <cellStyle name="Normal 2 2 12 2 4 3" xfId="25130" xr:uid="{00000000-0005-0000-0000-000029620000}"/>
    <cellStyle name="Normal 2 2 12 2 5" xfId="25131" xr:uid="{00000000-0005-0000-0000-00002A620000}"/>
    <cellStyle name="Normal 2 2 12 2 5 2" xfId="25132" xr:uid="{00000000-0005-0000-0000-00002B620000}"/>
    <cellStyle name="Normal 2 2 12 2 5 2 2" xfId="25133" xr:uid="{00000000-0005-0000-0000-00002C620000}"/>
    <cellStyle name="Normal 2 2 12 2 5 3" xfId="25134" xr:uid="{00000000-0005-0000-0000-00002D620000}"/>
    <cellStyle name="Normal 2 2 12 2 6" xfId="25135" xr:uid="{00000000-0005-0000-0000-00002E620000}"/>
    <cellStyle name="Normal 2 2 12 2 6 2" xfId="25136" xr:uid="{00000000-0005-0000-0000-00002F620000}"/>
    <cellStyle name="Normal 2 2 12 2 6 2 2" xfId="25137" xr:uid="{00000000-0005-0000-0000-000030620000}"/>
    <cellStyle name="Normal 2 2 12 2 6 3" xfId="25138" xr:uid="{00000000-0005-0000-0000-000031620000}"/>
    <cellStyle name="Normal 2 2 12 2 7" xfId="25139" xr:uid="{00000000-0005-0000-0000-000032620000}"/>
    <cellStyle name="Normal 2 2 12 2 7 2" xfId="25140" xr:uid="{00000000-0005-0000-0000-000033620000}"/>
    <cellStyle name="Normal 2 2 12 2 8" xfId="25141" xr:uid="{00000000-0005-0000-0000-000034620000}"/>
    <cellStyle name="Normal 2 2 12 3" xfId="25142" xr:uid="{00000000-0005-0000-0000-000035620000}"/>
    <cellStyle name="Normal 2 2 12 3 2" xfId="25143" xr:uid="{00000000-0005-0000-0000-000036620000}"/>
    <cellStyle name="Normal 2 2 12 3 2 2" xfId="25144" xr:uid="{00000000-0005-0000-0000-000037620000}"/>
    <cellStyle name="Normal 2 2 12 3 2 2 2" xfId="25145" xr:uid="{00000000-0005-0000-0000-000038620000}"/>
    <cellStyle name="Normal 2 2 12 3 2 2 2 2" xfId="25146" xr:uid="{00000000-0005-0000-0000-000039620000}"/>
    <cellStyle name="Normal 2 2 12 3 2 2 3" xfId="25147" xr:uid="{00000000-0005-0000-0000-00003A620000}"/>
    <cellStyle name="Normal 2 2 12 3 2 3" xfId="25148" xr:uid="{00000000-0005-0000-0000-00003B620000}"/>
    <cellStyle name="Normal 2 2 12 3 2 3 2" xfId="25149" xr:uid="{00000000-0005-0000-0000-00003C620000}"/>
    <cellStyle name="Normal 2 2 12 3 2 4" xfId="25150" xr:uid="{00000000-0005-0000-0000-00003D620000}"/>
    <cellStyle name="Normal 2 2 12 3 3" xfId="25151" xr:uid="{00000000-0005-0000-0000-00003E620000}"/>
    <cellStyle name="Normal 2 2 12 3 3 2" xfId="25152" xr:uid="{00000000-0005-0000-0000-00003F620000}"/>
    <cellStyle name="Normal 2 2 12 3 3 2 2" xfId="25153" xr:uid="{00000000-0005-0000-0000-000040620000}"/>
    <cellStyle name="Normal 2 2 12 3 3 3" xfId="25154" xr:uid="{00000000-0005-0000-0000-000041620000}"/>
    <cellStyle name="Normal 2 2 12 3 4" xfId="25155" xr:uid="{00000000-0005-0000-0000-000042620000}"/>
    <cellStyle name="Normal 2 2 12 3 4 2" xfId="25156" xr:uid="{00000000-0005-0000-0000-000043620000}"/>
    <cellStyle name="Normal 2 2 12 3 4 2 2" xfId="25157" xr:uid="{00000000-0005-0000-0000-000044620000}"/>
    <cellStyle name="Normal 2 2 12 3 4 3" xfId="25158" xr:uid="{00000000-0005-0000-0000-000045620000}"/>
    <cellStyle name="Normal 2 2 12 3 5" xfId="25159" xr:uid="{00000000-0005-0000-0000-000046620000}"/>
    <cellStyle name="Normal 2 2 12 3 5 2" xfId="25160" xr:uid="{00000000-0005-0000-0000-000047620000}"/>
    <cellStyle name="Normal 2 2 12 3 5 2 2" xfId="25161" xr:uid="{00000000-0005-0000-0000-000048620000}"/>
    <cellStyle name="Normal 2 2 12 3 5 3" xfId="25162" xr:uid="{00000000-0005-0000-0000-000049620000}"/>
    <cellStyle name="Normal 2 2 12 3 6" xfId="25163" xr:uid="{00000000-0005-0000-0000-00004A620000}"/>
    <cellStyle name="Normal 2 2 12 3 6 2" xfId="25164" xr:uid="{00000000-0005-0000-0000-00004B620000}"/>
    <cellStyle name="Normal 2 2 12 3 6 2 2" xfId="25165" xr:uid="{00000000-0005-0000-0000-00004C620000}"/>
    <cellStyle name="Normal 2 2 12 3 6 3" xfId="25166" xr:uid="{00000000-0005-0000-0000-00004D620000}"/>
    <cellStyle name="Normal 2 2 12 3 7" xfId="25167" xr:uid="{00000000-0005-0000-0000-00004E620000}"/>
    <cellStyle name="Normal 2 2 12 3 7 2" xfId="25168" xr:uid="{00000000-0005-0000-0000-00004F620000}"/>
    <cellStyle name="Normal 2 2 12 3 8" xfId="25169" xr:uid="{00000000-0005-0000-0000-000050620000}"/>
    <cellStyle name="Normal 2 2 12 4" xfId="25170" xr:uid="{00000000-0005-0000-0000-000051620000}"/>
    <cellStyle name="Normal 2 2 12 4 2" xfId="25171" xr:uid="{00000000-0005-0000-0000-000052620000}"/>
    <cellStyle name="Normal 2 2 12 4 2 2" xfId="25172" xr:uid="{00000000-0005-0000-0000-000053620000}"/>
    <cellStyle name="Normal 2 2 12 4 2 2 2" xfId="25173" xr:uid="{00000000-0005-0000-0000-000054620000}"/>
    <cellStyle name="Normal 2 2 12 4 2 2 2 2" xfId="25174" xr:uid="{00000000-0005-0000-0000-000055620000}"/>
    <cellStyle name="Normal 2 2 12 4 2 2 3" xfId="25175" xr:uid="{00000000-0005-0000-0000-000056620000}"/>
    <cellStyle name="Normal 2 2 12 4 2 3" xfId="25176" xr:uid="{00000000-0005-0000-0000-000057620000}"/>
    <cellStyle name="Normal 2 2 12 4 2 3 2" xfId="25177" xr:uid="{00000000-0005-0000-0000-000058620000}"/>
    <cellStyle name="Normal 2 2 12 4 2 4" xfId="25178" xr:uid="{00000000-0005-0000-0000-000059620000}"/>
    <cellStyle name="Normal 2 2 12 4 3" xfId="25179" xr:uid="{00000000-0005-0000-0000-00005A620000}"/>
    <cellStyle name="Normal 2 2 12 4 3 2" xfId="25180" xr:uid="{00000000-0005-0000-0000-00005B620000}"/>
    <cellStyle name="Normal 2 2 12 4 3 2 2" xfId="25181" xr:uid="{00000000-0005-0000-0000-00005C620000}"/>
    <cellStyle name="Normal 2 2 12 4 3 3" xfId="25182" xr:uid="{00000000-0005-0000-0000-00005D620000}"/>
    <cellStyle name="Normal 2 2 12 4 4" xfId="25183" xr:uid="{00000000-0005-0000-0000-00005E620000}"/>
    <cellStyle name="Normal 2 2 12 4 4 2" xfId="25184" xr:uid="{00000000-0005-0000-0000-00005F620000}"/>
    <cellStyle name="Normal 2 2 12 4 4 2 2" xfId="25185" xr:uid="{00000000-0005-0000-0000-000060620000}"/>
    <cellStyle name="Normal 2 2 12 4 4 3" xfId="25186" xr:uid="{00000000-0005-0000-0000-000061620000}"/>
    <cellStyle name="Normal 2 2 12 4 5" xfId="25187" xr:uid="{00000000-0005-0000-0000-000062620000}"/>
    <cellStyle name="Normal 2 2 12 4 5 2" xfId="25188" xr:uid="{00000000-0005-0000-0000-000063620000}"/>
    <cellStyle name="Normal 2 2 12 4 5 2 2" xfId="25189" xr:uid="{00000000-0005-0000-0000-000064620000}"/>
    <cellStyle name="Normal 2 2 12 4 5 3" xfId="25190" xr:uid="{00000000-0005-0000-0000-000065620000}"/>
    <cellStyle name="Normal 2 2 12 4 6" xfId="25191" xr:uid="{00000000-0005-0000-0000-000066620000}"/>
    <cellStyle name="Normal 2 2 12 4 6 2" xfId="25192" xr:uid="{00000000-0005-0000-0000-000067620000}"/>
    <cellStyle name="Normal 2 2 12 4 6 2 2" xfId="25193" xr:uid="{00000000-0005-0000-0000-000068620000}"/>
    <cellStyle name="Normal 2 2 12 4 6 3" xfId="25194" xr:uid="{00000000-0005-0000-0000-000069620000}"/>
    <cellStyle name="Normal 2 2 12 4 7" xfId="25195" xr:uid="{00000000-0005-0000-0000-00006A620000}"/>
    <cellStyle name="Normal 2 2 12 4 7 2" xfId="25196" xr:uid="{00000000-0005-0000-0000-00006B620000}"/>
    <cellStyle name="Normal 2 2 12 4 8" xfId="25197" xr:uid="{00000000-0005-0000-0000-00006C620000}"/>
    <cellStyle name="Normal 2 2 12 5" xfId="25198" xr:uid="{00000000-0005-0000-0000-00006D620000}"/>
    <cellStyle name="Normal 2 2 12 5 2" xfId="25199" xr:uid="{00000000-0005-0000-0000-00006E620000}"/>
    <cellStyle name="Normal 2 2 12 5 2 2" xfId="25200" xr:uid="{00000000-0005-0000-0000-00006F620000}"/>
    <cellStyle name="Normal 2 2 12 5 2 2 2" xfId="25201" xr:uid="{00000000-0005-0000-0000-000070620000}"/>
    <cellStyle name="Normal 2 2 12 5 2 2 2 2" xfId="25202" xr:uid="{00000000-0005-0000-0000-000071620000}"/>
    <cellStyle name="Normal 2 2 12 5 2 2 3" xfId="25203" xr:uid="{00000000-0005-0000-0000-000072620000}"/>
    <cellStyle name="Normal 2 2 12 5 2 3" xfId="25204" xr:uid="{00000000-0005-0000-0000-000073620000}"/>
    <cellStyle name="Normal 2 2 12 5 2 3 2" xfId="25205" xr:uid="{00000000-0005-0000-0000-000074620000}"/>
    <cellStyle name="Normal 2 2 12 5 2 4" xfId="25206" xr:uid="{00000000-0005-0000-0000-000075620000}"/>
    <cellStyle name="Normal 2 2 12 5 3" xfId="25207" xr:uid="{00000000-0005-0000-0000-000076620000}"/>
    <cellStyle name="Normal 2 2 12 5 3 2" xfId="25208" xr:uid="{00000000-0005-0000-0000-000077620000}"/>
    <cellStyle name="Normal 2 2 12 5 3 2 2" xfId="25209" xr:uid="{00000000-0005-0000-0000-000078620000}"/>
    <cellStyle name="Normal 2 2 12 5 3 3" xfId="25210" xr:uid="{00000000-0005-0000-0000-000079620000}"/>
    <cellStyle name="Normal 2 2 12 5 4" xfId="25211" xr:uid="{00000000-0005-0000-0000-00007A620000}"/>
    <cellStyle name="Normal 2 2 12 5 4 2" xfId="25212" xr:uid="{00000000-0005-0000-0000-00007B620000}"/>
    <cellStyle name="Normal 2 2 12 5 5" xfId="25213" xr:uid="{00000000-0005-0000-0000-00007C620000}"/>
    <cellStyle name="Normal 2 2 12 6" xfId="25214" xr:uid="{00000000-0005-0000-0000-00007D620000}"/>
    <cellStyle name="Normal 2 2 12 6 2" xfId="25215" xr:uid="{00000000-0005-0000-0000-00007E620000}"/>
    <cellStyle name="Normal 2 2 12 6 2 2" xfId="25216" xr:uid="{00000000-0005-0000-0000-00007F620000}"/>
    <cellStyle name="Normal 2 2 12 6 2 2 2" xfId="25217" xr:uid="{00000000-0005-0000-0000-000080620000}"/>
    <cellStyle name="Normal 2 2 12 6 2 2 2 2" xfId="25218" xr:uid="{00000000-0005-0000-0000-000081620000}"/>
    <cellStyle name="Normal 2 2 12 6 2 2 3" xfId="25219" xr:uid="{00000000-0005-0000-0000-000082620000}"/>
    <cellStyle name="Normal 2 2 12 6 2 3" xfId="25220" xr:uid="{00000000-0005-0000-0000-000083620000}"/>
    <cellStyle name="Normal 2 2 12 6 2 3 2" xfId="25221" xr:uid="{00000000-0005-0000-0000-000084620000}"/>
    <cellStyle name="Normal 2 2 12 6 2 4" xfId="25222" xr:uid="{00000000-0005-0000-0000-000085620000}"/>
    <cellStyle name="Normal 2 2 12 6 3" xfId="25223" xr:uid="{00000000-0005-0000-0000-000086620000}"/>
    <cellStyle name="Normal 2 2 12 6 3 2" xfId="25224" xr:uid="{00000000-0005-0000-0000-000087620000}"/>
    <cellStyle name="Normal 2 2 12 6 3 2 2" xfId="25225" xr:uid="{00000000-0005-0000-0000-000088620000}"/>
    <cellStyle name="Normal 2 2 12 6 3 3" xfId="25226" xr:uid="{00000000-0005-0000-0000-000089620000}"/>
    <cellStyle name="Normal 2 2 12 6 4" xfId="25227" xr:uid="{00000000-0005-0000-0000-00008A620000}"/>
    <cellStyle name="Normal 2 2 12 6 4 2" xfId="25228" xr:uid="{00000000-0005-0000-0000-00008B620000}"/>
    <cellStyle name="Normal 2 2 12 6 5" xfId="25229" xr:uid="{00000000-0005-0000-0000-00008C620000}"/>
    <cellStyle name="Normal 2 2 12 7" xfId="25230" xr:uid="{00000000-0005-0000-0000-00008D620000}"/>
    <cellStyle name="Normal 2 2 12 7 2" xfId="25231" xr:uid="{00000000-0005-0000-0000-00008E620000}"/>
    <cellStyle name="Normal 2 2 12 7 2 2" xfId="25232" xr:uid="{00000000-0005-0000-0000-00008F620000}"/>
    <cellStyle name="Normal 2 2 12 7 2 2 2" xfId="25233" xr:uid="{00000000-0005-0000-0000-000090620000}"/>
    <cellStyle name="Normal 2 2 12 7 2 3" xfId="25234" xr:uid="{00000000-0005-0000-0000-000091620000}"/>
    <cellStyle name="Normal 2 2 12 7 3" xfId="25235" xr:uid="{00000000-0005-0000-0000-000092620000}"/>
    <cellStyle name="Normal 2 2 12 7 3 2" xfId="25236" xr:uid="{00000000-0005-0000-0000-000093620000}"/>
    <cellStyle name="Normal 2 2 12 7 4" xfId="25237" xr:uid="{00000000-0005-0000-0000-000094620000}"/>
    <cellStyle name="Normal 2 2 12 8" xfId="25238" xr:uid="{00000000-0005-0000-0000-000095620000}"/>
    <cellStyle name="Normal 2 2 12 8 2" xfId="25239" xr:uid="{00000000-0005-0000-0000-000096620000}"/>
    <cellStyle name="Normal 2 2 12 8 2 2" xfId="25240" xr:uid="{00000000-0005-0000-0000-000097620000}"/>
    <cellStyle name="Normal 2 2 12 8 2 2 2" xfId="25241" xr:uid="{00000000-0005-0000-0000-000098620000}"/>
    <cellStyle name="Normal 2 2 12 8 2 3" xfId="25242" xr:uid="{00000000-0005-0000-0000-000099620000}"/>
    <cellStyle name="Normal 2 2 12 8 3" xfId="25243" xr:uid="{00000000-0005-0000-0000-00009A620000}"/>
    <cellStyle name="Normal 2 2 12 8 3 2" xfId="25244" xr:uid="{00000000-0005-0000-0000-00009B620000}"/>
    <cellStyle name="Normal 2 2 12 8 4" xfId="25245" xr:uid="{00000000-0005-0000-0000-00009C620000}"/>
    <cellStyle name="Normal 2 2 12 9" xfId="25246" xr:uid="{00000000-0005-0000-0000-00009D620000}"/>
    <cellStyle name="Normal 2 2 12 9 2" xfId="25247" xr:uid="{00000000-0005-0000-0000-00009E620000}"/>
    <cellStyle name="Normal 2 2 12 9 2 2" xfId="25248" xr:uid="{00000000-0005-0000-0000-00009F620000}"/>
    <cellStyle name="Normal 2 2 12 9 3" xfId="25249" xr:uid="{00000000-0005-0000-0000-0000A0620000}"/>
    <cellStyle name="Normal 2 2 13" xfId="25250" xr:uid="{00000000-0005-0000-0000-0000A1620000}"/>
    <cellStyle name="Normal 2 2 13 2" xfId="25251" xr:uid="{00000000-0005-0000-0000-0000A2620000}"/>
    <cellStyle name="Normal 2 2 13 2 2" xfId="25252" xr:uid="{00000000-0005-0000-0000-0000A3620000}"/>
    <cellStyle name="Normal 2 2 13 2 2 2" xfId="25253" xr:uid="{00000000-0005-0000-0000-0000A4620000}"/>
    <cellStyle name="Normal 2 2 13 2 2 2 2" xfId="25254" xr:uid="{00000000-0005-0000-0000-0000A5620000}"/>
    <cellStyle name="Normal 2 2 13 2 2 3" xfId="25255" xr:uid="{00000000-0005-0000-0000-0000A6620000}"/>
    <cellStyle name="Normal 2 2 13 2 3" xfId="25256" xr:uid="{00000000-0005-0000-0000-0000A7620000}"/>
    <cellStyle name="Normal 2 2 13 2 3 2" xfId="25257" xr:uid="{00000000-0005-0000-0000-0000A8620000}"/>
    <cellStyle name="Normal 2 2 13 2 4" xfId="25258" xr:uid="{00000000-0005-0000-0000-0000A9620000}"/>
    <cellStyle name="Normal 2 2 13 3" xfId="25259" xr:uid="{00000000-0005-0000-0000-0000AA620000}"/>
    <cellStyle name="Normal 2 2 13 3 2" xfId="25260" xr:uid="{00000000-0005-0000-0000-0000AB620000}"/>
    <cellStyle name="Normal 2 2 13 3 2 2" xfId="25261" xr:uid="{00000000-0005-0000-0000-0000AC620000}"/>
    <cellStyle name="Normal 2 2 13 3 3" xfId="25262" xr:uid="{00000000-0005-0000-0000-0000AD620000}"/>
    <cellStyle name="Normal 2 2 13 4" xfId="25263" xr:uid="{00000000-0005-0000-0000-0000AE620000}"/>
    <cellStyle name="Normal 2 2 13 4 2" xfId="25264" xr:uid="{00000000-0005-0000-0000-0000AF620000}"/>
    <cellStyle name="Normal 2 2 13 4 2 2" xfId="25265" xr:uid="{00000000-0005-0000-0000-0000B0620000}"/>
    <cellStyle name="Normal 2 2 13 4 3" xfId="25266" xr:uid="{00000000-0005-0000-0000-0000B1620000}"/>
    <cellStyle name="Normal 2 2 13 5" xfId="25267" xr:uid="{00000000-0005-0000-0000-0000B2620000}"/>
    <cellStyle name="Normal 2 2 13 5 2" xfId="25268" xr:uid="{00000000-0005-0000-0000-0000B3620000}"/>
    <cellStyle name="Normal 2 2 13 5 2 2" xfId="25269" xr:uid="{00000000-0005-0000-0000-0000B4620000}"/>
    <cellStyle name="Normal 2 2 13 5 3" xfId="25270" xr:uid="{00000000-0005-0000-0000-0000B5620000}"/>
    <cellStyle name="Normal 2 2 13 6" xfId="25271" xr:uid="{00000000-0005-0000-0000-0000B6620000}"/>
    <cellStyle name="Normal 2 2 13 6 2" xfId="25272" xr:uid="{00000000-0005-0000-0000-0000B7620000}"/>
    <cellStyle name="Normal 2 2 13 6 2 2" xfId="25273" xr:uid="{00000000-0005-0000-0000-0000B8620000}"/>
    <cellStyle name="Normal 2 2 13 6 3" xfId="25274" xr:uid="{00000000-0005-0000-0000-0000B9620000}"/>
    <cellStyle name="Normal 2 2 13 7" xfId="25275" xr:uid="{00000000-0005-0000-0000-0000BA620000}"/>
    <cellStyle name="Normal 2 2 13 7 2" xfId="25276" xr:uid="{00000000-0005-0000-0000-0000BB620000}"/>
    <cellStyle name="Normal 2 2 13 8" xfId="25277" xr:uid="{00000000-0005-0000-0000-0000BC620000}"/>
    <cellStyle name="Normal 2 2 14" xfId="25278" xr:uid="{00000000-0005-0000-0000-0000BD620000}"/>
    <cellStyle name="Normal 2 2 14 2" xfId="25279" xr:uid="{00000000-0005-0000-0000-0000BE620000}"/>
    <cellStyle name="Normal 2 2 14 2 2" xfId="25280" xr:uid="{00000000-0005-0000-0000-0000BF620000}"/>
    <cellStyle name="Normal 2 2 14 2 2 2" xfId="25281" xr:uid="{00000000-0005-0000-0000-0000C0620000}"/>
    <cellStyle name="Normal 2 2 14 2 2 2 2" xfId="25282" xr:uid="{00000000-0005-0000-0000-0000C1620000}"/>
    <cellStyle name="Normal 2 2 14 2 2 3" xfId="25283" xr:uid="{00000000-0005-0000-0000-0000C2620000}"/>
    <cellStyle name="Normal 2 2 14 2 3" xfId="25284" xr:uid="{00000000-0005-0000-0000-0000C3620000}"/>
    <cellStyle name="Normal 2 2 14 2 3 2" xfId="25285" xr:uid="{00000000-0005-0000-0000-0000C4620000}"/>
    <cellStyle name="Normal 2 2 14 2 4" xfId="25286" xr:uid="{00000000-0005-0000-0000-0000C5620000}"/>
    <cellStyle name="Normal 2 2 14 3" xfId="25287" xr:uid="{00000000-0005-0000-0000-0000C6620000}"/>
    <cellStyle name="Normal 2 2 14 3 2" xfId="25288" xr:uid="{00000000-0005-0000-0000-0000C7620000}"/>
    <cellStyle name="Normal 2 2 14 3 2 2" xfId="25289" xr:uid="{00000000-0005-0000-0000-0000C8620000}"/>
    <cellStyle name="Normal 2 2 14 3 3" xfId="25290" xr:uid="{00000000-0005-0000-0000-0000C9620000}"/>
    <cellStyle name="Normal 2 2 14 4" xfId="25291" xr:uid="{00000000-0005-0000-0000-0000CA620000}"/>
    <cellStyle name="Normal 2 2 14 4 2" xfId="25292" xr:uid="{00000000-0005-0000-0000-0000CB620000}"/>
    <cellStyle name="Normal 2 2 14 4 2 2" xfId="25293" xr:uid="{00000000-0005-0000-0000-0000CC620000}"/>
    <cellStyle name="Normal 2 2 14 4 3" xfId="25294" xr:uid="{00000000-0005-0000-0000-0000CD620000}"/>
    <cellStyle name="Normal 2 2 14 5" xfId="25295" xr:uid="{00000000-0005-0000-0000-0000CE620000}"/>
    <cellStyle name="Normal 2 2 14 5 2" xfId="25296" xr:uid="{00000000-0005-0000-0000-0000CF620000}"/>
    <cellStyle name="Normal 2 2 14 5 2 2" xfId="25297" xr:uid="{00000000-0005-0000-0000-0000D0620000}"/>
    <cellStyle name="Normal 2 2 14 5 3" xfId="25298" xr:uid="{00000000-0005-0000-0000-0000D1620000}"/>
    <cellStyle name="Normal 2 2 14 6" xfId="25299" xr:uid="{00000000-0005-0000-0000-0000D2620000}"/>
    <cellStyle name="Normal 2 2 14 6 2" xfId="25300" xr:uid="{00000000-0005-0000-0000-0000D3620000}"/>
    <cellStyle name="Normal 2 2 14 6 2 2" xfId="25301" xr:uid="{00000000-0005-0000-0000-0000D4620000}"/>
    <cellStyle name="Normal 2 2 14 6 3" xfId="25302" xr:uid="{00000000-0005-0000-0000-0000D5620000}"/>
    <cellStyle name="Normal 2 2 14 7" xfId="25303" xr:uid="{00000000-0005-0000-0000-0000D6620000}"/>
    <cellStyle name="Normal 2 2 14 7 2" xfId="25304" xr:uid="{00000000-0005-0000-0000-0000D7620000}"/>
    <cellStyle name="Normal 2 2 14 8" xfId="25305" xr:uid="{00000000-0005-0000-0000-0000D8620000}"/>
    <cellStyle name="Normal 2 2 15" xfId="25306" xr:uid="{00000000-0005-0000-0000-0000D9620000}"/>
    <cellStyle name="Normal 2 2 15 2" xfId="25307" xr:uid="{00000000-0005-0000-0000-0000DA620000}"/>
    <cellStyle name="Normal 2 2 15 2 2" xfId="25308" xr:uid="{00000000-0005-0000-0000-0000DB620000}"/>
    <cellStyle name="Normal 2 2 15 2 2 2" xfId="25309" xr:uid="{00000000-0005-0000-0000-0000DC620000}"/>
    <cellStyle name="Normal 2 2 15 2 2 2 2" xfId="25310" xr:uid="{00000000-0005-0000-0000-0000DD620000}"/>
    <cellStyle name="Normal 2 2 15 2 2 3" xfId="25311" xr:uid="{00000000-0005-0000-0000-0000DE620000}"/>
    <cellStyle name="Normal 2 2 15 2 3" xfId="25312" xr:uid="{00000000-0005-0000-0000-0000DF620000}"/>
    <cellStyle name="Normal 2 2 15 2 3 2" xfId="25313" xr:uid="{00000000-0005-0000-0000-0000E0620000}"/>
    <cellStyle name="Normal 2 2 15 2 4" xfId="25314" xr:uid="{00000000-0005-0000-0000-0000E1620000}"/>
    <cellStyle name="Normal 2 2 15 3" xfId="25315" xr:uid="{00000000-0005-0000-0000-0000E2620000}"/>
    <cellStyle name="Normal 2 2 15 3 2" xfId="25316" xr:uid="{00000000-0005-0000-0000-0000E3620000}"/>
    <cellStyle name="Normal 2 2 15 3 2 2" xfId="25317" xr:uid="{00000000-0005-0000-0000-0000E4620000}"/>
    <cellStyle name="Normal 2 2 15 3 3" xfId="25318" xr:uid="{00000000-0005-0000-0000-0000E5620000}"/>
    <cellStyle name="Normal 2 2 15 4" xfId="25319" xr:uid="{00000000-0005-0000-0000-0000E6620000}"/>
    <cellStyle name="Normal 2 2 15 4 2" xfId="25320" xr:uid="{00000000-0005-0000-0000-0000E7620000}"/>
    <cellStyle name="Normal 2 2 15 4 2 2" xfId="25321" xr:uid="{00000000-0005-0000-0000-0000E8620000}"/>
    <cellStyle name="Normal 2 2 15 4 3" xfId="25322" xr:uid="{00000000-0005-0000-0000-0000E9620000}"/>
    <cellStyle name="Normal 2 2 15 5" xfId="25323" xr:uid="{00000000-0005-0000-0000-0000EA620000}"/>
    <cellStyle name="Normal 2 2 15 5 2" xfId="25324" xr:uid="{00000000-0005-0000-0000-0000EB620000}"/>
    <cellStyle name="Normal 2 2 15 5 2 2" xfId="25325" xr:uid="{00000000-0005-0000-0000-0000EC620000}"/>
    <cellStyle name="Normal 2 2 15 5 3" xfId="25326" xr:uid="{00000000-0005-0000-0000-0000ED620000}"/>
    <cellStyle name="Normal 2 2 15 6" xfId="25327" xr:uid="{00000000-0005-0000-0000-0000EE620000}"/>
    <cellStyle name="Normal 2 2 15 6 2" xfId="25328" xr:uid="{00000000-0005-0000-0000-0000EF620000}"/>
    <cellStyle name="Normal 2 2 15 6 2 2" xfId="25329" xr:uid="{00000000-0005-0000-0000-0000F0620000}"/>
    <cellStyle name="Normal 2 2 15 6 3" xfId="25330" xr:uid="{00000000-0005-0000-0000-0000F1620000}"/>
    <cellStyle name="Normal 2 2 15 7" xfId="25331" xr:uid="{00000000-0005-0000-0000-0000F2620000}"/>
    <cellStyle name="Normal 2 2 15 7 2" xfId="25332" xr:uid="{00000000-0005-0000-0000-0000F3620000}"/>
    <cellStyle name="Normal 2 2 15 8" xfId="25333" xr:uid="{00000000-0005-0000-0000-0000F4620000}"/>
    <cellStyle name="Normal 2 2 16" xfId="25334" xr:uid="{00000000-0005-0000-0000-0000F5620000}"/>
    <cellStyle name="Normal 2 2 16 2" xfId="25335" xr:uid="{00000000-0005-0000-0000-0000F6620000}"/>
    <cellStyle name="Normal 2 2 16 2 2" xfId="25336" xr:uid="{00000000-0005-0000-0000-0000F7620000}"/>
    <cellStyle name="Normal 2 2 16 2 2 2" xfId="25337" xr:uid="{00000000-0005-0000-0000-0000F8620000}"/>
    <cellStyle name="Normal 2 2 16 2 2 2 2" xfId="25338" xr:uid="{00000000-0005-0000-0000-0000F9620000}"/>
    <cellStyle name="Normal 2 2 16 2 2 3" xfId="25339" xr:uid="{00000000-0005-0000-0000-0000FA620000}"/>
    <cellStyle name="Normal 2 2 16 2 3" xfId="25340" xr:uid="{00000000-0005-0000-0000-0000FB620000}"/>
    <cellStyle name="Normal 2 2 16 2 3 2" xfId="25341" xr:uid="{00000000-0005-0000-0000-0000FC620000}"/>
    <cellStyle name="Normal 2 2 16 2 4" xfId="25342" xr:uid="{00000000-0005-0000-0000-0000FD620000}"/>
    <cellStyle name="Normal 2 2 16 3" xfId="25343" xr:uid="{00000000-0005-0000-0000-0000FE620000}"/>
    <cellStyle name="Normal 2 2 16 3 2" xfId="25344" xr:uid="{00000000-0005-0000-0000-0000FF620000}"/>
    <cellStyle name="Normal 2 2 16 3 2 2" xfId="25345" xr:uid="{00000000-0005-0000-0000-000000630000}"/>
    <cellStyle name="Normal 2 2 16 3 3" xfId="25346" xr:uid="{00000000-0005-0000-0000-000001630000}"/>
    <cellStyle name="Normal 2 2 16 4" xfId="25347" xr:uid="{00000000-0005-0000-0000-000002630000}"/>
    <cellStyle name="Normal 2 2 16 4 2" xfId="25348" xr:uid="{00000000-0005-0000-0000-000003630000}"/>
    <cellStyle name="Normal 2 2 16 5" xfId="25349" xr:uid="{00000000-0005-0000-0000-000004630000}"/>
    <cellStyle name="Normal 2 2 17" xfId="25350" xr:uid="{00000000-0005-0000-0000-000005630000}"/>
    <cellStyle name="Normal 2 2 17 2" xfId="25351" xr:uid="{00000000-0005-0000-0000-000006630000}"/>
    <cellStyle name="Normal 2 2 17 2 2" xfId="25352" xr:uid="{00000000-0005-0000-0000-000007630000}"/>
    <cellStyle name="Normal 2 2 17 2 2 2" xfId="25353" xr:uid="{00000000-0005-0000-0000-000008630000}"/>
    <cellStyle name="Normal 2 2 17 2 2 2 2" xfId="25354" xr:uid="{00000000-0005-0000-0000-000009630000}"/>
    <cellStyle name="Normal 2 2 17 2 2 3" xfId="25355" xr:uid="{00000000-0005-0000-0000-00000A630000}"/>
    <cellStyle name="Normal 2 2 17 2 3" xfId="25356" xr:uid="{00000000-0005-0000-0000-00000B630000}"/>
    <cellStyle name="Normal 2 2 17 2 3 2" xfId="25357" xr:uid="{00000000-0005-0000-0000-00000C630000}"/>
    <cellStyle name="Normal 2 2 17 2 4" xfId="25358" xr:uid="{00000000-0005-0000-0000-00000D630000}"/>
    <cellStyle name="Normal 2 2 17 3" xfId="25359" xr:uid="{00000000-0005-0000-0000-00000E630000}"/>
    <cellStyle name="Normal 2 2 17 3 2" xfId="25360" xr:uid="{00000000-0005-0000-0000-00000F630000}"/>
    <cellStyle name="Normal 2 2 17 3 2 2" xfId="25361" xr:uid="{00000000-0005-0000-0000-000010630000}"/>
    <cellStyle name="Normal 2 2 17 3 3" xfId="25362" xr:uid="{00000000-0005-0000-0000-000011630000}"/>
    <cellStyle name="Normal 2 2 17 4" xfId="25363" xr:uid="{00000000-0005-0000-0000-000012630000}"/>
    <cellStyle name="Normal 2 2 17 4 2" xfId="25364" xr:uid="{00000000-0005-0000-0000-000013630000}"/>
    <cellStyle name="Normal 2 2 17 5" xfId="25365" xr:uid="{00000000-0005-0000-0000-000014630000}"/>
    <cellStyle name="Normal 2 2 18" xfId="25366" xr:uid="{00000000-0005-0000-0000-000015630000}"/>
    <cellStyle name="Normal 2 2 18 2" xfId="25367" xr:uid="{00000000-0005-0000-0000-000016630000}"/>
    <cellStyle name="Normal 2 2 18 2 2" xfId="25368" xr:uid="{00000000-0005-0000-0000-000017630000}"/>
    <cellStyle name="Normal 2 2 18 2 2 2" xfId="25369" xr:uid="{00000000-0005-0000-0000-000018630000}"/>
    <cellStyle name="Normal 2 2 18 2 2 2 2" xfId="25370" xr:uid="{00000000-0005-0000-0000-000019630000}"/>
    <cellStyle name="Normal 2 2 18 2 2 3" xfId="25371" xr:uid="{00000000-0005-0000-0000-00001A630000}"/>
    <cellStyle name="Normal 2 2 18 2 3" xfId="25372" xr:uid="{00000000-0005-0000-0000-00001B630000}"/>
    <cellStyle name="Normal 2 2 18 2 3 2" xfId="25373" xr:uid="{00000000-0005-0000-0000-00001C630000}"/>
    <cellStyle name="Normal 2 2 18 2 4" xfId="25374" xr:uid="{00000000-0005-0000-0000-00001D630000}"/>
    <cellStyle name="Normal 2 2 18 3" xfId="25375" xr:uid="{00000000-0005-0000-0000-00001E630000}"/>
    <cellStyle name="Normal 2 2 18 3 2" xfId="25376" xr:uid="{00000000-0005-0000-0000-00001F630000}"/>
    <cellStyle name="Normal 2 2 18 3 2 2" xfId="25377" xr:uid="{00000000-0005-0000-0000-000020630000}"/>
    <cellStyle name="Normal 2 2 18 3 3" xfId="25378" xr:uid="{00000000-0005-0000-0000-000021630000}"/>
    <cellStyle name="Normal 2 2 18 4" xfId="25379" xr:uid="{00000000-0005-0000-0000-000022630000}"/>
    <cellStyle name="Normal 2 2 18 4 2" xfId="25380" xr:uid="{00000000-0005-0000-0000-000023630000}"/>
    <cellStyle name="Normal 2 2 18 5" xfId="25381" xr:uid="{00000000-0005-0000-0000-000024630000}"/>
    <cellStyle name="Normal 2 2 19" xfId="25382" xr:uid="{00000000-0005-0000-0000-000025630000}"/>
    <cellStyle name="Normal 2 2 19 2" xfId="25383" xr:uid="{00000000-0005-0000-0000-000026630000}"/>
    <cellStyle name="Normal 2 2 19 2 2" xfId="25384" xr:uid="{00000000-0005-0000-0000-000027630000}"/>
    <cellStyle name="Normal 2 2 19 2 2 2" xfId="25385" xr:uid="{00000000-0005-0000-0000-000028630000}"/>
    <cellStyle name="Normal 2 2 19 2 3" xfId="25386" xr:uid="{00000000-0005-0000-0000-000029630000}"/>
    <cellStyle name="Normal 2 2 19 3" xfId="25387" xr:uid="{00000000-0005-0000-0000-00002A630000}"/>
    <cellStyle name="Normal 2 2 19 3 2" xfId="25388" xr:uid="{00000000-0005-0000-0000-00002B630000}"/>
    <cellStyle name="Normal 2 2 19 4" xfId="25389" xr:uid="{00000000-0005-0000-0000-00002C630000}"/>
    <cellStyle name="Normal 2 2 2" xfId="25390" xr:uid="{00000000-0005-0000-0000-00002D630000}"/>
    <cellStyle name="Normal 2 2 2 10" xfId="25391" xr:uid="{00000000-0005-0000-0000-00002E630000}"/>
    <cellStyle name="Normal 2 2 2 10 2" xfId="25392" xr:uid="{00000000-0005-0000-0000-00002F630000}"/>
    <cellStyle name="Normal 2 2 2 10 2 2" xfId="25393" xr:uid="{00000000-0005-0000-0000-000030630000}"/>
    <cellStyle name="Normal 2 2 2 10 2 2 2" xfId="25394" xr:uid="{00000000-0005-0000-0000-000031630000}"/>
    <cellStyle name="Normal 2 2 2 10 2 2 2 2" xfId="25395" xr:uid="{00000000-0005-0000-0000-000032630000}"/>
    <cellStyle name="Normal 2 2 2 10 2 2 3" xfId="25396" xr:uid="{00000000-0005-0000-0000-000033630000}"/>
    <cellStyle name="Normal 2 2 2 10 2 3" xfId="25397" xr:uid="{00000000-0005-0000-0000-000034630000}"/>
    <cellStyle name="Normal 2 2 2 10 2 3 2" xfId="25398" xr:uid="{00000000-0005-0000-0000-000035630000}"/>
    <cellStyle name="Normal 2 2 2 10 2 4" xfId="25399" xr:uid="{00000000-0005-0000-0000-000036630000}"/>
    <cellStyle name="Normal 2 2 2 10 3" xfId="25400" xr:uid="{00000000-0005-0000-0000-000037630000}"/>
    <cellStyle name="Normal 2 2 2 10 3 2" xfId="25401" xr:uid="{00000000-0005-0000-0000-000038630000}"/>
    <cellStyle name="Normal 2 2 2 10 3 2 2" xfId="25402" xr:uid="{00000000-0005-0000-0000-000039630000}"/>
    <cellStyle name="Normal 2 2 2 10 3 3" xfId="25403" xr:uid="{00000000-0005-0000-0000-00003A630000}"/>
    <cellStyle name="Normal 2 2 2 10 4" xfId="25404" xr:uid="{00000000-0005-0000-0000-00003B630000}"/>
    <cellStyle name="Normal 2 2 2 10 4 2" xfId="25405" xr:uid="{00000000-0005-0000-0000-00003C630000}"/>
    <cellStyle name="Normal 2 2 2 10 4 2 2" xfId="25406" xr:uid="{00000000-0005-0000-0000-00003D630000}"/>
    <cellStyle name="Normal 2 2 2 10 4 3" xfId="25407" xr:uid="{00000000-0005-0000-0000-00003E630000}"/>
    <cellStyle name="Normal 2 2 2 10 5" xfId="25408" xr:uid="{00000000-0005-0000-0000-00003F630000}"/>
    <cellStyle name="Normal 2 2 2 10 5 2" xfId="25409" xr:uid="{00000000-0005-0000-0000-000040630000}"/>
    <cellStyle name="Normal 2 2 2 10 5 2 2" xfId="25410" xr:uid="{00000000-0005-0000-0000-000041630000}"/>
    <cellStyle name="Normal 2 2 2 10 5 3" xfId="25411" xr:uid="{00000000-0005-0000-0000-000042630000}"/>
    <cellStyle name="Normal 2 2 2 10 6" xfId="25412" xr:uid="{00000000-0005-0000-0000-000043630000}"/>
    <cellStyle name="Normal 2 2 2 10 6 2" xfId="25413" xr:uid="{00000000-0005-0000-0000-000044630000}"/>
    <cellStyle name="Normal 2 2 2 10 6 2 2" xfId="25414" xr:uid="{00000000-0005-0000-0000-000045630000}"/>
    <cellStyle name="Normal 2 2 2 10 6 3" xfId="25415" xr:uid="{00000000-0005-0000-0000-000046630000}"/>
    <cellStyle name="Normal 2 2 2 10 7" xfId="25416" xr:uid="{00000000-0005-0000-0000-000047630000}"/>
    <cellStyle name="Normal 2 2 2 10 7 2" xfId="25417" xr:uid="{00000000-0005-0000-0000-000048630000}"/>
    <cellStyle name="Normal 2 2 2 10 8" xfId="25418" xr:uid="{00000000-0005-0000-0000-000049630000}"/>
    <cellStyle name="Normal 2 2 2 11" xfId="25419" xr:uid="{00000000-0005-0000-0000-00004A630000}"/>
    <cellStyle name="Normal 2 2 2 11 2" xfId="25420" xr:uid="{00000000-0005-0000-0000-00004B630000}"/>
    <cellStyle name="Normal 2 2 2 11 2 2" xfId="25421" xr:uid="{00000000-0005-0000-0000-00004C630000}"/>
    <cellStyle name="Normal 2 2 2 11 2 2 2" xfId="25422" xr:uid="{00000000-0005-0000-0000-00004D630000}"/>
    <cellStyle name="Normal 2 2 2 11 2 2 2 2" xfId="25423" xr:uid="{00000000-0005-0000-0000-00004E630000}"/>
    <cellStyle name="Normal 2 2 2 11 2 2 3" xfId="25424" xr:uid="{00000000-0005-0000-0000-00004F630000}"/>
    <cellStyle name="Normal 2 2 2 11 2 3" xfId="25425" xr:uid="{00000000-0005-0000-0000-000050630000}"/>
    <cellStyle name="Normal 2 2 2 11 2 3 2" xfId="25426" xr:uid="{00000000-0005-0000-0000-000051630000}"/>
    <cellStyle name="Normal 2 2 2 11 2 4" xfId="25427" xr:uid="{00000000-0005-0000-0000-000052630000}"/>
    <cellStyle name="Normal 2 2 2 11 3" xfId="25428" xr:uid="{00000000-0005-0000-0000-000053630000}"/>
    <cellStyle name="Normal 2 2 2 11 3 2" xfId="25429" xr:uid="{00000000-0005-0000-0000-000054630000}"/>
    <cellStyle name="Normal 2 2 2 11 3 2 2" xfId="25430" xr:uid="{00000000-0005-0000-0000-000055630000}"/>
    <cellStyle name="Normal 2 2 2 11 3 3" xfId="25431" xr:uid="{00000000-0005-0000-0000-000056630000}"/>
    <cellStyle name="Normal 2 2 2 11 4" xfId="25432" xr:uid="{00000000-0005-0000-0000-000057630000}"/>
    <cellStyle name="Normal 2 2 2 11 4 2" xfId="25433" xr:uid="{00000000-0005-0000-0000-000058630000}"/>
    <cellStyle name="Normal 2 2 2 11 4 2 2" xfId="25434" xr:uid="{00000000-0005-0000-0000-000059630000}"/>
    <cellStyle name="Normal 2 2 2 11 4 3" xfId="25435" xr:uid="{00000000-0005-0000-0000-00005A630000}"/>
    <cellStyle name="Normal 2 2 2 11 5" xfId="25436" xr:uid="{00000000-0005-0000-0000-00005B630000}"/>
    <cellStyle name="Normal 2 2 2 11 5 2" xfId="25437" xr:uid="{00000000-0005-0000-0000-00005C630000}"/>
    <cellStyle name="Normal 2 2 2 11 5 2 2" xfId="25438" xr:uid="{00000000-0005-0000-0000-00005D630000}"/>
    <cellStyle name="Normal 2 2 2 11 5 3" xfId="25439" xr:uid="{00000000-0005-0000-0000-00005E630000}"/>
    <cellStyle name="Normal 2 2 2 11 6" xfId="25440" xr:uid="{00000000-0005-0000-0000-00005F630000}"/>
    <cellStyle name="Normal 2 2 2 11 6 2" xfId="25441" xr:uid="{00000000-0005-0000-0000-000060630000}"/>
    <cellStyle name="Normal 2 2 2 11 6 2 2" xfId="25442" xr:uid="{00000000-0005-0000-0000-000061630000}"/>
    <cellStyle name="Normal 2 2 2 11 6 3" xfId="25443" xr:uid="{00000000-0005-0000-0000-000062630000}"/>
    <cellStyle name="Normal 2 2 2 11 7" xfId="25444" xr:uid="{00000000-0005-0000-0000-000063630000}"/>
    <cellStyle name="Normal 2 2 2 11 7 2" xfId="25445" xr:uid="{00000000-0005-0000-0000-000064630000}"/>
    <cellStyle name="Normal 2 2 2 11 8" xfId="25446" xr:uid="{00000000-0005-0000-0000-000065630000}"/>
    <cellStyle name="Normal 2 2 2 12" xfId="25447" xr:uid="{00000000-0005-0000-0000-000066630000}"/>
    <cellStyle name="Normal 2 2 2 12 2" xfId="25448" xr:uid="{00000000-0005-0000-0000-000067630000}"/>
    <cellStyle name="Normal 2 2 2 12 2 2" xfId="25449" xr:uid="{00000000-0005-0000-0000-000068630000}"/>
    <cellStyle name="Normal 2 2 2 12 2 2 2" xfId="25450" xr:uid="{00000000-0005-0000-0000-000069630000}"/>
    <cellStyle name="Normal 2 2 2 12 2 2 2 2" xfId="25451" xr:uid="{00000000-0005-0000-0000-00006A630000}"/>
    <cellStyle name="Normal 2 2 2 12 2 2 3" xfId="25452" xr:uid="{00000000-0005-0000-0000-00006B630000}"/>
    <cellStyle name="Normal 2 2 2 12 2 3" xfId="25453" xr:uid="{00000000-0005-0000-0000-00006C630000}"/>
    <cellStyle name="Normal 2 2 2 12 2 3 2" xfId="25454" xr:uid="{00000000-0005-0000-0000-00006D630000}"/>
    <cellStyle name="Normal 2 2 2 12 2 4" xfId="25455" xr:uid="{00000000-0005-0000-0000-00006E630000}"/>
    <cellStyle name="Normal 2 2 2 12 3" xfId="25456" xr:uid="{00000000-0005-0000-0000-00006F630000}"/>
    <cellStyle name="Normal 2 2 2 12 3 2" xfId="25457" xr:uid="{00000000-0005-0000-0000-000070630000}"/>
    <cellStyle name="Normal 2 2 2 12 3 2 2" xfId="25458" xr:uid="{00000000-0005-0000-0000-000071630000}"/>
    <cellStyle name="Normal 2 2 2 12 3 3" xfId="25459" xr:uid="{00000000-0005-0000-0000-000072630000}"/>
    <cellStyle name="Normal 2 2 2 12 4" xfId="25460" xr:uid="{00000000-0005-0000-0000-000073630000}"/>
    <cellStyle name="Normal 2 2 2 12 4 2" xfId="25461" xr:uid="{00000000-0005-0000-0000-000074630000}"/>
    <cellStyle name="Normal 2 2 2 12 4 2 2" xfId="25462" xr:uid="{00000000-0005-0000-0000-000075630000}"/>
    <cellStyle name="Normal 2 2 2 12 4 3" xfId="25463" xr:uid="{00000000-0005-0000-0000-000076630000}"/>
    <cellStyle name="Normal 2 2 2 12 5" xfId="25464" xr:uid="{00000000-0005-0000-0000-000077630000}"/>
    <cellStyle name="Normal 2 2 2 12 5 2" xfId="25465" xr:uid="{00000000-0005-0000-0000-000078630000}"/>
    <cellStyle name="Normal 2 2 2 12 5 2 2" xfId="25466" xr:uid="{00000000-0005-0000-0000-000079630000}"/>
    <cellStyle name="Normal 2 2 2 12 5 3" xfId="25467" xr:uid="{00000000-0005-0000-0000-00007A630000}"/>
    <cellStyle name="Normal 2 2 2 12 6" xfId="25468" xr:uid="{00000000-0005-0000-0000-00007B630000}"/>
    <cellStyle name="Normal 2 2 2 12 6 2" xfId="25469" xr:uid="{00000000-0005-0000-0000-00007C630000}"/>
    <cellStyle name="Normal 2 2 2 12 6 2 2" xfId="25470" xr:uid="{00000000-0005-0000-0000-00007D630000}"/>
    <cellStyle name="Normal 2 2 2 12 6 3" xfId="25471" xr:uid="{00000000-0005-0000-0000-00007E630000}"/>
    <cellStyle name="Normal 2 2 2 12 7" xfId="25472" xr:uid="{00000000-0005-0000-0000-00007F630000}"/>
    <cellStyle name="Normal 2 2 2 12 7 2" xfId="25473" xr:uid="{00000000-0005-0000-0000-000080630000}"/>
    <cellStyle name="Normal 2 2 2 12 8" xfId="25474" xr:uid="{00000000-0005-0000-0000-000081630000}"/>
    <cellStyle name="Normal 2 2 2 13" xfId="25475" xr:uid="{00000000-0005-0000-0000-000082630000}"/>
    <cellStyle name="Normal 2 2 2 13 2" xfId="25476" xr:uid="{00000000-0005-0000-0000-000083630000}"/>
    <cellStyle name="Normal 2 2 2 13 2 2" xfId="25477" xr:uid="{00000000-0005-0000-0000-000084630000}"/>
    <cellStyle name="Normal 2 2 2 13 2 2 2" xfId="25478" xr:uid="{00000000-0005-0000-0000-000085630000}"/>
    <cellStyle name="Normal 2 2 2 13 2 2 2 2" xfId="25479" xr:uid="{00000000-0005-0000-0000-000086630000}"/>
    <cellStyle name="Normal 2 2 2 13 2 2 3" xfId="25480" xr:uid="{00000000-0005-0000-0000-000087630000}"/>
    <cellStyle name="Normal 2 2 2 13 2 3" xfId="25481" xr:uid="{00000000-0005-0000-0000-000088630000}"/>
    <cellStyle name="Normal 2 2 2 13 2 3 2" xfId="25482" xr:uid="{00000000-0005-0000-0000-000089630000}"/>
    <cellStyle name="Normal 2 2 2 13 2 4" xfId="25483" xr:uid="{00000000-0005-0000-0000-00008A630000}"/>
    <cellStyle name="Normal 2 2 2 13 3" xfId="25484" xr:uid="{00000000-0005-0000-0000-00008B630000}"/>
    <cellStyle name="Normal 2 2 2 13 3 2" xfId="25485" xr:uid="{00000000-0005-0000-0000-00008C630000}"/>
    <cellStyle name="Normal 2 2 2 13 3 2 2" xfId="25486" xr:uid="{00000000-0005-0000-0000-00008D630000}"/>
    <cellStyle name="Normal 2 2 2 13 3 3" xfId="25487" xr:uid="{00000000-0005-0000-0000-00008E630000}"/>
    <cellStyle name="Normal 2 2 2 13 4" xfId="25488" xr:uid="{00000000-0005-0000-0000-00008F630000}"/>
    <cellStyle name="Normal 2 2 2 13 4 2" xfId="25489" xr:uid="{00000000-0005-0000-0000-000090630000}"/>
    <cellStyle name="Normal 2 2 2 13 5" xfId="25490" xr:uid="{00000000-0005-0000-0000-000091630000}"/>
    <cellStyle name="Normal 2 2 2 14" xfId="25491" xr:uid="{00000000-0005-0000-0000-000092630000}"/>
    <cellStyle name="Normal 2 2 2 14 2" xfId="25492" xr:uid="{00000000-0005-0000-0000-000093630000}"/>
    <cellStyle name="Normal 2 2 2 14 2 2" xfId="25493" xr:uid="{00000000-0005-0000-0000-000094630000}"/>
    <cellStyle name="Normal 2 2 2 14 2 2 2" xfId="25494" xr:uid="{00000000-0005-0000-0000-000095630000}"/>
    <cellStyle name="Normal 2 2 2 14 2 2 2 2" xfId="25495" xr:uid="{00000000-0005-0000-0000-000096630000}"/>
    <cellStyle name="Normal 2 2 2 14 2 2 3" xfId="25496" xr:uid="{00000000-0005-0000-0000-000097630000}"/>
    <cellStyle name="Normal 2 2 2 14 2 3" xfId="25497" xr:uid="{00000000-0005-0000-0000-000098630000}"/>
    <cellStyle name="Normal 2 2 2 14 2 3 2" xfId="25498" xr:uid="{00000000-0005-0000-0000-000099630000}"/>
    <cellStyle name="Normal 2 2 2 14 2 4" xfId="25499" xr:uid="{00000000-0005-0000-0000-00009A630000}"/>
    <cellStyle name="Normal 2 2 2 14 3" xfId="25500" xr:uid="{00000000-0005-0000-0000-00009B630000}"/>
    <cellStyle name="Normal 2 2 2 14 3 2" xfId="25501" xr:uid="{00000000-0005-0000-0000-00009C630000}"/>
    <cellStyle name="Normal 2 2 2 14 3 2 2" xfId="25502" xr:uid="{00000000-0005-0000-0000-00009D630000}"/>
    <cellStyle name="Normal 2 2 2 14 3 3" xfId="25503" xr:uid="{00000000-0005-0000-0000-00009E630000}"/>
    <cellStyle name="Normal 2 2 2 14 4" xfId="25504" xr:uid="{00000000-0005-0000-0000-00009F630000}"/>
    <cellStyle name="Normal 2 2 2 14 4 2" xfId="25505" xr:uid="{00000000-0005-0000-0000-0000A0630000}"/>
    <cellStyle name="Normal 2 2 2 14 5" xfId="25506" xr:uid="{00000000-0005-0000-0000-0000A1630000}"/>
    <cellStyle name="Normal 2 2 2 15" xfId="25507" xr:uid="{00000000-0005-0000-0000-0000A2630000}"/>
    <cellStyle name="Normal 2 2 2 15 2" xfId="25508" xr:uid="{00000000-0005-0000-0000-0000A3630000}"/>
    <cellStyle name="Normal 2 2 2 15 2 2" xfId="25509" xr:uid="{00000000-0005-0000-0000-0000A4630000}"/>
    <cellStyle name="Normal 2 2 2 15 2 2 2" xfId="25510" xr:uid="{00000000-0005-0000-0000-0000A5630000}"/>
    <cellStyle name="Normal 2 2 2 15 2 2 2 2" xfId="25511" xr:uid="{00000000-0005-0000-0000-0000A6630000}"/>
    <cellStyle name="Normal 2 2 2 15 2 2 3" xfId="25512" xr:uid="{00000000-0005-0000-0000-0000A7630000}"/>
    <cellStyle name="Normal 2 2 2 15 2 3" xfId="25513" xr:uid="{00000000-0005-0000-0000-0000A8630000}"/>
    <cellStyle name="Normal 2 2 2 15 2 3 2" xfId="25514" xr:uid="{00000000-0005-0000-0000-0000A9630000}"/>
    <cellStyle name="Normal 2 2 2 15 2 4" xfId="25515" xr:uid="{00000000-0005-0000-0000-0000AA630000}"/>
    <cellStyle name="Normal 2 2 2 15 3" xfId="25516" xr:uid="{00000000-0005-0000-0000-0000AB630000}"/>
    <cellStyle name="Normal 2 2 2 15 3 2" xfId="25517" xr:uid="{00000000-0005-0000-0000-0000AC630000}"/>
    <cellStyle name="Normal 2 2 2 15 3 2 2" xfId="25518" xr:uid="{00000000-0005-0000-0000-0000AD630000}"/>
    <cellStyle name="Normal 2 2 2 15 3 3" xfId="25519" xr:uid="{00000000-0005-0000-0000-0000AE630000}"/>
    <cellStyle name="Normal 2 2 2 15 4" xfId="25520" xr:uid="{00000000-0005-0000-0000-0000AF630000}"/>
    <cellStyle name="Normal 2 2 2 15 4 2" xfId="25521" xr:uid="{00000000-0005-0000-0000-0000B0630000}"/>
    <cellStyle name="Normal 2 2 2 15 5" xfId="25522" xr:uid="{00000000-0005-0000-0000-0000B1630000}"/>
    <cellStyle name="Normal 2 2 2 16" xfId="25523" xr:uid="{00000000-0005-0000-0000-0000B2630000}"/>
    <cellStyle name="Normal 2 2 2 16 2" xfId="25524" xr:uid="{00000000-0005-0000-0000-0000B3630000}"/>
    <cellStyle name="Normal 2 2 2 16 2 2" xfId="25525" xr:uid="{00000000-0005-0000-0000-0000B4630000}"/>
    <cellStyle name="Normal 2 2 2 16 2 2 2" xfId="25526" xr:uid="{00000000-0005-0000-0000-0000B5630000}"/>
    <cellStyle name="Normal 2 2 2 16 2 3" xfId="25527" xr:uid="{00000000-0005-0000-0000-0000B6630000}"/>
    <cellStyle name="Normal 2 2 2 16 3" xfId="25528" xr:uid="{00000000-0005-0000-0000-0000B7630000}"/>
    <cellStyle name="Normal 2 2 2 16 3 2" xfId="25529" xr:uid="{00000000-0005-0000-0000-0000B8630000}"/>
    <cellStyle name="Normal 2 2 2 16 4" xfId="25530" xr:uid="{00000000-0005-0000-0000-0000B9630000}"/>
    <cellStyle name="Normal 2 2 2 17" xfId="25531" xr:uid="{00000000-0005-0000-0000-0000BA630000}"/>
    <cellStyle name="Normal 2 2 2 17 2" xfId="25532" xr:uid="{00000000-0005-0000-0000-0000BB630000}"/>
    <cellStyle name="Normal 2 2 2 17 2 2" xfId="25533" xr:uid="{00000000-0005-0000-0000-0000BC630000}"/>
    <cellStyle name="Normal 2 2 2 17 2 2 2" xfId="25534" xr:uid="{00000000-0005-0000-0000-0000BD630000}"/>
    <cellStyle name="Normal 2 2 2 17 2 3" xfId="25535" xr:uid="{00000000-0005-0000-0000-0000BE630000}"/>
    <cellStyle name="Normal 2 2 2 17 3" xfId="25536" xr:uid="{00000000-0005-0000-0000-0000BF630000}"/>
    <cellStyle name="Normal 2 2 2 17 3 2" xfId="25537" xr:uid="{00000000-0005-0000-0000-0000C0630000}"/>
    <cellStyle name="Normal 2 2 2 17 4" xfId="25538" xr:uid="{00000000-0005-0000-0000-0000C1630000}"/>
    <cellStyle name="Normal 2 2 2 18" xfId="25539" xr:uid="{00000000-0005-0000-0000-0000C2630000}"/>
    <cellStyle name="Normal 2 2 2 18 2" xfId="25540" xr:uid="{00000000-0005-0000-0000-0000C3630000}"/>
    <cellStyle name="Normal 2 2 2 18 2 2" xfId="25541" xr:uid="{00000000-0005-0000-0000-0000C4630000}"/>
    <cellStyle name="Normal 2 2 2 18 3" xfId="25542" xr:uid="{00000000-0005-0000-0000-0000C5630000}"/>
    <cellStyle name="Normal 2 2 2 19" xfId="25543" xr:uid="{00000000-0005-0000-0000-0000C6630000}"/>
    <cellStyle name="Normal 2 2 2 19 2" xfId="25544" xr:uid="{00000000-0005-0000-0000-0000C7630000}"/>
    <cellStyle name="Normal 2 2 2 19 2 2" xfId="25545" xr:uid="{00000000-0005-0000-0000-0000C8630000}"/>
    <cellStyle name="Normal 2 2 2 19 3" xfId="25546" xr:uid="{00000000-0005-0000-0000-0000C9630000}"/>
    <cellStyle name="Normal 2 2 2 2" xfId="25547" xr:uid="{00000000-0005-0000-0000-0000CA630000}"/>
    <cellStyle name="Normal 2 2 2 2 10" xfId="25548" xr:uid="{00000000-0005-0000-0000-0000CB630000}"/>
    <cellStyle name="Normal 2 2 2 2 10 2" xfId="25549" xr:uid="{00000000-0005-0000-0000-0000CC630000}"/>
    <cellStyle name="Normal 2 2 2 2 10 2 2" xfId="25550" xr:uid="{00000000-0005-0000-0000-0000CD630000}"/>
    <cellStyle name="Normal 2 2 2 2 10 2 2 2" xfId="25551" xr:uid="{00000000-0005-0000-0000-0000CE630000}"/>
    <cellStyle name="Normal 2 2 2 2 10 2 2 2 2" xfId="25552" xr:uid="{00000000-0005-0000-0000-0000CF630000}"/>
    <cellStyle name="Normal 2 2 2 2 10 2 2 3" xfId="25553" xr:uid="{00000000-0005-0000-0000-0000D0630000}"/>
    <cellStyle name="Normal 2 2 2 2 10 2 3" xfId="25554" xr:uid="{00000000-0005-0000-0000-0000D1630000}"/>
    <cellStyle name="Normal 2 2 2 2 10 2 3 2" xfId="25555" xr:uid="{00000000-0005-0000-0000-0000D2630000}"/>
    <cellStyle name="Normal 2 2 2 2 10 2 4" xfId="25556" xr:uid="{00000000-0005-0000-0000-0000D3630000}"/>
    <cellStyle name="Normal 2 2 2 2 10 3" xfId="25557" xr:uid="{00000000-0005-0000-0000-0000D4630000}"/>
    <cellStyle name="Normal 2 2 2 2 10 3 2" xfId="25558" xr:uid="{00000000-0005-0000-0000-0000D5630000}"/>
    <cellStyle name="Normal 2 2 2 2 10 3 2 2" xfId="25559" xr:uid="{00000000-0005-0000-0000-0000D6630000}"/>
    <cellStyle name="Normal 2 2 2 2 10 3 3" xfId="25560" xr:uid="{00000000-0005-0000-0000-0000D7630000}"/>
    <cellStyle name="Normal 2 2 2 2 10 4" xfId="25561" xr:uid="{00000000-0005-0000-0000-0000D8630000}"/>
    <cellStyle name="Normal 2 2 2 2 10 4 2" xfId="25562" xr:uid="{00000000-0005-0000-0000-0000D9630000}"/>
    <cellStyle name="Normal 2 2 2 2 10 4 2 2" xfId="25563" xr:uid="{00000000-0005-0000-0000-0000DA630000}"/>
    <cellStyle name="Normal 2 2 2 2 10 4 3" xfId="25564" xr:uid="{00000000-0005-0000-0000-0000DB630000}"/>
    <cellStyle name="Normal 2 2 2 2 10 5" xfId="25565" xr:uid="{00000000-0005-0000-0000-0000DC630000}"/>
    <cellStyle name="Normal 2 2 2 2 10 5 2" xfId="25566" xr:uid="{00000000-0005-0000-0000-0000DD630000}"/>
    <cellStyle name="Normal 2 2 2 2 10 5 2 2" xfId="25567" xr:uid="{00000000-0005-0000-0000-0000DE630000}"/>
    <cellStyle name="Normal 2 2 2 2 10 5 3" xfId="25568" xr:uid="{00000000-0005-0000-0000-0000DF630000}"/>
    <cellStyle name="Normal 2 2 2 2 10 6" xfId="25569" xr:uid="{00000000-0005-0000-0000-0000E0630000}"/>
    <cellStyle name="Normal 2 2 2 2 10 6 2" xfId="25570" xr:uid="{00000000-0005-0000-0000-0000E1630000}"/>
    <cellStyle name="Normal 2 2 2 2 10 6 2 2" xfId="25571" xr:uid="{00000000-0005-0000-0000-0000E2630000}"/>
    <cellStyle name="Normal 2 2 2 2 10 6 3" xfId="25572" xr:uid="{00000000-0005-0000-0000-0000E3630000}"/>
    <cellStyle name="Normal 2 2 2 2 10 7" xfId="25573" xr:uid="{00000000-0005-0000-0000-0000E4630000}"/>
    <cellStyle name="Normal 2 2 2 2 10 7 2" xfId="25574" xr:uid="{00000000-0005-0000-0000-0000E5630000}"/>
    <cellStyle name="Normal 2 2 2 2 10 8" xfId="25575" xr:uid="{00000000-0005-0000-0000-0000E6630000}"/>
    <cellStyle name="Normal 2 2 2 2 11" xfId="25576" xr:uid="{00000000-0005-0000-0000-0000E7630000}"/>
    <cellStyle name="Normal 2 2 2 2 11 2" xfId="25577" xr:uid="{00000000-0005-0000-0000-0000E8630000}"/>
    <cellStyle name="Normal 2 2 2 2 11 2 2" xfId="25578" xr:uid="{00000000-0005-0000-0000-0000E9630000}"/>
    <cellStyle name="Normal 2 2 2 2 11 2 2 2" xfId="25579" xr:uid="{00000000-0005-0000-0000-0000EA630000}"/>
    <cellStyle name="Normal 2 2 2 2 11 2 2 2 2" xfId="25580" xr:uid="{00000000-0005-0000-0000-0000EB630000}"/>
    <cellStyle name="Normal 2 2 2 2 11 2 2 3" xfId="25581" xr:uid="{00000000-0005-0000-0000-0000EC630000}"/>
    <cellStyle name="Normal 2 2 2 2 11 2 3" xfId="25582" xr:uid="{00000000-0005-0000-0000-0000ED630000}"/>
    <cellStyle name="Normal 2 2 2 2 11 2 3 2" xfId="25583" xr:uid="{00000000-0005-0000-0000-0000EE630000}"/>
    <cellStyle name="Normal 2 2 2 2 11 2 4" xfId="25584" xr:uid="{00000000-0005-0000-0000-0000EF630000}"/>
    <cellStyle name="Normal 2 2 2 2 11 3" xfId="25585" xr:uid="{00000000-0005-0000-0000-0000F0630000}"/>
    <cellStyle name="Normal 2 2 2 2 11 3 2" xfId="25586" xr:uid="{00000000-0005-0000-0000-0000F1630000}"/>
    <cellStyle name="Normal 2 2 2 2 11 3 2 2" xfId="25587" xr:uid="{00000000-0005-0000-0000-0000F2630000}"/>
    <cellStyle name="Normal 2 2 2 2 11 3 3" xfId="25588" xr:uid="{00000000-0005-0000-0000-0000F3630000}"/>
    <cellStyle name="Normal 2 2 2 2 11 4" xfId="25589" xr:uid="{00000000-0005-0000-0000-0000F4630000}"/>
    <cellStyle name="Normal 2 2 2 2 11 4 2" xfId="25590" xr:uid="{00000000-0005-0000-0000-0000F5630000}"/>
    <cellStyle name="Normal 2 2 2 2 11 4 2 2" xfId="25591" xr:uid="{00000000-0005-0000-0000-0000F6630000}"/>
    <cellStyle name="Normal 2 2 2 2 11 4 3" xfId="25592" xr:uid="{00000000-0005-0000-0000-0000F7630000}"/>
    <cellStyle name="Normal 2 2 2 2 11 5" xfId="25593" xr:uid="{00000000-0005-0000-0000-0000F8630000}"/>
    <cellStyle name="Normal 2 2 2 2 11 5 2" xfId="25594" xr:uid="{00000000-0005-0000-0000-0000F9630000}"/>
    <cellStyle name="Normal 2 2 2 2 11 5 2 2" xfId="25595" xr:uid="{00000000-0005-0000-0000-0000FA630000}"/>
    <cellStyle name="Normal 2 2 2 2 11 5 3" xfId="25596" xr:uid="{00000000-0005-0000-0000-0000FB630000}"/>
    <cellStyle name="Normal 2 2 2 2 11 6" xfId="25597" xr:uid="{00000000-0005-0000-0000-0000FC630000}"/>
    <cellStyle name="Normal 2 2 2 2 11 6 2" xfId="25598" xr:uid="{00000000-0005-0000-0000-0000FD630000}"/>
    <cellStyle name="Normal 2 2 2 2 11 6 2 2" xfId="25599" xr:uid="{00000000-0005-0000-0000-0000FE630000}"/>
    <cellStyle name="Normal 2 2 2 2 11 6 3" xfId="25600" xr:uid="{00000000-0005-0000-0000-0000FF630000}"/>
    <cellStyle name="Normal 2 2 2 2 11 7" xfId="25601" xr:uid="{00000000-0005-0000-0000-000000640000}"/>
    <cellStyle name="Normal 2 2 2 2 11 7 2" xfId="25602" xr:uid="{00000000-0005-0000-0000-000001640000}"/>
    <cellStyle name="Normal 2 2 2 2 11 8" xfId="25603" xr:uid="{00000000-0005-0000-0000-000002640000}"/>
    <cellStyle name="Normal 2 2 2 2 12" xfId="25604" xr:uid="{00000000-0005-0000-0000-000003640000}"/>
    <cellStyle name="Normal 2 2 2 2 12 2" xfId="25605" xr:uid="{00000000-0005-0000-0000-000004640000}"/>
    <cellStyle name="Normal 2 2 2 2 12 2 2" xfId="25606" xr:uid="{00000000-0005-0000-0000-000005640000}"/>
    <cellStyle name="Normal 2 2 2 2 12 2 2 2" xfId="25607" xr:uid="{00000000-0005-0000-0000-000006640000}"/>
    <cellStyle name="Normal 2 2 2 2 12 2 2 2 2" xfId="25608" xr:uid="{00000000-0005-0000-0000-000007640000}"/>
    <cellStyle name="Normal 2 2 2 2 12 2 2 3" xfId="25609" xr:uid="{00000000-0005-0000-0000-000008640000}"/>
    <cellStyle name="Normal 2 2 2 2 12 2 3" xfId="25610" xr:uid="{00000000-0005-0000-0000-000009640000}"/>
    <cellStyle name="Normal 2 2 2 2 12 2 3 2" xfId="25611" xr:uid="{00000000-0005-0000-0000-00000A640000}"/>
    <cellStyle name="Normal 2 2 2 2 12 2 4" xfId="25612" xr:uid="{00000000-0005-0000-0000-00000B640000}"/>
    <cellStyle name="Normal 2 2 2 2 12 3" xfId="25613" xr:uid="{00000000-0005-0000-0000-00000C640000}"/>
    <cellStyle name="Normal 2 2 2 2 12 3 2" xfId="25614" xr:uid="{00000000-0005-0000-0000-00000D640000}"/>
    <cellStyle name="Normal 2 2 2 2 12 3 2 2" xfId="25615" xr:uid="{00000000-0005-0000-0000-00000E640000}"/>
    <cellStyle name="Normal 2 2 2 2 12 3 3" xfId="25616" xr:uid="{00000000-0005-0000-0000-00000F640000}"/>
    <cellStyle name="Normal 2 2 2 2 12 4" xfId="25617" xr:uid="{00000000-0005-0000-0000-000010640000}"/>
    <cellStyle name="Normal 2 2 2 2 12 4 2" xfId="25618" xr:uid="{00000000-0005-0000-0000-000011640000}"/>
    <cellStyle name="Normal 2 2 2 2 12 5" xfId="25619" xr:uid="{00000000-0005-0000-0000-000012640000}"/>
    <cellStyle name="Normal 2 2 2 2 13" xfId="25620" xr:uid="{00000000-0005-0000-0000-000013640000}"/>
    <cellStyle name="Normal 2 2 2 2 13 2" xfId="25621" xr:uid="{00000000-0005-0000-0000-000014640000}"/>
    <cellStyle name="Normal 2 2 2 2 13 2 2" xfId="25622" xr:uid="{00000000-0005-0000-0000-000015640000}"/>
    <cellStyle name="Normal 2 2 2 2 13 2 2 2" xfId="25623" xr:uid="{00000000-0005-0000-0000-000016640000}"/>
    <cellStyle name="Normal 2 2 2 2 13 2 2 2 2" xfId="25624" xr:uid="{00000000-0005-0000-0000-000017640000}"/>
    <cellStyle name="Normal 2 2 2 2 13 2 2 3" xfId="25625" xr:uid="{00000000-0005-0000-0000-000018640000}"/>
    <cellStyle name="Normal 2 2 2 2 13 2 3" xfId="25626" xr:uid="{00000000-0005-0000-0000-000019640000}"/>
    <cellStyle name="Normal 2 2 2 2 13 2 3 2" xfId="25627" xr:uid="{00000000-0005-0000-0000-00001A640000}"/>
    <cellStyle name="Normal 2 2 2 2 13 2 4" xfId="25628" xr:uid="{00000000-0005-0000-0000-00001B640000}"/>
    <cellStyle name="Normal 2 2 2 2 13 3" xfId="25629" xr:uid="{00000000-0005-0000-0000-00001C640000}"/>
    <cellStyle name="Normal 2 2 2 2 13 3 2" xfId="25630" xr:uid="{00000000-0005-0000-0000-00001D640000}"/>
    <cellStyle name="Normal 2 2 2 2 13 3 2 2" xfId="25631" xr:uid="{00000000-0005-0000-0000-00001E640000}"/>
    <cellStyle name="Normal 2 2 2 2 13 3 3" xfId="25632" xr:uid="{00000000-0005-0000-0000-00001F640000}"/>
    <cellStyle name="Normal 2 2 2 2 13 4" xfId="25633" xr:uid="{00000000-0005-0000-0000-000020640000}"/>
    <cellStyle name="Normal 2 2 2 2 13 4 2" xfId="25634" xr:uid="{00000000-0005-0000-0000-000021640000}"/>
    <cellStyle name="Normal 2 2 2 2 13 5" xfId="25635" xr:uid="{00000000-0005-0000-0000-000022640000}"/>
    <cellStyle name="Normal 2 2 2 2 14" xfId="25636" xr:uid="{00000000-0005-0000-0000-000023640000}"/>
    <cellStyle name="Normal 2 2 2 2 14 2" xfId="25637" xr:uid="{00000000-0005-0000-0000-000024640000}"/>
    <cellStyle name="Normal 2 2 2 2 14 2 2" xfId="25638" xr:uid="{00000000-0005-0000-0000-000025640000}"/>
    <cellStyle name="Normal 2 2 2 2 14 2 2 2" xfId="25639" xr:uid="{00000000-0005-0000-0000-000026640000}"/>
    <cellStyle name="Normal 2 2 2 2 14 2 2 2 2" xfId="25640" xr:uid="{00000000-0005-0000-0000-000027640000}"/>
    <cellStyle name="Normal 2 2 2 2 14 2 2 3" xfId="25641" xr:uid="{00000000-0005-0000-0000-000028640000}"/>
    <cellStyle name="Normal 2 2 2 2 14 2 3" xfId="25642" xr:uid="{00000000-0005-0000-0000-000029640000}"/>
    <cellStyle name="Normal 2 2 2 2 14 2 3 2" xfId="25643" xr:uid="{00000000-0005-0000-0000-00002A640000}"/>
    <cellStyle name="Normal 2 2 2 2 14 2 4" xfId="25644" xr:uid="{00000000-0005-0000-0000-00002B640000}"/>
    <cellStyle name="Normal 2 2 2 2 14 3" xfId="25645" xr:uid="{00000000-0005-0000-0000-00002C640000}"/>
    <cellStyle name="Normal 2 2 2 2 14 3 2" xfId="25646" xr:uid="{00000000-0005-0000-0000-00002D640000}"/>
    <cellStyle name="Normal 2 2 2 2 14 3 2 2" xfId="25647" xr:uid="{00000000-0005-0000-0000-00002E640000}"/>
    <cellStyle name="Normal 2 2 2 2 14 3 3" xfId="25648" xr:uid="{00000000-0005-0000-0000-00002F640000}"/>
    <cellStyle name="Normal 2 2 2 2 14 4" xfId="25649" xr:uid="{00000000-0005-0000-0000-000030640000}"/>
    <cellStyle name="Normal 2 2 2 2 14 4 2" xfId="25650" xr:uid="{00000000-0005-0000-0000-000031640000}"/>
    <cellStyle name="Normal 2 2 2 2 14 5" xfId="25651" xr:uid="{00000000-0005-0000-0000-000032640000}"/>
    <cellStyle name="Normal 2 2 2 2 15" xfId="25652" xr:uid="{00000000-0005-0000-0000-000033640000}"/>
    <cellStyle name="Normal 2 2 2 2 15 2" xfId="25653" xr:uid="{00000000-0005-0000-0000-000034640000}"/>
    <cellStyle name="Normal 2 2 2 2 15 2 2" xfId="25654" xr:uid="{00000000-0005-0000-0000-000035640000}"/>
    <cellStyle name="Normal 2 2 2 2 15 2 2 2" xfId="25655" xr:uid="{00000000-0005-0000-0000-000036640000}"/>
    <cellStyle name="Normal 2 2 2 2 15 2 3" xfId="25656" xr:uid="{00000000-0005-0000-0000-000037640000}"/>
    <cellStyle name="Normal 2 2 2 2 15 3" xfId="25657" xr:uid="{00000000-0005-0000-0000-000038640000}"/>
    <cellStyle name="Normal 2 2 2 2 15 3 2" xfId="25658" xr:uid="{00000000-0005-0000-0000-000039640000}"/>
    <cellStyle name="Normal 2 2 2 2 15 4" xfId="25659" xr:uid="{00000000-0005-0000-0000-00003A640000}"/>
    <cellStyle name="Normal 2 2 2 2 16" xfId="25660" xr:uid="{00000000-0005-0000-0000-00003B640000}"/>
    <cellStyle name="Normal 2 2 2 2 16 2" xfId="25661" xr:uid="{00000000-0005-0000-0000-00003C640000}"/>
    <cellStyle name="Normal 2 2 2 2 16 2 2" xfId="25662" xr:uid="{00000000-0005-0000-0000-00003D640000}"/>
    <cellStyle name="Normal 2 2 2 2 16 2 2 2" xfId="25663" xr:uid="{00000000-0005-0000-0000-00003E640000}"/>
    <cellStyle name="Normal 2 2 2 2 16 2 3" xfId="25664" xr:uid="{00000000-0005-0000-0000-00003F640000}"/>
    <cellStyle name="Normal 2 2 2 2 16 3" xfId="25665" xr:uid="{00000000-0005-0000-0000-000040640000}"/>
    <cellStyle name="Normal 2 2 2 2 16 3 2" xfId="25666" xr:uid="{00000000-0005-0000-0000-000041640000}"/>
    <cellStyle name="Normal 2 2 2 2 16 4" xfId="25667" xr:uid="{00000000-0005-0000-0000-000042640000}"/>
    <cellStyle name="Normal 2 2 2 2 17" xfId="25668" xr:uid="{00000000-0005-0000-0000-000043640000}"/>
    <cellStyle name="Normal 2 2 2 2 17 2" xfId="25669" xr:uid="{00000000-0005-0000-0000-000044640000}"/>
    <cellStyle name="Normal 2 2 2 2 17 2 2" xfId="25670" xr:uid="{00000000-0005-0000-0000-000045640000}"/>
    <cellStyle name="Normal 2 2 2 2 17 3" xfId="25671" xr:uid="{00000000-0005-0000-0000-000046640000}"/>
    <cellStyle name="Normal 2 2 2 2 18" xfId="25672" xr:uid="{00000000-0005-0000-0000-000047640000}"/>
    <cellStyle name="Normal 2 2 2 2 18 2" xfId="25673" xr:uid="{00000000-0005-0000-0000-000048640000}"/>
    <cellStyle name="Normal 2 2 2 2 18 2 2" xfId="25674" xr:uid="{00000000-0005-0000-0000-000049640000}"/>
    <cellStyle name="Normal 2 2 2 2 18 3" xfId="25675" xr:uid="{00000000-0005-0000-0000-00004A640000}"/>
    <cellStyle name="Normal 2 2 2 2 19" xfId="25676" xr:uid="{00000000-0005-0000-0000-00004B640000}"/>
    <cellStyle name="Normal 2 2 2 2 19 2" xfId="25677" xr:uid="{00000000-0005-0000-0000-00004C640000}"/>
    <cellStyle name="Normal 2 2 2 2 19 2 2" xfId="25678" xr:uid="{00000000-0005-0000-0000-00004D640000}"/>
    <cellStyle name="Normal 2 2 2 2 19 3" xfId="25679" xr:uid="{00000000-0005-0000-0000-00004E640000}"/>
    <cellStyle name="Normal 2 2 2 2 2" xfId="25680" xr:uid="{00000000-0005-0000-0000-00004F640000}"/>
    <cellStyle name="Normal 2 2 2 2 2 10" xfId="25681" xr:uid="{00000000-0005-0000-0000-000050640000}"/>
    <cellStyle name="Normal 2 2 2 2 2 10 2" xfId="25682" xr:uid="{00000000-0005-0000-0000-000051640000}"/>
    <cellStyle name="Normal 2 2 2 2 2 10 2 2" xfId="25683" xr:uid="{00000000-0005-0000-0000-000052640000}"/>
    <cellStyle name="Normal 2 2 2 2 2 10 2 2 2" xfId="25684" xr:uid="{00000000-0005-0000-0000-000053640000}"/>
    <cellStyle name="Normal 2 2 2 2 2 10 2 2 2 2" xfId="25685" xr:uid="{00000000-0005-0000-0000-000054640000}"/>
    <cellStyle name="Normal 2 2 2 2 2 10 2 2 3" xfId="25686" xr:uid="{00000000-0005-0000-0000-000055640000}"/>
    <cellStyle name="Normal 2 2 2 2 2 10 2 3" xfId="25687" xr:uid="{00000000-0005-0000-0000-000056640000}"/>
    <cellStyle name="Normal 2 2 2 2 2 10 2 3 2" xfId="25688" xr:uid="{00000000-0005-0000-0000-000057640000}"/>
    <cellStyle name="Normal 2 2 2 2 2 10 2 4" xfId="25689" xr:uid="{00000000-0005-0000-0000-000058640000}"/>
    <cellStyle name="Normal 2 2 2 2 2 10 3" xfId="25690" xr:uid="{00000000-0005-0000-0000-000059640000}"/>
    <cellStyle name="Normal 2 2 2 2 2 10 3 2" xfId="25691" xr:uid="{00000000-0005-0000-0000-00005A640000}"/>
    <cellStyle name="Normal 2 2 2 2 2 10 3 2 2" xfId="25692" xr:uid="{00000000-0005-0000-0000-00005B640000}"/>
    <cellStyle name="Normal 2 2 2 2 2 10 3 3" xfId="25693" xr:uid="{00000000-0005-0000-0000-00005C640000}"/>
    <cellStyle name="Normal 2 2 2 2 2 10 4" xfId="25694" xr:uid="{00000000-0005-0000-0000-00005D640000}"/>
    <cellStyle name="Normal 2 2 2 2 2 10 4 2" xfId="25695" xr:uid="{00000000-0005-0000-0000-00005E640000}"/>
    <cellStyle name="Normal 2 2 2 2 2 10 4 2 2" xfId="25696" xr:uid="{00000000-0005-0000-0000-00005F640000}"/>
    <cellStyle name="Normal 2 2 2 2 2 10 4 3" xfId="25697" xr:uid="{00000000-0005-0000-0000-000060640000}"/>
    <cellStyle name="Normal 2 2 2 2 2 10 5" xfId="25698" xr:uid="{00000000-0005-0000-0000-000061640000}"/>
    <cellStyle name="Normal 2 2 2 2 2 10 5 2" xfId="25699" xr:uid="{00000000-0005-0000-0000-000062640000}"/>
    <cellStyle name="Normal 2 2 2 2 2 10 5 2 2" xfId="25700" xr:uid="{00000000-0005-0000-0000-000063640000}"/>
    <cellStyle name="Normal 2 2 2 2 2 10 5 3" xfId="25701" xr:uid="{00000000-0005-0000-0000-000064640000}"/>
    <cellStyle name="Normal 2 2 2 2 2 10 6" xfId="25702" xr:uid="{00000000-0005-0000-0000-000065640000}"/>
    <cellStyle name="Normal 2 2 2 2 2 10 6 2" xfId="25703" xr:uid="{00000000-0005-0000-0000-000066640000}"/>
    <cellStyle name="Normal 2 2 2 2 2 10 6 2 2" xfId="25704" xr:uid="{00000000-0005-0000-0000-000067640000}"/>
    <cellStyle name="Normal 2 2 2 2 2 10 6 3" xfId="25705" xr:uid="{00000000-0005-0000-0000-000068640000}"/>
    <cellStyle name="Normal 2 2 2 2 2 10 7" xfId="25706" xr:uid="{00000000-0005-0000-0000-000069640000}"/>
    <cellStyle name="Normal 2 2 2 2 2 10 7 2" xfId="25707" xr:uid="{00000000-0005-0000-0000-00006A640000}"/>
    <cellStyle name="Normal 2 2 2 2 2 10 8" xfId="25708" xr:uid="{00000000-0005-0000-0000-00006B640000}"/>
    <cellStyle name="Normal 2 2 2 2 2 11" xfId="25709" xr:uid="{00000000-0005-0000-0000-00006C640000}"/>
    <cellStyle name="Normal 2 2 2 2 2 11 2" xfId="25710" xr:uid="{00000000-0005-0000-0000-00006D640000}"/>
    <cellStyle name="Normal 2 2 2 2 2 11 2 2" xfId="25711" xr:uid="{00000000-0005-0000-0000-00006E640000}"/>
    <cellStyle name="Normal 2 2 2 2 2 11 2 2 2" xfId="25712" xr:uid="{00000000-0005-0000-0000-00006F640000}"/>
    <cellStyle name="Normal 2 2 2 2 2 11 2 2 2 2" xfId="25713" xr:uid="{00000000-0005-0000-0000-000070640000}"/>
    <cellStyle name="Normal 2 2 2 2 2 11 2 2 3" xfId="25714" xr:uid="{00000000-0005-0000-0000-000071640000}"/>
    <cellStyle name="Normal 2 2 2 2 2 11 2 3" xfId="25715" xr:uid="{00000000-0005-0000-0000-000072640000}"/>
    <cellStyle name="Normal 2 2 2 2 2 11 2 3 2" xfId="25716" xr:uid="{00000000-0005-0000-0000-000073640000}"/>
    <cellStyle name="Normal 2 2 2 2 2 11 2 4" xfId="25717" xr:uid="{00000000-0005-0000-0000-000074640000}"/>
    <cellStyle name="Normal 2 2 2 2 2 11 3" xfId="25718" xr:uid="{00000000-0005-0000-0000-000075640000}"/>
    <cellStyle name="Normal 2 2 2 2 2 11 3 2" xfId="25719" xr:uid="{00000000-0005-0000-0000-000076640000}"/>
    <cellStyle name="Normal 2 2 2 2 2 11 3 2 2" xfId="25720" xr:uid="{00000000-0005-0000-0000-000077640000}"/>
    <cellStyle name="Normal 2 2 2 2 2 11 3 3" xfId="25721" xr:uid="{00000000-0005-0000-0000-000078640000}"/>
    <cellStyle name="Normal 2 2 2 2 2 11 4" xfId="25722" xr:uid="{00000000-0005-0000-0000-000079640000}"/>
    <cellStyle name="Normal 2 2 2 2 2 11 4 2" xfId="25723" xr:uid="{00000000-0005-0000-0000-00007A640000}"/>
    <cellStyle name="Normal 2 2 2 2 2 11 5" xfId="25724" xr:uid="{00000000-0005-0000-0000-00007B640000}"/>
    <cellStyle name="Normal 2 2 2 2 2 12" xfId="25725" xr:uid="{00000000-0005-0000-0000-00007C640000}"/>
    <cellStyle name="Normal 2 2 2 2 2 12 2" xfId="25726" xr:uid="{00000000-0005-0000-0000-00007D640000}"/>
    <cellStyle name="Normal 2 2 2 2 2 12 2 2" xfId="25727" xr:uid="{00000000-0005-0000-0000-00007E640000}"/>
    <cellStyle name="Normal 2 2 2 2 2 12 2 2 2" xfId="25728" xr:uid="{00000000-0005-0000-0000-00007F640000}"/>
    <cellStyle name="Normal 2 2 2 2 2 12 2 2 2 2" xfId="25729" xr:uid="{00000000-0005-0000-0000-000080640000}"/>
    <cellStyle name="Normal 2 2 2 2 2 12 2 2 3" xfId="25730" xr:uid="{00000000-0005-0000-0000-000081640000}"/>
    <cellStyle name="Normal 2 2 2 2 2 12 2 3" xfId="25731" xr:uid="{00000000-0005-0000-0000-000082640000}"/>
    <cellStyle name="Normal 2 2 2 2 2 12 2 3 2" xfId="25732" xr:uid="{00000000-0005-0000-0000-000083640000}"/>
    <cellStyle name="Normal 2 2 2 2 2 12 2 4" xfId="25733" xr:uid="{00000000-0005-0000-0000-000084640000}"/>
    <cellStyle name="Normal 2 2 2 2 2 12 3" xfId="25734" xr:uid="{00000000-0005-0000-0000-000085640000}"/>
    <cellStyle name="Normal 2 2 2 2 2 12 3 2" xfId="25735" xr:uid="{00000000-0005-0000-0000-000086640000}"/>
    <cellStyle name="Normal 2 2 2 2 2 12 3 2 2" xfId="25736" xr:uid="{00000000-0005-0000-0000-000087640000}"/>
    <cellStyle name="Normal 2 2 2 2 2 12 3 3" xfId="25737" xr:uid="{00000000-0005-0000-0000-000088640000}"/>
    <cellStyle name="Normal 2 2 2 2 2 12 4" xfId="25738" xr:uid="{00000000-0005-0000-0000-000089640000}"/>
    <cellStyle name="Normal 2 2 2 2 2 12 4 2" xfId="25739" xr:uid="{00000000-0005-0000-0000-00008A640000}"/>
    <cellStyle name="Normal 2 2 2 2 2 12 5" xfId="25740" xr:uid="{00000000-0005-0000-0000-00008B640000}"/>
    <cellStyle name="Normal 2 2 2 2 2 13" xfId="25741" xr:uid="{00000000-0005-0000-0000-00008C640000}"/>
    <cellStyle name="Normal 2 2 2 2 2 13 2" xfId="25742" xr:uid="{00000000-0005-0000-0000-00008D640000}"/>
    <cellStyle name="Normal 2 2 2 2 2 13 2 2" xfId="25743" xr:uid="{00000000-0005-0000-0000-00008E640000}"/>
    <cellStyle name="Normal 2 2 2 2 2 13 2 2 2" xfId="25744" xr:uid="{00000000-0005-0000-0000-00008F640000}"/>
    <cellStyle name="Normal 2 2 2 2 2 13 2 2 2 2" xfId="25745" xr:uid="{00000000-0005-0000-0000-000090640000}"/>
    <cellStyle name="Normal 2 2 2 2 2 13 2 2 3" xfId="25746" xr:uid="{00000000-0005-0000-0000-000091640000}"/>
    <cellStyle name="Normal 2 2 2 2 2 13 2 3" xfId="25747" xr:uid="{00000000-0005-0000-0000-000092640000}"/>
    <cellStyle name="Normal 2 2 2 2 2 13 2 3 2" xfId="25748" xr:uid="{00000000-0005-0000-0000-000093640000}"/>
    <cellStyle name="Normal 2 2 2 2 2 13 2 4" xfId="25749" xr:uid="{00000000-0005-0000-0000-000094640000}"/>
    <cellStyle name="Normal 2 2 2 2 2 13 3" xfId="25750" xr:uid="{00000000-0005-0000-0000-000095640000}"/>
    <cellStyle name="Normal 2 2 2 2 2 13 3 2" xfId="25751" xr:uid="{00000000-0005-0000-0000-000096640000}"/>
    <cellStyle name="Normal 2 2 2 2 2 13 3 2 2" xfId="25752" xr:uid="{00000000-0005-0000-0000-000097640000}"/>
    <cellStyle name="Normal 2 2 2 2 2 13 3 3" xfId="25753" xr:uid="{00000000-0005-0000-0000-000098640000}"/>
    <cellStyle name="Normal 2 2 2 2 2 13 4" xfId="25754" xr:uid="{00000000-0005-0000-0000-000099640000}"/>
    <cellStyle name="Normal 2 2 2 2 2 13 4 2" xfId="25755" xr:uid="{00000000-0005-0000-0000-00009A640000}"/>
    <cellStyle name="Normal 2 2 2 2 2 13 5" xfId="25756" xr:uid="{00000000-0005-0000-0000-00009B640000}"/>
    <cellStyle name="Normal 2 2 2 2 2 14" xfId="25757" xr:uid="{00000000-0005-0000-0000-00009C640000}"/>
    <cellStyle name="Normal 2 2 2 2 2 14 2" xfId="25758" xr:uid="{00000000-0005-0000-0000-00009D640000}"/>
    <cellStyle name="Normal 2 2 2 2 2 14 2 2" xfId="25759" xr:uid="{00000000-0005-0000-0000-00009E640000}"/>
    <cellStyle name="Normal 2 2 2 2 2 14 2 2 2" xfId="25760" xr:uid="{00000000-0005-0000-0000-00009F640000}"/>
    <cellStyle name="Normal 2 2 2 2 2 14 2 3" xfId="25761" xr:uid="{00000000-0005-0000-0000-0000A0640000}"/>
    <cellStyle name="Normal 2 2 2 2 2 14 3" xfId="25762" xr:uid="{00000000-0005-0000-0000-0000A1640000}"/>
    <cellStyle name="Normal 2 2 2 2 2 14 3 2" xfId="25763" xr:uid="{00000000-0005-0000-0000-0000A2640000}"/>
    <cellStyle name="Normal 2 2 2 2 2 14 4" xfId="25764" xr:uid="{00000000-0005-0000-0000-0000A3640000}"/>
    <cellStyle name="Normal 2 2 2 2 2 15" xfId="25765" xr:uid="{00000000-0005-0000-0000-0000A4640000}"/>
    <cellStyle name="Normal 2 2 2 2 2 15 2" xfId="25766" xr:uid="{00000000-0005-0000-0000-0000A5640000}"/>
    <cellStyle name="Normal 2 2 2 2 2 15 2 2" xfId="25767" xr:uid="{00000000-0005-0000-0000-0000A6640000}"/>
    <cellStyle name="Normal 2 2 2 2 2 15 2 2 2" xfId="25768" xr:uid="{00000000-0005-0000-0000-0000A7640000}"/>
    <cellStyle name="Normal 2 2 2 2 2 15 2 3" xfId="25769" xr:uid="{00000000-0005-0000-0000-0000A8640000}"/>
    <cellStyle name="Normal 2 2 2 2 2 15 3" xfId="25770" xr:uid="{00000000-0005-0000-0000-0000A9640000}"/>
    <cellStyle name="Normal 2 2 2 2 2 15 3 2" xfId="25771" xr:uid="{00000000-0005-0000-0000-0000AA640000}"/>
    <cellStyle name="Normal 2 2 2 2 2 15 4" xfId="25772" xr:uid="{00000000-0005-0000-0000-0000AB640000}"/>
    <cellStyle name="Normal 2 2 2 2 2 16" xfId="25773" xr:uid="{00000000-0005-0000-0000-0000AC640000}"/>
    <cellStyle name="Normal 2 2 2 2 2 16 2" xfId="25774" xr:uid="{00000000-0005-0000-0000-0000AD640000}"/>
    <cellStyle name="Normal 2 2 2 2 2 16 2 2" xfId="25775" xr:uid="{00000000-0005-0000-0000-0000AE640000}"/>
    <cellStyle name="Normal 2 2 2 2 2 16 3" xfId="25776" xr:uid="{00000000-0005-0000-0000-0000AF640000}"/>
    <cellStyle name="Normal 2 2 2 2 2 17" xfId="25777" xr:uid="{00000000-0005-0000-0000-0000B0640000}"/>
    <cellStyle name="Normal 2 2 2 2 2 17 2" xfId="25778" xr:uid="{00000000-0005-0000-0000-0000B1640000}"/>
    <cellStyle name="Normal 2 2 2 2 2 17 2 2" xfId="25779" xr:uid="{00000000-0005-0000-0000-0000B2640000}"/>
    <cellStyle name="Normal 2 2 2 2 2 17 3" xfId="25780" xr:uid="{00000000-0005-0000-0000-0000B3640000}"/>
    <cellStyle name="Normal 2 2 2 2 2 18" xfId="25781" xr:uid="{00000000-0005-0000-0000-0000B4640000}"/>
    <cellStyle name="Normal 2 2 2 2 2 18 2" xfId="25782" xr:uid="{00000000-0005-0000-0000-0000B5640000}"/>
    <cellStyle name="Normal 2 2 2 2 2 18 2 2" xfId="25783" xr:uid="{00000000-0005-0000-0000-0000B6640000}"/>
    <cellStyle name="Normal 2 2 2 2 2 18 3" xfId="25784" xr:uid="{00000000-0005-0000-0000-0000B7640000}"/>
    <cellStyle name="Normal 2 2 2 2 2 19" xfId="25785" xr:uid="{00000000-0005-0000-0000-0000B8640000}"/>
    <cellStyle name="Normal 2 2 2 2 2 19 2" xfId="25786" xr:uid="{00000000-0005-0000-0000-0000B9640000}"/>
    <cellStyle name="Normal 2 2 2 2 2 19 2 2" xfId="25787" xr:uid="{00000000-0005-0000-0000-0000BA640000}"/>
    <cellStyle name="Normal 2 2 2 2 2 19 3" xfId="25788" xr:uid="{00000000-0005-0000-0000-0000BB640000}"/>
    <cellStyle name="Normal 2 2 2 2 2 2" xfId="25789" xr:uid="{00000000-0005-0000-0000-0000BC640000}"/>
    <cellStyle name="Normal 2 2 2 2 2 2 10" xfId="25790" xr:uid="{00000000-0005-0000-0000-0000BD640000}"/>
    <cellStyle name="Normal 2 2 2 2 2 2 10 2" xfId="25791" xr:uid="{00000000-0005-0000-0000-0000BE640000}"/>
    <cellStyle name="Normal 2 2 2 2 2 2 10 2 2" xfId="25792" xr:uid="{00000000-0005-0000-0000-0000BF640000}"/>
    <cellStyle name="Normal 2 2 2 2 2 2 10 2 2 2" xfId="25793" xr:uid="{00000000-0005-0000-0000-0000C0640000}"/>
    <cellStyle name="Normal 2 2 2 2 2 2 10 2 2 2 2" xfId="25794" xr:uid="{00000000-0005-0000-0000-0000C1640000}"/>
    <cellStyle name="Normal 2 2 2 2 2 2 10 2 2 3" xfId="25795" xr:uid="{00000000-0005-0000-0000-0000C2640000}"/>
    <cellStyle name="Normal 2 2 2 2 2 2 10 2 3" xfId="25796" xr:uid="{00000000-0005-0000-0000-0000C3640000}"/>
    <cellStyle name="Normal 2 2 2 2 2 2 10 2 3 2" xfId="25797" xr:uid="{00000000-0005-0000-0000-0000C4640000}"/>
    <cellStyle name="Normal 2 2 2 2 2 2 10 2 4" xfId="25798" xr:uid="{00000000-0005-0000-0000-0000C5640000}"/>
    <cellStyle name="Normal 2 2 2 2 2 2 10 3" xfId="25799" xr:uid="{00000000-0005-0000-0000-0000C6640000}"/>
    <cellStyle name="Normal 2 2 2 2 2 2 10 3 2" xfId="25800" xr:uid="{00000000-0005-0000-0000-0000C7640000}"/>
    <cellStyle name="Normal 2 2 2 2 2 2 10 3 2 2" xfId="25801" xr:uid="{00000000-0005-0000-0000-0000C8640000}"/>
    <cellStyle name="Normal 2 2 2 2 2 2 10 3 3" xfId="25802" xr:uid="{00000000-0005-0000-0000-0000C9640000}"/>
    <cellStyle name="Normal 2 2 2 2 2 2 10 4" xfId="25803" xr:uid="{00000000-0005-0000-0000-0000CA640000}"/>
    <cellStyle name="Normal 2 2 2 2 2 2 10 4 2" xfId="25804" xr:uid="{00000000-0005-0000-0000-0000CB640000}"/>
    <cellStyle name="Normal 2 2 2 2 2 2 10 5" xfId="25805" xr:uid="{00000000-0005-0000-0000-0000CC640000}"/>
    <cellStyle name="Normal 2 2 2 2 2 2 11" xfId="25806" xr:uid="{00000000-0005-0000-0000-0000CD640000}"/>
    <cellStyle name="Normal 2 2 2 2 2 2 11 2" xfId="25807" xr:uid="{00000000-0005-0000-0000-0000CE640000}"/>
    <cellStyle name="Normal 2 2 2 2 2 2 11 2 2" xfId="25808" xr:uid="{00000000-0005-0000-0000-0000CF640000}"/>
    <cellStyle name="Normal 2 2 2 2 2 2 11 2 2 2" xfId="25809" xr:uid="{00000000-0005-0000-0000-0000D0640000}"/>
    <cellStyle name="Normal 2 2 2 2 2 2 11 2 2 2 2" xfId="25810" xr:uid="{00000000-0005-0000-0000-0000D1640000}"/>
    <cellStyle name="Normal 2 2 2 2 2 2 11 2 2 3" xfId="25811" xr:uid="{00000000-0005-0000-0000-0000D2640000}"/>
    <cellStyle name="Normal 2 2 2 2 2 2 11 2 3" xfId="25812" xr:uid="{00000000-0005-0000-0000-0000D3640000}"/>
    <cellStyle name="Normal 2 2 2 2 2 2 11 2 3 2" xfId="25813" xr:uid="{00000000-0005-0000-0000-0000D4640000}"/>
    <cellStyle name="Normal 2 2 2 2 2 2 11 2 4" xfId="25814" xr:uid="{00000000-0005-0000-0000-0000D5640000}"/>
    <cellStyle name="Normal 2 2 2 2 2 2 11 3" xfId="25815" xr:uid="{00000000-0005-0000-0000-0000D6640000}"/>
    <cellStyle name="Normal 2 2 2 2 2 2 11 3 2" xfId="25816" xr:uid="{00000000-0005-0000-0000-0000D7640000}"/>
    <cellStyle name="Normal 2 2 2 2 2 2 11 3 2 2" xfId="25817" xr:uid="{00000000-0005-0000-0000-0000D8640000}"/>
    <cellStyle name="Normal 2 2 2 2 2 2 11 3 3" xfId="25818" xr:uid="{00000000-0005-0000-0000-0000D9640000}"/>
    <cellStyle name="Normal 2 2 2 2 2 2 11 4" xfId="25819" xr:uid="{00000000-0005-0000-0000-0000DA640000}"/>
    <cellStyle name="Normal 2 2 2 2 2 2 11 4 2" xfId="25820" xr:uid="{00000000-0005-0000-0000-0000DB640000}"/>
    <cellStyle name="Normal 2 2 2 2 2 2 11 5" xfId="25821" xr:uid="{00000000-0005-0000-0000-0000DC640000}"/>
    <cellStyle name="Normal 2 2 2 2 2 2 12" xfId="25822" xr:uid="{00000000-0005-0000-0000-0000DD640000}"/>
    <cellStyle name="Normal 2 2 2 2 2 2 12 2" xfId="25823" xr:uid="{00000000-0005-0000-0000-0000DE640000}"/>
    <cellStyle name="Normal 2 2 2 2 2 2 12 2 2" xfId="25824" xr:uid="{00000000-0005-0000-0000-0000DF640000}"/>
    <cellStyle name="Normal 2 2 2 2 2 2 12 2 2 2" xfId="25825" xr:uid="{00000000-0005-0000-0000-0000E0640000}"/>
    <cellStyle name="Normal 2 2 2 2 2 2 12 2 2 2 2" xfId="25826" xr:uid="{00000000-0005-0000-0000-0000E1640000}"/>
    <cellStyle name="Normal 2 2 2 2 2 2 12 2 2 3" xfId="25827" xr:uid="{00000000-0005-0000-0000-0000E2640000}"/>
    <cellStyle name="Normal 2 2 2 2 2 2 12 2 3" xfId="25828" xr:uid="{00000000-0005-0000-0000-0000E3640000}"/>
    <cellStyle name="Normal 2 2 2 2 2 2 12 2 3 2" xfId="25829" xr:uid="{00000000-0005-0000-0000-0000E4640000}"/>
    <cellStyle name="Normal 2 2 2 2 2 2 12 2 4" xfId="25830" xr:uid="{00000000-0005-0000-0000-0000E5640000}"/>
    <cellStyle name="Normal 2 2 2 2 2 2 12 3" xfId="25831" xr:uid="{00000000-0005-0000-0000-0000E6640000}"/>
    <cellStyle name="Normal 2 2 2 2 2 2 12 3 2" xfId="25832" xr:uid="{00000000-0005-0000-0000-0000E7640000}"/>
    <cellStyle name="Normal 2 2 2 2 2 2 12 3 2 2" xfId="25833" xr:uid="{00000000-0005-0000-0000-0000E8640000}"/>
    <cellStyle name="Normal 2 2 2 2 2 2 12 3 3" xfId="25834" xr:uid="{00000000-0005-0000-0000-0000E9640000}"/>
    <cellStyle name="Normal 2 2 2 2 2 2 12 4" xfId="25835" xr:uid="{00000000-0005-0000-0000-0000EA640000}"/>
    <cellStyle name="Normal 2 2 2 2 2 2 12 4 2" xfId="25836" xr:uid="{00000000-0005-0000-0000-0000EB640000}"/>
    <cellStyle name="Normal 2 2 2 2 2 2 12 5" xfId="25837" xr:uid="{00000000-0005-0000-0000-0000EC640000}"/>
    <cellStyle name="Normal 2 2 2 2 2 2 13" xfId="25838" xr:uid="{00000000-0005-0000-0000-0000ED640000}"/>
    <cellStyle name="Normal 2 2 2 2 2 2 13 2" xfId="25839" xr:uid="{00000000-0005-0000-0000-0000EE640000}"/>
    <cellStyle name="Normal 2 2 2 2 2 2 13 2 2" xfId="25840" xr:uid="{00000000-0005-0000-0000-0000EF640000}"/>
    <cellStyle name="Normal 2 2 2 2 2 2 13 2 2 2" xfId="25841" xr:uid="{00000000-0005-0000-0000-0000F0640000}"/>
    <cellStyle name="Normal 2 2 2 2 2 2 13 2 3" xfId="25842" xr:uid="{00000000-0005-0000-0000-0000F1640000}"/>
    <cellStyle name="Normal 2 2 2 2 2 2 13 3" xfId="25843" xr:uid="{00000000-0005-0000-0000-0000F2640000}"/>
    <cellStyle name="Normal 2 2 2 2 2 2 13 3 2" xfId="25844" xr:uid="{00000000-0005-0000-0000-0000F3640000}"/>
    <cellStyle name="Normal 2 2 2 2 2 2 13 4" xfId="25845" xr:uid="{00000000-0005-0000-0000-0000F4640000}"/>
    <cellStyle name="Normal 2 2 2 2 2 2 14" xfId="25846" xr:uid="{00000000-0005-0000-0000-0000F5640000}"/>
    <cellStyle name="Normal 2 2 2 2 2 2 14 2" xfId="25847" xr:uid="{00000000-0005-0000-0000-0000F6640000}"/>
    <cellStyle name="Normal 2 2 2 2 2 2 14 2 2" xfId="25848" xr:uid="{00000000-0005-0000-0000-0000F7640000}"/>
    <cellStyle name="Normal 2 2 2 2 2 2 14 2 2 2" xfId="25849" xr:uid="{00000000-0005-0000-0000-0000F8640000}"/>
    <cellStyle name="Normal 2 2 2 2 2 2 14 2 3" xfId="25850" xr:uid="{00000000-0005-0000-0000-0000F9640000}"/>
    <cellStyle name="Normal 2 2 2 2 2 2 14 3" xfId="25851" xr:uid="{00000000-0005-0000-0000-0000FA640000}"/>
    <cellStyle name="Normal 2 2 2 2 2 2 14 3 2" xfId="25852" xr:uid="{00000000-0005-0000-0000-0000FB640000}"/>
    <cellStyle name="Normal 2 2 2 2 2 2 14 4" xfId="25853" xr:uid="{00000000-0005-0000-0000-0000FC640000}"/>
    <cellStyle name="Normal 2 2 2 2 2 2 15" xfId="25854" xr:uid="{00000000-0005-0000-0000-0000FD640000}"/>
    <cellStyle name="Normal 2 2 2 2 2 2 15 2" xfId="25855" xr:uid="{00000000-0005-0000-0000-0000FE640000}"/>
    <cellStyle name="Normal 2 2 2 2 2 2 15 2 2" xfId="25856" xr:uid="{00000000-0005-0000-0000-0000FF640000}"/>
    <cellStyle name="Normal 2 2 2 2 2 2 15 3" xfId="25857" xr:uid="{00000000-0005-0000-0000-000000650000}"/>
    <cellStyle name="Normal 2 2 2 2 2 2 16" xfId="25858" xr:uid="{00000000-0005-0000-0000-000001650000}"/>
    <cellStyle name="Normal 2 2 2 2 2 2 16 2" xfId="25859" xr:uid="{00000000-0005-0000-0000-000002650000}"/>
    <cellStyle name="Normal 2 2 2 2 2 2 16 2 2" xfId="25860" xr:uid="{00000000-0005-0000-0000-000003650000}"/>
    <cellStyle name="Normal 2 2 2 2 2 2 16 3" xfId="25861" xr:uid="{00000000-0005-0000-0000-000004650000}"/>
    <cellStyle name="Normal 2 2 2 2 2 2 17" xfId="25862" xr:uid="{00000000-0005-0000-0000-000005650000}"/>
    <cellStyle name="Normal 2 2 2 2 2 2 17 2" xfId="25863" xr:uid="{00000000-0005-0000-0000-000006650000}"/>
    <cellStyle name="Normal 2 2 2 2 2 2 17 2 2" xfId="25864" xr:uid="{00000000-0005-0000-0000-000007650000}"/>
    <cellStyle name="Normal 2 2 2 2 2 2 17 3" xfId="25865" xr:uid="{00000000-0005-0000-0000-000008650000}"/>
    <cellStyle name="Normal 2 2 2 2 2 2 18" xfId="25866" xr:uid="{00000000-0005-0000-0000-000009650000}"/>
    <cellStyle name="Normal 2 2 2 2 2 2 18 2" xfId="25867" xr:uid="{00000000-0005-0000-0000-00000A650000}"/>
    <cellStyle name="Normal 2 2 2 2 2 2 18 2 2" xfId="25868" xr:uid="{00000000-0005-0000-0000-00000B650000}"/>
    <cellStyle name="Normal 2 2 2 2 2 2 18 3" xfId="25869" xr:uid="{00000000-0005-0000-0000-00000C650000}"/>
    <cellStyle name="Normal 2 2 2 2 2 2 19" xfId="25870" xr:uid="{00000000-0005-0000-0000-00000D650000}"/>
    <cellStyle name="Normal 2 2 2 2 2 2 19 2" xfId="25871" xr:uid="{00000000-0005-0000-0000-00000E650000}"/>
    <cellStyle name="Normal 2 2 2 2 2 2 2" xfId="25872" xr:uid="{00000000-0005-0000-0000-00000F650000}"/>
    <cellStyle name="Normal 2 2 2 2 2 2 2 10" xfId="25873" xr:uid="{00000000-0005-0000-0000-000010650000}"/>
    <cellStyle name="Normal 2 2 2 2 2 2 2 10 2" xfId="25874" xr:uid="{00000000-0005-0000-0000-000011650000}"/>
    <cellStyle name="Normal 2 2 2 2 2 2 2 10 2 2" xfId="25875" xr:uid="{00000000-0005-0000-0000-000012650000}"/>
    <cellStyle name="Normal 2 2 2 2 2 2 2 10 3" xfId="25876" xr:uid="{00000000-0005-0000-0000-000013650000}"/>
    <cellStyle name="Normal 2 2 2 2 2 2 2 11" xfId="25877" xr:uid="{00000000-0005-0000-0000-000014650000}"/>
    <cellStyle name="Normal 2 2 2 2 2 2 2 11 2" xfId="25878" xr:uid="{00000000-0005-0000-0000-000015650000}"/>
    <cellStyle name="Normal 2 2 2 2 2 2 2 11 2 2" xfId="25879" xr:uid="{00000000-0005-0000-0000-000016650000}"/>
    <cellStyle name="Normal 2 2 2 2 2 2 2 11 3" xfId="25880" xr:uid="{00000000-0005-0000-0000-000017650000}"/>
    <cellStyle name="Normal 2 2 2 2 2 2 2 12" xfId="25881" xr:uid="{00000000-0005-0000-0000-000018650000}"/>
    <cellStyle name="Normal 2 2 2 2 2 2 2 12 2" xfId="25882" xr:uid="{00000000-0005-0000-0000-000019650000}"/>
    <cellStyle name="Normal 2 2 2 2 2 2 2 12 2 2" xfId="25883" xr:uid="{00000000-0005-0000-0000-00001A650000}"/>
    <cellStyle name="Normal 2 2 2 2 2 2 2 12 3" xfId="25884" xr:uid="{00000000-0005-0000-0000-00001B650000}"/>
    <cellStyle name="Normal 2 2 2 2 2 2 2 13" xfId="25885" xr:uid="{00000000-0005-0000-0000-00001C650000}"/>
    <cellStyle name="Normal 2 2 2 2 2 2 2 13 2" xfId="25886" xr:uid="{00000000-0005-0000-0000-00001D650000}"/>
    <cellStyle name="Normal 2 2 2 2 2 2 2 14" xfId="25887" xr:uid="{00000000-0005-0000-0000-00001E650000}"/>
    <cellStyle name="Normal 2 2 2 2 2 2 2 2" xfId="25888" xr:uid="{00000000-0005-0000-0000-00001F650000}"/>
    <cellStyle name="Normal 2 2 2 2 2 2 2 2 2" xfId="25889" xr:uid="{00000000-0005-0000-0000-000020650000}"/>
    <cellStyle name="Normal 2 2 2 2 2 2 2 2 2 2" xfId="25890" xr:uid="{00000000-0005-0000-0000-000021650000}"/>
    <cellStyle name="Normal 2 2 2 2 2 2 2 2 2 2 2" xfId="25891" xr:uid="{00000000-0005-0000-0000-000022650000}"/>
    <cellStyle name="Normal 2 2 2 2 2 2 2 2 2 2 2 2" xfId="25892" xr:uid="{00000000-0005-0000-0000-000023650000}"/>
    <cellStyle name="Normal 2 2 2 2 2 2 2 2 2 2 3" xfId="25893" xr:uid="{00000000-0005-0000-0000-000024650000}"/>
    <cellStyle name="Normal 2 2 2 2 2 2 2 2 2 3" xfId="25894" xr:uid="{00000000-0005-0000-0000-000025650000}"/>
    <cellStyle name="Normal 2 2 2 2 2 2 2 2 2 3 2" xfId="25895" xr:uid="{00000000-0005-0000-0000-000026650000}"/>
    <cellStyle name="Normal 2 2 2 2 2 2 2 2 2 4" xfId="25896" xr:uid="{00000000-0005-0000-0000-000027650000}"/>
    <cellStyle name="Normal 2 2 2 2 2 2 2 2 3" xfId="25897" xr:uid="{00000000-0005-0000-0000-000028650000}"/>
    <cellStyle name="Normal 2 2 2 2 2 2 2 2 3 2" xfId="25898" xr:uid="{00000000-0005-0000-0000-000029650000}"/>
    <cellStyle name="Normal 2 2 2 2 2 2 2 2 3 2 2" xfId="25899" xr:uid="{00000000-0005-0000-0000-00002A650000}"/>
    <cellStyle name="Normal 2 2 2 2 2 2 2 2 3 3" xfId="25900" xr:uid="{00000000-0005-0000-0000-00002B650000}"/>
    <cellStyle name="Normal 2 2 2 2 2 2 2 2 4" xfId="25901" xr:uid="{00000000-0005-0000-0000-00002C650000}"/>
    <cellStyle name="Normal 2 2 2 2 2 2 2 2 4 2" xfId="25902" xr:uid="{00000000-0005-0000-0000-00002D650000}"/>
    <cellStyle name="Normal 2 2 2 2 2 2 2 2 4 2 2" xfId="25903" xr:uid="{00000000-0005-0000-0000-00002E650000}"/>
    <cellStyle name="Normal 2 2 2 2 2 2 2 2 4 3" xfId="25904" xr:uid="{00000000-0005-0000-0000-00002F650000}"/>
    <cellStyle name="Normal 2 2 2 2 2 2 2 2 5" xfId="25905" xr:uid="{00000000-0005-0000-0000-000030650000}"/>
    <cellStyle name="Normal 2 2 2 2 2 2 2 2 5 2" xfId="25906" xr:uid="{00000000-0005-0000-0000-000031650000}"/>
    <cellStyle name="Normal 2 2 2 2 2 2 2 2 5 2 2" xfId="25907" xr:uid="{00000000-0005-0000-0000-000032650000}"/>
    <cellStyle name="Normal 2 2 2 2 2 2 2 2 5 3" xfId="25908" xr:uid="{00000000-0005-0000-0000-000033650000}"/>
    <cellStyle name="Normal 2 2 2 2 2 2 2 2 6" xfId="25909" xr:uid="{00000000-0005-0000-0000-000034650000}"/>
    <cellStyle name="Normal 2 2 2 2 2 2 2 2 6 2" xfId="25910" xr:uid="{00000000-0005-0000-0000-000035650000}"/>
    <cellStyle name="Normal 2 2 2 2 2 2 2 2 6 2 2" xfId="25911" xr:uid="{00000000-0005-0000-0000-000036650000}"/>
    <cellStyle name="Normal 2 2 2 2 2 2 2 2 6 3" xfId="25912" xr:uid="{00000000-0005-0000-0000-000037650000}"/>
    <cellStyle name="Normal 2 2 2 2 2 2 2 2 7" xfId="25913" xr:uid="{00000000-0005-0000-0000-000038650000}"/>
    <cellStyle name="Normal 2 2 2 2 2 2 2 2 7 2" xfId="25914" xr:uid="{00000000-0005-0000-0000-000039650000}"/>
    <cellStyle name="Normal 2 2 2 2 2 2 2 2 8" xfId="25915" xr:uid="{00000000-0005-0000-0000-00003A650000}"/>
    <cellStyle name="Normal 2 2 2 2 2 2 2 3" xfId="25916" xr:uid="{00000000-0005-0000-0000-00003B650000}"/>
    <cellStyle name="Normal 2 2 2 2 2 2 2 3 2" xfId="25917" xr:uid="{00000000-0005-0000-0000-00003C650000}"/>
    <cellStyle name="Normal 2 2 2 2 2 2 2 3 2 2" xfId="25918" xr:uid="{00000000-0005-0000-0000-00003D650000}"/>
    <cellStyle name="Normal 2 2 2 2 2 2 2 3 2 2 2" xfId="25919" xr:uid="{00000000-0005-0000-0000-00003E650000}"/>
    <cellStyle name="Normal 2 2 2 2 2 2 2 3 2 2 2 2" xfId="25920" xr:uid="{00000000-0005-0000-0000-00003F650000}"/>
    <cellStyle name="Normal 2 2 2 2 2 2 2 3 2 2 3" xfId="25921" xr:uid="{00000000-0005-0000-0000-000040650000}"/>
    <cellStyle name="Normal 2 2 2 2 2 2 2 3 2 3" xfId="25922" xr:uid="{00000000-0005-0000-0000-000041650000}"/>
    <cellStyle name="Normal 2 2 2 2 2 2 2 3 2 3 2" xfId="25923" xr:uid="{00000000-0005-0000-0000-000042650000}"/>
    <cellStyle name="Normal 2 2 2 2 2 2 2 3 2 4" xfId="25924" xr:uid="{00000000-0005-0000-0000-000043650000}"/>
    <cellStyle name="Normal 2 2 2 2 2 2 2 3 3" xfId="25925" xr:uid="{00000000-0005-0000-0000-000044650000}"/>
    <cellStyle name="Normal 2 2 2 2 2 2 2 3 3 2" xfId="25926" xr:uid="{00000000-0005-0000-0000-000045650000}"/>
    <cellStyle name="Normal 2 2 2 2 2 2 2 3 3 2 2" xfId="25927" xr:uid="{00000000-0005-0000-0000-000046650000}"/>
    <cellStyle name="Normal 2 2 2 2 2 2 2 3 3 3" xfId="25928" xr:uid="{00000000-0005-0000-0000-000047650000}"/>
    <cellStyle name="Normal 2 2 2 2 2 2 2 3 4" xfId="25929" xr:uid="{00000000-0005-0000-0000-000048650000}"/>
    <cellStyle name="Normal 2 2 2 2 2 2 2 3 4 2" xfId="25930" xr:uid="{00000000-0005-0000-0000-000049650000}"/>
    <cellStyle name="Normal 2 2 2 2 2 2 2 3 4 2 2" xfId="25931" xr:uid="{00000000-0005-0000-0000-00004A650000}"/>
    <cellStyle name="Normal 2 2 2 2 2 2 2 3 4 3" xfId="25932" xr:uid="{00000000-0005-0000-0000-00004B650000}"/>
    <cellStyle name="Normal 2 2 2 2 2 2 2 3 5" xfId="25933" xr:uid="{00000000-0005-0000-0000-00004C650000}"/>
    <cellStyle name="Normal 2 2 2 2 2 2 2 3 5 2" xfId="25934" xr:uid="{00000000-0005-0000-0000-00004D650000}"/>
    <cellStyle name="Normal 2 2 2 2 2 2 2 3 5 2 2" xfId="25935" xr:uid="{00000000-0005-0000-0000-00004E650000}"/>
    <cellStyle name="Normal 2 2 2 2 2 2 2 3 5 3" xfId="25936" xr:uid="{00000000-0005-0000-0000-00004F650000}"/>
    <cellStyle name="Normal 2 2 2 2 2 2 2 3 6" xfId="25937" xr:uid="{00000000-0005-0000-0000-000050650000}"/>
    <cellStyle name="Normal 2 2 2 2 2 2 2 3 6 2" xfId="25938" xr:uid="{00000000-0005-0000-0000-000051650000}"/>
    <cellStyle name="Normal 2 2 2 2 2 2 2 3 6 2 2" xfId="25939" xr:uid="{00000000-0005-0000-0000-000052650000}"/>
    <cellStyle name="Normal 2 2 2 2 2 2 2 3 6 3" xfId="25940" xr:uid="{00000000-0005-0000-0000-000053650000}"/>
    <cellStyle name="Normal 2 2 2 2 2 2 2 3 7" xfId="25941" xr:uid="{00000000-0005-0000-0000-000054650000}"/>
    <cellStyle name="Normal 2 2 2 2 2 2 2 3 7 2" xfId="25942" xr:uid="{00000000-0005-0000-0000-000055650000}"/>
    <cellStyle name="Normal 2 2 2 2 2 2 2 3 8" xfId="25943" xr:uid="{00000000-0005-0000-0000-000056650000}"/>
    <cellStyle name="Normal 2 2 2 2 2 2 2 4" xfId="25944" xr:uid="{00000000-0005-0000-0000-000057650000}"/>
    <cellStyle name="Normal 2 2 2 2 2 2 2 4 2" xfId="25945" xr:uid="{00000000-0005-0000-0000-000058650000}"/>
    <cellStyle name="Normal 2 2 2 2 2 2 2 4 2 2" xfId="25946" xr:uid="{00000000-0005-0000-0000-000059650000}"/>
    <cellStyle name="Normal 2 2 2 2 2 2 2 4 2 2 2" xfId="25947" xr:uid="{00000000-0005-0000-0000-00005A650000}"/>
    <cellStyle name="Normal 2 2 2 2 2 2 2 4 2 2 2 2" xfId="25948" xr:uid="{00000000-0005-0000-0000-00005B650000}"/>
    <cellStyle name="Normal 2 2 2 2 2 2 2 4 2 2 3" xfId="25949" xr:uid="{00000000-0005-0000-0000-00005C650000}"/>
    <cellStyle name="Normal 2 2 2 2 2 2 2 4 2 3" xfId="25950" xr:uid="{00000000-0005-0000-0000-00005D650000}"/>
    <cellStyle name="Normal 2 2 2 2 2 2 2 4 2 3 2" xfId="25951" xr:uid="{00000000-0005-0000-0000-00005E650000}"/>
    <cellStyle name="Normal 2 2 2 2 2 2 2 4 2 4" xfId="25952" xr:uid="{00000000-0005-0000-0000-00005F650000}"/>
    <cellStyle name="Normal 2 2 2 2 2 2 2 4 3" xfId="25953" xr:uid="{00000000-0005-0000-0000-000060650000}"/>
    <cellStyle name="Normal 2 2 2 2 2 2 2 4 3 2" xfId="25954" xr:uid="{00000000-0005-0000-0000-000061650000}"/>
    <cellStyle name="Normal 2 2 2 2 2 2 2 4 3 2 2" xfId="25955" xr:uid="{00000000-0005-0000-0000-000062650000}"/>
    <cellStyle name="Normal 2 2 2 2 2 2 2 4 3 3" xfId="25956" xr:uid="{00000000-0005-0000-0000-000063650000}"/>
    <cellStyle name="Normal 2 2 2 2 2 2 2 4 4" xfId="25957" xr:uid="{00000000-0005-0000-0000-000064650000}"/>
    <cellStyle name="Normal 2 2 2 2 2 2 2 4 4 2" xfId="25958" xr:uid="{00000000-0005-0000-0000-000065650000}"/>
    <cellStyle name="Normal 2 2 2 2 2 2 2 4 4 2 2" xfId="25959" xr:uid="{00000000-0005-0000-0000-000066650000}"/>
    <cellStyle name="Normal 2 2 2 2 2 2 2 4 4 3" xfId="25960" xr:uid="{00000000-0005-0000-0000-000067650000}"/>
    <cellStyle name="Normal 2 2 2 2 2 2 2 4 5" xfId="25961" xr:uid="{00000000-0005-0000-0000-000068650000}"/>
    <cellStyle name="Normal 2 2 2 2 2 2 2 4 5 2" xfId="25962" xr:uid="{00000000-0005-0000-0000-000069650000}"/>
    <cellStyle name="Normal 2 2 2 2 2 2 2 4 5 2 2" xfId="25963" xr:uid="{00000000-0005-0000-0000-00006A650000}"/>
    <cellStyle name="Normal 2 2 2 2 2 2 2 4 5 3" xfId="25964" xr:uid="{00000000-0005-0000-0000-00006B650000}"/>
    <cellStyle name="Normal 2 2 2 2 2 2 2 4 6" xfId="25965" xr:uid="{00000000-0005-0000-0000-00006C650000}"/>
    <cellStyle name="Normal 2 2 2 2 2 2 2 4 6 2" xfId="25966" xr:uid="{00000000-0005-0000-0000-00006D650000}"/>
    <cellStyle name="Normal 2 2 2 2 2 2 2 4 6 2 2" xfId="25967" xr:uid="{00000000-0005-0000-0000-00006E650000}"/>
    <cellStyle name="Normal 2 2 2 2 2 2 2 4 6 3" xfId="25968" xr:uid="{00000000-0005-0000-0000-00006F650000}"/>
    <cellStyle name="Normal 2 2 2 2 2 2 2 4 7" xfId="25969" xr:uid="{00000000-0005-0000-0000-000070650000}"/>
    <cellStyle name="Normal 2 2 2 2 2 2 2 4 7 2" xfId="25970" xr:uid="{00000000-0005-0000-0000-000071650000}"/>
    <cellStyle name="Normal 2 2 2 2 2 2 2 4 8" xfId="25971" xr:uid="{00000000-0005-0000-0000-000072650000}"/>
    <cellStyle name="Normal 2 2 2 2 2 2 2 5" xfId="25972" xr:uid="{00000000-0005-0000-0000-000073650000}"/>
    <cellStyle name="Normal 2 2 2 2 2 2 2 5 2" xfId="25973" xr:uid="{00000000-0005-0000-0000-000074650000}"/>
    <cellStyle name="Normal 2 2 2 2 2 2 2 5 2 2" xfId="25974" xr:uid="{00000000-0005-0000-0000-000075650000}"/>
    <cellStyle name="Normal 2 2 2 2 2 2 2 5 2 2 2" xfId="25975" xr:uid="{00000000-0005-0000-0000-000076650000}"/>
    <cellStyle name="Normal 2 2 2 2 2 2 2 5 2 2 2 2" xfId="25976" xr:uid="{00000000-0005-0000-0000-000077650000}"/>
    <cellStyle name="Normal 2 2 2 2 2 2 2 5 2 2 3" xfId="25977" xr:uid="{00000000-0005-0000-0000-000078650000}"/>
    <cellStyle name="Normal 2 2 2 2 2 2 2 5 2 3" xfId="25978" xr:uid="{00000000-0005-0000-0000-000079650000}"/>
    <cellStyle name="Normal 2 2 2 2 2 2 2 5 2 3 2" xfId="25979" xr:uid="{00000000-0005-0000-0000-00007A650000}"/>
    <cellStyle name="Normal 2 2 2 2 2 2 2 5 2 4" xfId="25980" xr:uid="{00000000-0005-0000-0000-00007B650000}"/>
    <cellStyle name="Normal 2 2 2 2 2 2 2 5 3" xfId="25981" xr:uid="{00000000-0005-0000-0000-00007C650000}"/>
    <cellStyle name="Normal 2 2 2 2 2 2 2 5 3 2" xfId="25982" xr:uid="{00000000-0005-0000-0000-00007D650000}"/>
    <cellStyle name="Normal 2 2 2 2 2 2 2 5 3 2 2" xfId="25983" xr:uid="{00000000-0005-0000-0000-00007E650000}"/>
    <cellStyle name="Normal 2 2 2 2 2 2 2 5 3 3" xfId="25984" xr:uid="{00000000-0005-0000-0000-00007F650000}"/>
    <cellStyle name="Normal 2 2 2 2 2 2 2 5 4" xfId="25985" xr:uid="{00000000-0005-0000-0000-000080650000}"/>
    <cellStyle name="Normal 2 2 2 2 2 2 2 5 4 2" xfId="25986" xr:uid="{00000000-0005-0000-0000-000081650000}"/>
    <cellStyle name="Normal 2 2 2 2 2 2 2 5 5" xfId="25987" xr:uid="{00000000-0005-0000-0000-000082650000}"/>
    <cellStyle name="Normal 2 2 2 2 2 2 2 6" xfId="25988" xr:uid="{00000000-0005-0000-0000-000083650000}"/>
    <cellStyle name="Normal 2 2 2 2 2 2 2 6 2" xfId="25989" xr:uid="{00000000-0005-0000-0000-000084650000}"/>
    <cellStyle name="Normal 2 2 2 2 2 2 2 6 2 2" xfId="25990" xr:uid="{00000000-0005-0000-0000-000085650000}"/>
    <cellStyle name="Normal 2 2 2 2 2 2 2 6 2 2 2" xfId="25991" xr:uid="{00000000-0005-0000-0000-000086650000}"/>
    <cellStyle name="Normal 2 2 2 2 2 2 2 6 2 2 2 2" xfId="25992" xr:uid="{00000000-0005-0000-0000-000087650000}"/>
    <cellStyle name="Normal 2 2 2 2 2 2 2 6 2 2 3" xfId="25993" xr:uid="{00000000-0005-0000-0000-000088650000}"/>
    <cellStyle name="Normal 2 2 2 2 2 2 2 6 2 3" xfId="25994" xr:uid="{00000000-0005-0000-0000-000089650000}"/>
    <cellStyle name="Normal 2 2 2 2 2 2 2 6 2 3 2" xfId="25995" xr:uid="{00000000-0005-0000-0000-00008A650000}"/>
    <cellStyle name="Normal 2 2 2 2 2 2 2 6 2 4" xfId="25996" xr:uid="{00000000-0005-0000-0000-00008B650000}"/>
    <cellStyle name="Normal 2 2 2 2 2 2 2 6 3" xfId="25997" xr:uid="{00000000-0005-0000-0000-00008C650000}"/>
    <cellStyle name="Normal 2 2 2 2 2 2 2 6 3 2" xfId="25998" xr:uid="{00000000-0005-0000-0000-00008D650000}"/>
    <cellStyle name="Normal 2 2 2 2 2 2 2 6 3 2 2" xfId="25999" xr:uid="{00000000-0005-0000-0000-00008E650000}"/>
    <cellStyle name="Normal 2 2 2 2 2 2 2 6 3 3" xfId="26000" xr:uid="{00000000-0005-0000-0000-00008F650000}"/>
    <cellStyle name="Normal 2 2 2 2 2 2 2 6 4" xfId="26001" xr:uid="{00000000-0005-0000-0000-000090650000}"/>
    <cellStyle name="Normal 2 2 2 2 2 2 2 6 4 2" xfId="26002" xr:uid="{00000000-0005-0000-0000-000091650000}"/>
    <cellStyle name="Normal 2 2 2 2 2 2 2 6 5" xfId="26003" xr:uid="{00000000-0005-0000-0000-000092650000}"/>
    <cellStyle name="Normal 2 2 2 2 2 2 2 7" xfId="26004" xr:uid="{00000000-0005-0000-0000-000093650000}"/>
    <cellStyle name="Normal 2 2 2 2 2 2 2 7 2" xfId="26005" xr:uid="{00000000-0005-0000-0000-000094650000}"/>
    <cellStyle name="Normal 2 2 2 2 2 2 2 7 2 2" xfId="26006" xr:uid="{00000000-0005-0000-0000-000095650000}"/>
    <cellStyle name="Normal 2 2 2 2 2 2 2 7 2 2 2" xfId="26007" xr:uid="{00000000-0005-0000-0000-000096650000}"/>
    <cellStyle name="Normal 2 2 2 2 2 2 2 7 2 3" xfId="26008" xr:uid="{00000000-0005-0000-0000-000097650000}"/>
    <cellStyle name="Normal 2 2 2 2 2 2 2 7 3" xfId="26009" xr:uid="{00000000-0005-0000-0000-000098650000}"/>
    <cellStyle name="Normal 2 2 2 2 2 2 2 7 3 2" xfId="26010" xr:uid="{00000000-0005-0000-0000-000099650000}"/>
    <cellStyle name="Normal 2 2 2 2 2 2 2 7 4" xfId="26011" xr:uid="{00000000-0005-0000-0000-00009A650000}"/>
    <cellStyle name="Normal 2 2 2 2 2 2 2 8" xfId="26012" xr:uid="{00000000-0005-0000-0000-00009B650000}"/>
    <cellStyle name="Normal 2 2 2 2 2 2 2 8 2" xfId="26013" xr:uid="{00000000-0005-0000-0000-00009C650000}"/>
    <cellStyle name="Normal 2 2 2 2 2 2 2 8 2 2" xfId="26014" xr:uid="{00000000-0005-0000-0000-00009D650000}"/>
    <cellStyle name="Normal 2 2 2 2 2 2 2 8 2 2 2" xfId="26015" xr:uid="{00000000-0005-0000-0000-00009E650000}"/>
    <cellStyle name="Normal 2 2 2 2 2 2 2 8 2 3" xfId="26016" xr:uid="{00000000-0005-0000-0000-00009F650000}"/>
    <cellStyle name="Normal 2 2 2 2 2 2 2 8 3" xfId="26017" xr:uid="{00000000-0005-0000-0000-0000A0650000}"/>
    <cellStyle name="Normal 2 2 2 2 2 2 2 8 3 2" xfId="26018" xr:uid="{00000000-0005-0000-0000-0000A1650000}"/>
    <cellStyle name="Normal 2 2 2 2 2 2 2 8 4" xfId="26019" xr:uid="{00000000-0005-0000-0000-0000A2650000}"/>
    <cellStyle name="Normal 2 2 2 2 2 2 2 9" xfId="26020" xr:uid="{00000000-0005-0000-0000-0000A3650000}"/>
    <cellStyle name="Normal 2 2 2 2 2 2 2 9 2" xfId="26021" xr:uid="{00000000-0005-0000-0000-0000A4650000}"/>
    <cellStyle name="Normal 2 2 2 2 2 2 2 9 2 2" xfId="26022" xr:uid="{00000000-0005-0000-0000-0000A5650000}"/>
    <cellStyle name="Normal 2 2 2 2 2 2 2 9 3" xfId="26023" xr:uid="{00000000-0005-0000-0000-0000A6650000}"/>
    <cellStyle name="Normal 2 2 2 2 2 2 20" xfId="26024" xr:uid="{00000000-0005-0000-0000-0000A7650000}"/>
    <cellStyle name="Normal 2 2 2 2 2 2 3" xfId="26025" xr:uid="{00000000-0005-0000-0000-0000A8650000}"/>
    <cellStyle name="Normal 2 2 2 2 2 2 3 10" xfId="26026" xr:uid="{00000000-0005-0000-0000-0000A9650000}"/>
    <cellStyle name="Normal 2 2 2 2 2 2 3 10 2" xfId="26027" xr:uid="{00000000-0005-0000-0000-0000AA650000}"/>
    <cellStyle name="Normal 2 2 2 2 2 2 3 10 2 2" xfId="26028" xr:uid="{00000000-0005-0000-0000-0000AB650000}"/>
    <cellStyle name="Normal 2 2 2 2 2 2 3 10 3" xfId="26029" xr:uid="{00000000-0005-0000-0000-0000AC650000}"/>
    <cellStyle name="Normal 2 2 2 2 2 2 3 11" xfId="26030" xr:uid="{00000000-0005-0000-0000-0000AD650000}"/>
    <cellStyle name="Normal 2 2 2 2 2 2 3 11 2" xfId="26031" xr:uid="{00000000-0005-0000-0000-0000AE650000}"/>
    <cellStyle name="Normal 2 2 2 2 2 2 3 11 2 2" xfId="26032" xr:uid="{00000000-0005-0000-0000-0000AF650000}"/>
    <cellStyle name="Normal 2 2 2 2 2 2 3 11 3" xfId="26033" xr:uid="{00000000-0005-0000-0000-0000B0650000}"/>
    <cellStyle name="Normal 2 2 2 2 2 2 3 12" xfId="26034" xr:uid="{00000000-0005-0000-0000-0000B1650000}"/>
    <cellStyle name="Normal 2 2 2 2 2 2 3 12 2" xfId="26035" xr:uid="{00000000-0005-0000-0000-0000B2650000}"/>
    <cellStyle name="Normal 2 2 2 2 2 2 3 12 2 2" xfId="26036" xr:uid="{00000000-0005-0000-0000-0000B3650000}"/>
    <cellStyle name="Normal 2 2 2 2 2 2 3 12 3" xfId="26037" xr:uid="{00000000-0005-0000-0000-0000B4650000}"/>
    <cellStyle name="Normal 2 2 2 2 2 2 3 13" xfId="26038" xr:uid="{00000000-0005-0000-0000-0000B5650000}"/>
    <cellStyle name="Normal 2 2 2 2 2 2 3 13 2" xfId="26039" xr:uid="{00000000-0005-0000-0000-0000B6650000}"/>
    <cellStyle name="Normal 2 2 2 2 2 2 3 14" xfId="26040" xr:uid="{00000000-0005-0000-0000-0000B7650000}"/>
    <cellStyle name="Normal 2 2 2 2 2 2 3 2" xfId="26041" xr:uid="{00000000-0005-0000-0000-0000B8650000}"/>
    <cellStyle name="Normal 2 2 2 2 2 2 3 2 2" xfId="26042" xr:uid="{00000000-0005-0000-0000-0000B9650000}"/>
    <cellStyle name="Normal 2 2 2 2 2 2 3 2 2 2" xfId="26043" xr:uid="{00000000-0005-0000-0000-0000BA650000}"/>
    <cellStyle name="Normal 2 2 2 2 2 2 3 2 2 2 2" xfId="26044" xr:uid="{00000000-0005-0000-0000-0000BB650000}"/>
    <cellStyle name="Normal 2 2 2 2 2 2 3 2 2 2 2 2" xfId="26045" xr:uid="{00000000-0005-0000-0000-0000BC650000}"/>
    <cellStyle name="Normal 2 2 2 2 2 2 3 2 2 2 3" xfId="26046" xr:uid="{00000000-0005-0000-0000-0000BD650000}"/>
    <cellStyle name="Normal 2 2 2 2 2 2 3 2 2 3" xfId="26047" xr:uid="{00000000-0005-0000-0000-0000BE650000}"/>
    <cellStyle name="Normal 2 2 2 2 2 2 3 2 2 3 2" xfId="26048" xr:uid="{00000000-0005-0000-0000-0000BF650000}"/>
    <cellStyle name="Normal 2 2 2 2 2 2 3 2 2 4" xfId="26049" xr:uid="{00000000-0005-0000-0000-0000C0650000}"/>
    <cellStyle name="Normal 2 2 2 2 2 2 3 2 3" xfId="26050" xr:uid="{00000000-0005-0000-0000-0000C1650000}"/>
    <cellStyle name="Normal 2 2 2 2 2 2 3 2 3 2" xfId="26051" xr:uid="{00000000-0005-0000-0000-0000C2650000}"/>
    <cellStyle name="Normal 2 2 2 2 2 2 3 2 3 2 2" xfId="26052" xr:uid="{00000000-0005-0000-0000-0000C3650000}"/>
    <cellStyle name="Normal 2 2 2 2 2 2 3 2 3 3" xfId="26053" xr:uid="{00000000-0005-0000-0000-0000C4650000}"/>
    <cellStyle name="Normal 2 2 2 2 2 2 3 2 4" xfId="26054" xr:uid="{00000000-0005-0000-0000-0000C5650000}"/>
    <cellStyle name="Normal 2 2 2 2 2 2 3 2 4 2" xfId="26055" xr:uid="{00000000-0005-0000-0000-0000C6650000}"/>
    <cellStyle name="Normal 2 2 2 2 2 2 3 2 4 2 2" xfId="26056" xr:uid="{00000000-0005-0000-0000-0000C7650000}"/>
    <cellStyle name="Normal 2 2 2 2 2 2 3 2 4 3" xfId="26057" xr:uid="{00000000-0005-0000-0000-0000C8650000}"/>
    <cellStyle name="Normal 2 2 2 2 2 2 3 2 5" xfId="26058" xr:uid="{00000000-0005-0000-0000-0000C9650000}"/>
    <cellStyle name="Normal 2 2 2 2 2 2 3 2 5 2" xfId="26059" xr:uid="{00000000-0005-0000-0000-0000CA650000}"/>
    <cellStyle name="Normal 2 2 2 2 2 2 3 2 5 2 2" xfId="26060" xr:uid="{00000000-0005-0000-0000-0000CB650000}"/>
    <cellStyle name="Normal 2 2 2 2 2 2 3 2 5 3" xfId="26061" xr:uid="{00000000-0005-0000-0000-0000CC650000}"/>
    <cellStyle name="Normal 2 2 2 2 2 2 3 2 6" xfId="26062" xr:uid="{00000000-0005-0000-0000-0000CD650000}"/>
    <cellStyle name="Normal 2 2 2 2 2 2 3 2 6 2" xfId="26063" xr:uid="{00000000-0005-0000-0000-0000CE650000}"/>
    <cellStyle name="Normal 2 2 2 2 2 2 3 2 6 2 2" xfId="26064" xr:uid="{00000000-0005-0000-0000-0000CF650000}"/>
    <cellStyle name="Normal 2 2 2 2 2 2 3 2 6 3" xfId="26065" xr:uid="{00000000-0005-0000-0000-0000D0650000}"/>
    <cellStyle name="Normal 2 2 2 2 2 2 3 2 7" xfId="26066" xr:uid="{00000000-0005-0000-0000-0000D1650000}"/>
    <cellStyle name="Normal 2 2 2 2 2 2 3 2 7 2" xfId="26067" xr:uid="{00000000-0005-0000-0000-0000D2650000}"/>
    <cellStyle name="Normal 2 2 2 2 2 2 3 2 8" xfId="26068" xr:uid="{00000000-0005-0000-0000-0000D3650000}"/>
    <cellStyle name="Normal 2 2 2 2 2 2 3 3" xfId="26069" xr:uid="{00000000-0005-0000-0000-0000D4650000}"/>
    <cellStyle name="Normal 2 2 2 2 2 2 3 3 2" xfId="26070" xr:uid="{00000000-0005-0000-0000-0000D5650000}"/>
    <cellStyle name="Normal 2 2 2 2 2 2 3 3 2 2" xfId="26071" xr:uid="{00000000-0005-0000-0000-0000D6650000}"/>
    <cellStyle name="Normal 2 2 2 2 2 2 3 3 2 2 2" xfId="26072" xr:uid="{00000000-0005-0000-0000-0000D7650000}"/>
    <cellStyle name="Normal 2 2 2 2 2 2 3 3 2 2 2 2" xfId="26073" xr:uid="{00000000-0005-0000-0000-0000D8650000}"/>
    <cellStyle name="Normal 2 2 2 2 2 2 3 3 2 2 3" xfId="26074" xr:uid="{00000000-0005-0000-0000-0000D9650000}"/>
    <cellStyle name="Normal 2 2 2 2 2 2 3 3 2 3" xfId="26075" xr:uid="{00000000-0005-0000-0000-0000DA650000}"/>
    <cellStyle name="Normal 2 2 2 2 2 2 3 3 2 3 2" xfId="26076" xr:uid="{00000000-0005-0000-0000-0000DB650000}"/>
    <cellStyle name="Normal 2 2 2 2 2 2 3 3 2 4" xfId="26077" xr:uid="{00000000-0005-0000-0000-0000DC650000}"/>
    <cellStyle name="Normal 2 2 2 2 2 2 3 3 3" xfId="26078" xr:uid="{00000000-0005-0000-0000-0000DD650000}"/>
    <cellStyle name="Normal 2 2 2 2 2 2 3 3 3 2" xfId="26079" xr:uid="{00000000-0005-0000-0000-0000DE650000}"/>
    <cellStyle name="Normal 2 2 2 2 2 2 3 3 3 2 2" xfId="26080" xr:uid="{00000000-0005-0000-0000-0000DF650000}"/>
    <cellStyle name="Normal 2 2 2 2 2 2 3 3 3 3" xfId="26081" xr:uid="{00000000-0005-0000-0000-0000E0650000}"/>
    <cellStyle name="Normal 2 2 2 2 2 2 3 3 4" xfId="26082" xr:uid="{00000000-0005-0000-0000-0000E1650000}"/>
    <cellStyle name="Normal 2 2 2 2 2 2 3 3 4 2" xfId="26083" xr:uid="{00000000-0005-0000-0000-0000E2650000}"/>
    <cellStyle name="Normal 2 2 2 2 2 2 3 3 4 2 2" xfId="26084" xr:uid="{00000000-0005-0000-0000-0000E3650000}"/>
    <cellStyle name="Normal 2 2 2 2 2 2 3 3 4 3" xfId="26085" xr:uid="{00000000-0005-0000-0000-0000E4650000}"/>
    <cellStyle name="Normal 2 2 2 2 2 2 3 3 5" xfId="26086" xr:uid="{00000000-0005-0000-0000-0000E5650000}"/>
    <cellStyle name="Normal 2 2 2 2 2 2 3 3 5 2" xfId="26087" xr:uid="{00000000-0005-0000-0000-0000E6650000}"/>
    <cellStyle name="Normal 2 2 2 2 2 2 3 3 5 2 2" xfId="26088" xr:uid="{00000000-0005-0000-0000-0000E7650000}"/>
    <cellStyle name="Normal 2 2 2 2 2 2 3 3 5 3" xfId="26089" xr:uid="{00000000-0005-0000-0000-0000E8650000}"/>
    <cellStyle name="Normal 2 2 2 2 2 2 3 3 6" xfId="26090" xr:uid="{00000000-0005-0000-0000-0000E9650000}"/>
    <cellStyle name="Normal 2 2 2 2 2 2 3 3 6 2" xfId="26091" xr:uid="{00000000-0005-0000-0000-0000EA650000}"/>
    <cellStyle name="Normal 2 2 2 2 2 2 3 3 6 2 2" xfId="26092" xr:uid="{00000000-0005-0000-0000-0000EB650000}"/>
    <cellStyle name="Normal 2 2 2 2 2 2 3 3 6 3" xfId="26093" xr:uid="{00000000-0005-0000-0000-0000EC650000}"/>
    <cellStyle name="Normal 2 2 2 2 2 2 3 3 7" xfId="26094" xr:uid="{00000000-0005-0000-0000-0000ED650000}"/>
    <cellStyle name="Normal 2 2 2 2 2 2 3 3 7 2" xfId="26095" xr:uid="{00000000-0005-0000-0000-0000EE650000}"/>
    <cellStyle name="Normal 2 2 2 2 2 2 3 3 8" xfId="26096" xr:uid="{00000000-0005-0000-0000-0000EF650000}"/>
    <cellStyle name="Normal 2 2 2 2 2 2 3 4" xfId="26097" xr:uid="{00000000-0005-0000-0000-0000F0650000}"/>
    <cellStyle name="Normal 2 2 2 2 2 2 3 4 2" xfId="26098" xr:uid="{00000000-0005-0000-0000-0000F1650000}"/>
    <cellStyle name="Normal 2 2 2 2 2 2 3 4 2 2" xfId="26099" xr:uid="{00000000-0005-0000-0000-0000F2650000}"/>
    <cellStyle name="Normal 2 2 2 2 2 2 3 4 2 2 2" xfId="26100" xr:uid="{00000000-0005-0000-0000-0000F3650000}"/>
    <cellStyle name="Normal 2 2 2 2 2 2 3 4 2 2 2 2" xfId="26101" xr:uid="{00000000-0005-0000-0000-0000F4650000}"/>
    <cellStyle name="Normal 2 2 2 2 2 2 3 4 2 2 3" xfId="26102" xr:uid="{00000000-0005-0000-0000-0000F5650000}"/>
    <cellStyle name="Normal 2 2 2 2 2 2 3 4 2 3" xfId="26103" xr:uid="{00000000-0005-0000-0000-0000F6650000}"/>
    <cellStyle name="Normal 2 2 2 2 2 2 3 4 2 3 2" xfId="26104" xr:uid="{00000000-0005-0000-0000-0000F7650000}"/>
    <cellStyle name="Normal 2 2 2 2 2 2 3 4 2 4" xfId="26105" xr:uid="{00000000-0005-0000-0000-0000F8650000}"/>
    <cellStyle name="Normal 2 2 2 2 2 2 3 4 3" xfId="26106" xr:uid="{00000000-0005-0000-0000-0000F9650000}"/>
    <cellStyle name="Normal 2 2 2 2 2 2 3 4 3 2" xfId="26107" xr:uid="{00000000-0005-0000-0000-0000FA650000}"/>
    <cellStyle name="Normal 2 2 2 2 2 2 3 4 3 2 2" xfId="26108" xr:uid="{00000000-0005-0000-0000-0000FB650000}"/>
    <cellStyle name="Normal 2 2 2 2 2 2 3 4 3 3" xfId="26109" xr:uid="{00000000-0005-0000-0000-0000FC650000}"/>
    <cellStyle name="Normal 2 2 2 2 2 2 3 4 4" xfId="26110" xr:uid="{00000000-0005-0000-0000-0000FD650000}"/>
    <cellStyle name="Normal 2 2 2 2 2 2 3 4 4 2" xfId="26111" xr:uid="{00000000-0005-0000-0000-0000FE650000}"/>
    <cellStyle name="Normal 2 2 2 2 2 2 3 4 4 2 2" xfId="26112" xr:uid="{00000000-0005-0000-0000-0000FF650000}"/>
    <cellStyle name="Normal 2 2 2 2 2 2 3 4 4 3" xfId="26113" xr:uid="{00000000-0005-0000-0000-000000660000}"/>
    <cellStyle name="Normal 2 2 2 2 2 2 3 4 5" xfId="26114" xr:uid="{00000000-0005-0000-0000-000001660000}"/>
    <cellStyle name="Normal 2 2 2 2 2 2 3 4 5 2" xfId="26115" xr:uid="{00000000-0005-0000-0000-000002660000}"/>
    <cellStyle name="Normal 2 2 2 2 2 2 3 4 5 2 2" xfId="26116" xr:uid="{00000000-0005-0000-0000-000003660000}"/>
    <cellStyle name="Normal 2 2 2 2 2 2 3 4 5 3" xfId="26117" xr:uid="{00000000-0005-0000-0000-000004660000}"/>
    <cellStyle name="Normal 2 2 2 2 2 2 3 4 6" xfId="26118" xr:uid="{00000000-0005-0000-0000-000005660000}"/>
    <cellStyle name="Normal 2 2 2 2 2 2 3 4 6 2" xfId="26119" xr:uid="{00000000-0005-0000-0000-000006660000}"/>
    <cellStyle name="Normal 2 2 2 2 2 2 3 4 6 2 2" xfId="26120" xr:uid="{00000000-0005-0000-0000-000007660000}"/>
    <cellStyle name="Normal 2 2 2 2 2 2 3 4 6 3" xfId="26121" xr:uid="{00000000-0005-0000-0000-000008660000}"/>
    <cellStyle name="Normal 2 2 2 2 2 2 3 4 7" xfId="26122" xr:uid="{00000000-0005-0000-0000-000009660000}"/>
    <cellStyle name="Normal 2 2 2 2 2 2 3 4 7 2" xfId="26123" xr:uid="{00000000-0005-0000-0000-00000A660000}"/>
    <cellStyle name="Normal 2 2 2 2 2 2 3 4 8" xfId="26124" xr:uid="{00000000-0005-0000-0000-00000B660000}"/>
    <cellStyle name="Normal 2 2 2 2 2 2 3 5" xfId="26125" xr:uid="{00000000-0005-0000-0000-00000C660000}"/>
    <cellStyle name="Normal 2 2 2 2 2 2 3 5 2" xfId="26126" xr:uid="{00000000-0005-0000-0000-00000D660000}"/>
    <cellStyle name="Normal 2 2 2 2 2 2 3 5 2 2" xfId="26127" xr:uid="{00000000-0005-0000-0000-00000E660000}"/>
    <cellStyle name="Normal 2 2 2 2 2 2 3 5 2 2 2" xfId="26128" xr:uid="{00000000-0005-0000-0000-00000F660000}"/>
    <cellStyle name="Normal 2 2 2 2 2 2 3 5 2 2 2 2" xfId="26129" xr:uid="{00000000-0005-0000-0000-000010660000}"/>
    <cellStyle name="Normal 2 2 2 2 2 2 3 5 2 2 3" xfId="26130" xr:uid="{00000000-0005-0000-0000-000011660000}"/>
    <cellStyle name="Normal 2 2 2 2 2 2 3 5 2 3" xfId="26131" xr:uid="{00000000-0005-0000-0000-000012660000}"/>
    <cellStyle name="Normal 2 2 2 2 2 2 3 5 2 3 2" xfId="26132" xr:uid="{00000000-0005-0000-0000-000013660000}"/>
    <cellStyle name="Normal 2 2 2 2 2 2 3 5 2 4" xfId="26133" xr:uid="{00000000-0005-0000-0000-000014660000}"/>
    <cellStyle name="Normal 2 2 2 2 2 2 3 5 3" xfId="26134" xr:uid="{00000000-0005-0000-0000-000015660000}"/>
    <cellStyle name="Normal 2 2 2 2 2 2 3 5 3 2" xfId="26135" xr:uid="{00000000-0005-0000-0000-000016660000}"/>
    <cellStyle name="Normal 2 2 2 2 2 2 3 5 3 2 2" xfId="26136" xr:uid="{00000000-0005-0000-0000-000017660000}"/>
    <cellStyle name="Normal 2 2 2 2 2 2 3 5 3 3" xfId="26137" xr:uid="{00000000-0005-0000-0000-000018660000}"/>
    <cellStyle name="Normal 2 2 2 2 2 2 3 5 4" xfId="26138" xr:uid="{00000000-0005-0000-0000-000019660000}"/>
    <cellStyle name="Normal 2 2 2 2 2 2 3 5 4 2" xfId="26139" xr:uid="{00000000-0005-0000-0000-00001A660000}"/>
    <cellStyle name="Normal 2 2 2 2 2 2 3 5 5" xfId="26140" xr:uid="{00000000-0005-0000-0000-00001B660000}"/>
    <cellStyle name="Normal 2 2 2 2 2 2 3 6" xfId="26141" xr:uid="{00000000-0005-0000-0000-00001C660000}"/>
    <cellStyle name="Normal 2 2 2 2 2 2 3 6 2" xfId="26142" xr:uid="{00000000-0005-0000-0000-00001D660000}"/>
    <cellStyle name="Normal 2 2 2 2 2 2 3 6 2 2" xfId="26143" xr:uid="{00000000-0005-0000-0000-00001E660000}"/>
    <cellStyle name="Normal 2 2 2 2 2 2 3 6 2 2 2" xfId="26144" xr:uid="{00000000-0005-0000-0000-00001F660000}"/>
    <cellStyle name="Normal 2 2 2 2 2 2 3 6 2 2 2 2" xfId="26145" xr:uid="{00000000-0005-0000-0000-000020660000}"/>
    <cellStyle name="Normal 2 2 2 2 2 2 3 6 2 2 3" xfId="26146" xr:uid="{00000000-0005-0000-0000-000021660000}"/>
    <cellStyle name="Normal 2 2 2 2 2 2 3 6 2 3" xfId="26147" xr:uid="{00000000-0005-0000-0000-000022660000}"/>
    <cellStyle name="Normal 2 2 2 2 2 2 3 6 2 3 2" xfId="26148" xr:uid="{00000000-0005-0000-0000-000023660000}"/>
    <cellStyle name="Normal 2 2 2 2 2 2 3 6 2 4" xfId="26149" xr:uid="{00000000-0005-0000-0000-000024660000}"/>
    <cellStyle name="Normal 2 2 2 2 2 2 3 6 3" xfId="26150" xr:uid="{00000000-0005-0000-0000-000025660000}"/>
    <cellStyle name="Normal 2 2 2 2 2 2 3 6 3 2" xfId="26151" xr:uid="{00000000-0005-0000-0000-000026660000}"/>
    <cellStyle name="Normal 2 2 2 2 2 2 3 6 3 2 2" xfId="26152" xr:uid="{00000000-0005-0000-0000-000027660000}"/>
    <cellStyle name="Normal 2 2 2 2 2 2 3 6 3 3" xfId="26153" xr:uid="{00000000-0005-0000-0000-000028660000}"/>
    <cellStyle name="Normal 2 2 2 2 2 2 3 6 4" xfId="26154" xr:uid="{00000000-0005-0000-0000-000029660000}"/>
    <cellStyle name="Normal 2 2 2 2 2 2 3 6 4 2" xfId="26155" xr:uid="{00000000-0005-0000-0000-00002A660000}"/>
    <cellStyle name="Normal 2 2 2 2 2 2 3 6 5" xfId="26156" xr:uid="{00000000-0005-0000-0000-00002B660000}"/>
    <cellStyle name="Normal 2 2 2 2 2 2 3 7" xfId="26157" xr:uid="{00000000-0005-0000-0000-00002C660000}"/>
    <cellStyle name="Normal 2 2 2 2 2 2 3 7 2" xfId="26158" xr:uid="{00000000-0005-0000-0000-00002D660000}"/>
    <cellStyle name="Normal 2 2 2 2 2 2 3 7 2 2" xfId="26159" xr:uid="{00000000-0005-0000-0000-00002E660000}"/>
    <cellStyle name="Normal 2 2 2 2 2 2 3 7 2 2 2" xfId="26160" xr:uid="{00000000-0005-0000-0000-00002F660000}"/>
    <cellStyle name="Normal 2 2 2 2 2 2 3 7 2 3" xfId="26161" xr:uid="{00000000-0005-0000-0000-000030660000}"/>
    <cellStyle name="Normal 2 2 2 2 2 2 3 7 3" xfId="26162" xr:uid="{00000000-0005-0000-0000-000031660000}"/>
    <cellStyle name="Normal 2 2 2 2 2 2 3 7 3 2" xfId="26163" xr:uid="{00000000-0005-0000-0000-000032660000}"/>
    <cellStyle name="Normal 2 2 2 2 2 2 3 7 4" xfId="26164" xr:uid="{00000000-0005-0000-0000-000033660000}"/>
    <cellStyle name="Normal 2 2 2 2 2 2 3 8" xfId="26165" xr:uid="{00000000-0005-0000-0000-000034660000}"/>
    <cellStyle name="Normal 2 2 2 2 2 2 3 8 2" xfId="26166" xr:uid="{00000000-0005-0000-0000-000035660000}"/>
    <cellStyle name="Normal 2 2 2 2 2 2 3 8 2 2" xfId="26167" xr:uid="{00000000-0005-0000-0000-000036660000}"/>
    <cellStyle name="Normal 2 2 2 2 2 2 3 8 2 2 2" xfId="26168" xr:uid="{00000000-0005-0000-0000-000037660000}"/>
    <cellStyle name="Normal 2 2 2 2 2 2 3 8 2 3" xfId="26169" xr:uid="{00000000-0005-0000-0000-000038660000}"/>
    <cellStyle name="Normal 2 2 2 2 2 2 3 8 3" xfId="26170" xr:uid="{00000000-0005-0000-0000-000039660000}"/>
    <cellStyle name="Normal 2 2 2 2 2 2 3 8 3 2" xfId="26171" xr:uid="{00000000-0005-0000-0000-00003A660000}"/>
    <cellStyle name="Normal 2 2 2 2 2 2 3 8 4" xfId="26172" xr:uid="{00000000-0005-0000-0000-00003B660000}"/>
    <cellStyle name="Normal 2 2 2 2 2 2 3 9" xfId="26173" xr:uid="{00000000-0005-0000-0000-00003C660000}"/>
    <cellStyle name="Normal 2 2 2 2 2 2 3 9 2" xfId="26174" xr:uid="{00000000-0005-0000-0000-00003D660000}"/>
    <cellStyle name="Normal 2 2 2 2 2 2 3 9 2 2" xfId="26175" xr:uid="{00000000-0005-0000-0000-00003E660000}"/>
    <cellStyle name="Normal 2 2 2 2 2 2 3 9 3" xfId="26176" xr:uid="{00000000-0005-0000-0000-00003F660000}"/>
    <cellStyle name="Normal 2 2 2 2 2 2 4" xfId="26177" xr:uid="{00000000-0005-0000-0000-000040660000}"/>
    <cellStyle name="Normal 2 2 2 2 2 2 4 10" xfId="26178" xr:uid="{00000000-0005-0000-0000-000041660000}"/>
    <cellStyle name="Normal 2 2 2 2 2 2 4 10 2" xfId="26179" xr:uid="{00000000-0005-0000-0000-000042660000}"/>
    <cellStyle name="Normal 2 2 2 2 2 2 4 10 2 2" xfId="26180" xr:uid="{00000000-0005-0000-0000-000043660000}"/>
    <cellStyle name="Normal 2 2 2 2 2 2 4 10 3" xfId="26181" xr:uid="{00000000-0005-0000-0000-000044660000}"/>
    <cellStyle name="Normal 2 2 2 2 2 2 4 11" xfId="26182" xr:uid="{00000000-0005-0000-0000-000045660000}"/>
    <cellStyle name="Normal 2 2 2 2 2 2 4 11 2" xfId="26183" xr:uid="{00000000-0005-0000-0000-000046660000}"/>
    <cellStyle name="Normal 2 2 2 2 2 2 4 11 2 2" xfId="26184" xr:uid="{00000000-0005-0000-0000-000047660000}"/>
    <cellStyle name="Normal 2 2 2 2 2 2 4 11 3" xfId="26185" xr:uid="{00000000-0005-0000-0000-000048660000}"/>
    <cellStyle name="Normal 2 2 2 2 2 2 4 12" xfId="26186" xr:uid="{00000000-0005-0000-0000-000049660000}"/>
    <cellStyle name="Normal 2 2 2 2 2 2 4 12 2" xfId="26187" xr:uid="{00000000-0005-0000-0000-00004A660000}"/>
    <cellStyle name="Normal 2 2 2 2 2 2 4 12 2 2" xfId="26188" xr:uid="{00000000-0005-0000-0000-00004B660000}"/>
    <cellStyle name="Normal 2 2 2 2 2 2 4 12 3" xfId="26189" xr:uid="{00000000-0005-0000-0000-00004C660000}"/>
    <cellStyle name="Normal 2 2 2 2 2 2 4 13" xfId="26190" xr:uid="{00000000-0005-0000-0000-00004D660000}"/>
    <cellStyle name="Normal 2 2 2 2 2 2 4 13 2" xfId="26191" xr:uid="{00000000-0005-0000-0000-00004E660000}"/>
    <cellStyle name="Normal 2 2 2 2 2 2 4 14" xfId="26192" xr:uid="{00000000-0005-0000-0000-00004F660000}"/>
    <cellStyle name="Normal 2 2 2 2 2 2 4 2" xfId="26193" xr:uid="{00000000-0005-0000-0000-000050660000}"/>
    <cellStyle name="Normal 2 2 2 2 2 2 4 2 2" xfId="26194" xr:uid="{00000000-0005-0000-0000-000051660000}"/>
    <cellStyle name="Normal 2 2 2 2 2 2 4 2 2 2" xfId="26195" xr:uid="{00000000-0005-0000-0000-000052660000}"/>
    <cellStyle name="Normal 2 2 2 2 2 2 4 2 2 2 2" xfId="26196" xr:uid="{00000000-0005-0000-0000-000053660000}"/>
    <cellStyle name="Normal 2 2 2 2 2 2 4 2 2 2 2 2" xfId="26197" xr:uid="{00000000-0005-0000-0000-000054660000}"/>
    <cellStyle name="Normal 2 2 2 2 2 2 4 2 2 2 3" xfId="26198" xr:uid="{00000000-0005-0000-0000-000055660000}"/>
    <cellStyle name="Normal 2 2 2 2 2 2 4 2 2 3" xfId="26199" xr:uid="{00000000-0005-0000-0000-000056660000}"/>
    <cellStyle name="Normal 2 2 2 2 2 2 4 2 2 3 2" xfId="26200" xr:uid="{00000000-0005-0000-0000-000057660000}"/>
    <cellStyle name="Normal 2 2 2 2 2 2 4 2 2 4" xfId="26201" xr:uid="{00000000-0005-0000-0000-000058660000}"/>
    <cellStyle name="Normal 2 2 2 2 2 2 4 2 3" xfId="26202" xr:uid="{00000000-0005-0000-0000-000059660000}"/>
    <cellStyle name="Normal 2 2 2 2 2 2 4 2 3 2" xfId="26203" xr:uid="{00000000-0005-0000-0000-00005A660000}"/>
    <cellStyle name="Normal 2 2 2 2 2 2 4 2 3 2 2" xfId="26204" xr:uid="{00000000-0005-0000-0000-00005B660000}"/>
    <cellStyle name="Normal 2 2 2 2 2 2 4 2 3 3" xfId="26205" xr:uid="{00000000-0005-0000-0000-00005C660000}"/>
    <cellStyle name="Normal 2 2 2 2 2 2 4 2 4" xfId="26206" xr:uid="{00000000-0005-0000-0000-00005D660000}"/>
    <cellStyle name="Normal 2 2 2 2 2 2 4 2 4 2" xfId="26207" xr:uid="{00000000-0005-0000-0000-00005E660000}"/>
    <cellStyle name="Normal 2 2 2 2 2 2 4 2 4 2 2" xfId="26208" xr:uid="{00000000-0005-0000-0000-00005F660000}"/>
    <cellStyle name="Normal 2 2 2 2 2 2 4 2 4 3" xfId="26209" xr:uid="{00000000-0005-0000-0000-000060660000}"/>
    <cellStyle name="Normal 2 2 2 2 2 2 4 2 5" xfId="26210" xr:uid="{00000000-0005-0000-0000-000061660000}"/>
    <cellStyle name="Normal 2 2 2 2 2 2 4 2 5 2" xfId="26211" xr:uid="{00000000-0005-0000-0000-000062660000}"/>
    <cellStyle name="Normal 2 2 2 2 2 2 4 2 5 2 2" xfId="26212" xr:uid="{00000000-0005-0000-0000-000063660000}"/>
    <cellStyle name="Normal 2 2 2 2 2 2 4 2 5 3" xfId="26213" xr:uid="{00000000-0005-0000-0000-000064660000}"/>
    <cellStyle name="Normal 2 2 2 2 2 2 4 2 6" xfId="26214" xr:uid="{00000000-0005-0000-0000-000065660000}"/>
    <cellStyle name="Normal 2 2 2 2 2 2 4 2 6 2" xfId="26215" xr:uid="{00000000-0005-0000-0000-000066660000}"/>
    <cellStyle name="Normal 2 2 2 2 2 2 4 2 6 2 2" xfId="26216" xr:uid="{00000000-0005-0000-0000-000067660000}"/>
    <cellStyle name="Normal 2 2 2 2 2 2 4 2 6 3" xfId="26217" xr:uid="{00000000-0005-0000-0000-000068660000}"/>
    <cellStyle name="Normal 2 2 2 2 2 2 4 2 7" xfId="26218" xr:uid="{00000000-0005-0000-0000-000069660000}"/>
    <cellStyle name="Normal 2 2 2 2 2 2 4 2 7 2" xfId="26219" xr:uid="{00000000-0005-0000-0000-00006A660000}"/>
    <cellStyle name="Normal 2 2 2 2 2 2 4 2 8" xfId="26220" xr:uid="{00000000-0005-0000-0000-00006B660000}"/>
    <cellStyle name="Normal 2 2 2 2 2 2 4 3" xfId="26221" xr:uid="{00000000-0005-0000-0000-00006C660000}"/>
    <cellStyle name="Normal 2 2 2 2 2 2 4 3 2" xfId="26222" xr:uid="{00000000-0005-0000-0000-00006D660000}"/>
    <cellStyle name="Normal 2 2 2 2 2 2 4 3 2 2" xfId="26223" xr:uid="{00000000-0005-0000-0000-00006E660000}"/>
    <cellStyle name="Normal 2 2 2 2 2 2 4 3 2 2 2" xfId="26224" xr:uid="{00000000-0005-0000-0000-00006F660000}"/>
    <cellStyle name="Normal 2 2 2 2 2 2 4 3 2 2 2 2" xfId="26225" xr:uid="{00000000-0005-0000-0000-000070660000}"/>
    <cellStyle name="Normal 2 2 2 2 2 2 4 3 2 2 3" xfId="26226" xr:uid="{00000000-0005-0000-0000-000071660000}"/>
    <cellStyle name="Normal 2 2 2 2 2 2 4 3 2 3" xfId="26227" xr:uid="{00000000-0005-0000-0000-000072660000}"/>
    <cellStyle name="Normal 2 2 2 2 2 2 4 3 2 3 2" xfId="26228" xr:uid="{00000000-0005-0000-0000-000073660000}"/>
    <cellStyle name="Normal 2 2 2 2 2 2 4 3 2 4" xfId="26229" xr:uid="{00000000-0005-0000-0000-000074660000}"/>
    <cellStyle name="Normal 2 2 2 2 2 2 4 3 3" xfId="26230" xr:uid="{00000000-0005-0000-0000-000075660000}"/>
    <cellStyle name="Normal 2 2 2 2 2 2 4 3 3 2" xfId="26231" xr:uid="{00000000-0005-0000-0000-000076660000}"/>
    <cellStyle name="Normal 2 2 2 2 2 2 4 3 3 2 2" xfId="26232" xr:uid="{00000000-0005-0000-0000-000077660000}"/>
    <cellStyle name="Normal 2 2 2 2 2 2 4 3 3 3" xfId="26233" xr:uid="{00000000-0005-0000-0000-000078660000}"/>
    <cellStyle name="Normal 2 2 2 2 2 2 4 3 4" xfId="26234" xr:uid="{00000000-0005-0000-0000-000079660000}"/>
    <cellStyle name="Normal 2 2 2 2 2 2 4 3 4 2" xfId="26235" xr:uid="{00000000-0005-0000-0000-00007A660000}"/>
    <cellStyle name="Normal 2 2 2 2 2 2 4 3 4 2 2" xfId="26236" xr:uid="{00000000-0005-0000-0000-00007B660000}"/>
    <cellStyle name="Normal 2 2 2 2 2 2 4 3 4 3" xfId="26237" xr:uid="{00000000-0005-0000-0000-00007C660000}"/>
    <cellStyle name="Normal 2 2 2 2 2 2 4 3 5" xfId="26238" xr:uid="{00000000-0005-0000-0000-00007D660000}"/>
    <cellStyle name="Normal 2 2 2 2 2 2 4 3 5 2" xfId="26239" xr:uid="{00000000-0005-0000-0000-00007E660000}"/>
    <cellStyle name="Normal 2 2 2 2 2 2 4 3 5 2 2" xfId="26240" xr:uid="{00000000-0005-0000-0000-00007F660000}"/>
    <cellStyle name="Normal 2 2 2 2 2 2 4 3 5 3" xfId="26241" xr:uid="{00000000-0005-0000-0000-000080660000}"/>
    <cellStyle name="Normal 2 2 2 2 2 2 4 3 6" xfId="26242" xr:uid="{00000000-0005-0000-0000-000081660000}"/>
    <cellStyle name="Normal 2 2 2 2 2 2 4 3 6 2" xfId="26243" xr:uid="{00000000-0005-0000-0000-000082660000}"/>
    <cellStyle name="Normal 2 2 2 2 2 2 4 3 6 2 2" xfId="26244" xr:uid="{00000000-0005-0000-0000-000083660000}"/>
    <cellStyle name="Normal 2 2 2 2 2 2 4 3 6 3" xfId="26245" xr:uid="{00000000-0005-0000-0000-000084660000}"/>
    <cellStyle name="Normal 2 2 2 2 2 2 4 3 7" xfId="26246" xr:uid="{00000000-0005-0000-0000-000085660000}"/>
    <cellStyle name="Normal 2 2 2 2 2 2 4 3 7 2" xfId="26247" xr:uid="{00000000-0005-0000-0000-000086660000}"/>
    <cellStyle name="Normal 2 2 2 2 2 2 4 3 8" xfId="26248" xr:uid="{00000000-0005-0000-0000-000087660000}"/>
    <cellStyle name="Normal 2 2 2 2 2 2 4 4" xfId="26249" xr:uid="{00000000-0005-0000-0000-000088660000}"/>
    <cellStyle name="Normal 2 2 2 2 2 2 4 4 2" xfId="26250" xr:uid="{00000000-0005-0000-0000-000089660000}"/>
    <cellStyle name="Normal 2 2 2 2 2 2 4 4 2 2" xfId="26251" xr:uid="{00000000-0005-0000-0000-00008A660000}"/>
    <cellStyle name="Normal 2 2 2 2 2 2 4 4 2 2 2" xfId="26252" xr:uid="{00000000-0005-0000-0000-00008B660000}"/>
    <cellStyle name="Normal 2 2 2 2 2 2 4 4 2 2 2 2" xfId="26253" xr:uid="{00000000-0005-0000-0000-00008C660000}"/>
    <cellStyle name="Normal 2 2 2 2 2 2 4 4 2 2 3" xfId="26254" xr:uid="{00000000-0005-0000-0000-00008D660000}"/>
    <cellStyle name="Normal 2 2 2 2 2 2 4 4 2 3" xfId="26255" xr:uid="{00000000-0005-0000-0000-00008E660000}"/>
    <cellStyle name="Normal 2 2 2 2 2 2 4 4 2 3 2" xfId="26256" xr:uid="{00000000-0005-0000-0000-00008F660000}"/>
    <cellStyle name="Normal 2 2 2 2 2 2 4 4 2 4" xfId="26257" xr:uid="{00000000-0005-0000-0000-000090660000}"/>
    <cellStyle name="Normal 2 2 2 2 2 2 4 4 3" xfId="26258" xr:uid="{00000000-0005-0000-0000-000091660000}"/>
    <cellStyle name="Normal 2 2 2 2 2 2 4 4 3 2" xfId="26259" xr:uid="{00000000-0005-0000-0000-000092660000}"/>
    <cellStyle name="Normal 2 2 2 2 2 2 4 4 3 2 2" xfId="26260" xr:uid="{00000000-0005-0000-0000-000093660000}"/>
    <cellStyle name="Normal 2 2 2 2 2 2 4 4 3 3" xfId="26261" xr:uid="{00000000-0005-0000-0000-000094660000}"/>
    <cellStyle name="Normal 2 2 2 2 2 2 4 4 4" xfId="26262" xr:uid="{00000000-0005-0000-0000-000095660000}"/>
    <cellStyle name="Normal 2 2 2 2 2 2 4 4 4 2" xfId="26263" xr:uid="{00000000-0005-0000-0000-000096660000}"/>
    <cellStyle name="Normal 2 2 2 2 2 2 4 4 4 2 2" xfId="26264" xr:uid="{00000000-0005-0000-0000-000097660000}"/>
    <cellStyle name="Normal 2 2 2 2 2 2 4 4 4 3" xfId="26265" xr:uid="{00000000-0005-0000-0000-000098660000}"/>
    <cellStyle name="Normal 2 2 2 2 2 2 4 4 5" xfId="26266" xr:uid="{00000000-0005-0000-0000-000099660000}"/>
    <cellStyle name="Normal 2 2 2 2 2 2 4 4 5 2" xfId="26267" xr:uid="{00000000-0005-0000-0000-00009A660000}"/>
    <cellStyle name="Normal 2 2 2 2 2 2 4 4 5 2 2" xfId="26268" xr:uid="{00000000-0005-0000-0000-00009B660000}"/>
    <cellStyle name="Normal 2 2 2 2 2 2 4 4 5 3" xfId="26269" xr:uid="{00000000-0005-0000-0000-00009C660000}"/>
    <cellStyle name="Normal 2 2 2 2 2 2 4 4 6" xfId="26270" xr:uid="{00000000-0005-0000-0000-00009D660000}"/>
    <cellStyle name="Normal 2 2 2 2 2 2 4 4 6 2" xfId="26271" xr:uid="{00000000-0005-0000-0000-00009E660000}"/>
    <cellStyle name="Normal 2 2 2 2 2 2 4 4 6 2 2" xfId="26272" xr:uid="{00000000-0005-0000-0000-00009F660000}"/>
    <cellStyle name="Normal 2 2 2 2 2 2 4 4 6 3" xfId="26273" xr:uid="{00000000-0005-0000-0000-0000A0660000}"/>
    <cellStyle name="Normal 2 2 2 2 2 2 4 4 7" xfId="26274" xr:uid="{00000000-0005-0000-0000-0000A1660000}"/>
    <cellStyle name="Normal 2 2 2 2 2 2 4 4 7 2" xfId="26275" xr:uid="{00000000-0005-0000-0000-0000A2660000}"/>
    <cellStyle name="Normal 2 2 2 2 2 2 4 4 8" xfId="26276" xr:uid="{00000000-0005-0000-0000-0000A3660000}"/>
    <cellStyle name="Normal 2 2 2 2 2 2 4 5" xfId="26277" xr:uid="{00000000-0005-0000-0000-0000A4660000}"/>
    <cellStyle name="Normal 2 2 2 2 2 2 4 5 2" xfId="26278" xr:uid="{00000000-0005-0000-0000-0000A5660000}"/>
    <cellStyle name="Normal 2 2 2 2 2 2 4 5 2 2" xfId="26279" xr:uid="{00000000-0005-0000-0000-0000A6660000}"/>
    <cellStyle name="Normal 2 2 2 2 2 2 4 5 2 2 2" xfId="26280" xr:uid="{00000000-0005-0000-0000-0000A7660000}"/>
    <cellStyle name="Normal 2 2 2 2 2 2 4 5 2 2 2 2" xfId="26281" xr:uid="{00000000-0005-0000-0000-0000A8660000}"/>
    <cellStyle name="Normal 2 2 2 2 2 2 4 5 2 2 3" xfId="26282" xr:uid="{00000000-0005-0000-0000-0000A9660000}"/>
    <cellStyle name="Normal 2 2 2 2 2 2 4 5 2 3" xfId="26283" xr:uid="{00000000-0005-0000-0000-0000AA660000}"/>
    <cellStyle name="Normal 2 2 2 2 2 2 4 5 2 3 2" xfId="26284" xr:uid="{00000000-0005-0000-0000-0000AB660000}"/>
    <cellStyle name="Normal 2 2 2 2 2 2 4 5 2 4" xfId="26285" xr:uid="{00000000-0005-0000-0000-0000AC660000}"/>
    <cellStyle name="Normal 2 2 2 2 2 2 4 5 3" xfId="26286" xr:uid="{00000000-0005-0000-0000-0000AD660000}"/>
    <cellStyle name="Normal 2 2 2 2 2 2 4 5 3 2" xfId="26287" xr:uid="{00000000-0005-0000-0000-0000AE660000}"/>
    <cellStyle name="Normal 2 2 2 2 2 2 4 5 3 2 2" xfId="26288" xr:uid="{00000000-0005-0000-0000-0000AF660000}"/>
    <cellStyle name="Normal 2 2 2 2 2 2 4 5 3 3" xfId="26289" xr:uid="{00000000-0005-0000-0000-0000B0660000}"/>
    <cellStyle name="Normal 2 2 2 2 2 2 4 5 4" xfId="26290" xr:uid="{00000000-0005-0000-0000-0000B1660000}"/>
    <cellStyle name="Normal 2 2 2 2 2 2 4 5 4 2" xfId="26291" xr:uid="{00000000-0005-0000-0000-0000B2660000}"/>
    <cellStyle name="Normal 2 2 2 2 2 2 4 5 5" xfId="26292" xr:uid="{00000000-0005-0000-0000-0000B3660000}"/>
    <cellStyle name="Normal 2 2 2 2 2 2 4 6" xfId="26293" xr:uid="{00000000-0005-0000-0000-0000B4660000}"/>
    <cellStyle name="Normal 2 2 2 2 2 2 4 6 2" xfId="26294" xr:uid="{00000000-0005-0000-0000-0000B5660000}"/>
    <cellStyle name="Normal 2 2 2 2 2 2 4 6 2 2" xfId="26295" xr:uid="{00000000-0005-0000-0000-0000B6660000}"/>
    <cellStyle name="Normal 2 2 2 2 2 2 4 6 2 2 2" xfId="26296" xr:uid="{00000000-0005-0000-0000-0000B7660000}"/>
    <cellStyle name="Normal 2 2 2 2 2 2 4 6 2 2 2 2" xfId="26297" xr:uid="{00000000-0005-0000-0000-0000B8660000}"/>
    <cellStyle name="Normal 2 2 2 2 2 2 4 6 2 2 3" xfId="26298" xr:uid="{00000000-0005-0000-0000-0000B9660000}"/>
    <cellStyle name="Normal 2 2 2 2 2 2 4 6 2 3" xfId="26299" xr:uid="{00000000-0005-0000-0000-0000BA660000}"/>
    <cellStyle name="Normal 2 2 2 2 2 2 4 6 2 3 2" xfId="26300" xr:uid="{00000000-0005-0000-0000-0000BB660000}"/>
    <cellStyle name="Normal 2 2 2 2 2 2 4 6 2 4" xfId="26301" xr:uid="{00000000-0005-0000-0000-0000BC660000}"/>
    <cellStyle name="Normal 2 2 2 2 2 2 4 6 3" xfId="26302" xr:uid="{00000000-0005-0000-0000-0000BD660000}"/>
    <cellStyle name="Normal 2 2 2 2 2 2 4 6 3 2" xfId="26303" xr:uid="{00000000-0005-0000-0000-0000BE660000}"/>
    <cellStyle name="Normal 2 2 2 2 2 2 4 6 3 2 2" xfId="26304" xr:uid="{00000000-0005-0000-0000-0000BF660000}"/>
    <cellStyle name="Normal 2 2 2 2 2 2 4 6 3 3" xfId="26305" xr:uid="{00000000-0005-0000-0000-0000C0660000}"/>
    <cellStyle name="Normal 2 2 2 2 2 2 4 6 4" xfId="26306" xr:uid="{00000000-0005-0000-0000-0000C1660000}"/>
    <cellStyle name="Normal 2 2 2 2 2 2 4 6 4 2" xfId="26307" xr:uid="{00000000-0005-0000-0000-0000C2660000}"/>
    <cellStyle name="Normal 2 2 2 2 2 2 4 6 5" xfId="26308" xr:uid="{00000000-0005-0000-0000-0000C3660000}"/>
    <cellStyle name="Normal 2 2 2 2 2 2 4 7" xfId="26309" xr:uid="{00000000-0005-0000-0000-0000C4660000}"/>
    <cellStyle name="Normal 2 2 2 2 2 2 4 7 2" xfId="26310" xr:uid="{00000000-0005-0000-0000-0000C5660000}"/>
    <cellStyle name="Normal 2 2 2 2 2 2 4 7 2 2" xfId="26311" xr:uid="{00000000-0005-0000-0000-0000C6660000}"/>
    <cellStyle name="Normal 2 2 2 2 2 2 4 7 2 2 2" xfId="26312" xr:uid="{00000000-0005-0000-0000-0000C7660000}"/>
    <cellStyle name="Normal 2 2 2 2 2 2 4 7 2 3" xfId="26313" xr:uid="{00000000-0005-0000-0000-0000C8660000}"/>
    <cellStyle name="Normal 2 2 2 2 2 2 4 7 3" xfId="26314" xr:uid="{00000000-0005-0000-0000-0000C9660000}"/>
    <cellStyle name="Normal 2 2 2 2 2 2 4 7 3 2" xfId="26315" xr:uid="{00000000-0005-0000-0000-0000CA660000}"/>
    <cellStyle name="Normal 2 2 2 2 2 2 4 7 4" xfId="26316" xr:uid="{00000000-0005-0000-0000-0000CB660000}"/>
    <cellStyle name="Normal 2 2 2 2 2 2 4 8" xfId="26317" xr:uid="{00000000-0005-0000-0000-0000CC660000}"/>
    <cellStyle name="Normal 2 2 2 2 2 2 4 8 2" xfId="26318" xr:uid="{00000000-0005-0000-0000-0000CD660000}"/>
    <cellStyle name="Normal 2 2 2 2 2 2 4 8 2 2" xfId="26319" xr:uid="{00000000-0005-0000-0000-0000CE660000}"/>
    <cellStyle name="Normal 2 2 2 2 2 2 4 8 2 2 2" xfId="26320" xr:uid="{00000000-0005-0000-0000-0000CF660000}"/>
    <cellStyle name="Normal 2 2 2 2 2 2 4 8 2 3" xfId="26321" xr:uid="{00000000-0005-0000-0000-0000D0660000}"/>
    <cellStyle name="Normal 2 2 2 2 2 2 4 8 3" xfId="26322" xr:uid="{00000000-0005-0000-0000-0000D1660000}"/>
    <cellStyle name="Normal 2 2 2 2 2 2 4 8 3 2" xfId="26323" xr:uid="{00000000-0005-0000-0000-0000D2660000}"/>
    <cellStyle name="Normal 2 2 2 2 2 2 4 8 4" xfId="26324" xr:uid="{00000000-0005-0000-0000-0000D3660000}"/>
    <cellStyle name="Normal 2 2 2 2 2 2 4 9" xfId="26325" xr:uid="{00000000-0005-0000-0000-0000D4660000}"/>
    <cellStyle name="Normal 2 2 2 2 2 2 4 9 2" xfId="26326" xr:uid="{00000000-0005-0000-0000-0000D5660000}"/>
    <cellStyle name="Normal 2 2 2 2 2 2 4 9 2 2" xfId="26327" xr:uid="{00000000-0005-0000-0000-0000D6660000}"/>
    <cellStyle name="Normal 2 2 2 2 2 2 4 9 3" xfId="26328" xr:uid="{00000000-0005-0000-0000-0000D7660000}"/>
    <cellStyle name="Normal 2 2 2 2 2 2 5" xfId="26329" xr:uid="{00000000-0005-0000-0000-0000D8660000}"/>
    <cellStyle name="Normal 2 2 2 2 2 2 5 10" xfId="26330" xr:uid="{00000000-0005-0000-0000-0000D9660000}"/>
    <cellStyle name="Normal 2 2 2 2 2 2 5 10 2" xfId="26331" xr:uid="{00000000-0005-0000-0000-0000DA660000}"/>
    <cellStyle name="Normal 2 2 2 2 2 2 5 10 2 2" xfId="26332" xr:uid="{00000000-0005-0000-0000-0000DB660000}"/>
    <cellStyle name="Normal 2 2 2 2 2 2 5 10 3" xfId="26333" xr:uid="{00000000-0005-0000-0000-0000DC660000}"/>
    <cellStyle name="Normal 2 2 2 2 2 2 5 11" xfId="26334" xr:uid="{00000000-0005-0000-0000-0000DD660000}"/>
    <cellStyle name="Normal 2 2 2 2 2 2 5 11 2" xfId="26335" xr:uid="{00000000-0005-0000-0000-0000DE660000}"/>
    <cellStyle name="Normal 2 2 2 2 2 2 5 11 2 2" xfId="26336" xr:uid="{00000000-0005-0000-0000-0000DF660000}"/>
    <cellStyle name="Normal 2 2 2 2 2 2 5 11 3" xfId="26337" xr:uid="{00000000-0005-0000-0000-0000E0660000}"/>
    <cellStyle name="Normal 2 2 2 2 2 2 5 12" xfId="26338" xr:uid="{00000000-0005-0000-0000-0000E1660000}"/>
    <cellStyle name="Normal 2 2 2 2 2 2 5 12 2" xfId="26339" xr:uid="{00000000-0005-0000-0000-0000E2660000}"/>
    <cellStyle name="Normal 2 2 2 2 2 2 5 12 2 2" xfId="26340" xr:uid="{00000000-0005-0000-0000-0000E3660000}"/>
    <cellStyle name="Normal 2 2 2 2 2 2 5 12 3" xfId="26341" xr:uid="{00000000-0005-0000-0000-0000E4660000}"/>
    <cellStyle name="Normal 2 2 2 2 2 2 5 13" xfId="26342" xr:uid="{00000000-0005-0000-0000-0000E5660000}"/>
    <cellStyle name="Normal 2 2 2 2 2 2 5 13 2" xfId="26343" xr:uid="{00000000-0005-0000-0000-0000E6660000}"/>
    <cellStyle name="Normal 2 2 2 2 2 2 5 14" xfId="26344" xr:uid="{00000000-0005-0000-0000-0000E7660000}"/>
    <cellStyle name="Normal 2 2 2 2 2 2 5 2" xfId="26345" xr:uid="{00000000-0005-0000-0000-0000E8660000}"/>
    <cellStyle name="Normal 2 2 2 2 2 2 5 2 2" xfId="26346" xr:uid="{00000000-0005-0000-0000-0000E9660000}"/>
    <cellStyle name="Normal 2 2 2 2 2 2 5 2 2 2" xfId="26347" xr:uid="{00000000-0005-0000-0000-0000EA660000}"/>
    <cellStyle name="Normal 2 2 2 2 2 2 5 2 2 2 2" xfId="26348" xr:uid="{00000000-0005-0000-0000-0000EB660000}"/>
    <cellStyle name="Normal 2 2 2 2 2 2 5 2 2 2 2 2" xfId="26349" xr:uid="{00000000-0005-0000-0000-0000EC660000}"/>
    <cellStyle name="Normal 2 2 2 2 2 2 5 2 2 2 3" xfId="26350" xr:uid="{00000000-0005-0000-0000-0000ED660000}"/>
    <cellStyle name="Normal 2 2 2 2 2 2 5 2 2 3" xfId="26351" xr:uid="{00000000-0005-0000-0000-0000EE660000}"/>
    <cellStyle name="Normal 2 2 2 2 2 2 5 2 2 3 2" xfId="26352" xr:uid="{00000000-0005-0000-0000-0000EF660000}"/>
    <cellStyle name="Normal 2 2 2 2 2 2 5 2 2 4" xfId="26353" xr:uid="{00000000-0005-0000-0000-0000F0660000}"/>
    <cellStyle name="Normal 2 2 2 2 2 2 5 2 3" xfId="26354" xr:uid="{00000000-0005-0000-0000-0000F1660000}"/>
    <cellStyle name="Normal 2 2 2 2 2 2 5 2 3 2" xfId="26355" xr:uid="{00000000-0005-0000-0000-0000F2660000}"/>
    <cellStyle name="Normal 2 2 2 2 2 2 5 2 3 2 2" xfId="26356" xr:uid="{00000000-0005-0000-0000-0000F3660000}"/>
    <cellStyle name="Normal 2 2 2 2 2 2 5 2 3 3" xfId="26357" xr:uid="{00000000-0005-0000-0000-0000F4660000}"/>
    <cellStyle name="Normal 2 2 2 2 2 2 5 2 4" xfId="26358" xr:uid="{00000000-0005-0000-0000-0000F5660000}"/>
    <cellStyle name="Normal 2 2 2 2 2 2 5 2 4 2" xfId="26359" xr:uid="{00000000-0005-0000-0000-0000F6660000}"/>
    <cellStyle name="Normal 2 2 2 2 2 2 5 2 4 2 2" xfId="26360" xr:uid="{00000000-0005-0000-0000-0000F7660000}"/>
    <cellStyle name="Normal 2 2 2 2 2 2 5 2 4 3" xfId="26361" xr:uid="{00000000-0005-0000-0000-0000F8660000}"/>
    <cellStyle name="Normal 2 2 2 2 2 2 5 2 5" xfId="26362" xr:uid="{00000000-0005-0000-0000-0000F9660000}"/>
    <cellStyle name="Normal 2 2 2 2 2 2 5 2 5 2" xfId="26363" xr:uid="{00000000-0005-0000-0000-0000FA660000}"/>
    <cellStyle name="Normal 2 2 2 2 2 2 5 2 5 2 2" xfId="26364" xr:uid="{00000000-0005-0000-0000-0000FB660000}"/>
    <cellStyle name="Normal 2 2 2 2 2 2 5 2 5 3" xfId="26365" xr:uid="{00000000-0005-0000-0000-0000FC660000}"/>
    <cellStyle name="Normal 2 2 2 2 2 2 5 2 6" xfId="26366" xr:uid="{00000000-0005-0000-0000-0000FD660000}"/>
    <cellStyle name="Normal 2 2 2 2 2 2 5 2 6 2" xfId="26367" xr:uid="{00000000-0005-0000-0000-0000FE660000}"/>
    <cellStyle name="Normal 2 2 2 2 2 2 5 2 6 2 2" xfId="26368" xr:uid="{00000000-0005-0000-0000-0000FF660000}"/>
    <cellStyle name="Normal 2 2 2 2 2 2 5 2 6 3" xfId="26369" xr:uid="{00000000-0005-0000-0000-000000670000}"/>
    <cellStyle name="Normal 2 2 2 2 2 2 5 2 7" xfId="26370" xr:uid="{00000000-0005-0000-0000-000001670000}"/>
    <cellStyle name="Normal 2 2 2 2 2 2 5 2 7 2" xfId="26371" xr:uid="{00000000-0005-0000-0000-000002670000}"/>
    <cellStyle name="Normal 2 2 2 2 2 2 5 2 8" xfId="26372" xr:uid="{00000000-0005-0000-0000-000003670000}"/>
    <cellStyle name="Normal 2 2 2 2 2 2 5 3" xfId="26373" xr:uid="{00000000-0005-0000-0000-000004670000}"/>
    <cellStyle name="Normal 2 2 2 2 2 2 5 3 2" xfId="26374" xr:uid="{00000000-0005-0000-0000-000005670000}"/>
    <cellStyle name="Normal 2 2 2 2 2 2 5 3 2 2" xfId="26375" xr:uid="{00000000-0005-0000-0000-000006670000}"/>
    <cellStyle name="Normal 2 2 2 2 2 2 5 3 2 2 2" xfId="26376" xr:uid="{00000000-0005-0000-0000-000007670000}"/>
    <cellStyle name="Normal 2 2 2 2 2 2 5 3 2 2 2 2" xfId="26377" xr:uid="{00000000-0005-0000-0000-000008670000}"/>
    <cellStyle name="Normal 2 2 2 2 2 2 5 3 2 2 3" xfId="26378" xr:uid="{00000000-0005-0000-0000-000009670000}"/>
    <cellStyle name="Normal 2 2 2 2 2 2 5 3 2 3" xfId="26379" xr:uid="{00000000-0005-0000-0000-00000A670000}"/>
    <cellStyle name="Normal 2 2 2 2 2 2 5 3 2 3 2" xfId="26380" xr:uid="{00000000-0005-0000-0000-00000B670000}"/>
    <cellStyle name="Normal 2 2 2 2 2 2 5 3 2 4" xfId="26381" xr:uid="{00000000-0005-0000-0000-00000C670000}"/>
    <cellStyle name="Normal 2 2 2 2 2 2 5 3 3" xfId="26382" xr:uid="{00000000-0005-0000-0000-00000D670000}"/>
    <cellStyle name="Normal 2 2 2 2 2 2 5 3 3 2" xfId="26383" xr:uid="{00000000-0005-0000-0000-00000E670000}"/>
    <cellStyle name="Normal 2 2 2 2 2 2 5 3 3 2 2" xfId="26384" xr:uid="{00000000-0005-0000-0000-00000F670000}"/>
    <cellStyle name="Normal 2 2 2 2 2 2 5 3 3 3" xfId="26385" xr:uid="{00000000-0005-0000-0000-000010670000}"/>
    <cellStyle name="Normal 2 2 2 2 2 2 5 3 4" xfId="26386" xr:uid="{00000000-0005-0000-0000-000011670000}"/>
    <cellStyle name="Normal 2 2 2 2 2 2 5 3 4 2" xfId="26387" xr:uid="{00000000-0005-0000-0000-000012670000}"/>
    <cellStyle name="Normal 2 2 2 2 2 2 5 3 4 2 2" xfId="26388" xr:uid="{00000000-0005-0000-0000-000013670000}"/>
    <cellStyle name="Normal 2 2 2 2 2 2 5 3 4 3" xfId="26389" xr:uid="{00000000-0005-0000-0000-000014670000}"/>
    <cellStyle name="Normal 2 2 2 2 2 2 5 3 5" xfId="26390" xr:uid="{00000000-0005-0000-0000-000015670000}"/>
    <cellStyle name="Normal 2 2 2 2 2 2 5 3 5 2" xfId="26391" xr:uid="{00000000-0005-0000-0000-000016670000}"/>
    <cellStyle name="Normal 2 2 2 2 2 2 5 3 5 2 2" xfId="26392" xr:uid="{00000000-0005-0000-0000-000017670000}"/>
    <cellStyle name="Normal 2 2 2 2 2 2 5 3 5 3" xfId="26393" xr:uid="{00000000-0005-0000-0000-000018670000}"/>
    <cellStyle name="Normal 2 2 2 2 2 2 5 3 6" xfId="26394" xr:uid="{00000000-0005-0000-0000-000019670000}"/>
    <cellStyle name="Normal 2 2 2 2 2 2 5 3 6 2" xfId="26395" xr:uid="{00000000-0005-0000-0000-00001A670000}"/>
    <cellStyle name="Normal 2 2 2 2 2 2 5 3 6 2 2" xfId="26396" xr:uid="{00000000-0005-0000-0000-00001B670000}"/>
    <cellStyle name="Normal 2 2 2 2 2 2 5 3 6 3" xfId="26397" xr:uid="{00000000-0005-0000-0000-00001C670000}"/>
    <cellStyle name="Normal 2 2 2 2 2 2 5 3 7" xfId="26398" xr:uid="{00000000-0005-0000-0000-00001D670000}"/>
    <cellStyle name="Normal 2 2 2 2 2 2 5 3 7 2" xfId="26399" xr:uid="{00000000-0005-0000-0000-00001E670000}"/>
    <cellStyle name="Normal 2 2 2 2 2 2 5 3 8" xfId="26400" xr:uid="{00000000-0005-0000-0000-00001F670000}"/>
    <cellStyle name="Normal 2 2 2 2 2 2 5 4" xfId="26401" xr:uid="{00000000-0005-0000-0000-000020670000}"/>
    <cellStyle name="Normal 2 2 2 2 2 2 5 4 2" xfId="26402" xr:uid="{00000000-0005-0000-0000-000021670000}"/>
    <cellStyle name="Normal 2 2 2 2 2 2 5 4 2 2" xfId="26403" xr:uid="{00000000-0005-0000-0000-000022670000}"/>
    <cellStyle name="Normal 2 2 2 2 2 2 5 4 2 2 2" xfId="26404" xr:uid="{00000000-0005-0000-0000-000023670000}"/>
    <cellStyle name="Normal 2 2 2 2 2 2 5 4 2 2 2 2" xfId="26405" xr:uid="{00000000-0005-0000-0000-000024670000}"/>
    <cellStyle name="Normal 2 2 2 2 2 2 5 4 2 2 3" xfId="26406" xr:uid="{00000000-0005-0000-0000-000025670000}"/>
    <cellStyle name="Normal 2 2 2 2 2 2 5 4 2 3" xfId="26407" xr:uid="{00000000-0005-0000-0000-000026670000}"/>
    <cellStyle name="Normal 2 2 2 2 2 2 5 4 2 3 2" xfId="26408" xr:uid="{00000000-0005-0000-0000-000027670000}"/>
    <cellStyle name="Normal 2 2 2 2 2 2 5 4 2 4" xfId="26409" xr:uid="{00000000-0005-0000-0000-000028670000}"/>
    <cellStyle name="Normal 2 2 2 2 2 2 5 4 3" xfId="26410" xr:uid="{00000000-0005-0000-0000-000029670000}"/>
    <cellStyle name="Normal 2 2 2 2 2 2 5 4 3 2" xfId="26411" xr:uid="{00000000-0005-0000-0000-00002A670000}"/>
    <cellStyle name="Normal 2 2 2 2 2 2 5 4 3 2 2" xfId="26412" xr:uid="{00000000-0005-0000-0000-00002B670000}"/>
    <cellStyle name="Normal 2 2 2 2 2 2 5 4 3 3" xfId="26413" xr:uid="{00000000-0005-0000-0000-00002C670000}"/>
    <cellStyle name="Normal 2 2 2 2 2 2 5 4 4" xfId="26414" xr:uid="{00000000-0005-0000-0000-00002D670000}"/>
    <cellStyle name="Normal 2 2 2 2 2 2 5 4 4 2" xfId="26415" xr:uid="{00000000-0005-0000-0000-00002E670000}"/>
    <cellStyle name="Normal 2 2 2 2 2 2 5 4 4 2 2" xfId="26416" xr:uid="{00000000-0005-0000-0000-00002F670000}"/>
    <cellStyle name="Normal 2 2 2 2 2 2 5 4 4 3" xfId="26417" xr:uid="{00000000-0005-0000-0000-000030670000}"/>
    <cellStyle name="Normal 2 2 2 2 2 2 5 4 5" xfId="26418" xr:uid="{00000000-0005-0000-0000-000031670000}"/>
    <cellStyle name="Normal 2 2 2 2 2 2 5 4 5 2" xfId="26419" xr:uid="{00000000-0005-0000-0000-000032670000}"/>
    <cellStyle name="Normal 2 2 2 2 2 2 5 4 5 2 2" xfId="26420" xr:uid="{00000000-0005-0000-0000-000033670000}"/>
    <cellStyle name="Normal 2 2 2 2 2 2 5 4 5 3" xfId="26421" xr:uid="{00000000-0005-0000-0000-000034670000}"/>
    <cellStyle name="Normal 2 2 2 2 2 2 5 4 6" xfId="26422" xr:uid="{00000000-0005-0000-0000-000035670000}"/>
    <cellStyle name="Normal 2 2 2 2 2 2 5 4 6 2" xfId="26423" xr:uid="{00000000-0005-0000-0000-000036670000}"/>
    <cellStyle name="Normal 2 2 2 2 2 2 5 4 6 2 2" xfId="26424" xr:uid="{00000000-0005-0000-0000-000037670000}"/>
    <cellStyle name="Normal 2 2 2 2 2 2 5 4 6 3" xfId="26425" xr:uid="{00000000-0005-0000-0000-000038670000}"/>
    <cellStyle name="Normal 2 2 2 2 2 2 5 4 7" xfId="26426" xr:uid="{00000000-0005-0000-0000-000039670000}"/>
    <cellStyle name="Normal 2 2 2 2 2 2 5 4 7 2" xfId="26427" xr:uid="{00000000-0005-0000-0000-00003A670000}"/>
    <cellStyle name="Normal 2 2 2 2 2 2 5 4 8" xfId="26428" xr:uid="{00000000-0005-0000-0000-00003B670000}"/>
    <cellStyle name="Normal 2 2 2 2 2 2 5 5" xfId="26429" xr:uid="{00000000-0005-0000-0000-00003C670000}"/>
    <cellStyle name="Normal 2 2 2 2 2 2 5 5 2" xfId="26430" xr:uid="{00000000-0005-0000-0000-00003D670000}"/>
    <cellStyle name="Normal 2 2 2 2 2 2 5 5 2 2" xfId="26431" xr:uid="{00000000-0005-0000-0000-00003E670000}"/>
    <cellStyle name="Normal 2 2 2 2 2 2 5 5 2 2 2" xfId="26432" xr:uid="{00000000-0005-0000-0000-00003F670000}"/>
    <cellStyle name="Normal 2 2 2 2 2 2 5 5 2 2 2 2" xfId="26433" xr:uid="{00000000-0005-0000-0000-000040670000}"/>
    <cellStyle name="Normal 2 2 2 2 2 2 5 5 2 2 3" xfId="26434" xr:uid="{00000000-0005-0000-0000-000041670000}"/>
    <cellStyle name="Normal 2 2 2 2 2 2 5 5 2 3" xfId="26435" xr:uid="{00000000-0005-0000-0000-000042670000}"/>
    <cellStyle name="Normal 2 2 2 2 2 2 5 5 2 3 2" xfId="26436" xr:uid="{00000000-0005-0000-0000-000043670000}"/>
    <cellStyle name="Normal 2 2 2 2 2 2 5 5 2 4" xfId="26437" xr:uid="{00000000-0005-0000-0000-000044670000}"/>
    <cellStyle name="Normal 2 2 2 2 2 2 5 5 3" xfId="26438" xr:uid="{00000000-0005-0000-0000-000045670000}"/>
    <cellStyle name="Normal 2 2 2 2 2 2 5 5 3 2" xfId="26439" xr:uid="{00000000-0005-0000-0000-000046670000}"/>
    <cellStyle name="Normal 2 2 2 2 2 2 5 5 3 2 2" xfId="26440" xr:uid="{00000000-0005-0000-0000-000047670000}"/>
    <cellStyle name="Normal 2 2 2 2 2 2 5 5 3 3" xfId="26441" xr:uid="{00000000-0005-0000-0000-000048670000}"/>
    <cellStyle name="Normal 2 2 2 2 2 2 5 5 4" xfId="26442" xr:uid="{00000000-0005-0000-0000-000049670000}"/>
    <cellStyle name="Normal 2 2 2 2 2 2 5 5 4 2" xfId="26443" xr:uid="{00000000-0005-0000-0000-00004A670000}"/>
    <cellStyle name="Normal 2 2 2 2 2 2 5 5 5" xfId="26444" xr:uid="{00000000-0005-0000-0000-00004B670000}"/>
    <cellStyle name="Normal 2 2 2 2 2 2 5 6" xfId="26445" xr:uid="{00000000-0005-0000-0000-00004C670000}"/>
    <cellStyle name="Normal 2 2 2 2 2 2 5 6 2" xfId="26446" xr:uid="{00000000-0005-0000-0000-00004D670000}"/>
    <cellStyle name="Normal 2 2 2 2 2 2 5 6 2 2" xfId="26447" xr:uid="{00000000-0005-0000-0000-00004E670000}"/>
    <cellStyle name="Normal 2 2 2 2 2 2 5 6 2 2 2" xfId="26448" xr:uid="{00000000-0005-0000-0000-00004F670000}"/>
    <cellStyle name="Normal 2 2 2 2 2 2 5 6 2 2 2 2" xfId="26449" xr:uid="{00000000-0005-0000-0000-000050670000}"/>
    <cellStyle name="Normal 2 2 2 2 2 2 5 6 2 2 3" xfId="26450" xr:uid="{00000000-0005-0000-0000-000051670000}"/>
    <cellStyle name="Normal 2 2 2 2 2 2 5 6 2 3" xfId="26451" xr:uid="{00000000-0005-0000-0000-000052670000}"/>
    <cellStyle name="Normal 2 2 2 2 2 2 5 6 2 3 2" xfId="26452" xr:uid="{00000000-0005-0000-0000-000053670000}"/>
    <cellStyle name="Normal 2 2 2 2 2 2 5 6 2 4" xfId="26453" xr:uid="{00000000-0005-0000-0000-000054670000}"/>
    <cellStyle name="Normal 2 2 2 2 2 2 5 6 3" xfId="26454" xr:uid="{00000000-0005-0000-0000-000055670000}"/>
    <cellStyle name="Normal 2 2 2 2 2 2 5 6 3 2" xfId="26455" xr:uid="{00000000-0005-0000-0000-000056670000}"/>
    <cellStyle name="Normal 2 2 2 2 2 2 5 6 3 2 2" xfId="26456" xr:uid="{00000000-0005-0000-0000-000057670000}"/>
    <cellStyle name="Normal 2 2 2 2 2 2 5 6 3 3" xfId="26457" xr:uid="{00000000-0005-0000-0000-000058670000}"/>
    <cellStyle name="Normal 2 2 2 2 2 2 5 6 4" xfId="26458" xr:uid="{00000000-0005-0000-0000-000059670000}"/>
    <cellStyle name="Normal 2 2 2 2 2 2 5 6 4 2" xfId="26459" xr:uid="{00000000-0005-0000-0000-00005A670000}"/>
    <cellStyle name="Normal 2 2 2 2 2 2 5 6 5" xfId="26460" xr:uid="{00000000-0005-0000-0000-00005B670000}"/>
    <cellStyle name="Normal 2 2 2 2 2 2 5 7" xfId="26461" xr:uid="{00000000-0005-0000-0000-00005C670000}"/>
    <cellStyle name="Normal 2 2 2 2 2 2 5 7 2" xfId="26462" xr:uid="{00000000-0005-0000-0000-00005D670000}"/>
    <cellStyle name="Normal 2 2 2 2 2 2 5 7 2 2" xfId="26463" xr:uid="{00000000-0005-0000-0000-00005E670000}"/>
    <cellStyle name="Normal 2 2 2 2 2 2 5 7 2 2 2" xfId="26464" xr:uid="{00000000-0005-0000-0000-00005F670000}"/>
    <cellStyle name="Normal 2 2 2 2 2 2 5 7 2 3" xfId="26465" xr:uid="{00000000-0005-0000-0000-000060670000}"/>
    <cellStyle name="Normal 2 2 2 2 2 2 5 7 3" xfId="26466" xr:uid="{00000000-0005-0000-0000-000061670000}"/>
    <cellStyle name="Normal 2 2 2 2 2 2 5 7 3 2" xfId="26467" xr:uid="{00000000-0005-0000-0000-000062670000}"/>
    <cellStyle name="Normal 2 2 2 2 2 2 5 7 4" xfId="26468" xr:uid="{00000000-0005-0000-0000-000063670000}"/>
    <cellStyle name="Normal 2 2 2 2 2 2 5 8" xfId="26469" xr:uid="{00000000-0005-0000-0000-000064670000}"/>
    <cellStyle name="Normal 2 2 2 2 2 2 5 8 2" xfId="26470" xr:uid="{00000000-0005-0000-0000-000065670000}"/>
    <cellStyle name="Normal 2 2 2 2 2 2 5 8 2 2" xfId="26471" xr:uid="{00000000-0005-0000-0000-000066670000}"/>
    <cellStyle name="Normal 2 2 2 2 2 2 5 8 2 2 2" xfId="26472" xr:uid="{00000000-0005-0000-0000-000067670000}"/>
    <cellStyle name="Normal 2 2 2 2 2 2 5 8 2 3" xfId="26473" xr:uid="{00000000-0005-0000-0000-000068670000}"/>
    <cellStyle name="Normal 2 2 2 2 2 2 5 8 3" xfId="26474" xr:uid="{00000000-0005-0000-0000-000069670000}"/>
    <cellStyle name="Normal 2 2 2 2 2 2 5 8 3 2" xfId="26475" xr:uid="{00000000-0005-0000-0000-00006A670000}"/>
    <cellStyle name="Normal 2 2 2 2 2 2 5 8 4" xfId="26476" xr:uid="{00000000-0005-0000-0000-00006B670000}"/>
    <cellStyle name="Normal 2 2 2 2 2 2 5 9" xfId="26477" xr:uid="{00000000-0005-0000-0000-00006C670000}"/>
    <cellStyle name="Normal 2 2 2 2 2 2 5 9 2" xfId="26478" xr:uid="{00000000-0005-0000-0000-00006D670000}"/>
    <cellStyle name="Normal 2 2 2 2 2 2 5 9 2 2" xfId="26479" xr:uid="{00000000-0005-0000-0000-00006E670000}"/>
    <cellStyle name="Normal 2 2 2 2 2 2 5 9 3" xfId="26480" xr:uid="{00000000-0005-0000-0000-00006F670000}"/>
    <cellStyle name="Normal 2 2 2 2 2 2 6" xfId="26481" xr:uid="{00000000-0005-0000-0000-000070670000}"/>
    <cellStyle name="Normal 2 2 2 2 2 2 6 10" xfId="26482" xr:uid="{00000000-0005-0000-0000-000071670000}"/>
    <cellStyle name="Normal 2 2 2 2 2 2 6 10 2" xfId="26483" xr:uid="{00000000-0005-0000-0000-000072670000}"/>
    <cellStyle name="Normal 2 2 2 2 2 2 6 10 2 2" xfId="26484" xr:uid="{00000000-0005-0000-0000-000073670000}"/>
    <cellStyle name="Normal 2 2 2 2 2 2 6 10 3" xfId="26485" xr:uid="{00000000-0005-0000-0000-000074670000}"/>
    <cellStyle name="Normal 2 2 2 2 2 2 6 11" xfId="26486" xr:uid="{00000000-0005-0000-0000-000075670000}"/>
    <cellStyle name="Normal 2 2 2 2 2 2 6 11 2" xfId="26487" xr:uid="{00000000-0005-0000-0000-000076670000}"/>
    <cellStyle name="Normal 2 2 2 2 2 2 6 11 2 2" xfId="26488" xr:uid="{00000000-0005-0000-0000-000077670000}"/>
    <cellStyle name="Normal 2 2 2 2 2 2 6 11 3" xfId="26489" xr:uid="{00000000-0005-0000-0000-000078670000}"/>
    <cellStyle name="Normal 2 2 2 2 2 2 6 12" xfId="26490" xr:uid="{00000000-0005-0000-0000-000079670000}"/>
    <cellStyle name="Normal 2 2 2 2 2 2 6 12 2" xfId="26491" xr:uid="{00000000-0005-0000-0000-00007A670000}"/>
    <cellStyle name="Normal 2 2 2 2 2 2 6 12 2 2" xfId="26492" xr:uid="{00000000-0005-0000-0000-00007B670000}"/>
    <cellStyle name="Normal 2 2 2 2 2 2 6 12 3" xfId="26493" xr:uid="{00000000-0005-0000-0000-00007C670000}"/>
    <cellStyle name="Normal 2 2 2 2 2 2 6 13" xfId="26494" xr:uid="{00000000-0005-0000-0000-00007D670000}"/>
    <cellStyle name="Normal 2 2 2 2 2 2 6 13 2" xfId="26495" xr:uid="{00000000-0005-0000-0000-00007E670000}"/>
    <cellStyle name="Normal 2 2 2 2 2 2 6 14" xfId="26496" xr:uid="{00000000-0005-0000-0000-00007F670000}"/>
    <cellStyle name="Normal 2 2 2 2 2 2 6 2" xfId="26497" xr:uid="{00000000-0005-0000-0000-000080670000}"/>
    <cellStyle name="Normal 2 2 2 2 2 2 6 2 2" xfId="26498" xr:uid="{00000000-0005-0000-0000-000081670000}"/>
    <cellStyle name="Normal 2 2 2 2 2 2 6 2 2 2" xfId="26499" xr:uid="{00000000-0005-0000-0000-000082670000}"/>
    <cellStyle name="Normal 2 2 2 2 2 2 6 2 2 2 2" xfId="26500" xr:uid="{00000000-0005-0000-0000-000083670000}"/>
    <cellStyle name="Normal 2 2 2 2 2 2 6 2 2 2 2 2" xfId="26501" xr:uid="{00000000-0005-0000-0000-000084670000}"/>
    <cellStyle name="Normal 2 2 2 2 2 2 6 2 2 2 3" xfId="26502" xr:uid="{00000000-0005-0000-0000-000085670000}"/>
    <cellStyle name="Normal 2 2 2 2 2 2 6 2 2 3" xfId="26503" xr:uid="{00000000-0005-0000-0000-000086670000}"/>
    <cellStyle name="Normal 2 2 2 2 2 2 6 2 2 3 2" xfId="26504" xr:uid="{00000000-0005-0000-0000-000087670000}"/>
    <cellStyle name="Normal 2 2 2 2 2 2 6 2 2 4" xfId="26505" xr:uid="{00000000-0005-0000-0000-000088670000}"/>
    <cellStyle name="Normal 2 2 2 2 2 2 6 2 3" xfId="26506" xr:uid="{00000000-0005-0000-0000-000089670000}"/>
    <cellStyle name="Normal 2 2 2 2 2 2 6 2 3 2" xfId="26507" xr:uid="{00000000-0005-0000-0000-00008A670000}"/>
    <cellStyle name="Normal 2 2 2 2 2 2 6 2 3 2 2" xfId="26508" xr:uid="{00000000-0005-0000-0000-00008B670000}"/>
    <cellStyle name="Normal 2 2 2 2 2 2 6 2 3 3" xfId="26509" xr:uid="{00000000-0005-0000-0000-00008C670000}"/>
    <cellStyle name="Normal 2 2 2 2 2 2 6 2 4" xfId="26510" xr:uid="{00000000-0005-0000-0000-00008D670000}"/>
    <cellStyle name="Normal 2 2 2 2 2 2 6 2 4 2" xfId="26511" xr:uid="{00000000-0005-0000-0000-00008E670000}"/>
    <cellStyle name="Normal 2 2 2 2 2 2 6 2 4 2 2" xfId="26512" xr:uid="{00000000-0005-0000-0000-00008F670000}"/>
    <cellStyle name="Normal 2 2 2 2 2 2 6 2 4 3" xfId="26513" xr:uid="{00000000-0005-0000-0000-000090670000}"/>
    <cellStyle name="Normal 2 2 2 2 2 2 6 2 5" xfId="26514" xr:uid="{00000000-0005-0000-0000-000091670000}"/>
    <cellStyle name="Normal 2 2 2 2 2 2 6 2 5 2" xfId="26515" xr:uid="{00000000-0005-0000-0000-000092670000}"/>
    <cellStyle name="Normal 2 2 2 2 2 2 6 2 5 2 2" xfId="26516" xr:uid="{00000000-0005-0000-0000-000093670000}"/>
    <cellStyle name="Normal 2 2 2 2 2 2 6 2 5 3" xfId="26517" xr:uid="{00000000-0005-0000-0000-000094670000}"/>
    <cellStyle name="Normal 2 2 2 2 2 2 6 2 6" xfId="26518" xr:uid="{00000000-0005-0000-0000-000095670000}"/>
    <cellStyle name="Normal 2 2 2 2 2 2 6 2 6 2" xfId="26519" xr:uid="{00000000-0005-0000-0000-000096670000}"/>
    <cellStyle name="Normal 2 2 2 2 2 2 6 2 6 2 2" xfId="26520" xr:uid="{00000000-0005-0000-0000-000097670000}"/>
    <cellStyle name="Normal 2 2 2 2 2 2 6 2 6 3" xfId="26521" xr:uid="{00000000-0005-0000-0000-000098670000}"/>
    <cellStyle name="Normal 2 2 2 2 2 2 6 2 7" xfId="26522" xr:uid="{00000000-0005-0000-0000-000099670000}"/>
    <cellStyle name="Normal 2 2 2 2 2 2 6 2 7 2" xfId="26523" xr:uid="{00000000-0005-0000-0000-00009A670000}"/>
    <cellStyle name="Normal 2 2 2 2 2 2 6 2 8" xfId="26524" xr:uid="{00000000-0005-0000-0000-00009B670000}"/>
    <cellStyle name="Normal 2 2 2 2 2 2 6 3" xfId="26525" xr:uid="{00000000-0005-0000-0000-00009C670000}"/>
    <cellStyle name="Normal 2 2 2 2 2 2 6 3 2" xfId="26526" xr:uid="{00000000-0005-0000-0000-00009D670000}"/>
    <cellStyle name="Normal 2 2 2 2 2 2 6 3 2 2" xfId="26527" xr:uid="{00000000-0005-0000-0000-00009E670000}"/>
    <cellStyle name="Normal 2 2 2 2 2 2 6 3 2 2 2" xfId="26528" xr:uid="{00000000-0005-0000-0000-00009F670000}"/>
    <cellStyle name="Normal 2 2 2 2 2 2 6 3 2 2 2 2" xfId="26529" xr:uid="{00000000-0005-0000-0000-0000A0670000}"/>
    <cellStyle name="Normal 2 2 2 2 2 2 6 3 2 2 3" xfId="26530" xr:uid="{00000000-0005-0000-0000-0000A1670000}"/>
    <cellStyle name="Normal 2 2 2 2 2 2 6 3 2 3" xfId="26531" xr:uid="{00000000-0005-0000-0000-0000A2670000}"/>
    <cellStyle name="Normal 2 2 2 2 2 2 6 3 2 3 2" xfId="26532" xr:uid="{00000000-0005-0000-0000-0000A3670000}"/>
    <cellStyle name="Normal 2 2 2 2 2 2 6 3 2 4" xfId="26533" xr:uid="{00000000-0005-0000-0000-0000A4670000}"/>
    <cellStyle name="Normal 2 2 2 2 2 2 6 3 3" xfId="26534" xr:uid="{00000000-0005-0000-0000-0000A5670000}"/>
    <cellStyle name="Normal 2 2 2 2 2 2 6 3 3 2" xfId="26535" xr:uid="{00000000-0005-0000-0000-0000A6670000}"/>
    <cellStyle name="Normal 2 2 2 2 2 2 6 3 3 2 2" xfId="26536" xr:uid="{00000000-0005-0000-0000-0000A7670000}"/>
    <cellStyle name="Normal 2 2 2 2 2 2 6 3 3 3" xfId="26537" xr:uid="{00000000-0005-0000-0000-0000A8670000}"/>
    <cellStyle name="Normal 2 2 2 2 2 2 6 3 4" xfId="26538" xr:uid="{00000000-0005-0000-0000-0000A9670000}"/>
    <cellStyle name="Normal 2 2 2 2 2 2 6 3 4 2" xfId="26539" xr:uid="{00000000-0005-0000-0000-0000AA670000}"/>
    <cellStyle name="Normal 2 2 2 2 2 2 6 3 4 2 2" xfId="26540" xr:uid="{00000000-0005-0000-0000-0000AB670000}"/>
    <cellStyle name="Normal 2 2 2 2 2 2 6 3 4 3" xfId="26541" xr:uid="{00000000-0005-0000-0000-0000AC670000}"/>
    <cellStyle name="Normal 2 2 2 2 2 2 6 3 5" xfId="26542" xr:uid="{00000000-0005-0000-0000-0000AD670000}"/>
    <cellStyle name="Normal 2 2 2 2 2 2 6 3 5 2" xfId="26543" xr:uid="{00000000-0005-0000-0000-0000AE670000}"/>
    <cellStyle name="Normal 2 2 2 2 2 2 6 3 5 2 2" xfId="26544" xr:uid="{00000000-0005-0000-0000-0000AF670000}"/>
    <cellStyle name="Normal 2 2 2 2 2 2 6 3 5 3" xfId="26545" xr:uid="{00000000-0005-0000-0000-0000B0670000}"/>
    <cellStyle name="Normal 2 2 2 2 2 2 6 3 6" xfId="26546" xr:uid="{00000000-0005-0000-0000-0000B1670000}"/>
    <cellStyle name="Normal 2 2 2 2 2 2 6 3 6 2" xfId="26547" xr:uid="{00000000-0005-0000-0000-0000B2670000}"/>
    <cellStyle name="Normal 2 2 2 2 2 2 6 3 6 2 2" xfId="26548" xr:uid="{00000000-0005-0000-0000-0000B3670000}"/>
    <cellStyle name="Normal 2 2 2 2 2 2 6 3 6 3" xfId="26549" xr:uid="{00000000-0005-0000-0000-0000B4670000}"/>
    <cellStyle name="Normal 2 2 2 2 2 2 6 3 7" xfId="26550" xr:uid="{00000000-0005-0000-0000-0000B5670000}"/>
    <cellStyle name="Normal 2 2 2 2 2 2 6 3 7 2" xfId="26551" xr:uid="{00000000-0005-0000-0000-0000B6670000}"/>
    <cellStyle name="Normal 2 2 2 2 2 2 6 3 8" xfId="26552" xr:uid="{00000000-0005-0000-0000-0000B7670000}"/>
    <cellStyle name="Normal 2 2 2 2 2 2 6 4" xfId="26553" xr:uid="{00000000-0005-0000-0000-0000B8670000}"/>
    <cellStyle name="Normal 2 2 2 2 2 2 6 4 2" xfId="26554" xr:uid="{00000000-0005-0000-0000-0000B9670000}"/>
    <cellStyle name="Normal 2 2 2 2 2 2 6 4 2 2" xfId="26555" xr:uid="{00000000-0005-0000-0000-0000BA670000}"/>
    <cellStyle name="Normal 2 2 2 2 2 2 6 4 2 2 2" xfId="26556" xr:uid="{00000000-0005-0000-0000-0000BB670000}"/>
    <cellStyle name="Normal 2 2 2 2 2 2 6 4 2 2 2 2" xfId="26557" xr:uid="{00000000-0005-0000-0000-0000BC670000}"/>
    <cellStyle name="Normal 2 2 2 2 2 2 6 4 2 2 3" xfId="26558" xr:uid="{00000000-0005-0000-0000-0000BD670000}"/>
    <cellStyle name="Normal 2 2 2 2 2 2 6 4 2 3" xfId="26559" xr:uid="{00000000-0005-0000-0000-0000BE670000}"/>
    <cellStyle name="Normal 2 2 2 2 2 2 6 4 2 3 2" xfId="26560" xr:uid="{00000000-0005-0000-0000-0000BF670000}"/>
    <cellStyle name="Normal 2 2 2 2 2 2 6 4 2 4" xfId="26561" xr:uid="{00000000-0005-0000-0000-0000C0670000}"/>
    <cellStyle name="Normal 2 2 2 2 2 2 6 4 3" xfId="26562" xr:uid="{00000000-0005-0000-0000-0000C1670000}"/>
    <cellStyle name="Normal 2 2 2 2 2 2 6 4 3 2" xfId="26563" xr:uid="{00000000-0005-0000-0000-0000C2670000}"/>
    <cellStyle name="Normal 2 2 2 2 2 2 6 4 3 2 2" xfId="26564" xr:uid="{00000000-0005-0000-0000-0000C3670000}"/>
    <cellStyle name="Normal 2 2 2 2 2 2 6 4 3 3" xfId="26565" xr:uid="{00000000-0005-0000-0000-0000C4670000}"/>
    <cellStyle name="Normal 2 2 2 2 2 2 6 4 4" xfId="26566" xr:uid="{00000000-0005-0000-0000-0000C5670000}"/>
    <cellStyle name="Normal 2 2 2 2 2 2 6 4 4 2" xfId="26567" xr:uid="{00000000-0005-0000-0000-0000C6670000}"/>
    <cellStyle name="Normal 2 2 2 2 2 2 6 4 4 2 2" xfId="26568" xr:uid="{00000000-0005-0000-0000-0000C7670000}"/>
    <cellStyle name="Normal 2 2 2 2 2 2 6 4 4 3" xfId="26569" xr:uid="{00000000-0005-0000-0000-0000C8670000}"/>
    <cellStyle name="Normal 2 2 2 2 2 2 6 4 5" xfId="26570" xr:uid="{00000000-0005-0000-0000-0000C9670000}"/>
    <cellStyle name="Normal 2 2 2 2 2 2 6 4 5 2" xfId="26571" xr:uid="{00000000-0005-0000-0000-0000CA670000}"/>
    <cellStyle name="Normal 2 2 2 2 2 2 6 4 5 2 2" xfId="26572" xr:uid="{00000000-0005-0000-0000-0000CB670000}"/>
    <cellStyle name="Normal 2 2 2 2 2 2 6 4 5 3" xfId="26573" xr:uid="{00000000-0005-0000-0000-0000CC670000}"/>
    <cellStyle name="Normal 2 2 2 2 2 2 6 4 6" xfId="26574" xr:uid="{00000000-0005-0000-0000-0000CD670000}"/>
    <cellStyle name="Normal 2 2 2 2 2 2 6 4 6 2" xfId="26575" xr:uid="{00000000-0005-0000-0000-0000CE670000}"/>
    <cellStyle name="Normal 2 2 2 2 2 2 6 4 6 2 2" xfId="26576" xr:uid="{00000000-0005-0000-0000-0000CF670000}"/>
    <cellStyle name="Normal 2 2 2 2 2 2 6 4 6 3" xfId="26577" xr:uid="{00000000-0005-0000-0000-0000D0670000}"/>
    <cellStyle name="Normal 2 2 2 2 2 2 6 4 7" xfId="26578" xr:uid="{00000000-0005-0000-0000-0000D1670000}"/>
    <cellStyle name="Normal 2 2 2 2 2 2 6 4 7 2" xfId="26579" xr:uid="{00000000-0005-0000-0000-0000D2670000}"/>
    <cellStyle name="Normal 2 2 2 2 2 2 6 4 8" xfId="26580" xr:uid="{00000000-0005-0000-0000-0000D3670000}"/>
    <cellStyle name="Normal 2 2 2 2 2 2 6 5" xfId="26581" xr:uid="{00000000-0005-0000-0000-0000D4670000}"/>
    <cellStyle name="Normal 2 2 2 2 2 2 6 5 2" xfId="26582" xr:uid="{00000000-0005-0000-0000-0000D5670000}"/>
    <cellStyle name="Normal 2 2 2 2 2 2 6 5 2 2" xfId="26583" xr:uid="{00000000-0005-0000-0000-0000D6670000}"/>
    <cellStyle name="Normal 2 2 2 2 2 2 6 5 2 2 2" xfId="26584" xr:uid="{00000000-0005-0000-0000-0000D7670000}"/>
    <cellStyle name="Normal 2 2 2 2 2 2 6 5 2 2 2 2" xfId="26585" xr:uid="{00000000-0005-0000-0000-0000D8670000}"/>
    <cellStyle name="Normal 2 2 2 2 2 2 6 5 2 2 3" xfId="26586" xr:uid="{00000000-0005-0000-0000-0000D9670000}"/>
    <cellStyle name="Normal 2 2 2 2 2 2 6 5 2 3" xfId="26587" xr:uid="{00000000-0005-0000-0000-0000DA670000}"/>
    <cellStyle name="Normal 2 2 2 2 2 2 6 5 2 3 2" xfId="26588" xr:uid="{00000000-0005-0000-0000-0000DB670000}"/>
    <cellStyle name="Normal 2 2 2 2 2 2 6 5 2 4" xfId="26589" xr:uid="{00000000-0005-0000-0000-0000DC670000}"/>
    <cellStyle name="Normal 2 2 2 2 2 2 6 5 3" xfId="26590" xr:uid="{00000000-0005-0000-0000-0000DD670000}"/>
    <cellStyle name="Normal 2 2 2 2 2 2 6 5 3 2" xfId="26591" xr:uid="{00000000-0005-0000-0000-0000DE670000}"/>
    <cellStyle name="Normal 2 2 2 2 2 2 6 5 3 2 2" xfId="26592" xr:uid="{00000000-0005-0000-0000-0000DF670000}"/>
    <cellStyle name="Normal 2 2 2 2 2 2 6 5 3 3" xfId="26593" xr:uid="{00000000-0005-0000-0000-0000E0670000}"/>
    <cellStyle name="Normal 2 2 2 2 2 2 6 5 4" xfId="26594" xr:uid="{00000000-0005-0000-0000-0000E1670000}"/>
    <cellStyle name="Normal 2 2 2 2 2 2 6 5 4 2" xfId="26595" xr:uid="{00000000-0005-0000-0000-0000E2670000}"/>
    <cellStyle name="Normal 2 2 2 2 2 2 6 5 5" xfId="26596" xr:uid="{00000000-0005-0000-0000-0000E3670000}"/>
    <cellStyle name="Normal 2 2 2 2 2 2 6 6" xfId="26597" xr:uid="{00000000-0005-0000-0000-0000E4670000}"/>
    <cellStyle name="Normal 2 2 2 2 2 2 6 6 2" xfId="26598" xr:uid="{00000000-0005-0000-0000-0000E5670000}"/>
    <cellStyle name="Normal 2 2 2 2 2 2 6 6 2 2" xfId="26599" xr:uid="{00000000-0005-0000-0000-0000E6670000}"/>
    <cellStyle name="Normal 2 2 2 2 2 2 6 6 2 2 2" xfId="26600" xr:uid="{00000000-0005-0000-0000-0000E7670000}"/>
    <cellStyle name="Normal 2 2 2 2 2 2 6 6 2 2 2 2" xfId="26601" xr:uid="{00000000-0005-0000-0000-0000E8670000}"/>
    <cellStyle name="Normal 2 2 2 2 2 2 6 6 2 2 3" xfId="26602" xr:uid="{00000000-0005-0000-0000-0000E9670000}"/>
    <cellStyle name="Normal 2 2 2 2 2 2 6 6 2 3" xfId="26603" xr:uid="{00000000-0005-0000-0000-0000EA670000}"/>
    <cellStyle name="Normal 2 2 2 2 2 2 6 6 2 3 2" xfId="26604" xr:uid="{00000000-0005-0000-0000-0000EB670000}"/>
    <cellStyle name="Normal 2 2 2 2 2 2 6 6 2 4" xfId="26605" xr:uid="{00000000-0005-0000-0000-0000EC670000}"/>
    <cellStyle name="Normal 2 2 2 2 2 2 6 6 3" xfId="26606" xr:uid="{00000000-0005-0000-0000-0000ED670000}"/>
    <cellStyle name="Normal 2 2 2 2 2 2 6 6 3 2" xfId="26607" xr:uid="{00000000-0005-0000-0000-0000EE670000}"/>
    <cellStyle name="Normal 2 2 2 2 2 2 6 6 3 2 2" xfId="26608" xr:uid="{00000000-0005-0000-0000-0000EF670000}"/>
    <cellStyle name="Normal 2 2 2 2 2 2 6 6 3 3" xfId="26609" xr:uid="{00000000-0005-0000-0000-0000F0670000}"/>
    <cellStyle name="Normal 2 2 2 2 2 2 6 6 4" xfId="26610" xr:uid="{00000000-0005-0000-0000-0000F1670000}"/>
    <cellStyle name="Normal 2 2 2 2 2 2 6 6 4 2" xfId="26611" xr:uid="{00000000-0005-0000-0000-0000F2670000}"/>
    <cellStyle name="Normal 2 2 2 2 2 2 6 6 5" xfId="26612" xr:uid="{00000000-0005-0000-0000-0000F3670000}"/>
    <cellStyle name="Normal 2 2 2 2 2 2 6 7" xfId="26613" xr:uid="{00000000-0005-0000-0000-0000F4670000}"/>
    <cellStyle name="Normal 2 2 2 2 2 2 6 7 2" xfId="26614" xr:uid="{00000000-0005-0000-0000-0000F5670000}"/>
    <cellStyle name="Normal 2 2 2 2 2 2 6 7 2 2" xfId="26615" xr:uid="{00000000-0005-0000-0000-0000F6670000}"/>
    <cellStyle name="Normal 2 2 2 2 2 2 6 7 2 2 2" xfId="26616" xr:uid="{00000000-0005-0000-0000-0000F7670000}"/>
    <cellStyle name="Normal 2 2 2 2 2 2 6 7 2 3" xfId="26617" xr:uid="{00000000-0005-0000-0000-0000F8670000}"/>
    <cellStyle name="Normal 2 2 2 2 2 2 6 7 3" xfId="26618" xr:uid="{00000000-0005-0000-0000-0000F9670000}"/>
    <cellStyle name="Normal 2 2 2 2 2 2 6 7 3 2" xfId="26619" xr:uid="{00000000-0005-0000-0000-0000FA670000}"/>
    <cellStyle name="Normal 2 2 2 2 2 2 6 7 4" xfId="26620" xr:uid="{00000000-0005-0000-0000-0000FB670000}"/>
    <cellStyle name="Normal 2 2 2 2 2 2 6 8" xfId="26621" xr:uid="{00000000-0005-0000-0000-0000FC670000}"/>
    <cellStyle name="Normal 2 2 2 2 2 2 6 8 2" xfId="26622" xr:uid="{00000000-0005-0000-0000-0000FD670000}"/>
    <cellStyle name="Normal 2 2 2 2 2 2 6 8 2 2" xfId="26623" xr:uid="{00000000-0005-0000-0000-0000FE670000}"/>
    <cellStyle name="Normal 2 2 2 2 2 2 6 8 2 2 2" xfId="26624" xr:uid="{00000000-0005-0000-0000-0000FF670000}"/>
    <cellStyle name="Normal 2 2 2 2 2 2 6 8 2 3" xfId="26625" xr:uid="{00000000-0005-0000-0000-000000680000}"/>
    <cellStyle name="Normal 2 2 2 2 2 2 6 8 3" xfId="26626" xr:uid="{00000000-0005-0000-0000-000001680000}"/>
    <cellStyle name="Normal 2 2 2 2 2 2 6 8 3 2" xfId="26627" xr:uid="{00000000-0005-0000-0000-000002680000}"/>
    <cellStyle name="Normal 2 2 2 2 2 2 6 8 4" xfId="26628" xr:uid="{00000000-0005-0000-0000-000003680000}"/>
    <cellStyle name="Normal 2 2 2 2 2 2 6 9" xfId="26629" xr:uid="{00000000-0005-0000-0000-000004680000}"/>
    <cellStyle name="Normal 2 2 2 2 2 2 6 9 2" xfId="26630" xr:uid="{00000000-0005-0000-0000-000005680000}"/>
    <cellStyle name="Normal 2 2 2 2 2 2 6 9 2 2" xfId="26631" xr:uid="{00000000-0005-0000-0000-000006680000}"/>
    <cellStyle name="Normal 2 2 2 2 2 2 6 9 3" xfId="26632" xr:uid="{00000000-0005-0000-0000-000007680000}"/>
    <cellStyle name="Normal 2 2 2 2 2 2 7" xfId="26633" xr:uid="{00000000-0005-0000-0000-000008680000}"/>
    <cellStyle name="Normal 2 2 2 2 2 2 7 2" xfId="26634" xr:uid="{00000000-0005-0000-0000-000009680000}"/>
    <cellStyle name="Normal 2 2 2 2 2 2 7 2 2" xfId="26635" xr:uid="{00000000-0005-0000-0000-00000A680000}"/>
    <cellStyle name="Normal 2 2 2 2 2 2 7 2 2 2" xfId="26636" xr:uid="{00000000-0005-0000-0000-00000B680000}"/>
    <cellStyle name="Normal 2 2 2 2 2 2 7 2 2 2 2" xfId="26637" xr:uid="{00000000-0005-0000-0000-00000C680000}"/>
    <cellStyle name="Normal 2 2 2 2 2 2 7 2 2 3" xfId="26638" xr:uid="{00000000-0005-0000-0000-00000D680000}"/>
    <cellStyle name="Normal 2 2 2 2 2 2 7 2 3" xfId="26639" xr:uid="{00000000-0005-0000-0000-00000E680000}"/>
    <cellStyle name="Normal 2 2 2 2 2 2 7 2 3 2" xfId="26640" xr:uid="{00000000-0005-0000-0000-00000F680000}"/>
    <cellStyle name="Normal 2 2 2 2 2 2 7 2 4" xfId="26641" xr:uid="{00000000-0005-0000-0000-000010680000}"/>
    <cellStyle name="Normal 2 2 2 2 2 2 7 3" xfId="26642" xr:uid="{00000000-0005-0000-0000-000011680000}"/>
    <cellStyle name="Normal 2 2 2 2 2 2 7 3 2" xfId="26643" xr:uid="{00000000-0005-0000-0000-000012680000}"/>
    <cellStyle name="Normal 2 2 2 2 2 2 7 3 2 2" xfId="26644" xr:uid="{00000000-0005-0000-0000-000013680000}"/>
    <cellStyle name="Normal 2 2 2 2 2 2 7 3 3" xfId="26645" xr:uid="{00000000-0005-0000-0000-000014680000}"/>
    <cellStyle name="Normal 2 2 2 2 2 2 7 4" xfId="26646" xr:uid="{00000000-0005-0000-0000-000015680000}"/>
    <cellStyle name="Normal 2 2 2 2 2 2 7 4 2" xfId="26647" xr:uid="{00000000-0005-0000-0000-000016680000}"/>
    <cellStyle name="Normal 2 2 2 2 2 2 7 4 2 2" xfId="26648" xr:uid="{00000000-0005-0000-0000-000017680000}"/>
    <cellStyle name="Normal 2 2 2 2 2 2 7 4 3" xfId="26649" xr:uid="{00000000-0005-0000-0000-000018680000}"/>
    <cellStyle name="Normal 2 2 2 2 2 2 7 5" xfId="26650" xr:uid="{00000000-0005-0000-0000-000019680000}"/>
    <cellStyle name="Normal 2 2 2 2 2 2 7 5 2" xfId="26651" xr:uid="{00000000-0005-0000-0000-00001A680000}"/>
    <cellStyle name="Normal 2 2 2 2 2 2 7 5 2 2" xfId="26652" xr:uid="{00000000-0005-0000-0000-00001B680000}"/>
    <cellStyle name="Normal 2 2 2 2 2 2 7 5 3" xfId="26653" xr:uid="{00000000-0005-0000-0000-00001C680000}"/>
    <cellStyle name="Normal 2 2 2 2 2 2 7 6" xfId="26654" xr:uid="{00000000-0005-0000-0000-00001D680000}"/>
    <cellStyle name="Normal 2 2 2 2 2 2 7 6 2" xfId="26655" xr:uid="{00000000-0005-0000-0000-00001E680000}"/>
    <cellStyle name="Normal 2 2 2 2 2 2 7 6 2 2" xfId="26656" xr:uid="{00000000-0005-0000-0000-00001F680000}"/>
    <cellStyle name="Normal 2 2 2 2 2 2 7 6 3" xfId="26657" xr:uid="{00000000-0005-0000-0000-000020680000}"/>
    <cellStyle name="Normal 2 2 2 2 2 2 7 7" xfId="26658" xr:uid="{00000000-0005-0000-0000-000021680000}"/>
    <cellStyle name="Normal 2 2 2 2 2 2 7 7 2" xfId="26659" xr:uid="{00000000-0005-0000-0000-000022680000}"/>
    <cellStyle name="Normal 2 2 2 2 2 2 7 8" xfId="26660" xr:uid="{00000000-0005-0000-0000-000023680000}"/>
    <cellStyle name="Normal 2 2 2 2 2 2 8" xfId="26661" xr:uid="{00000000-0005-0000-0000-000024680000}"/>
    <cellStyle name="Normal 2 2 2 2 2 2 8 2" xfId="26662" xr:uid="{00000000-0005-0000-0000-000025680000}"/>
    <cellStyle name="Normal 2 2 2 2 2 2 8 2 2" xfId="26663" xr:uid="{00000000-0005-0000-0000-000026680000}"/>
    <cellStyle name="Normal 2 2 2 2 2 2 8 2 2 2" xfId="26664" xr:uid="{00000000-0005-0000-0000-000027680000}"/>
    <cellStyle name="Normal 2 2 2 2 2 2 8 2 2 2 2" xfId="26665" xr:uid="{00000000-0005-0000-0000-000028680000}"/>
    <cellStyle name="Normal 2 2 2 2 2 2 8 2 2 3" xfId="26666" xr:uid="{00000000-0005-0000-0000-000029680000}"/>
    <cellStyle name="Normal 2 2 2 2 2 2 8 2 3" xfId="26667" xr:uid="{00000000-0005-0000-0000-00002A680000}"/>
    <cellStyle name="Normal 2 2 2 2 2 2 8 2 3 2" xfId="26668" xr:uid="{00000000-0005-0000-0000-00002B680000}"/>
    <cellStyle name="Normal 2 2 2 2 2 2 8 2 4" xfId="26669" xr:uid="{00000000-0005-0000-0000-00002C680000}"/>
    <cellStyle name="Normal 2 2 2 2 2 2 8 3" xfId="26670" xr:uid="{00000000-0005-0000-0000-00002D680000}"/>
    <cellStyle name="Normal 2 2 2 2 2 2 8 3 2" xfId="26671" xr:uid="{00000000-0005-0000-0000-00002E680000}"/>
    <cellStyle name="Normal 2 2 2 2 2 2 8 3 2 2" xfId="26672" xr:uid="{00000000-0005-0000-0000-00002F680000}"/>
    <cellStyle name="Normal 2 2 2 2 2 2 8 3 3" xfId="26673" xr:uid="{00000000-0005-0000-0000-000030680000}"/>
    <cellStyle name="Normal 2 2 2 2 2 2 8 4" xfId="26674" xr:uid="{00000000-0005-0000-0000-000031680000}"/>
    <cellStyle name="Normal 2 2 2 2 2 2 8 4 2" xfId="26675" xr:uid="{00000000-0005-0000-0000-000032680000}"/>
    <cellStyle name="Normal 2 2 2 2 2 2 8 4 2 2" xfId="26676" xr:uid="{00000000-0005-0000-0000-000033680000}"/>
    <cellStyle name="Normal 2 2 2 2 2 2 8 4 3" xfId="26677" xr:uid="{00000000-0005-0000-0000-000034680000}"/>
    <cellStyle name="Normal 2 2 2 2 2 2 8 5" xfId="26678" xr:uid="{00000000-0005-0000-0000-000035680000}"/>
    <cellStyle name="Normal 2 2 2 2 2 2 8 5 2" xfId="26679" xr:uid="{00000000-0005-0000-0000-000036680000}"/>
    <cellStyle name="Normal 2 2 2 2 2 2 8 5 2 2" xfId="26680" xr:uid="{00000000-0005-0000-0000-000037680000}"/>
    <cellStyle name="Normal 2 2 2 2 2 2 8 5 3" xfId="26681" xr:uid="{00000000-0005-0000-0000-000038680000}"/>
    <cellStyle name="Normal 2 2 2 2 2 2 8 6" xfId="26682" xr:uid="{00000000-0005-0000-0000-000039680000}"/>
    <cellStyle name="Normal 2 2 2 2 2 2 8 6 2" xfId="26683" xr:uid="{00000000-0005-0000-0000-00003A680000}"/>
    <cellStyle name="Normal 2 2 2 2 2 2 8 6 2 2" xfId="26684" xr:uid="{00000000-0005-0000-0000-00003B680000}"/>
    <cellStyle name="Normal 2 2 2 2 2 2 8 6 3" xfId="26685" xr:uid="{00000000-0005-0000-0000-00003C680000}"/>
    <cellStyle name="Normal 2 2 2 2 2 2 8 7" xfId="26686" xr:uid="{00000000-0005-0000-0000-00003D680000}"/>
    <cellStyle name="Normal 2 2 2 2 2 2 8 7 2" xfId="26687" xr:uid="{00000000-0005-0000-0000-00003E680000}"/>
    <cellStyle name="Normal 2 2 2 2 2 2 8 8" xfId="26688" xr:uid="{00000000-0005-0000-0000-00003F680000}"/>
    <cellStyle name="Normal 2 2 2 2 2 2 9" xfId="26689" xr:uid="{00000000-0005-0000-0000-000040680000}"/>
    <cellStyle name="Normal 2 2 2 2 2 2 9 2" xfId="26690" xr:uid="{00000000-0005-0000-0000-000041680000}"/>
    <cellStyle name="Normal 2 2 2 2 2 2 9 2 2" xfId="26691" xr:uid="{00000000-0005-0000-0000-000042680000}"/>
    <cellStyle name="Normal 2 2 2 2 2 2 9 2 2 2" xfId="26692" xr:uid="{00000000-0005-0000-0000-000043680000}"/>
    <cellStyle name="Normal 2 2 2 2 2 2 9 2 2 2 2" xfId="26693" xr:uid="{00000000-0005-0000-0000-000044680000}"/>
    <cellStyle name="Normal 2 2 2 2 2 2 9 2 2 3" xfId="26694" xr:uid="{00000000-0005-0000-0000-000045680000}"/>
    <cellStyle name="Normal 2 2 2 2 2 2 9 2 3" xfId="26695" xr:uid="{00000000-0005-0000-0000-000046680000}"/>
    <cellStyle name="Normal 2 2 2 2 2 2 9 2 3 2" xfId="26696" xr:uid="{00000000-0005-0000-0000-000047680000}"/>
    <cellStyle name="Normal 2 2 2 2 2 2 9 2 4" xfId="26697" xr:uid="{00000000-0005-0000-0000-000048680000}"/>
    <cellStyle name="Normal 2 2 2 2 2 2 9 3" xfId="26698" xr:uid="{00000000-0005-0000-0000-000049680000}"/>
    <cellStyle name="Normal 2 2 2 2 2 2 9 3 2" xfId="26699" xr:uid="{00000000-0005-0000-0000-00004A680000}"/>
    <cellStyle name="Normal 2 2 2 2 2 2 9 3 2 2" xfId="26700" xr:uid="{00000000-0005-0000-0000-00004B680000}"/>
    <cellStyle name="Normal 2 2 2 2 2 2 9 3 3" xfId="26701" xr:uid="{00000000-0005-0000-0000-00004C680000}"/>
    <cellStyle name="Normal 2 2 2 2 2 2 9 4" xfId="26702" xr:uid="{00000000-0005-0000-0000-00004D680000}"/>
    <cellStyle name="Normal 2 2 2 2 2 2 9 4 2" xfId="26703" xr:uid="{00000000-0005-0000-0000-00004E680000}"/>
    <cellStyle name="Normal 2 2 2 2 2 2 9 4 2 2" xfId="26704" xr:uid="{00000000-0005-0000-0000-00004F680000}"/>
    <cellStyle name="Normal 2 2 2 2 2 2 9 4 3" xfId="26705" xr:uid="{00000000-0005-0000-0000-000050680000}"/>
    <cellStyle name="Normal 2 2 2 2 2 2 9 5" xfId="26706" xr:uid="{00000000-0005-0000-0000-000051680000}"/>
    <cellStyle name="Normal 2 2 2 2 2 2 9 5 2" xfId="26707" xr:uid="{00000000-0005-0000-0000-000052680000}"/>
    <cellStyle name="Normal 2 2 2 2 2 2 9 5 2 2" xfId="26708" xr:uid="{00000000-0005-0000-0000-000053680000}"/>
    <cellStyle name="Normal 2 2 2 2 2 2 9 5 3" xfId="26709" xr:uid="{00000000-0005-0000-0000-000054680000}"/>
    <cellStyle name="Normal 2 2 2 2 2 2 9 6" xfId="26710" xr:uid="{00000000-0005-0000-0000-000055680000}"/>
    <cellStyle name="Normal 2 2 2 2 2 2 9 6 2" xfId="26711" xr:uid="{00000000-0005-0000-0000-000056680000}"/>
    <cellStyle name="Normal 2 2 2 2 2 2 9 6 2 2" xfId="26712" xr:uid="{00000000-0005-0000-0000-000057680000}"/>
    <cellStyle name="Normal 2 2 2 2 2 2 9 6 3" xfId="26713" xr:uid="{00000000-0005-0000-0000-000058680000}"/>
    <cellStyle name="Normal 2 2 2 2 2 2 9 7" xfId="26714" xr:uid="{00000000-0005-0000-0000-000059680000}"/>
    <cellStyle name="Normal 2 2 2 2 2 2 9 7 2" xfId="26715" xr:uid="{00000000-0005-0000-0000-00005A680000}"/>
    <cellStyle name="Normal 2 2 2 2 2 2 9 8" xfId="26716" xr:uid="{00000000-0005-0000-0000-00005B680000}"/>
    <cellStyle name="Normal 2 2 2 2 2 20" xfId="26717" xr:uid="{00000000-0005-0000-0000-00005C680000}"/>
    <cellStyle name="Normal 2 2 2 2 2 20 2" xfId="26718" xr:uid="{00000000-0005-0000-0000-00005D680000}"/>
    <cellStyle name="Normal 2 2 2 2 2 21" xfId="26719" xr:uid="{00000000-0005-0000-0000-00005E680000}"/>
    <cellStyle name="Normal 2 2 2 2 2 3" xfId="26720" xr:uid="{00000000-0005-0000-0000-00005F680000}"/>
    <cellStyle name="Normal 2 2 2 2 2 3 10" xfId="26721" xr:uid="{00000000-0005-0000-0000-000060680000}"/>
    <cellStyle name="Normal 2 2 2 2 2 3 10 2" xfId="26722" xr:uid="{00000000-0005-0000-0000-000061680000}"/>
    <cellStyle name="Normal 2 2 2 2 2 3 10 2 2" xfId="26723" xr:uid="{00000000-0005-0000-0000-000062680000}"/>
    <cellStyle name="Normal 2 2 2 2 2 3 10 3" xfId="26724" xr:uid="{00000000-0005-0000-0000-000063680000}"/>
    <cellStyle name="Normal 2 2 2 2 2 3 11" xfId="26725" xr:uid="{00000000-0005-0000-0000-000064680000}"/>
    <cellStyle name="Normal 2 2 2 2 2 3 11 2" xfId="26726" xr:uid="{00000000-0005-0000-0000-000065680000}"/>
    <cellStyle name="Normal 2 2 2 2 2 3 11 2 2" xfId="26727" xr:uid="{00000000-0005-0000-0000-000066680000}"/>
    <cellStyle name="Normal 2 2 2 2 2 3 11 3" xfId="26728" xr:uid="{00000000-0005-0000-0000-000067680000}"/>
    <cellStyle name="Normal 2 2 2 2 2 3 12" xfId="26729" xr:uid="{00000000-0005-0000-0000-000068680000}"/>
    <cellStyle name="Normal 2 2 2 2 2 3 12 2" xfId="26730" xr:uid="{00000000-0005-0000-0000-000069680000}"/>
    <cellStyle name="Normal 2 2 2 2 2 3 12 2 2" xfId="26731" xr:uid="{00000000-0005-0000-0000-00006A680000}"/>
    <cellStyle name="Normal 2 2 2 2 2 3 12 3" xfId="26732" xr:uid="{00000000-0005-0000-0000-00006B680000}"/>
    <cellStyle name="Normal 2 2 2 2 2 3 13" xfId="26733" xr:uid="{00000000-0005-0000-0000-00006C680000}"/>
    <cellStyle name="Normal 2 2 2 2 2 3 13 2" xfId="26734" xr:uid="{00000000-0005-0000-0000-00006D680000}"/>
    <cellStyle name="Normal 2 2 2 2 2 3 14" xfId="26735" xr:uid="{00000000-0005-0000-0000-00006E680000}"/>
    <cellStyle name="Normal 2 2 2 2 2 3 2" xfId="26736" xr:uid="{00000000-0005-0000-0000-00006F680000}"/>
    <cellStyle name="Normal 2 2 2 2 2 3 2 2" xfId="26737" xr:uid="{00000000-0005-0000-0000-000070680000}"/>
    <cellStyle name="Normal 2 2 2 2 2 3 2 2 2" xfId="26738" xr:uid="{00000000-0005-0000-0000-000071680000}"/>
    <cellStyle name="Normal 2 2 2 2 2 3 2 2 2 2" xfId="26739" xr:uid="{00000000-0005-0000-0000-000072680000}"/>
    <cellStyle name="Normal 2 2 2 2 2 3 2 2 2 2 2" xfId="26740" xr:uid="{00000000-0005-0000-0000-000073680000}"/>
    <cellStyle name="Normal 2 2 2 2 2 3 2 2 2 3" xfId="26741" xr:uid="{00000000-0005-0000-0000-000074680000}"/>
    <cellStyle name="Normal 2 2 2 2 2 3 2 2 3" xfId="26742" xr:uid="{00000000-0005-0000-0000-000075680000}"/>
    <cellStyle name="Normal 2 2 2 2 2 3 2 2 3 2" xfId="26743" xr:uid="{00000000-0005-0000-0000-000076680000}"/>
    <cellStyle name="Normal 2 2 2 2 2 3 2 2 4" xfId="26744" xr:uid="{00000000-0005-0000-0000-000077680000}"/>
    <cellStyle name="Normal 2 2 2 2 2 3 2 3" xfId="26745" xr:uid="{00000000-0005-0000-0000-000078680000}"/>
    <cellStyle name="Normal 2 2 2 2 2 3 2 3 2" xfId="26746" xr:uid="{00000000-0005-0000-0000-000079680000}"/>
    <cellStyle name="Normal 2 2 2 2 2 3 2 3 2 2" xfId="26747" xr:uid="{00000000-0005-0000-0000-00007A680000}"/>
    <cellStyle name="Normal 2 2 2 2 2 3 2 3 3" xfId="26748" xr:uid="{00000000-0005-0000-0000-00007B680000}"/>
    <cellStyle name="Normal 2 2 2 2 2 3 2 4" xfId="26749" xr:uid="{00000000-0005-0000-0000-00007C680000}"/>
    <cellStyle name="Normal 2 2 2 2 2 3 2 4 2" xfId="26750" xr:uid="{00000000-0005-0000-0000-00007D680000}"/>
    <cellStyle name="Normal 2 2 2 2 2 3 2 4 2 2" xfId="26751" xr:uid="{00000000-0005-0000-0000-00007E680000}"/>
    <cellStyle name="Normal 2 2 2 2 2 3 2 4 3" xfId="26752" xr:uid="{00000000-0005-0000-0000-00007F680000}"/>
    <cellStyle name="Normal 2 2 2 2 2 3 2 5" xfId="26753" xr:uid="{00000000-0005-0000-0000-000080680000}"/>
    <cellStyle name="Normal 2 2 2 2 2 3 2 5 2" xfId="26754" xr:uid="{00000000-0005-0000-0000-000081680000}"/>
    <cellStyle name="Normal 2 2 2 2 2 3 2 5 2 2" xfId="26755" xr:uid="{00000000-0005-0000-0000-000082680000}"/>
    <cellStyle name="Normal 2 2 2 2 2 3 2 5 3" xfId="26756" xr:uid="{00000000-0005-0000-0000-000083680000}"/>
    <cellStyle name="Normal 2 2 2 2 2 3 2 6" xfId="26757" xr:uid="{00000000-0005-0000-0000-000084680000}"/>
    <cellStyle name="Normal 2 2 2 2 2 3 2 6 2" xfId="26758" xr:uid="{00000000-0005-0000-0000-000085680000}"/>
    <cellStyle name="Normal 2 2 2 2 2 3 2 6 2 2" xfId="26759" xr:uid="{00000000-0005-0000-0000-000086680000}"/>
    <cellStyle name="Normal 2 2 2 2 2 3 2 6 3" xfId="26760" xr:uid="{00000000-0005-0000-0000-000087680000}"/>
    <cellStyle name="Normal 2 2 2 2 2 3 2 7" xfId="26761" xr:uid="{00000000-0005-0000-0000-000088680000}"/>
    <cellStyle name="Normal 2 2 2 2 2 3 2 7 2" xfId="26762" xr:uid="{00000000-0005-0000-0000-000089680000}"/>
    <cellStyle name="Normal 2 2 2 2 2 3 2 8" xfId="26763" xr:uid="{00000000-0005-0000-0000-00008A680000}"/>
    <cellStyle name="Normal 2 2 2 2 2 3 3" xfId="26764" xr:uid="{00000000-0005-0000-0000-00008B680000}"/>
    <cellStyle name="Normal 2 2 2 2 2 3 3 2" xfId="26765" xr:uid="{00000000-0005-0000-0000-00008C680000}"/>
    <cellStyle name="Normal 2 2 2 2 2 3 3 2 2" xfId="26766" xr:uid="{00000000-0005-0000-0000-00008D680000}"/>
    <cellStyle name="Normal 2 2 2 2 2 3 3 2 2 2" xfId="26767" xr:uid="{00000000-0005-0000-0000-00008E680000}"/>
    <cellStyle name="Normal 2 2 2 2 2 3 3 2 2 2 2" xfId="26768" xr:uid="{00000000-0005-0000-0000-00008F680000}"/>
    <cellStyle name="Normal 2 2 2 2 2 3 3 2 2 3" xfId="26769" xr:uid="{00000000-0005-0000-0000-000090680000}"/>
    <cellStyle name="Normal 2 2 2 2 2 3 3 2 3" xfId="26770" xr:uid="{00000000-0005-0000-0000-000091680000}"/>
    <cellStyle name="Normal 2 2 2 2 2 3 3 2 3 2" xfId="26771" xr:uid="{00000000-0005-0000-0000-000092680000}"/>
    <cellStyle name="Normal 2 2 2 2 2 3 3 2 4" xfId="26772" xr:uid="{00000000-0005-0000-0000-000093680000}"/>
    <cellStyle name="Normal 2 2 2 2 2 3 3 3" xfId="26773" xr:uid="{00000000-0005-0000-0000-000094680000}"/>
    <cellStyle name="Normal 2 2 2 2 2 3 3 3 2" xfId="26774" xr:uid="{00000000-0005-0000-0000-000095680000}"/>
    <cellStyle name="Normal 2 2 2 2 2 3 3 3 2 2" xfId="26775" xr:uid="{00000000-0005-0000-0000-000096680000}"/>
    <cellStyle name="Normal 2 2 2 2 2 3 3 3 3" xfId="26776" xr:uid="{00000000-0005-0000-0000-000097680000}"/>
    <cellStyle name="Normal 2 2 2 2 2 3 3 4" xfId="26777" xr:uid="{00000000-0005-0000-0000-000098680000}"/>
    <cellStyle name="Normal 2 2 2 2 2 3 3 4 2" xfId="26778" xr:uid="{00000000-0005-0000-0000-000099680000}"/>
    <cellStyle name="Normal 2 2 2 2 2 3 3 4 2 2" xfId="26779" xr:uid="{00000000-0005-0000-0000-00009A680000}"/>
    <cellStyle name="Normal 2 2 2 2 2 3 3 4 3" xfId="26780" xr:uid="{00000000-0005-0000-0000-00009B680000}"/>
    <cellStyle name="Normal 2 2 2 2 2 3 3 5" xfId="26781" xr:uid="{00000000-0005-0000-0000-00009C680000}"/>
    <cellStyle name="Normal 2 2 2 2 2 3 3 5 2" xfId="26782" xr:uid="{00000000-0005-0000-0000-00009D680000}"/>
    <cellStyle name="Normal 2 2 2 2 2 3 3 5 2 2" xfId="26783" xr:uid="{00000000-0005-0000-0000-00009E680000}"/>
    <cellStyle name="Normal 2 2 2 2 2 3 3 5 3" xfId="26784" xr:uid="{00000000-0005-0000-0000-00009F680000}"/>
    <cellStyle name="Normal 2 2 2 2 2 3 3 6" xfId="26785" xr:uid="{00000000-0005-0000-0000-0000A0680000}"/>
    <cellStyle name="Normal 2 2 2 2 2 3 3 6 2" xfId="26786" xr:uid="{00000000-0005-0000-0000-0000A1680000}"/>
    <cellStyle name="Normal 2 2 2 2 2 3 3 6 2 2" xfId="26787" xr:uid="{00000000-0005-0000-0000-0000A2680000}"/>
    <cellStyle name="Normal 2 2 2 2 2 3 3 6 3" xfId="26788" xr:uid="{00000000-0005-0000-0000-0000A3680000}"/>
    <cellStyle name="Normal 2 2 2 2 2 3 3 7" xfId="26789" xr:uid="{00000000-0005-0000-0000-0000A4680000}"/>
    <cellStyle name="Normal 2 2 2 2 2 3 3 7 2" xfId="26790" xr:uid="{00000000-0005-0000-0000-0000A5680000}"/>
    <cellStyle name="Normal 2 2 2 2 2 3 3 8" xfId="26791" xr:uid="{00000000-0005-0000-0000-0000A6680000}"/>
    <cellStyle name="Normal 2 2 2 2 2 3 4" xfId="26792" xr:uid="{00000000-0005-0000-0000-0000A7680000}"/>
    <cellStyle name="Normal 2 2 2 2 2 3 4 2" xfId="26793" xr:uid="{00000000-0005-0000-0000-0000A8680000}"/>
    <cellStyle name="Normal 2 2 2 2 2 3 4 2 2" xfId="26794" xr:uid="{00000000-0005-0000-0000-0000A9680000}"/>
    <cellStyle name="Normal 2 2 2 2 2 3 4 2 2 2" xfId="26795" xr:uid="{00000000-0005-0000-0000-0000AA680000}"/>
    <cellStyle name="Normal 2 2 2 2 2 3 4 2 2 2 2" xfId="26796" xr:uid="{00000000-0005-0000-0000-0000AB680000}"/>
    <cellStyle name="Normal 2 2 2 2 2 3 4 2 2 3" xfId="26797" xr:uid="{00000000-0005-0000-0000-0000AC680000}"/>
    <cellStyle name="Normal 2 2 2 2 2 3 4 2 3" xfId="26798" xr:uid="{00000000-0005-0000-0000-0000AD680000}"/>
    <cellStyle name="Normal 2 2 2 2 2 3 4 2 3 2" xfId="26799" xr:uid="{00000000-0005-0000-0000-0000AE680000}"/>
    <cellStyle name="Normal 2 2 2 2 2 3 4 2 4" xfId="26800" xr:uid="{00000000-0005-0000-0000-0000AF680000}"/>
    <cellStyle name="Normal 2 2 2 2 2 3 4 3" xfId="26801" xr:uid="{00000000-0005-0000-0000-0000B0680000}"/>
    <cellStyle name="Normal 2 2 2 2 2 3 4 3 2" xfId="26802" xr:uid="{00000000-0005-0000-0000-0000B1680000}"/>
    <cellStyle name="Normal 2 2 2 2 2 3 4 3 2 2" xfId="26803" xr:uid="{00000000-0005-0000-0000-0000B2680000}"/>
    <cellStyle name="Normal 2 2 2 2 2 3 4 3 3" xfId="26804" xr:uid="{00000000-0005-0000-0000-0000B3680000}"/>
    <cellStyle name="Normal 2 2 2 2 2 3 4 4" xfId="26805" xr:uid="{00000000-0005-0000-0000-0000B4680000}"/>
    <cellStyle name="Normal 2 2 2 2 2 3 4 4 2" xfId="26806" xr:uid="{00000000-0005-0000-0000-0000B5680000}"/>
    <cellStyle name="Normal 2 2 2 2 2 3 4 4 2 2" xfId="26807" xr:uid="{00000000-0005-0000-0000-0000B6680000}"/>
    <cellStyle name="Normal 2 2 2 2 2 3 4 4 3" xfId="26808" xr:uid="{00000000-0005-0000-0000-0000B7680000}"/>
    <cellStyle name="Normal 2 2 2 2 2 3 4 5" xfId="26809" xr:uid="{00000000-0005-0000-0000-0000B8680000}"/>
    <cellStyle name="Normal 2 2 2 2 2 3 4 5 2" xfId="26810" xr:uid="{00000000-0005-0000-0000-0000B9680000}"/>
    <cellStyle name="Normal 2 2 2 2 2 3 4 5 2 2" xfId="26811" xr:uid="{00000000-0005-0000-0000-0000BA680000}"/>
    <cellStyle name="Normal 2 2 2 2 2 3 4 5 3" xfId="26812" xr:uid="{00000000-0005-0000-0000-0000BB680000}"/>
    <cellStyle name="Normal 2 2 2 2 2 3 4 6" xfId="26813" xr:uid="{00000000-0005-0000-0000-0000BC680000}"/>
    <cellStyle name="Normal 2 2 2 2 2 3 4 6 2" xfId="26814" xr:uid="{00000000-0005-0000-0000-0000BD680000}"/>
    <cellStyle name="Normal 2 2 2 2 2 3 4 6 2 2" xfId="26815" xr:uid="{00000000-0005-0000-0000-0000BE680000}"/>
    <cellStyle name="Normal 2 2 2 2 2 3 4 6 3" xfId="26816" xr:uid="{00000000-0005-0000-0000-0000BF680000}"/>
    <cellStyle name="Normal 2 2 2 2 2 3 4 7" xfId="26817" xr:uid="{00000000-0005-0000-0000-0000C0680000}"/>
    <cellStyle name="Normal 2 2 2 2 2 3 4 7 2" xfId="26818" xr:uid="{00000000-0005-0000-0000-0000C1680000}"/>
    <cellStyle name="Normal 2 2 2 2 2 3 4 8" xfId="26819" xr:uid="{00000000-0005-0000-0000-0000C2680000}"/>
    <cellStyle name="Normal 2 2 2 2 2 3 5" xfId="26820" xr:uid="{00000000-0005-0000-0000-0000C3680000}"/>
    <cellStyle name="Normal 2 2 2 2 2 3 5 2" xfId="26821" xr:uid="{00000000-0005-0000-0000-0000C4680000}"/>
    <cellStyle name="Normal 2 2 2 2 2 3 5 2 2" xfId="26822" xr:uid="{00000000-0005-0000-0000-0000C5680000}"/>
    <cellStyle name="Normal 2 2 2 2 2 3 5 2 2 2" xfId="26823" xr:uid="{00000000-0005-0000-0000-0000C6680000}"/>
    <cellStyle name="Normal 2 2 2 2 2 3 5 2 2 2 2" xfId="26824" xr:uid="{00000000-0005-0000-0000-0000C7680000}"/>
    <cellStyle name="Normal 2 2 2 2 2 3 5 2 2 3" xfId="26825" xr:uid="{00000000-0005-0000-0000-0000C8680000}"/>
    <cellStyle name="Normal 2 2 2 2 2 3 5 2 3" xfId="26826" xr:uid="{00000000-0005-0000-0000-0000C9680000}"/>
    <cellStyle name="Normal 2 2 2 2 2 3 5 2 3 2" xfId="26827" xr:uid="{00000000-0005-0000-0000-0000CA680000}"/>
    <cellStyle name="Normal 2 2 2 2 2 3 5 2 4" xfId="26828" xr:uid="{00000000-0005-0000-0000-0000CB680000}"/>
    <cellStyle name="Normal 2 2 2 2 2 3 5 3" xfId="26829" xr:uid="{00000000-0005-0000-0000-0000CC680000}"/>
    <cellStyle name="Normal 2 2 2 2 2 3 5 3 2" xfId="26830" xr:uid="{00000000-0005-0000-0000-0000CD680000}"/>
    <cellStyle name="Normal 2 2 2 2 2 3 5 3 2 2" xfId="26831" xr:uid="{00000000-0005-0000-0000-0000CE680000}"/>
    <cellStyle name="Normal 2 2 2 2 2 3 5 3 3" xfId="26832" xr:uid="{00000000-0005-0000-0000-0000CF680000}"/>
    <cellStyle name="Normal 2 2 2 2 2 3 5 4" xfId="26833" xr:uid="{00000000-0005-0000-0000-0000D0680000}"/>
    <cellStyle name="Normal 2 2 2 2 2 3 5 4 2" xfId="26834" xr:uid="{00000000-0005-0000-0000-0000D1680000}"/>
    <cellStyle name="Normal 2 2 2 2 2 3 5 5" xfId="26835" xr:uid="{00000000-0005-0000-0000-0000D2680000}"/>
    <cellStyle name="Normal 2 2 2 2 2 3 6" xfId="26836" xr:uid="{00000000-0005-0000-0000-0000D3680000}"/>
    <cellStyle name="Normal 2 2 2 2 2 3 6 2" xfId="26837" xr:uid="{00000000-0005-0000-0000-0000D4680000}"/>
    <cellStyle name="Normal 2 2 2 2 2 3 6 2 2" xfId="26838" xr:uid="{00000000-0005-0000-0000-0000D5680000}"/>
    <cellStyle name="Normal 2 2 2 2 2 3 6 2 2 2" xfId="26839" xr:uid="{00000000-0005-0000-0000-0000D6680000}"/>
    <cellStyle name="Normal 2 2 2 2 2 3 6 2 2 2 2" xfId="26840" xr:uid="{00000000-0005-0000-0000-0000D7680000}"/>
    <cellStyle name="Normal 2 2 2 2 2 3 6 2 2 3" xfId="26841" xr:uid="{00000000-0005-0000-0000-0000D8680000}"/>
    <cellStyle name="Normal 2 2 2 2 2 3 6 2 3" xfId="26842" xr:uid="{00000000-0005-0000-0000-0000D9680000}"/>
    <cellStyle name="Normal 2 2 2 2 2 3 6 2 3 2" xfId="26843" xr:uid="{00000000-0005-0000-0000-0000DA680000}"/>
    <cellStyle name="Normal 2 2 2 2 2 3 6 2 4" xfId="26844" xr:uid="{00000000-0005-0000-0000-0000DB680000}"/>
    <cellStyle name="Normal 2 2 2 2 2 3 6 3" xfId="26845" xr:uid="{00000000-0005-0000-0000-0000DC680000}"/>
    <cellStyle name="Normal 2 2 2 2 2 3 6 3 2" xfId="26846" xr:uid="{00000000-0005-0000-0000-0000DD680000}"/>
    <cellStyle name="Normal 2 2 2 2 2 3 6 3 2 2" xfId="26847" xr:uid="{00000000-0005-0000-0000-0000DE680000}"/>
    <cellStyle name="Normal 2 2 2 2 2 3 6 3 3" xfId="26848" xr:uid="{00000000-0005-0000-0000-0000DF680000}"/>
    <cellStyle name="Normal 2 2 2 2 2 3 6 4" xfId="26849" xr:uid="{00000000-0005-0000-0000-0000E0680000}"/>
    <cellStyle name="Normal 2 2 2 2 2 3 6 4 2" xfId="26850" xr:uid="{00000000-0005-0000-0000-0000E1680000}"/>
    <cellStyle name="Normal 2 2 2 2 2 3 6 5" xfId="26851" xr:uid="{00000000-0005-0000-0000-0000E2680000}"/>
    <cellStyle name="Normal 2 2 2 2 2 3 7" xfId="26852" xr:uid="{00000000-0005-0000-0000-0000E3680000}"/>
    <cellStyle name="Normal 2 2 2 2 2 3 7 2" xfId="26853" xr:uid="{00000000-0005-0000-0000-0000E4680000}"/>
    <cellStyle name="Normal 2 2 2 2 2 3 7 2 2" xfId="26854" xr:uid="{00000000-0005-0000-0000-0000E5680000}"/>
    <cellStyle name="Normal 2 2 2 2 2 3 7 2 2 2" xfId="26855" xr:uid="{00000000-0005-0000-0000-0000E6680000}"/>
    <cellStyle name="Normal 2 2 2 2 2 3 7 2 3" xfId="26856" xr:uid="{00000000-0005-0000-0000-0000E7680000}"/>
    <cellStyle name="Normal 2 2 2 2 2 3 7 3" xfId="26857" xr:uid="{00000000-0005-0000-0000-0000E8680000}"/>
    <cellStyle name="Normal 2 2 2 2 2 3 7 3 2" xfId="26858" xr:uid="{00000000-0005-0000-0000-0000E9680000}"/>
    <cellStyle name="Normal 2 2 2 2 2 3 7 4" xfId="26859" xr:uid="{00000000-0005-0000-0000-0000EA680000}"/>
    <cellStyle name="Normal 2 2 2 2 2 3 8" xfId="26860" xr:uid="{00000000-0005-0000-0000-0000EB680000}"/>
    <cellStyle name="Normal 2 2 2 2 2 3 8 2" xfId="26861" xr:uid="{00000000-0005-0000-0000-0000EC680000}"/>
    <cellStyle name="Normal 2 2 2 2 2 3 8 2 2" xfId="26862" xr:uid="{00000000-0005-0000-0000-0000ED680000}"/>
    <cellStyle name="Normal 2 2 2 2 2 3 8 2 2 2" xfId="26863" xr:uid="{00000000-0005-0000-0000-0000EE680000}"/>
    <cellStyle name="Normal 2 2 2 2 2 3 8 2 3" xfId="26864" xr:uid="{00000000-0005-0000-0000-0000EF680000}"/>
    <cellStyle name="Normal 2 2 2 2 2 3 8 3" xfId="26865" xr:uid="{00000000-0005-0000-0000-0000F0680000}"/>
    <cellStyle name="Normal 2 2 2 2 2 3 8 3 2" xfId="26866" xr:uid="{00000000-0005-0000-0000-0000F1680000}"/>
    <cellStyle name="Normal 2 2 2 2 2 3 8 4" xfId="26867" xr:uid="{00000000-0005-0000-0000-0000F2680000}"/>
    <cellStyle name="Normal 2 2 2 2 2 3 9" xfId="26868" xr:uid="{00000000-0005-0000-0000-0000F3680000}"/>
    <cellStyle name="Normal 2 2 2 2 2 3 9 2" xfId="26869" xr:uid="{00000000-0005-0000-0000-0000F4680000}"/>
    <cellStyle name="Normal 2 2 2 2 2 3 9 2 2" xfId="26870" xr:uid="{00000000-0005-0000-0000-0000F5680000}"/>
    <cellStyle name="Normal 2 2 2 2 2 3 9 3" xfId="26871" xr:uid="{00000000-0005-0000-0000-0000F6680000}"/>
    <cellStyle name="Normal 2 2 2 2 2 4" xfId="26872" xr:uid="{00000000-0005-0000-0000-0000F7680000}"/>
    <cellStyle name="Normal 2 2 2 2 2 4 10" xfId="26873" xr:uid="{00000000-0005-0000-0000-0000F8680000}"/>
    <cellStyle name="Normal 2 2 2 2 2 4 10 2" xfId="26874" xr:uid="{00000000-0005-0000-0000-0000F9680000}"/>
    <cellStyle name="Normal 2 2 2 2 2 4 10 2 2" xfId="26875" xr:uid="{00000000-0005-0000-0000-0000FA680000}"/>
    <cellStyle name="Normal 2 2 2 2 2 4 10 3" xfId="26876" xr:uid="{00000000-0005-0000-0000-0000FB680000}"/>
    <cellStyle name="Normal 2 2 2 2 2 4 11" xfId="26877" xr:uid="{00000000-0005-0000-0000-0000FC680000}"/>
    <cellStyle name="Normal 2 2 2 2 2 4 11 2" xfId="26878" xr:uid="{00000000-0005-0000-0000-0000FD680000}"/>
    <cellStyle name="Normal 2 2 2 2 2 4 11 2 2" xfId="26879" xr:uid="{00000000-0005-0000-0000-0000FE680000}"/>
    <cellStyle name="Normal 2 2 2 2 2 4 11 3" xfId="26880" xr:uid="{00000000-0005-0000-0000-0000FF680000}"/>
    <cellStyle name="Normal 2 2 2 2 2 4 12" xfId="26881" xr:uid="{00000000-0005-0000-0000-000000690000}"/>
    <cellStyle name="Normal 2 2 2 2 2 4 12 2" xfId="26882" xr:uid="{00000000-0005-0000-0000-000001690000}"/>
    <cellStyle name="Normal 2 2 2 2 2 4 12 2 2" xfId="26883" xr:uid="{00000000-0005-0000-0000-000002690000}"/>
    <cellStyle name="Normal 2 2 2 2 2 4 12 3" xfId="26884" xr:uid="{00000000-0005-0000-0000-000003690000}"/>
    <cellStyle name="Normal 2 2 2 2 2 4 13" xfId="26885" xr:uid="{00000000-0005-0000-0000-000004690000}"/>
    <cellStyle name="Normal 2 2 2 2 2 4 13 2" xfId="26886" xr:uid="{00000000-0005-0000-0000-000005690000}"/>
    <cellStyle name="Normal 2 2 2 2 2 4 14" xfId="26887" xr:uid="{00000000-0005-0000-0000-000006690000}"/>
    <cellStyle name="Normal 2 2 2 2 2 4 2" xfId="26888" xr:uid="{00000000-0005-0000-0000-000007690000}"/>
    <cellStyle name="Normal 2 2 2 2 2 4 2 2" xfId="26889" xr:uid="{00000000-0005-0000-0000-000008690000}"/>
    <cellStyle name="Normal 2 2 2 2 2 4 2 2 2" xfId="26890" xr:uid="{00000000-0005-0000-0000-000009690000}"/>
    <cellStyle name="Normal 2 2 2 2 2 4 2 2 2 2" xfId="26891" xr:uid="{00000000-0005-0000-0000-00000A690000}"/>
    <cellStyle name="Normal 2 2 2 2 2 4 2 2 2 2 2" xfId="26892" xr:uid="{00000000-0005-0000-0000-00000B690000}"/>
    <cellStyle name="Normal 2 2 2 2 2 4 2 2 2 3" xfId="26893" xr:uid="{00000000-0005-0000-0000-00000C690000}"/>
    <cellStyle name="Normal 2 2 2 2 2 4 2 2 3" xfId="26894" xr:uid="{00000000-0005-0000-0000-00000D690000}"/>
    <cellStyle name="Normal 2 2 2 2 2 4 2 2 3 2" xfId="26895" xr:uid="{00000000-0005-0000-0000-00000E690000}"/>
    <cellStyle name="Normal 2 2 2 2 2 4 2 2 4" xfId="26896" xr:uid="{00000000-0005-0000-0000-00000F690000}"/>
    <cellStyle name="Normal 2 2 2 2 2 4 2 3" xfId="26897" xr:uid="{00000000-0005-0000-0000-000010690000}"/>
    <cellStyle name="Normal 2 2 2 2 2 4 2 3 2" xfId="26898" xr:uid="{00000000-0005-0000-0000-000011690000}"/>
    <cellStyle name="Normal 2 2 2 2 2 4 2 3 2 2" xfId="26899" xr:uid="{00000000-0005-0000-0000-000012690000}"/>
    <cellStyle name="Normal 2 2 2 2 2 4 2 3 3" xfId="26900" xr:uid="{00000000-0005-0000-0000-000013690000}"/>
    <cellStyle name="Normal 2 2 2 2 2 4 2 4" xfId="26901" xr:uid="{00000000-0005-0000-0000-000014690000}"/>
    <cellStyle name="Normal 2 2 2 2 2 4 2 4 2" xfId="26902" xr:uid="{00000000-0005-0000-0000-000015690000}"/>
    <cellStyle name="Normal 2 2 2 2 2 4 2 4 2 2" xfId="26903" xr:uid="{00000000-0005-0000-0000-000016690000}"/>
    <cellStyle name="Normal 2 2 2 2 2 4 2 4 3" xfId="26904" xr:uid="{00000000-0005-0000-0000-000017690000}"/>
    <cellStyle name="Normal 2 2 2 2 2 4 2 5" xfId="26905" xr:uid="{00000000-0005-0000-0000-000018690000}"/>
    <cellStyle name="Normal 2 2 2 2 2 4 2 5 2" xfId="26906" xr:uid="{00000000-0005-0000-0000-000019690000}"/>
    <cellStyle name="Normal 2 2 2 2 2 4 2 5 2 2" xfId="26907" xr:uid="{00000000-0005-0000-0000-00001A690000}"/>
    <cellStyle name="Normal 2 2 2 2 2 4 2 5 3" xfId="26908" xr:uid="{00000000-0005-0000-0000-00001B690000}"/>
    <cellStyle name="Normal 2 2 2 2 2 4 2 6" xfId="26909" xr:uid="{00000000-0005-0000-0000-00001C690000}"/>
    <cellStyle name="Normal 2 2 2 2 2 4 2 6 2" xfId="26910" xr:uid="{00000000-0005-0000-0000-00001D690000}"/>
    <cellStyle name="Normal 2 2 2 2 2 4 2 6 2 2" xfId="26911" xr:uid="{00000000-0005-0000-0000-00001E690000}"/>
    <cellStyle name="Normal 2 2 2 2 2 4 2 6 3" xfId="26912" xr:uid="{00000000-0005-0000-0000-00001F690000}"/>
    <cellStyle name="Normal 2 2 2 2 2 4 2 7" xfId="26913" xr:uid="{00000000-0005-0000-0000-000020690000}"/>
    <cellStyle name="Normal 2 2 2 2 2 4 2 7 2" xfId="26914" xr:uid="{00000000-0005-0000-0000-000021690000}"/>
    <cellStyle name="Normal 2 2 2 2 2 4 2 8" xfId="26915" xr:uid="{00000000-0005-0000-0000-000022690000}"/>
    <cellStyle name="Normal 2 2 2 2 2 4 3" xfId="26916" xr:uid="{00000000-0005-0000-0000-000023690000}"/>
    <cellStyle name="Normal 2 2 2 2 2 4 3 2" xfId="26917" xr:uid="{00000000-0005-0000-0000-000024690000}"/>
    <cellStyle name="Normal 2 2 2 2 2 4 3 2 2" xfId="26918" xr:uid="{00000000-0005-0000-0000-000025690000}"/>
    <cellStyle name="Normal 2 2 2 2 2 4 3 2 2 2" xfId="26919" xr:uid="{00000000-0005-0000-0000-000026690000}"/>
    <cellStyle name="Normal 2 2 2 2 2 4 3 2 2 2 2" xfId="26920" xr:uid="{00000000-0005-0000-0000-000027690000}"/>
    <cellStyle name="Normal 2 2 2 2 2 4 3 2 2 3" xfId="26921" xr:uid="{00000000-0005-0000-0000-000028690000}"/>
    <cellStyle name="Normal 2 2 2 2 2 4 3 2 3" xfId="26922" xr:uid="{00000000-0005-0000-0000-000029690000}"/>
    <cellStyle name="Normal 2 2 2 2 2 4 3 2 3 2" xfId="26923" xr:uid="{00000000-0005-0000-0000-00002A690000}"/>
    <cellStyle name="Normal 2 2 2 2 2 4 3 2 4" xfId="26924" xr:uid="{00000000-0005-0000-0000-00002B690000}"/>
    <cellStyle name="Normal 2 2 2 2 2 4 3 3" xfId="26925" xr:uid="{00000000-0005-0000-0000-00002C690000}"/>
    <cellStyle name="Normal 2 2 2 2 2 4 3 3 2" xfId="26926" xr:uid="{00000000-0005-0000-0000-00002D690000}"/>
    <cellStyle name="Normal 2 2 2 2 2 4 3 3 2 2" xfId="26927" xr:uid="{00000000-0005-0000-0000-00002E690000}"/>
    <cellStyle name="Normal 2 2 2 2 2 4 3 3 3" xfId="26928" xr:uid="{00000000-0005-0000-0000-00002F690000}"/>
    <cellStyle name="Normal 2 2 2 2 2 4 3 4" xfId="26929" xr:uid="{00000000-0005-0000-0000-000030690000}"/>
    <cellStyle name="Normal 2 2 2 2 2 4 3 4 2" xfId="26930" xr:uid="{00000000-0005-0000-0000-000031690000}"/>
    <cellStyle name="Normal 2 2 2 2 2 4 3 4 2 2" xfId="26931" xr:uid="{00000000-0005-0000-0000-000032690000}"/>
    <cellStyle name="Normal 2 2 2 2 2 4 3 4 3" xfId="26932" xr:uid="{00000000-0005-0000-0000-000033690000}"/>
    <cellStyle name="Normal 2 2 2 2 2 4 3 5" xfId="26933" xr:uid="{00000000-0005-0000-0000-000034690000}"/>
    <cellStyle name="Normal 2 2 2 2 2 4 3 5 2" xfId="26934" xr:uid="{00000000-0005-0000-0000-000035690000}"/>
    <cellStyle name="Normal 2 2 2 2 2 4 3 5 2 2" xfId="26935" xr:uid="{00000000-0005-0000-0000-000036690000}"/>
    <cellStyle name="Normal 2 2 2 2 2 4 3 5 3" xfId="26936" xr:uid="{00000000-0005-0000-0000-000037690000}"/>
    <cellStyle name="Normal 2 2 2 2 2 4 3 6" xfId="26937" xr:uid="{00000000-0005-0000-0000-000038690000}"/>
    <cellStyle name="Normal 2 2 2 2 2 4 3 6 2" xfId="26938" xr:uid="{00000000-0005-0000-0000-000039690000}"/>
    <cellStyle name="Normal 2 2 2 2 2 4 3 6 2 2" xfId="26939" xr:uid="{00000000-0005-0000-0000-00003A690000}"/>
    <cellStyle name="Normal 2 2 2 2 2 4 3 6 3" xfId="26940" xr:uid="{00000000-0005-0000-0000-00003B690000}"/>
    <cellStyle name="Normal 2 2 2 2 2 4 3 7" xfId="26941" xr:uid="{00000000-0005-0000-0000-00003C690000}"/>
    <cellStyle name="Normal 2 2 2 2 2 4 3 7 2" xfId="26942" xr:uid="{00000000-0005-0000-0000-00003D690000}"/>
    <cellStyle name="Normal 2 2 2 2 2 4 3 8" xfId="26943" xr:uid="{00000000-0005-0000-0000-00003E690000}"/>
    <cellStyle name="Normal 2 2 2 2 2 4 4" xfId="26944" xr:uid="{00000000-0005-0000-0000-00003F690000}"/>
    <cellStyle name="Normal 2 2 2 2 2 4 4 2" xfId="26945" xr:uid="{00000000-0005-0000-0000-000040690000}"/>
    <cellStyle name="Normal 2 2 2 2 2 4 4 2 2" xfId="26946" xr:uid="{00000000-0005-0000-0000-000041690000}"/>
    <cellStyle name="Normal 2 2 2 2 2 4 4 2 2 2" xfId="26947" xr:uid="{00000000-0005-0000-0000-000042690000}"/>
    <cellStyle name="Normal 2 2 2 2 2 4 4 2 2 2 2" xfId="26948" xr:uid="{00000000-0005-0000-0000-000043690000}"/>
    <cellStyle name="Normal 2 2 2 2 2 4 4 2 2 3" xfId="26949" xr:uid="{00000000-0005-0000-0000-000044690000}"/>
    <cellStyle name="Normal 2 2 2 2 2 4 4 2 3" xfId="26950" xr:uid="{00000000-0005-0000-0000-000045690000}"/>
    <cellStyle name="Normal 2 2 2 2 2 4 4 2 3 2" xfId="26951" xr:uid="{00000000-0005-0000-0000-000046690000}"/>
    <cellStyle name="Normal 2 2 2 2 2 4 4 2 4" xfId="26952" xr:uid="{00000000-0005-0000-0000-000047690000}"/>
    <cellStyle name="Normal 2 2 2 2 2 4 4 3" xfId="26953" xr:uid="{00000000-0005-0000-0000-000048690000}"/>
    <cellStyle name="Normal 2 2 2 2 2 4 4 3 2" xfId="26954" xr:uid="{00000000-0005-0000-0000-000049690000}"/>
    <cellStyle name="Normal 2 2 2 2 2 4 4 3 2 2" xfId="26955" xr:uid="{00000000-0005-0000-0000-00004A690000}"/>
    <cellStyle name="Normal 2 2 2 2 2 4 4 3 3" xfId="26956" xr:uid="{00000000-0005-0000-0000-00004B690000}"/>
    <cellStyle name="Normal 2 2 2 2 2 4 4 4" xfId="26957" xr:uid="{00000000-0005-0000-0000-00004C690000}"/>
    <cellStyle name="Normal 2 2 2 2 2 4 4 4 2" xfId="26958" xr:uid="{00000000-0005-0000-0000-00004D690000}"/>
    <cellStyle name="Normal 2 2 2 2 2 4 4 4 2 2" xfId="26959" xr:uid="{00000000-0005-0000-0000-00004E690000}"/>
    <cellStyle name="Normal 2 2 2 2 2 4 4 4 3" xfId="26960" xr:uid="{00000000-0005-0000-0000-00004F690000}"/>
    <cellStyle name="Normal 2 2 2 2 2 4 4 5" xfId="26961" xr:uid="{00000000-0005-0000-0000-000050690000}"/>
    <cellStyle name="Normal 2 2 2 2 2 4 4 5 2" xfId="26962" xr:uid="{00000000-0005-0000-0000-000051690000}"/>
    <cellStyle name="Normal 2 2 2 2 2 4 4 5 2 2" xfId="26963" xr:uid="{00000000-0005-0000-0000-000052690000}"/>
    <cellStyle name="Normal 2 2 2 2 2 4 4 5 3" xfId="26964" xr:uid="{00000000-0005-0000-0000-000053690000}"/>
    <cellStyle name="Normal 2 2 2 2 2 4 4 6" xfId="26965" xr:uid="{00000000-0005-0000-0000-000054690000}"/>
    <cellStyle name="Normal 2 2 2 2 2 4 4 6 2" xfId="26966" xr:uid="{00000000-0005-0000-0000-000055690000}"/>
    <cellStyle name="Normal 2 2 2 2 2 4 4 6 2 2" xfId="26967" xr:uid="{00000000-0005-0000-0000-000056690000}"/>
    <cellStyle name="Normal 2 2 2 2 2 4 4 6 3" xfId="26968" xr:uid="{00000000-0005-0000-0000-000057690000}"/>
    <cellStyle name="Normal 2 2 2 2 2 4 4 7" xfId="26969" xr:uid="{00000000-0005-0000-0000-000058690000}"/>
    <cellStyle name="Normal 2 2 2 2 2 4 4 7 2" xfId="26970" xr:uid="{00000000-0005-0000-0000-000059690000}"/>
    <cellStyle name="Normal 2 2 2 2 2 4 4 8" xfId="26971" xr:uid="{00000000-0005-0000-0000-00005A690000}"/>
    <cellStyle name="Normal 2 2 2 2 2 4 5" xfId="26972" xr:uid="{00000000-0005-0000-0000-00005B690000}"/>
    <cellStyle name="Normal 2 2 2 2 2 4 5 2" xfId="26973" xr:uid="{00000000-0005-0000-0000-00005C690000}"/>
    <cellStyle name="Normal 2 2 2 2 2 4 5 2 2" xfId="26974" xr:uid="{00000000-0005-0000-0000-00005D690000}"/>
    <cellStyle name="Normal 2 2 2 2 2 4 5 2 2 2" xfId="26975" xr:uid="{00000000-0005-0000-0000-00005E690000}"/>
    <cellStyle name="Normal 2 2 2 2 2 4 5 2 2 2 2" xfId="26976" xr:uid="{00000000-0005-0000-0000-00005F690000}"/>
    <cellStyle name="Normal 2 2 2 2 2 4 5 2 2 3" xfId="26977" xr:uid="{00000000-0005-0000-0000-000060690000}"/>
    <cellStyle name="Normal 2 2 2 2 2 4 5 2 3" xfId="26978" xr:uid="{00000000-0005-0000-0000-000061690000}"/>
    <cellStyle name="Normal 2 2 2 2 2 4 5 2 3 2" xfId="26979" xr:uid="{00000000-0005-0000-0000-000062690000}"/>
    <cellStyle name="Normal 2 2 2 2 2 4 5 2 4" xfId="26980" xr:uid="{00000000-0005-0000-0000-000063690000}"/>
    <cellStyle name="Normal 2 2 2 2 2 4 5 3" xfId="26981" xr:uid="{00000000-0005-0000-0000-000064690000}"/>
    <cellStyle name="Normal 2 2 2 2 2 4 5 3 2" xfId="26982" xr:uid="{00000000-0005-0000-0000-000065690000}"/>
    <cellStyle name="Normal 2 2 2 2 2 4 5 3 2 2" xfId="26983" xr:uid="{00000000-0005-0000-0000-000066690000}"/>
    <cellStyle name="Normal 2 2 2 2 2 4 5 3 3" xfId="26984" xr:uid="{00000000-0005-0000-0000-000067690000}"/>
    <cellStyle name="Normal 2 2 2 2 2 4 5 4" xfId="26985" xr:uid="{00000000-0005-0000-0000-000068690000}"/>
    <cellStyle name="Normal 2 2 2 2 2 4 5 4 2" xfId="26986" xr:uid="{00000000-0005-0000-0000-000069690000}"/>
    <cellStyle name="Normal 2 2 2 2 2 4 5 5" xfId="26987" xr:uid="{00000000-0005-0000-0000-00006A690000}"/>
    <cellStyle name="Normal 2 2 2 2 2 4 6" xfId="26988" xr:uid="{00000000-0005-0000-0000-00006B690000}"/>
    <cellStyle name="Normal 2 2 2 2 2 4 6 2" xfId="26989" xr:uid="{00000000-0005-0000-0000-00006C690000}"/>
    <cellStyle name="Normal 2 2 2 2 2 4 6 2 2" xfId="26990" xr:uid="{00000000-0005-0000-0000-00006D690000}"/>
    <cellStyle name="Normal 2 2 2 2 2 4 6 2 2 2" xfId="26991" xr:uid="{00000000-0005-0000-0000-00006E690000}"/>
    <cellStyle name="Normal 2 2 2 2 2 4 6 2 2 2 2" xfId="26992" xr:uid="{00000000-0005-0000-0000-00006F690000}"/>
    <cellStyle name="Normal 2 2 2 2 2 4 6 2 2 3" xfId="26993" xr:uid="{00000000-0005-0000-0000-000070690000}"/>
    <cellStyle name="Normal 2 2 2 2 2 4 6 2 3" xfId="26994" xr:uid="{00000000-0005-0000-0000-000071690000}"/>
    <cellStyle name="Normal 2 2 2 2 2 4 6 2 3 2" xfId="26995" xr:uid="{00000000-0005-0000-0000-000072690000}"/>
    <cellStyle name="Normal 2 2 2 2 2 4 6 2 4" xfId="26996" xr:uid="{00000000-0005-0000-0000-000073690000}"/>
    <cellStyle name="Normal 2 2 2 2 2 4 6 3" xfId="26997" xr:uid="{00000000-0005-0000-0000-000074690000}"/>
    <cellStyle name="Normal 2 2 2 2 2 4 6 3 2" xfId="26998" xr:uid="{00000000-0005-0000-0000-000075690000}"/>
    <cellStyle name="Normal 2 2 2 2 2 4 6 3 2 2" xfId="26999" xr:uid="{00000000-0005-0000-0000-000076690000}"/>
    <cellStyle name="Normal 2 2 2 2 2 4 6 3 3" xfId="27000" xr:uid="{00000000-0005-0000-0000-000077690000}"/>
    <cellStyle name="Normal 2 2 2 2 2 4 6 4" xfId="27001" xr:uid="{00000000-0005-0000-0000-000078690000}"/>
    <cellStyle name="Normal 2 2 2 2 2 4 6 4 2" xfId="27002" xr:uid="{00000000-0005-0000-0000-000079690000}"/>
    <cellStyle name="Normal 2 2 2 2 2 4 6 5" xfId="27003" xr:uid="{00000000-0005-0000-0000-00007A690000}"/>
    <cellStyle name="Normal 2 2 2 2 2 4 7" xfId="27004" xr:uid="{00000000-0005-0000-0000-00007B690000}"/>
    <cellStyle name="Normal 2 2 2 2 2 4 7 2" xfId="27005" xr:uid="{00000000-0005-0000-0000-00007C690000}"/>
    <cellStyle name="Normal 2 2 2 2 2 4 7 2 2" xfId="27006" xr:uid="{00000000-0005-0000-0000-00007D690000}"/>
    <cellStyle name="Normal 2 2 2 2 2 4 7 2 2 2" xfId="27007" xr:uid="{00000000-0005-0000-0000-00007E690000}"/>
    <cellStyle name="Normal 2 2 2 2 2 4 7 2 3" xfId="27008" xr:uid="{00000000-0005-0000-0000-00007F690000}"/>
    <cellStyle name="Normal 2 2 2 2 2 4 7 3" xfId="27009" xr:uid="{00000000-0005-0000-0000-000080690000}"/>
    <cellStyle name="Normal 2 2 2 2 2 4 7 3 2" xfId="27010" xr:uid="{00000000-0005-0000-0000-000081690000}"/>
    <cellStyle name="Normal 2 2 2 2 2 4 7 4" xfId="27011" xr:uid="{00000000-0005-0000-0000-000082690000}"/>
    <cellStyle name="Normal 2 2 2 2 2 4 8" xfId="27012" xr:uid="{00000000-0005-0000-0000-000083690000}"/>
    <cellStyle name="Normal 2 2 2 2 2 4 8 2" xfId="27013" xr:uid="{00000000-0005-0000-0000-000084690000}"/>
    <cellStyle name="Normal 2 2 2 2 2 4 8 2 2" xfId="27014" xr:uid="{00000000-0005-0000-0000-000085690000}"/>
    <cellStyle name="Normal 2 2 2 2 2 4 8 2 2 2" xfId="27015" xr:uid="{00000000-0005-0000-0000-000086690000}"/>
    <cellStyle name="Normal 2 2 2 2 2 4 8 2 3" xfId="27016" xr:uid="{00000000-0005-0000-0000-000087690000}"/>
    <cellStyle name="Normal 2 2 2 2 2 4 8 3" xfId="27017" xr:uid="{00000000-0005-0000-0000-000088690000}"/>
    <cellStyle name="Normal 2 2 2 2 2 4 8 3 2" xfId="27018" xr:uid="{00000000-0005-0000-0000-000089690000}"/>
    <cellStyle name="Normal 2 2 2 2 2 4 8 4" xfId="27019" xr:uid="{00000000-0005-0000-0000-00008A690000}"/>
    <cellStyle name="Normal 2 2 2 2 2 4 9" xfId="27020" xr:uid="{00000000-0005-0000-0000-00008B690000}"/>
    <cellStyle name="Normal 2 2 2 2 2 4 9 2" xfId="27021" xr:uid="{00000000-0005-0000-0000-00008C690000}"/>
    <cellStyle name="Normal 2 2 2 2 2 4 9 2 2" xfId="27022" xr:uid="{00000000-0005-0000-0000-00008D690000}"/>
    <cellStyle name="Normal 2 2 2 2 2 4 9 3" xfId="27023" xr:uid="{00000000-0005-0000-0000-00008E690000}"/>
    <cellStyle name="Normal 2 2 2 2 2 5" xfId="27024" xr:uid="{00000000-0005-0000-0000-00008F690000}"/>
    <cellStyle name="Normal 2 2 2 2 2 5 10" xfId="27025" xr:uid="{00000000-0005-0000-0000-000090690000}"/>
    <cellStyle name="Normal 2 2 2 2 2 5 10 2" xfId="27026" xr:uid="{00000000-0005-0000-0000-000091690000}"/>
    <cellStyle name="Normal 2 2 2 2 2 5 10 2 2" xfId="27027" xr:uid="{00000000-0005-0000-0000-000092690000}"/>
    <cellStyle name="Normal 2 2 2 2 2 5 10 3" xfId="27028" xr:uid="{00000000-0005-0000-0000-000093690000}"/>
    <cellStyle name="Normal 2 2 2 2 2 5 11" xfId="27029" xr:uid="{00000000-0005-0000-0000-000094690000}"/>
    <cellStyle name="Normal 2 2 2 2 2 5 11 2" xfId="27030" xr:uid="{00000000-0005-0000-0000-000095690000}"/>
    <cellStyle name="Normal 2 2 2 2 2 5 11 2 2" xfId="27031" xr:uid="{00000000-0005-0000-0000-000096690000}"/>
    <cellStyle name="Normal 2 2 2 2 2 5 11 3" xfId="27032" xr:uid="{00000000-0005-0000-0000-000097690000}"/>
    <cellStyle name="Normal 2 2 2 2 2 5 12" xfId="27033" xr:uid="{00000000-0005-0000-0000-000098690000}"/>
    <cellStyle name="Normal 2 2 2 2 2 5 12 2" xfId="27034" xr:uid="{00000000-0005-0000-0000-000099690000}"/>
    <cellStyle name="Normal 2 2 2 2 2 5 12 2 2" xfId="27035" xr:uid="{00000000-0005-0000-0000-00009A690000}"/>
    <cellStyle name="Normal 2 2 2 2 2 5 12 3" xfId="27036" xr:uid="{00000000-0005-0000-0000-00009B690000}"/>
    <cellStyle name="Normal 2 2 2 2 2 5 13" xfId="27037" xr:uid="{00000000-0005-0000-0000-00009C690000}"/>
    <cellStyle name="Normal 2 2 2 2 2 5 13 2" xfId="27038" xr:uid="{00000000-0005-0000-0000-00009D690000}"/>
    <cellStyle name="Normal 2 2 2 2 2 5 14" xfId="27039" xr:uid="{00000000-0005-0000-0000-00009E690000}"/>
    <cellStyle name="Normal 2 2 2 2 2 5 2" xfId="27040" xr:uid="{00000000-0005-0000-0000-00009F690000}"/>
    <cellStyle name="Normal 2 2 2 2 2 5 2 2" xfId="27041" xr:uid="{00000000-0005-0000-0000-0000A0690000}"/>
    <cellStyle name="Normal 2 2 2 2 2 5 2 2 2" xfId="27042" xr:uid="{00000000-0005-0000-0000-0000A1690000}"/>
    <cellStyle name="Normal 2 2 2 2 2 5 2 2 2 2" xfId="27043" xr:uid="{00000000-0005-0000-0000-0000A2690000}"/>
    <cellStyle name="Normal 2 2 2 2 2 5 2 2 2 2 2" xfId="27044" xr:uid="{00000000-0005-0000-0000-0000A3690000}"/>
    <cellStyle name="Normal 2 2 2 2 2 5 2 2 2 3" xfId="27045" xr:uid="{00000000-0005-0000-0000-0000A4690000}"/>
    <cellStyle name="Normal 2 2 2 2 2 5 2 2 3" xfId="27046" xr:uid="{00000000-0005-0000-0000-0000A5690000}"/>
    <cellStyle name="Normal 2 2 2 2 2 5 2 2 3 2" xfId="27047" xr:uid="{00000000-0005-0000-0000-0000A6690000}"/>
    <cellStyle name="Normal 2 2 2 2 2 5 2 2 4" xfId="27048" xr:uid="{00000000-0005-0000-0000-0000A7690000}"/>
    <cellStyle name="Normal 2 2 2 2 2 5 2 3" xfId="27049" xr:uid="{00000000-0005-0000-0000-0000A8690000}"/>
    <cellStyle name="Normal 2 2 2 2 2 5 2 3 2" xfId="27050" xr:uid="{00000000-0005-0000-0000-0000A9690000}"/>
    <cellStyle name="Normal 2 2 2 2 2 5 2 3 2 2" xfId="27051" xr:uid="{00000000-0005-0000-0000-0000AA690000}"/>
    <cellStyle name="Normal 2 2 2 2 2 5 2 3 3" xfId="27052" xr:uid="{00000000-0005-0000-0000-0000AB690000}"/>
    <cellStyle name="Normal 2 2 2 2 2 5 2 4" xfId="27053" xr:uid="{00000000-0005-0000-0000-0000AC690000}"/>
    <cellStyle name="Normal 2 2 2 2 2 5 2 4 2" xfId="27054" xr:uid="{00000000-0005-0000-0000-0000AD690000}"/>
    <cellStyle name="Normal 2 2 2 2 2 5 2 4 2 2" xfId="27055" xr:uid="{00000000-0005-0000-0000-0000AE690000}"/>
    <cellStyle name="Normal 2 2 2 2 2 5 2 4 3" xfId="27056" xr:uid="{00000000-0005-0000-0000-0000AF690000}"/>
    <cellStyle name="Normal 2 2 2 2 2 5 2 5" xfId="27057" xr:uid="{00000000-0005-0000-0000-0000B0690000}"/>
    <cellStyle name="Normal 2 2 2 2 2 5 2 5 2" xfId="27058" xr:uid="{00000000-0005-0000-0000-0000B1690000}"/>
    <cellStyle name="Normal 2 2 2 2 2 5 2 5 2 2" xfId="27059" xr:uid="{00000000-0005-0000-0000-0000B2690000}"/>
    <cellStyle name="Normal 2 2 2 2 2 5 2 5 3" xfId="27060" xr:uid="{00000000-0005-0000-0000-0000B3690000}"/>
    <cellStyle name="Normal 2 2 2 2 2 5 2 6" xfId="27061" xr:uid="{00000000-0005-0000-0000-0000B4690000}"/>
    <cellStyle name="Normal 2 2 2 2 2 5 2 6 2" xfId="27062" xr:uid="{00000000-0005-0000-0000-0000B5690000}"/>
    <cellStyle name="Normal 2 2 2 2 2 5 2 6 2 2" xfId="27063" xr:uid="{00000000-0005-0000-0000-0000B6690000}"/>
    <cellStyle name="Normal 2 2 2 2 2 5 2 6 3" xfId="27064" xr:uid="{00000000-0005-0000-0000-0000B7690000}"/>
    <cellStyle name="Normal 2 2 2 2 2 5 2 7" xfId="27065" xr:uid="{00000000-0005-0000-0000-0000B8690000}"/>
    <cellStyle name="Normal 2 2 2 2 2 5 2 7 2" xfId="27066" xr:uid="{00000000-0005-0000-0000-0000B9690000}"/>
    <cellStyle name="Normal 2 2 2 2 2 5 2 8" xfId="27067" xr:uid="{00000000-0005-0000-0000-0000BA690000}"/>
    <cellStyle name="Normal 2 2 2 2 2 5 3" xfId="27068" xr:uid="{00000000-0005-0000-0000-0000BB690000}"/>
    <cellStyle name="Normal 2 2 2 2 2 5 3 2" xfId="27069" xr:uid="{00000000-0005-0000-0000-0000BC690000}"/>
    <cellStyle name="Normal 2 2 2 2 2 5 3 2 2" xfId="27070" xr:uid="{00000000-0005-0000-0000-0000BD690000}"/>
    <cellStyle name="Normal 2 2 2 2 2 5 3 2 2 2" xfId="27071" xr:uid="{00000000-0005-0000-0000-0000BE690000}"/>
    <cellStyle name="Normal 2 2 2 2 2 5 3 2 2 2 2" xfId="27072" xr:uid="{00000000-0005-0000-0000-0000BF690000}"/>
    <cellStyle name="Normal 2 2 2 2 2 5 3 2 2 3" xfId="27073" xr:uid="{00000000-0005-0000-0000-0000C0690000}"/>
    <cellStyle name="Normal 2 2 2 2 2 5 3 2 3" xfId="27074" xr:uid="{00000000-0005-0000-0000-0000C1690000}"/>
    <cellStyle name="Normal 2 2 2 2 2 5 3 2 3 2" xfId="27075" xr:uid="{00000000-0005-0000-0000-0000C2690000}"/>
    <cellStyle name="Normal 2 2 2 2 2 5 3 2 4" xfId="27076" xr:uid="{00000000-0005-0000-0000-0000C3690000}"/>
    <cellStyle name="Normal 2 2 2 2 2 5 3 3" xfId="27077" xr:uid="{00000000-0005-0000-0000-0000C4690000}"/>
    <cellStyle name="Normal 2 2 2 2 2 5 3 3 2" xfId="27078" xr:uid="{00000000-0005-0000-0000-0000C5690000}"/>
    <cellStyle name="Normal 2 2 2 2 2 5 3 3 2 2" xfId="27079" xr:uid="{00000000-0005-0000-0000-0000C6690000}"/>
    <cellStyle name="Normal 2 2 2 2 2 5 3 3 3" xfId="27080" xr:uid="{00000000-0005-0000-0000-0000C7690000}"/>
    <cellStyle name="Normal 2 2 2 2 2 5 3 4" xfId="27081" xr:uid="{00000000-0005-0000-0000-0000C8690000}"/>
    <cellStyle name="Normal 2 2 2 2 2 5 3 4 2" xfId="27082" xr:uid="{00000000-0005-0000-0000-0000C9690000}"/>
    <cellStyle name="Normal 2 2 2 2 2 5 3 4 2 2" xfId="27083" xr:uid="{00000000-0005-0000-0000-0000CA690000}"/>
    <cellStyle name="Normal 2 2 2 2 2 5 3 4 3" xfId="27084" xr:uid="{00000000-0005-0000-0000-0000CB690000}"/>
    <cellStyle name="Normal 2 2 2 2 2 5 3 5" xfId="27085" xr:uid="{00000000-0005-0000-0000-0000CC690000}"/>
    <cellStyle name="Normal 2 2 2 2 2 5 3 5 2" xfId="27086" xr:uid="{00000000-0005-0000-0000-0000CD690000}"/>
    <cellStyle name="Normal 2 2 2 2 2 5 3 5 2 2" xfId="27087" xr:uid="{00000000-0005-0000-0000-0000CE690000}"/>
    <cellStyle name="Normal 2 2 2 2 2 5 3 5 3" xfId="27088" xr:uid="{00000000-0005-0000-0000-0000CF690000}"/>
    <cellStyle name="Normal 2 2 2 2 2 5 3 6" xfId="27089" xr:uid="{00000000-0005-0000-0000-0000D0690000}"/>
    <cellStyle name="Normal 2 2 2 2 2 5 3 6 2" xfId="27090" xr:uid="{00000000-0005-0000-0000-0000D1690000}"/>
    <cellStyle name="Normal 2 2 2 2 2 5 3 6 2 2" xfId="27091" xr:uid="{00000000-0005-0000-0000-0000D2690000}"/>
    <cellStyle name="Normal 2 2 2 2 2 5 3 6 3" xfId="27092" xr:uid="{00000000-0005-0000-0000-0000D3690000}"/>
    <cellStyle name="Normal 2 2 2 2 2 5 3 7" xfId="27093" xr:uid="{00000000-0005-0000-0000-0000D4690000}"/>
    <cellStyle name="Normal 2 2 2 2 2 5 3 7 2" xfId="27094" xr:uid="{00000000-0005-0000-0000-0000D5690000}"/>
    <cellStyle name="Normal 2 2 2 2 2 5 3 8" xfId="27095" xr:uid="{00000000-0005-0000-0000-0000D6690000}"/>
    <cellStyle name="Normal 2 2 2 2 2 5 4" xfId="27096" xr:uid="{00000000-0005-0000-0000-0000D7690000}"/>
    <cellStyle name="Normal 2 2 2 2 2 5 4 2" xfId="27097" xr:uid="{00000000-0005-0000-0000-0000D8690000}"/>
    <cellStyle name="Normal 2 2 2 2 2 5 4 2 2" xfId="27098" xr:uid="{00000000-0005-0000-0000-0000D9690000}"/>
    <cellStyle name="Normal 2 2 2 2 2 5 4 2 2 2" xfId="27099" xr:uid="{00000000-0005-0000-0000-0000DA690000}"/>
    <cellStyle name="Normal 2 2 2 2 2 5 4 2 2 2 2" xfId="27100" xr:uid="{00000000-0005-0000-0000-0000DB690000}"/>
    <cellStyle name="Normal 2 2 2 2 2 5 4 2 2 3" xfId="27101" xr:uid="{00000000-0005-0000-0000-0000DC690000}"/>
    <cellStyle name="Normal 2 2 2 2 2 5 4 2 3" xfId="27102" xr:uid="{00000000-0005-0000-0000-0000DD690000}"/>
    <cellStyle name="Normal 2 2 2 2 2 5 4 2 3 2" xfId="27103" xr:uid="{00000000-0005-0000-0000-0000DE690000}"/>
    <cellStyle name="Normal 2 2 2 2 2 5 4 2 4" xfId="27104" xr:uid="{00000000-0005-0000-0000-0000DF690000}"/>
    <cellStyle name="Normal 2 2 2 2 2 5 4 3" xfId="27105" xr:uid="{00000000-0005-0000-0000-0000E0690000}"/>
    <cellStyle name="Normal 2 2 2 2 2 5 4 3 2" xfId="27106" xr:uid="{00000000-0005-0000-0000-0000E1690000}"/>
    <cellStyle name="Normal 2 2 2 2 2 5 4 3 2 2" xfId="27107" xr:uid="{00000000-0005-0000-0000-0000E2690000}"/>
    <cellStyle name="Normal 2 2 2 2 2 5 4 3 3" xfId="27108" xr:uid="{00000000-0005-0000-0000-0000E3690000}"/>
    <cellStyle name="Normal 2 2 2 2 2 5 4 4" xfId="27109" xr:uid="{00000000-0005-0000-0000-0000E4690000}"/>
    <cellStyle name="Normal 2 2 2 2 2 5 4 4 2" xfId="27110" xr:uid="{00000000-0005-0000-0000-0000E5690000}"/>
    <cellStyle name="Normal 2 2 2 2 2 5 4 4 2 2" xfId="27111" xr:uid="{00000000-0005-0000-0000-0000E6690000}"/>
    <cellStyle name="Normal 2 2 2 2 2 5 4 4 3" xfId="27112" xr:uid="{00000000-0005-0000-0000-0000E7690000}"/>
    <cellStyle name="Normal 2 2 2 2 2 5 4 5" xfId="27113" xr:uid="{00000000-0005-0000-0000-0000E8690000}"/>
    <cellStyle name="Normal 2 2 2 2 2 5 4 5 2" xfId="27114" xr:uid="{00000000-0005-0000-0000-0000E9690000}"/>
    <cellStyle name="Normal 2 2 2 2 2 5 4 5 2 2" xfId="27115" xr:uid="{00000000-0005-0000-0000-0000EA690000}"/>
    <cellStyle name="Normal 2 2 2 2 2 5 4 5 3" xfId="27116" xr:uid="{00000000-0005-0000-0000-0000EB690000}"/>
    <cellStyle name="Normal 2 2 2 2 2 5 4 6" xfId="27117" xr:uid="{00000000-0005-0000-0000-0000EC690000}"/>
    <cellStyle name="Normal 2 2 2 2 2 5 4 6 2" xfId="27118" xr:uid="{00000000-0005-0000-0000-0000ED690000}"/>
    <cellStyle name="Normal 2 2 2 2 2 5 4 6 2 2" xfId="27119" xr:uid="{00000000-0005-0000-0000-0000EE690000}"/>
    <cellStyle name="Normal 2 2 2 2 2 5 4 6 3" xfId="27120" xr:uid="{00000000-0005-0000-0000-0000EF690000}"/>
    <cellStyle name="Normal 2 2 2 2 2 5 4 7" xfId="27121" xr:uid="{00000000-0005-0000-0000-0000F0690000}"/>
    <cellStyle name="Normal 2 2 2 2 2 5 4 7 2" xfId="27122" xr:uid="{00000000-0005-0000-0000-0000F1690000}"/>
    <cellStyle name="Normal 2 2 2 2 2 5 4 8" xfId="27123" xr:uid="{00000000-0005-0000-0000-0000F2690000}"/>
    <cellStyle name="Normal 2 2 2 2 2 5 5" xfId="27124" xr:uid="{00000000-0005-0000-0000-0000F3690000}"/>
    <cellStyle name="Normal 2 2 2 2 2 5 5 2" xfId="27125" xr:uid="{00000000-0005-0000-0000-0000F4690000}"/>
    <cellStyle name="Normal 2 2 2 2 2 5 5 2 2" xfId="27126" xr:uid="{00000000-0005-0000-0000-0000F5690000}"/>
    <cellStyle name="Normal 2 2 2 2 2 5 5 2 2 2" xfId="27127" xr:uid="{00000000-0005-0000-0000-0000F6690000}"/>
    <cellStyle name="Normal 2 2 2 2 2 5 5 2 2 2 2" xfId="27128" xr:uid="{00000000-0005-0000-0000-0000F7690000}"/>
    <cellStyle name="Normal 2 2 2 2 2 5 5 2 2 3" xfId="27129" xr:uid="{00000000-0005-0000-0000-0000F8690000}"/>
    <cellStyle name="Normal 2 2 2 2 2 5 5 2 3" xfId="27130" xr:uid="{00000000-0005-0000-0000-0000F9690000}"/>
    <cellStyle name="Normal 2 2 2 2 2 5 5 2 3 2" xfId="27131" xr:uid="{00000000-0005-0000-0000-0000FA690000}"/>
    <cellStyle name="Normal 2 2 2 2 2 5 5 2 4" xfId="27132" xr:uid="{00000000-0005-0000-0000-0000FB690000}"/>
    <cellStyle name="Normal 2 2 2 2 2 5 5 3" xfId="27133" xr:uid="{00000000-0005-0000-0000-0000FC690000}"/>
    <cellStyle name="Normal 2 2 2 2 2 5 5 3 2" xfId="27134" xr:uid="{00000000-0005-0000-0000-0000FD690000}"/>
    <cellStyle name="Normal 2 2 2 2 2 5 5 3 2 2" xfId="27135" xr:uid="{00000000-0005-0000-0000-0000FE690000}"/>
    <cellStyle name="Normal 2 2 2 2 2 5 5 3 3" xfId="27136" xr:uid="{00000000-0005-0000-0000-0000FF690000}"/>
    <cellStyle name="Normal 2 2 2 2 2 5 5 4" xfId="27137" xr:uid="{00000000-0005-0000-0000-0000006A0000}"/>
    <cellStyle name="Normal 2 2 2 2 2 5 5 4 2" xfId="27138" xr:uid="{00000000-0005-0000-0000-0000016A0000}"/>
    <cellStyle name="Normal 2 2 2 2 2 5 5 5" xfId="27139" xr:uid="{00000000-0005-0000-0000-0000026A0000}"/>
    <cellStyle name="Normal 2 2 2 2 2 5 6" xfId="27140" xr:uid="{00000000-0005-0000-0000-0000036A0000}"/>
    <cellStyle name="Normal 2 2 2 2 2 5 6 2" xfId="27141" xr:uid="{00000000-0005-0000-0000-0000046A0000}"/>
    <cellStyle name="Normal 2 2 2 2 2 5 6 2 2" xfId="27142" xr:uid="{00000000-0005-0000-0000-0000056A0000}"/>
    <cellStyle name="Normal 2 2 2 2 2 5 6 2 2 2" xfId="27143" xr:uid="{00000000-0005-0000-0000-0000066A0000}"/>
    <cellStyle name="Normal 2 2 2 2 2 5 6 2 2 2 2" xfId="27144" xr:uid="{00000000-0005-0000-0000-0000076A0000}"/>
    <cellStyle name="Normal 2 2 2 2 2 5 6 2 2 3" xfId="27145" xr:uid="{00000000-0005-0000-0000-0000086A0000}"/>
    <cellStyle name="Normal 2 2 2 2 2 5 6 2 3" xfId="27146" xr:uid="{00000000-0005-0000-0000-0000096A0000}"/>
    <cellStyle name="Normal 2 2 2 2 2 5 6 2 3 2" xfId="27147" xr:uid="{00000000-0005-0000-0000-00000A6A0000}"/>
    <cellStyle name="Normal 2 2 2 2 2 5 6 2 4" xfId="27148" xr:uid="{00000000-0005-0000-0000-00000B6A0000}"/>
    <cellStyle name="Normal 2 2 2 2 2 5 6 3" xfId="27149" xr:uid="{00000000-0005-0000-0000-00000C6A0000}"/>
    <cellStyle name="Normal 2 2 2 2 2 5 6 3 2" xfId="27150" xr:uid="{00000000-0005-0000-0000-00000D6A0000}"/>
    <cellStyle name="Normal 2 2 2 2 2 5 6 3 2 2" xfId="27151" xr:uid="{00000000-0005-0000-0000-00000E6A0000}"/>
    <cellStyle name="Normal 2 2 2 2 2 5 6 3 3" xfId="27152" xr:uid="{00000000-0005-0000-0000-00000F6A0000}"/>
    <cellStyle name="Normal 2 2 2 2 2 5 6 4" xfId="27153" xr:uid="{00000000-0005-0000-0000-0000106A0000}"/>
    <cellStyle name="Normal 2 2 2 2 2 5 6 4 2" xfId="27154" xr:uid="{00000000-0005-0000-0000-0000116A0000}"/>
    <cellStyle name="Normal 2 2 2 2 2 5 6 5" xfId="27155" xr:uid="{00000000-0005-0000-0000-0000126A0000}"/>
    <cellStyle name="Normal 2 2 2 2 2 5 7" xfId="27156" xr:uid="{00000000-0005-0000-0000-0000136A0000}"/>
    <cellStyle name="Normal 2 2 2 2 2 5 7 2" xfId="27157" xr:uid="{00000000-0005-0000-0000-0000146A0000}"/>
    <cellStyle name="Normal 2 2 2 2 2 5 7 2 2" xfId="27158" xr:uid="{00000000-0005-0000-0000-0000156A0000}"/>
    <cellStyle name="Normal 2 2 2 2 2 5 7 2 2 2" xfId="27159" xr:uid="{00000000-0005-0000-0000-0000166A0000}"/>
    <cellStyle name="Normal 2 2 2 2 2 5 7 2 3" xfId="27160" xr:uid="{00000000-0005-0000-0000-0000176A0000}"/>
    <cellStyle name="Normal 2 2 2 2 2 5 7 3" xfId="27161" xr:uid="{00000000-0005-0000-0000-0000186A0000}"/>
    <cellStyle name="Normal 2 2 2 2 2 5 7 3 2" xfId="27162" xr:uid="{00000000-0005-0000-0000-0000196A0000}"/>
    <cellStyle name="Normal 2 2 2 2 2 5 7 4" xfId="27163" xr:uid="{00000000-0005-0000-0000-00001A6A0000}"/>
    <cellStyle name="Normal 2 2 2 2 2 5 8" xfId="27164" xr:uid="{00000000-0005-0000-0000-00001B6A0000}"/>
    <cellStyle name="Normal 2 2 2 2 2 5 8 2" xfId="27165" xr:uid="{00000000-0005-0000-0000-00001C6A0000}"/>
    <cellStyle name="Normal 2 2 2 2 2 5 8 2 2" xfId="27166" xr:uid="{00000000-0005-0000-0000-00001D6A0000}"/>
    <cellStyle name="Normal 2 2 2 2 2 5 8 2 2 2" xfId="27167" xr:uid="{00000000-0005-0000-0000-00001E6A0000}"/>
    <cellStyle name="Normal 2 2 2 2 2 5 8 2 3" xfId="27168" xr:uid="{00000000-0005-0000-0000-00001F6A0000}"/>
    <cellStyle name="Normal 2 2 2 2 2 5 8 3" xfId="27169" xr:uid="{00000000-0005-0000-0000-0000206A0000}"/>
    <cellStyle name="Normal 2 2 2 2 2 5 8 3 2" xfId="27170" xr:uid="{00000000-0005-0000-0000-0000216A0000}"/>
    <cellStyle name="Normal 2 2 2 2 2 5 8 4" xfId="27171" xr:uid="{00000000-0005-0000-0000-0000226A0000}"/>
    <cellStyle name="Normal 2 2 2 2 2 5 9" xfId="27172" xr:uid="{00000000-0005-0000-0000-0000236A0000}"/>
    <cellStyle name="Normal 2 2 2 2 2 5 9 2" xfId="27173" xr:uid="{00000000-0005-0000-0000-0000246A0000}"/>
    <cellStyle name="Normal 2 2 2 2 2 5 9 2 2" xfId="27174" xr:uid="{00000000-0005-0000-0000-0000256A0000}"/>
    <cellStyle name="Normal 2 2 2 2 2 5 9 3" xfId="27175" xr:uid="{00000000-0005-0000-0000-0000266A0000}"/>
    <cellStyle name="Normal 2 2 2 2 2 6" xfId="27176" xr:uid="{00000000-0005-0000-0000-0000276A0000}"/>
    <cellStyle name="Normal 2 2 2 2 2 6 10" xfId="27177" xr:uid="{00000000-0005-0000-0000-0000286A0000}"/>
    <cellStyle name="Normal 2 2 2 2 2 6 10 2" xfId="27178" xr:uid="{00000000-0005-0000-0000-0000296A0000}"/>
    <cellStyle name="Normal 2 2 2 2 2 6 10 2 2" xfId="27179" xr:uid="{00000000-0005-0000-0000-00002A6A0000}"/>
    <cellStyle name="Normal 2 2 2 2 2 6 10 3" xfId="27180" xr:uid="{00000000-0005-0000-0000-00002B6A0000}"/>
    <cellStyle name="Normal 2 2 2 2 2 6 11" xfId="27181" xr:uid="{00000000-0005-0000-0000-00002C6A0000}"/>
    <cellStyle name="Normal 2 2 2 2 2 6 11 2" xfId="27182" xr:uid="{00000000-0005-0000-0000-00002D6A0000}"/>
    <cellStyle name="Normal 2 2 2 2 2 6 11 2 2" xfId="27183" xr:uid="{00000000-0005-0000-0000-00002E6A0000}"/>
    <cellStyle name="Normal 2 2 2 2 2 6 11 3" xfId="27184" xr:uid="{00000000-0005-0000-0000-00002F6A0000}"/>
    <cellStyle name="Normal 2 2 2 2 2 6 12" xfId="27185" xr:uid="{00000000-0005-0000-0000-0000306A0000}"/>
    <cellStyle name="Normal 2 2 2 2 2 6 12 2" xfId="27186" xr:uid="{00000000-0005-0000-0000-0000316A0000}"/>
    <cellStyle name="Normal 2 2 2 2 2 6 12 2 2" xfId="27187" xr:uid="{00000000-0005-0000-0000-0000326A0000}"/>
    <cellStyle name="Normal 2 2 2 2 2 6 12 3" xfId="27188" xr:uid="{00000000-0005-0000-0000-0000336A0000}"/>
    <cellStyle name="Normal 2 2 2 2 2 6 13" xfId="27189" xr:uid="{00000000-0005-0000-0000-0000346A0000}"/>
    <cellStyle name="Normal 2 2 2 2 2 6 13 2" xfId="27190" xr:uid="{00000000-0005-0000-0000-0000356A0000}"/>
    <cellStyle name="Normal 2 2 2 2 2 6 14" xfId="27191" xr:uid="{00000000-0005-0000-0000-0000366A0000}"/>
    <cellStyle name="Normal 2 2 2 2 2 6 2" xfId="27192" xr:uid="{00000000-0005-0000-0000-0000376A0000}"/>
    <cellStyle name="Normal 2 2 2 2 2 6 2 2" xfId="27193" xr:uid="{00000000-0005-0000-0000-0000386A0000}"/>
    <cellStyle name="Normal 2 2 2 2 2 6 2 2 2" xfId="27194" xr:uid="{00000000-0005-0000-0000-0000396A0000}"/>
    <cellStyle name="Normal 2 2 2 2 2 6 2 2 2 2" xfId="27195" xr:uid="{00000000-0005-0000-0000-00003A6A0000}"/>
    <cellStyle name="Normal 2 2 2 2 2 6 2 2 2 2 2" xfId="27196" xr:uid="{00000000-0005-0000-0000-00003B6A0000}"/>
    <cellStyle name="Normal 2 2 2 2 2 6 2 2 2 3" xfId="27197" xr:uid="{00000000-0005-0000-0000-00003C6A0000}"/>
    <cellStyle name="Normal 2 2 2 2 2 6 2 2 3" xfId="27198" xr:uid="{00000000-0005-0000-0000-00003D6A0000}"/>
    <cellStyle name="Normal 2 2 2 2 2 6 2 2 3 2" xfId="27199" xr:uid="{00000000-0005-0000-0000-00003E6A0000}"/>
    <cellStyle name="Normal 2 2 2 2 2 6 2 2 4" xfId="27200" xr:uid="{00000000-0005-0000-0000-00003F6A0000}"/>
    <cellStyle name="Normal 2 2 2 2 2 6 2 3" xfId="27201" xr:uid="{00000000-0005-0000-0000-0000406A0000}"/>
    <cellStyle name="Normal 2 2 2 2 2 6 2 3 2" xfId="27202" xr:uid="{00000000-0005-0000-0000-0000416A0000}"/>
    <cellStyle name="Normal 2 2 2 2 2 6 2 3 2 2" xfId="27203" xr:uid="{00000000-0005-0000-0000-0000426A0000}"/>
    <cellStyle name="Normal 2 2 2 2 2 6 2 3 3" xfId="27204" xr:uid="{00000000-0005-0000-0000-0000436A0000}"/>
    <cellStyle name="Normal 2 2 2 2 2 6 2 4" xfId="27205" xr:uid="{00000000-0005-0000-0000-0000446A0000}"/>
    <cellStyle name="Normal 2 2 2 2 2 6 2 4 2" xfId="27206" xr:uid="{00000000-0005-0000-0000-0000456A0000}"/>
    <cellStyle name="Normal 2 2 2 2 2 6 2 4 2 2" xfId="27207" xr:uid="{00000000-0005-0000-0000-0000466A0000}"/>
    <cellStyle name="Normal 2 2 2 2 2 6 2 4 3" xfId="27208" xr:uid="{00000000-0005-0000-0000-0000476A0000}"/>
    <cellStyle name="Normal 2 2 2 2 2 6 2 5" xfId="27209" xr:uid="{00000000-0005-0000-0000-0000486A0000}"/>
    <cellStyle name="Normal 2 2 2 2 2 6 2 5 2" xfId="27210" xr:uid="{00000000-0005-0000-0000-0000496A0000}"/>
    <cellStyle name="Normal 2 2 2 2 2 6 2 5 2 2" xfId="27211" xr:uid="{00000000-0005-0000-0000-00004A6A0000}"/>
    <cellStyle name="Normal 2 2 2 2 2 6 2 5 3" xfId="27212" xr:uid="{00000000-0005-0000-0000-00004B6A0000}"/>
    <cellStyle name="Normal 2 2 2 2 2 6 2 6" xfId="27213" xr:uid="{00000000-0005-0000-0000-00004C6A0000}"/>
    <cellStyle name="Normal 2 2 2 2 2 6 2 6 2" xfId="27214" xr:uid="{00000000-0005-0000-0000-00004D6A0000}"/>
    <cellStyle name="Normal 2 2 2 2 2 6 2 6 2 2" xfId="27215" xr:uid="{00000000-0005-0000-0000-00004E6A0000}"/>
    <cellStyle name="Normal 2 2 2 2 2 6 2 6 3" xfId="27216" xr:uid="{00000000-0005-0000-0000-00004F6A0000}"/>
    <cellStyle name="Normal 2 2 2 2 2 6 2 7" xfId="27217" xr:uid="{00000000-0005-0000-0000-0000506A0000}"/>
    <cellStyle name="Normal 2 2 2 2 2 6 2 7 2" xfId="27218" xr:uid="{00000000-0005-0000-0000-0000516A0000}"/>
    <cellStyle name="Normal 2 2 2 2 2 6 2 8" xfId="27219" xr:uid="{00000000-0005-0000-0000-0000526A0000}"/>
    <cellStyle name="Normal 2 2 2 2 2 6 3" xfId="27220" xr:uid="{00000000-0005-0000-0000-0000536A0000}"/>
    <cellStyle name="Normal 2 2 2 2 2 6 3 2" xfId="27221" xr:uid="{00000000-0005-0000-0000-0000546A0000}"/>
    <cellStyle name="Normal 2 2 2 2 2 6 3 2 2" xfId="27222" xr:uid="{00000000-0005-0000-0000-0000556A0000}"/>
    <cellStyle name="Normal 2 2 2 2 2 6 3 2 2 2" xfId="27223" xr:uid="{00000000-0005-0000-0000-0000566A0000}"/>
    <cellStyle name="Normal 2 2 2 2 2 6 3 2 2 2 2" xfId="27224" xr:uid="{00000000-0005-0000-0000-0000576A0000}"/>
    <cellStyle name="Normal 2 2 2 2 2 6 3 2 2 3" xfId="27225" xr:uid="{00000000-0005-0000-0000-0000586A0000}"/>
    <cellStyle name="Normal 2 2 2 2 2 6 3 2 3" xfId="27226" xr:uid="{00000000-0005-0000-0000-0000596A0000}"/>
    <cellStyle name="Normal 2 2 2 2 2 6 3 2 3 2" xfId="27227" xr:uid="{00000000-0005-0000-0000-00005A6A0000}"/>
    <cellStyle name="Normal 2 2 2 2 2 6 3 2 4" xfId="27228" xr:uid="{00000000-0005-0000-0000-00005B6A0000}"/>
    <cellStyle name="Normal 2 2 2 2 2 6 3 3" xfId="27229" xr:uid="{00000000-0005-0000-0000-00005C6A0000}"/>
    <cellStyle name="Normal 2 2 2 2 2 6 3 3 2" xfId="27230" xr:uid="{00000000-0005-0000-0000-00005D6A0000}"/>
    <cellStyle name="Normal 2 2 2 2 2 6 3 3 2 2" xfId="27231" xr:uid="{00000000-0005-0000-0000-00005E6A0000}"/>
    <cellStyle name="Normal 2 2 2 2 2 6 3 3 3" xfId="27232" xr:uid="{00000000-0005-0000-0000-00005F6A0000}"/>
    <cellStyle name="Normal 2 2 2 2 2 6 3 4" xfId="27233" xr:uid="{00000000-0005-0000-0000-0000606A0000}"/>
    <cellStyle name="Normal 2 2 2 2 2 6 3 4 2" xfId="27234" xr:uid="{00000000-0005-0000-0000-0000616A0000}"/>
    <cellStyle name="Normal 2 2 2 2 2 6 3 4 2 2" xfId="27235" xr:uid="{00000000-0005-0000-0000-0000626A0000}"/>
    <cellStyle name="Normal 2 2 2 2 2 6 3 4 3" xfId="27236" xr:uid="{00000000-0005-0000-0000-0000636A0000}"/>
    <cellStyle name="Normal 2 2 2 2 2 6 3 5" xfId="27237" xr:uid="{00000000-0005-0000-0000-0000646A0000}"/>
    <cellStyle name="Normal 2 2 2 2 2 6 3 5 2" xfId="27238" xr:uid="{00000000-0005-0000-0000-0000656A0000}"/>
    <cellStyle name="Normal 2 2 2 2 2 6 3 5 2 2" xfId="27239" xr:uid="{00000000-0005-0000-0000-0000666A0000}"/>
    <cellStyle name="Normal 2 2 2 2 2 6 3 5 3" xfId="27240" xr:uid="{00000000-0005-0000-0000-0000676A0000}"/>
    <cellStyle name="Normal 2 2 2 2 2 6 3 6" xfId="27241" xr:uid="{00000000-0005-0000-0000-0000686A0000}"/>
    <cellStyle name="Normal 2 2 2 2 2 6 3 6 2" xfId="27242" xr:uid="{00000000-0005-0000-0000-0000696A0000}"/>
    <cellStyle name="Normal 2 2 2 2 2 6 3 6 2 2" xfId="27243" xr:uid="{00000000-0005-0000-0000-00006A6A0000}"/>
    <cellStyle name="Normal 2 2 2 2 2 6 3 6 3" xfId="27244" xr:uid="{00000000-0005-0000-0000-00006B6A0000}"/>
    <cellStyle name="Normal 2 2 2 2 2 6 3 7" xfId="27245" xr:uid="{00000000-0005-0000-0000-00006C6A0000}"/>
    <cellStyle name="Normal 2 2 2 2 2 6 3 7 2" xfId="27246" xr:uid="{00000000-0005-0000-0000-00006D6A0000}"/>
    <cellStyle name="Normal 2 2 2 2 2 6 3 8" xfId="27247" xr:uid="{00000000-0005-0000-0000-00006E6A0000}"/>
    <cellStyle name="Normal 2 2 2 2 2 6 4" xfId="27248" xr:uid="{00000000-0005-0000-0000-00006F6A0000}"/>
    <cellStyle name="Normal 2 2 2 2 2 6 4 2" xfId="27249" xr:uid="{00000000-0005-0000-0000-0000706A0000}"/>
    <cellStyle name="Normal 2 2 2 2 2 6 4 2 2" xfId="27250" xr:uid="{00000000-0005-0000-0000-0000716A0000}"/>
    <cellStyle name="Normal 2 2 2 2 2 6 4 2 2 2" xfId="27251" xr:uid="{00000000-0005-0000-0000-0000726A0000}"/>
    <cellStyle name="Normal 2 2 2 2 2 6 4 2 2 2 2" xfId="27252" xr:uid="{00000000-0005-0000-0000-0000736A0000}"/>
    <cellStyle name="Normal 2 2 2 2 2 6 4 2 2 3" xfId="27253" xr:uid="{00000000-0005-0000-0000-0000746A0000}"/>
    <cellStyle name="Normal 2 2 2 2 2 6 4 2 3" xfId="27254" xr:uid="{00000000-0005-0000-0000-0000756A0000}"/>
    <cellStyle name="Normal 2 2 2 2 2 6 4 2 3 2" xfId="27255" xr:uid="{00000000-0005-0000-0000-0000766A0000}"/>
    <cellStyle name="Normal 2 2 2 2 2 6 4 2 4" xfId="27256" xr:uid="{00000000-0005-0000-0000-0000776A0000}"/>
    <cellStyle name="Normal 2 2 2 2 2 6 4 3" xfId="27257" xr:uid="{00000000-0005-0000-0000-0000786A0000}"/>
    <cellStyle name="Normal 2 2 2 2 2 6 4 3 2" xfId="27258" xr:uid="{00000000-0005-0000-0000-0000796A0000}"/>
    <cellStyle name="Normal 2 2 2 2 2 6 4 3 2 2" xfId="27259" xr:uid="{00000000-0005-0000-0000-00007A6A0000}"/>
    <cellStyle name="Normal 2 2 2 2 2 6 4 3 3" xfId="27260" xr:uid="{00000000-0005-0000-0000-00007B6A0000}"/>
    <cellStyle name="Normal 2 2 2 2 2 6 4 4" xfId="27261" xr:uid="{00000000-0005-0000-0000-00007C6A0000}"/>
    <cellStyle name="Normal 2 2 2 2 2 6 4 4 2" xfId="27262" xr:uid="{00000000-0005-0000-0000-00007D6A0000}"/>
    <cellStyle name="Normal 2 2 2 2 2 6 4 4 2 2" xfId="27263" xr:uid="{00000000-0005-0000-0000-00007E6A0000}"/>
    <cellStyle name="Normal 2 2 2 2 2 6 4 4 3" xfId="27264" xr:uid="{00000000-0005-0000-0000-00007F6A0000}"/>
    <cellStyle name="Normal 2 2 2 2 2 6 4 5" xfId="27265" xr:uid="{00000000-0005-0000-0000-0000806A0000}"/>
    <cellStyle name="Normal 2 2 2 2 2 6 4 5 2" xfId="27266" xr:uid="{00000000-0005-0000-0000-0000816A0000}"/>
    <cellStyle name="Normal 2 2 2 2 2 6 4 5 2 2" xfId="27267" xr:uid="{00000000-0005-0000-0000-0000826A0000}"/>
    <cellStyle name="Normal 2 2 2 2 2 6 4 5 3" xfId="27268" xr:uid="{00000000-0005-0000-0000-0000836A0000}"/>
    <cellStyle name="Normal 2 2 2 2 2 6 4 6" xfId="27269" xr:uid="{00000000-0005-0000-0000-0000846A0000}"/>
    <cellStyle name="Normal 2 2 2 2 2 6 4 6 2" xfId="27270" xr:uid="{00000000-0005-0000-0000-0000856A0000}"/>
    <cellStyle name="Normal 2 2 2 2 2 6 4 6 2 2" xfId="27271" xr:uid="{00000000-0005-0000-0000-0000866A0000}"/>
    <cellStyle name="Normal 2 2 2 2 2 6 4 6 3" xfId="27272" xr:uid="{00000000-0005-0000-0000-0000876A0000}"/>
    <cellStyle name="Normal 2 2 2 2 2 6 4 7" xfId="27273" xr:uid="{00000000-0005-0000-0000-0000886A0000}"/>
    <cellStyle name="Normal 2 2 2 2 2 6 4 7 2" xfId="27274" xr:uid="{00000000-0005-0000-0000-0000896A0000}"/>
    <cellStyle name="Normal 2 2 2 2 2 6 4 8" xfId="27275" xr:uid="{00000000-0005-0000-0000-00008A6A0000}"/>
    <cellStyle name="Normal 2 2 2 2 2 6 5" xfId="27276" xr:uid="{00000000-0005-0000-0000-00008B6A0000}"/>
    <cellStyle name="Normal 2 2 2 2 2 6 5 2" xfId="27277" xr:uid="{00000000-0005-0000-0000-00008C6A0000}"/>
    <cellStyle name="Normal 2 2 2 2 2 6 5 2 2" xfId="27278" xr:uid="{00000000-0005-0000-0000-00008D6A0000}"/>
    <cellStyle name="Normal 2 2 2 2 2 6 5 2 2 2" xfId="27279" xr:uid="{00000000-0005-0000-0000-00008E6A0000}"/>
    <cellStyle name="Normal 2 2 2 2 2 6 5 2 2 2 2" xfId="27280" xr:uid="{00000000-0005-0000-0000-00008F6A0000}"/>
    <cellStyle name="Normal 2 2 2 2 2 6 5 2 2 3" xfId="27281" xr:uid="{00000000-0005-0000-0000-0000906A0000}"/>
    <cellStyle name="Normal 2 2 2 2 2 6 5 2 3" xfId="27282" xr:uid="{00000000-0005-0000-0000-0000916A0000}"/>
    <cellStyle name="Normal 2 2 2 2 2 6 5 2 3 2" xfId="27283" xr:uid="{00000000-0005-0000-0000-0000926A0000}"/>
    <cellStyle name="Normal 2 2 2 2 2 6 5 2 4" xfId="27284" xr:uid="{00000000-0005-0000-0000-0000936A0000}"/>
    <cellStyle name="Normal 2 2 2 2 2 6 5 3" xfId="27285" xr:uid="{00000000-0005-0000-0000-0000946A0000}"/>
    <cellStyle name="Normal 2 2 2 2 2 6 5 3 2" xfId="27286" xr:uid="{00000000-0005-0000-0000-0000956A0000}"/>
    <cellStyle name="Normal 2 2 2 2 2 6 5 3 2 2" xfId="27287" xr:uid="{00000000-0005-0000-0000-0000966A0000}"/>
    <cellStyle name="Normal 2 2 2 2 2 6 5 3 3" xfId="27288" xr:uid="{00000000-0005-0000-0000-0000976A0000}"/>
    <cellStyle name="Normal 2 2 2 2 2 6 5 4" xfId="27289" xr:uid="{00000000-0005-0000-0000-0000986A0000}"/>
    <cellStyle name="Normal 2 2 2 2 2 6 5 4 2" xfId="27290" xr:uid="{00000000-0005-0000-0000-0000996A0000}"/>
    <cellStyle name="Normal 2 2 2 2 2 6 5 5" xfId="27291" xr:uid="{00000000-0005-0000-0000-00009A6A0000}"/>
    <cellStyle name="Normal 2 2 2 2 2 6 6" xfId="27292" xr:uid="{00000000-0005-0000-0000-00009B6A0000}"/>
    <cellStyle name="Normal 2 2 2 2 2 6 6 2" xfId="27293" xr:uid="{00000000-0005-0000-0000-00009C6A0000}"/>
    <cellStyle name="Normal 2 2 2 2 2 6 6 2 2" xfId="27294" xr:uid="{00000000-0005-0000-0000-00009D6A0000}"/>
    <cellStyle name="Normal 2 2 2 2 2 6 6 2 2 2" xfId="27295" xr:uid="{00000000-0005-0000-0000-00009E6A0000}"/>
    <cellStyle name="Normal 2 2 2 2 2 6 6 2 2 2 2" xfId="27296" xr:uid="{00000000-0005-0000-0000-00009F6A0000}"/>
    <cellStyle name="Normal 2 2 2 2 2 6 6 2 2 3" xfId="27297" xr:uid="{00000000-0005-0000-0000-0000A06A0000}"/>
    <cellStyle name="Normal 2 2 2 2 2 6 6 2 3" xfId="27298" xr:uid="{00000000-0005-0000-0000-0000A16A0000}"/>
    <cellStyle name="Normal 2 2 2 2 2 6 6 2 3 2" xfId="27299" xr:uid="{00000000-0005-0000-0000-0000A26A0000}"/>
    <cellStyle name="Normal 2 2 2 2 2 6 6 2 4" xfId="27300" xr:uid="{00000000-0005-0000-0000-0000A36A0000}"/>
    <cellStyle name="Normal 2 2 2 2 2 6 6 3" xfId="27301" xr:uid="{00000000-0005-0000-0000-0000A46A0000}"/>
    <cellStyle name="Normal 2 2 2 2 2 6 6 3 2" xfId="27302" xr:uid="{00000000-0005-0000-0000-0000A56A0000}"/>
    <cellStyle name="Normal 2 2 2 2 2 6 6 3 2 2" xfId="27303" xr:uid="{00000000-0005-0000-0000-0000A66A0000}"/>
    <cellStyle name="Normal 2 2 2 2 2 6 6 3 3" xfId="27304" xr:uid="{00000000-0005-0000-0000-0000A76A0000}"/>
    <cellStyle name="Normal 2 2 2 2 2 6 6 4" xfId="27305" xr:uid="{00000000-0005-0000-0000-0000A86A0000}"/>
    <cellStyle name="Normal 2 2 2 2 2 6 6 4 2" xfId="27306" xr:uid="{00000000-0005-0000-0000-0000A96A0000}"/>
    <cellStyle name="Normal 2 2 2 2 2 6 6 5" xfId="27307" xr:uid="{00000000-0005-0000-0000-0000AA6A0000}"/>
    <cellStyle name="Normal 2 2 2 2 2 6 7" xfId="27308" xr:uid="{00000000-0005-0000-0000-0000AB6A0000}"/>
    <cellStyle name="Normal 2 2 2 2 2 6 7 2" xfId="27309" xr:uid="{00000000-0005-0000-0000-0000AC6A0000}"/>
    <cellStyle name="Normal 2 2 2 2 2 6 7 2 2" xfId="27310" xr:uid="{00000000-0005-0000-0000-0000AD6A0000}"/>
    <cellStyle name="Normal 2 2 2 2 2 6 7 2 2 2" xfId="27311" xr:uid="{00000000-0005-0000-0000-0000AE6A0000}"/>
    <cellStyle name="Normal 2 2 2 2 2 6 7 2 3" xfId="27312" xr:uid="{00000000-0005-0000-0000-0000AF6A0000}"/>
    <cellStyle name="Normal 2 2 2 2 2 6 7 3" xfId="27313" xr:uid="{00000000-0005-0000-0000-0000B06A0000}"/>
    <cellStyle name="Normal 2 2 2 2 2 6 7 3 2" xfId="27314" xr:uid="{00000000-0005-0000-0000-0000B16A0000}"/>
    <cellStyle name="Normal 2 2 2 2 2 6 7 4" xfId="27315" xr:uid="{00000000-0005-0000-0000-0000B26A0000}"/>
    <cellStyle name="Normal 2 2 2 2 2 6 8" xfId="27316" xr:uid="{00000000-0005-0000-0000-0000B36A0000}"/>
    <cellStyle name="Normal 2 2 2 2 2 6 8 2" xfId="27317" xr:uid="{00000000-0005-0000-0000-0000B46A0000}"/>
    <cellStyle name="Normal 2 2 2 2 2 6 8 2 2" xfId="27318" xr:uid="{00000000-0005-0000-0000-0000B56A0000}"/>
    <cellStyle name="Normal 2 2 2 2 2 6 8 2 2 2" xfId="27319" xr:uid="{00000000-0005-0000-0000-0000B66A0000}"/>
    <cellStyle name="Normal 2 2 2 2 2 6 8 2 3" xfId="27320" xr:uid="{00000000-0005-0000-0000-0000B76A0000}"/>
    <cellStyle name="Normal 2 2 2 2 2 6 8 3" xfId="27321" xr:uid="{00000000-0005-0000-0000-0000B86A0000}"/>
    <cellStyle name="Normal 2 2 2 2 2 6 8 3 2" xfId="27322" xr:uid="{00000000-0005-0000-0000-0000B96A0000}"/>
    <cellStyle name="Normal 2 2 2 2 2 6 8 4" xfId="27323" xr:uid="{00000000-0005-0000-0000-0000BA6A0000}"/>
    <cellStyle name="Normal 2 2 2 2 2 6 9" xfId="27324" xr:uid="{00000000-0005-0000-0000-0000BB6A0000}"/>
    <cellStyle name="Normal 2 2 2 2 2 6 9 2" xfId="27325" xr:uid="{00000000-0005-0000-0000-0000BC6A0000}"/>
    <cellStyle name="Normal 2 2 2 2 2 6 9 2 2" xfId="27326" xr:uid="{00000000-0005-0000-0000-0000BD6A0000}"/>
    <cellStyle name="Normal 2 2 2 2 2 6 9 3" xfId="27327" xr:uid="{00000000-0005-0000-0000-0000BE6A0000}"/>
    <cellStyle name="Normal 2 2 2 2 2 7" xfId="27328" xr:uid="{00000000-0005-0000-0000-0000BF6A0000}"/>
    <cellStyle name="Normal 2 2 2 2 2 7 10" xfId="27329" xr:uid="{00000000-0005-0000-0000-0000C06A0000}"/>
    <cellStyle name="Normal 2 2 2 2 2 7 10 2" xfId="27330" xr:uid="{00000000-0005-0000-0000-0000C16A0000}"/>
    <cellStyle name="Normal 2 2 2 2 2 7 10 2 2" xfId="27331" xr:uid="{00000000-0005-0000-0000-0000C26A0000}"/>
    <cellStyle name="Normal 2 2 2 2 2 7 10 3" xfId="27332" xr:uid="{00000000-0005-0000-0000-0000C36A0000}"/>
    <cellStyle name="Normal 2 2 2 2 2 7 11" xfId="27333" xr:uid="{00000000-0005-0000-0000-0000C46A0000}"/>
    <cellStyle name="Normal 2 2 2 2 2 7 11 2" xfId="27334" xr:uid="{00000000-0005-0000-0000-0000C56A0000}"/>
    <cellStyle name="Normal 2 2 2 2 2 7 11 2 2" xfId="27335" xr:uid="{00000000-0005-0000-0000-0000C66A0000}"/>
    <cellStyle name="Normal 2 2 2 2 2 7 11 3" xfId="27336" xr:uid="{00000000-0005-0000-0000-0000C76A0000}"/>
    <cellStyle name="Normal 2 2 2 2 2 7 12" xfId="27337" xr:uid="{00000000-0005-0000-0000-0000C86A0000}"/>
    <cellStyle name="Normal 2 2 2 2 2 7 12 2" xfId="27338" xr:uid="{00000000-0005-0000-0000-0000C96A0000}"/>
    <cellStyle name="Normal 2 2 2 2 2 7 12 2 2" xfId="27339" xr:uid="{00000000-0005-0000-0000-0000CA6A0000}"/>
    <cellStyle name="Normal 2 2 2 2 2 7 12 3" xfId="27340" xr:uid="{00000000-0005-0000-0000-0000CB6A0000}"/>
    <cellStyle name="Normal 2 2 2 2 2 7 13" xfId="27341" xr:uid="{00000000-0005-0000-0000-0000CC6A0000}"/>
    <cellStyle name="Normal 2 2 2 2 2 7 13 2" xfId="27342" xr:uid="{00000000-0005-0000-0000-0000CD6A0000}"/>
    <cellStyle name="Normal 2 2 2 2 2 7 14" xfId="27343" xr:uid="{00000000-0005-0000-0000-0000CE6A0000}"/>
    <cellStyle name="Normal 2 2 2 2 2 7 2" xfId="27344" xr:uid="{00000000-0005-0000-0000-0000CF6A0000}"/>
    <cellStyle name="Normal 2 2 2 2 2 7 2 2" xfId="27345" xr:uid="{00000000-0005-0000-0000-0000D06A0000}"/>
    <cellStyle name="Normal 2 2 2 2 2 7 2 2 2" xfId="27346" xr:uid="{00000000-0005-0000-0000-0000D16A0000}"/>
    <cellStyle name="Normal 2 2 2 2 2 7 2 2 2 2" xfId="27347" xr:uid="{00000000-0005-0000-0000-0000D26A0000}"/>
    <cellStyle name="Normal 2 2 2 2 2 7 2 2 2 2 2" xfId="27348" xr:uid="{00000000-0005-0000-0000-0000D36A0000}"/>
    <cellStyle name="Normal 2 2 2 2 2 7 2 2 2 3" xfId="27349" xr:uid="{00000000-0005-0000-0000-0000D46A0000}"/>
    <cellStyle name="Normal 2 2 2 2 2 7 2 2 3" xfId="27350" xr:uid="{00000000-0005-0000-0000-0000D56A0000}"/>
    <cellStyle name="Normal 2 2 2 2 2 7 2 2 3 2" xfId="27351" xr:uid="{00000000-0005-0000-0000-0000D66A0000}"/>
    <cellStyle name="Normal 2 2 2 2 2 7 2 2 4" xfId="27352" xr:uid="{00000000-0005-0000-0000-0000D76A0000}"/>
    <cellStyle name="Normal 2 2 2 2 2 7 2 3" xfId="27353" xr:uid="{00000000-0005-0000-0000-0000D86A0000}"/>
    <cellStyle name="Normal 2 2 2 2 2 7 2 3 2" xfId="27354" xr:uid="{00000000-0005-0000-0000-0000D96A0000}"/>
    <cellStyle name="Normal 2 2 2 2 2 7 2 3 2 2" xfId="27355" xr:uid="{00000000-0005-0000-0000-0000DA6A0000}"/>
    <cellStyle name="Normal 2 2 2 2 2 7 2 3 3" xfId="27356" xr:uid="{00000000-0005-0000-0000-0000DB6A0000}"/>
    <cellStyle name="Normal 2 2 2 2 2 7 2 4" xfId="27357" xr:uid="{00000000-0005-0000-0000-0000DC6A0000}"/>
    <cellStyle name="Normal 2 2 2 2 2 7 2 4 2" xfId="27358" xr:uid="{00000000-0005-0000-0000-0000DD6A0000}"/>
    <cellStyle name="Normal 2 2 2 2 2 7 2 4 2 2" xfId="27359" xr:uid="{00000000-0005-0000-0000-0000DE6A0000}"/>
    <cellStyle name="Normal 2 2 2 2 2 7 2 4 3" xfId="27360" xr:uid="{00000000-0005-0000-0000-0000DF6A0000}"/>
    <cellStyle name="Normal 2 2 2 2 2 7 2 5" xfId="27361" xr:uid="{00000000-0005-0000-0000-0000E06A0000}"/>
    <cellStyle name="Normal 2 2 2 2 2 7 2 5 2" xfId="27362" xr:uid="{00000000-0005-0000-0000-0000E16A0000}"/>
    <cellStyle name="Normal 2 2 2 2 2 7 2 5 2 2" xfId="27363" xr:uid="{00000000-0005-0000-0000-0000E26A0000}"/>
    <cellStyle name="Normal 2 2 2 2 2 7 2 5 3" xfId="27364" xr:uid="{00000000-0005-0000-0000-0000E36A0000}"/>
    <cellStyle name="Normal 2 2 2 2 2 7 2 6" xfId="27365" xr:uid="{00000000-0005-0000-0000-0000E46A0000}"/>
    <cellStyle name="Normal 2 2 2 2 2 7 2 6 2" xfId="27366" xr:uid="{00000000-0005-0000-0000-0000E56A0000}"/>
    <cellStyle name="Normal 2 2 2 2 2 7 2 6 2 2" xfId="27367" xr:uid="{00000000-0005-0000-0000-0000E66A0000}"/>
    <cellStyle name="Normal 2 2 2 2 2 7 2 6 3" xfId="27368" xr:uid="{00000000-0005-0000-0000-0000E76A0000}"/>
    <cellStyle name="Normal 2 2 2 2 2 7 2 7" xfId="27369" xr:uid="{00000000-0005-0000-0000-0000E86A0000}"/>
    <cellStyle name="Normal 2 2 2 2 2 7 2 7 2" xfId="27370" xr:uid="{00000000-0005-0000-0000-0000E96A0000}"/>
    <cellStyle name="Normal 2 2 2 2 2 7 2 8" xfId="27371" xr:uid="{00000000-0005-0000-0000-0000EA6A0000}"/>
    <cellStyle name="Normal 2 2 2 2 2 7 3" xfId="27372" xr:uid="{00000000-0005-0000-0000-0000EB6A0000}"/>
    <cellStyle name="Normal 2 2 2 2 2 7 3 2" xfId="27373" xr:uid="{00000000-0005-0000-0000-0000EC6A0000}"/>
    <cellStyle name="Normal 2 2 2 2 2 7 3 2 2" xfId="27374" xr:uid="{00000000-0005-0000-0000-0000ED6A0000}"/>
    <cellStyle name="Normal 2 2 2 2 2 7 3 2 2 2" xfId="27375" xr:uid="{00000000-0005-0000-0000-0000EE6A0000}"/>
    <cellStyle name="Normal 2 2 2 2 2 7 3 2 2 2 2" xfId="27376" xr:uid="{00000000-0005-0000-0000-0000EF6A0000}"/>
    <cellStyle name="Normal 2 2 2 2 2 7 3 2 2 3" xfId="27377" xr:uid="{00000000-0005-0000-0000-0000F06A0000}"/>
    <cellStyle name="Normal 2 2 2 2 2 7 3 2 3" xfId="27378" xr:uid="{00000000-0005-0000-0000-0000F16A0000}"/>
    <cellStyle name="Normal 2 2 2 2 2 7 3 2 3 2" xfId="27379" xr:uid="{00000000-0005-0000-0000-0000F26A0000}"/>
    <cellStyle name="Normal 2 2 2 2 2 7 3 2 4" xfId="27380" xr:uid="{00000000-0005-0000-0000-0000F36A0000}"/>
    <cellStyle name="Normal 2 2 2 2 2 7 3 3" xfId="27381" xr:uid="{00000000-0005-0000-0000-0000F46A0000}"/>
    <cellStyle name="Normal 2 2 2 2 2 7 3 3 2" xfId="27382" xr:uid="{00000000-0005-0000-0000-0000F56A0000}"/>
    <cellStyle name="Normal 2 2 2 2 2 7 3 3 2 2" xfId="27383" xr:uid="{00000000-0005-0000-0000-0000F66A0000}"/>
    <cellStyle name="Normal 2 2 2 2 2 7 3 3 3" xfId="27384" xr:uid="{00000000-0005-0000-0000-0000F76A0000}"/>
    <cellStyle name="Normal 2 2 2 2 2 7 3 4" xfId="27385" xr:uid="{00000000-0005-0000-0000-0000F86A0000}"/>
    <cellStyle name="Normal 2 2 2 2 2 7 3 4 2" xfId="27386" xr:uid="{00000000-0005-0000-0000-0000F96A0000}"/>
    <cellStyle name="Normal 2 2 2 2 2 7 3 4 2 2" xfId="27387" xr:uid="{00000000-0005-0000-0000-0000FA6A0000}"/>
    <cellStyle name="Normal 2 2 2 2 2 7 3 4 3" xfId="27388" xr:uid="{00000000-0005-0000-0000-0000FB6A0000}"/>
    <cellStyle name="Normal 2 2 2 2 2 7 3 5" xfId="27389" xr:uid="{00000000-0005-0000-0000-0000FC6A0000}"/>
    <cellStyle name="Normal 2 2 2 2 2 7 3 5 2" xfId="27390" xr:uid="{00000000-0005-0000-0000-0000FD6A0000}"/>
    <cellStyle name="Normal 2 2 2 2 2 7 3 5 2 2" xfId="27391" xr:uid="{00000000-0005-0000-0000-0000FE6A0000}"/>
    <cellStyle name="Normal 2 2 2 2 2 7 3 5 3" xfId="27392" xr:uid="{00000000-0005-0000-0000-0000FF6A0000}"/>
    <cellStyle name="Normal 2 2 2 2 2 7 3 6" xfId="27393" xr:uid="{00000000-0005-0000-0000-0000006B0000}"/>
    <cellStyle name="Normal 2 2 2 2 2 7 3 6 2" xfId="27394" xr:uid="{00000000-0005-0000-0000-0000016B0000}"/>
    <cellStyle name="Normal 2 2 2 2 2 7 3 6 2 2" xfId="27395" xr:uid="{00000000-0005-0000-0000-0000026B0000}"/>
    <cellStyle name="Normal 2 2 2 2 2 7 3 6 3" xfId="27396" xr:uid="{00000000-0005-0000-0000-0000036B0000}"/>
    <cellStyle name="Normal 2 2 2 2 2 7 3 7" xfId="27397" xr:uid="{00000000-0005-0000-0000-0000046B0000}"/>
    <cellStyle name="Normal 2 2 2 2 2 7 3 7 2" xfId="27398" xr:uid="{00000000-0005-0000-0000-0000056B0000}"/>
    <cellStyle name="Normal 2 2 2 2 2 7 3 8" xfId="27399" xr:uid="{00000000-0005-0000-0000-0000066B0000}"/>
    <cellStyle name="Normal 2 2 2 2 2 7 4" xfId="27400" xr:uid="{00000000-0005-0000-0000-0000076B0000}"/>
    <cellStyle name="Normal 2 2 2 2 2 7 4 2" xfId="27401" xr:uid="{00000000-0005-0000-0000-0000086B0000}"/>
    <cellStyle name="Normal 2 2 2 2 2 7 4 2 2" xfId="27402" xr:uid="{00000000-0005-0000-0000-0000096B0000}"/>
    <cellStyle name="Normal 2 2 2 2 2 7 4 2 2 2" xfId="27403" xr:uid="{00000000-0005-0000-0000-00000A6B0000}"/>
    <cellStyle name="Normal 2 2 2 2 2 7 4 2 2 2 2" xfId="27404" xr:uid="{00000000-0005-0000-0000-00000B6B0000}"/>
    <cellStyle name="Normal 2 2 2 2 2 7 4 2 2 3" xfId="27405" xr:uid="{00000000-0005-0000-0000-00000C6B0000}"/>
    <cellStyle name="Normal 2 2 2 2 2 7 4 2 3" xfId="27406" xr:uid="{00000000-0005-0000-0000-00000D6B0000}"/>
    <cellStyle name="Normal 2 2 2 2 2 7 4 2 3 2" xfId="27407" xr:uid="{00000000-0005-0000-0000-00000E6B0000}"/>
    <cellStyle name="Normal 2 2 2 2 2 7 4 2 4" xfId="27408" xr:uid="{00000000-0005-0000-0000-00000F6B0000}"/>
    <cellStyle name="Normal 2 2 2 2 2 7 4 3" xfId="27409" xr:uid="{00000000-0005-0000-0000-0000106B0000}"/>
    <cellStyle name="Normal 2 2 2 2 2 7 4 3 2" xfId="27410" xr:uid="{00000000-0005-0000-0000-0000116B0000}"/>
    <cellStyle name="Normal 2 2 2 2 2 7 4 3 2 2" xfId="27411" xr:uid="{00000000-0005-0000-0000-0000126B0000}"/>
    <cellStyle name="Normal 2 2 2 2 2 7 4 3 3" xfId="27412" xr:uid="{00000000-0005-0000-0000-0000136B0000}"/>
    <cellStyle name="Normal 2 2 2 2 2 7 4 4" xfId="27413" xr:uid="{00000000-0005-0000-0000-0000146B0000}"/>
    <cellStyle name="Normal 2 2 2 2 2 7 4 4 2" xfId="27414" xr:uid="{00000000-0005-0000-0000-0000156B0000}"/>
    <cellStyle name="Normal 2 2 2 2 2 7 4 4 2 2" xfId="27415" xr:uid="{00000000-0005-0000-0000-0000166B0000}"/>
    <cellStyle name="Normal 2 2 2 2 2 7 4 4 3" xfId="27416" xr:uid="{00000000-0005-0000-0000-0000176B0000}"/>
    <cellStyle name="Normal 2 2 2 2 2 7 4 5" xfId="27417" xr:uid="{00000000-0005-0000-0000-0000186B0000}"/>
    <cellStyle name="Normal 2 2 2 2 2 7 4 5 2" xfId="27418" xr:uid="{00000000-0005-0000-0000-0000196B0000}"/>
    <cellStyle name="Normal 2 2 2 2 2 7 4 5 2 2" xfId="27419" xr:uid="{00000000-0005-0000-0000-00001A6B0000}"/>
    <cellStyle name="Normal 2 2 2 2 2 7 4 5 3" xfId="27420" xr:uid="{00000000-0005-0000-0000-00001B6B0000}"/>
    <cellStyle name="Normal 2 2 2 2 2 7 4 6" xfId="27421" xr:uid="{00000000-0005-0000-0000-00001C6B0000}"/>
    <cellStyle name="Normal 2 2 2 2 2 7 4 6 2" xfId="27422" xr:uid="{00000000-0005-0000-0000-00001D6B0000}"/>
    <cellStyle name="Normal 2 2 2 2 2 7 4 6 2 2" xfId="27423" xr:uid="{00000000-0005-0000-0000-00001E6B0000}"/>
    <cellStyle name="Normal 2 2 2 2 2 7 4 6 3" xfId="27424" xr:uid="{00000000-0005-0000-0000-00001F6B0000}"/>
    <cellStyle name="Normal 2 2 2 2 2 7 4 7" xfId="27425" xr:uid="{00000000-0005-0000-0000-0000206B0000}"/>
    <cellStyle name="Normal 2 2 2 2 2 7 4 7 2" xfId="27426" xr:uid="{00000000-0005-0000-0000-0000216B0000}"/>
    <cellStyle name="Normal 2 2 2 2 2 7 4 8" xfId="27427" xr:uid="{00000000-0005-0000-0000-0000226B0000}"/>
    <cellStyle name="Normal 2 2 2 2 2 7 5" xfId="27428" xr:uid="{00000000-0005-0000-0000-0000236B0000}"/>
    <cellStyle name="Normal 2 2 2 2 2 7 5 2" xfId="27429" xr:uid="{00000000-0005-0000-0000-0000246B0000}"/>
    <cellStyle name="Normal 2 2 2 2 2 7 5 2 2" xfId="27430" xr:uid="{00000000-0005-0000-0000-0000256B0000}"/>
    <cellStyle name="Normal 2 2 2 2 2 7 5 2 2 2" xfId="27431" xr:uid="{00000000-0005-0000-0000-0000266B0000}"/>
    <cellStyle name="Normal 2 2 2 2 2 7 5 2 2 2 2" xfId="27432" xr:uid="{00000000-0005-0000-0000-0000276B0000}"/>
    <cellStyle name="Normal 2 2 2 2 2 7 5 2 2 3" xfId="27433" xr:uid="{00000000-0005-0000-0000-0000286B0000}"/>
    <cellStyle name="Normal 2 2 2 2 2 7 5 2 3" xfId="27434" xr:uid="{00000000-0005-0000-0000-0000296B0000}"/>
    <cellStyle name="Normal 2 2 2 2 2 7 5 2 3 2" xfId="27435" xr:uid="{00000000-0005-0000-0000-00002A6B0000}"/>
    <cellStyle name="Normal 2 2 2 2 2 7 5 2 4" xfId="27436" xr:uid="{00000000-0005-0000-0000-00002B6B0000}"/>
    <cellStyle name="Normal 2 2 2 2 2 7 5 3" xfId="27437" xr:uid="{00000000-0005-0000-0000-00002C6B0000}"/>
    <cellStyle name="Normal 2 2 2 2 2 7 5 3 2" xfId="27438" xr:uid="{00000000-0005-0000-0000-00002D6B0000}"/>
    <cellStyle name="Normal 2 2 2 2 2 7 5 3 2 2" xfId="27439" xr:uid="{00000000-0005-0000-0000-00002E6B0000}"/>
    <cellStyle name="Normal 2 2 2 2 2 7 5 3 3" xfId="27440" xr:uid="{00000000-0005-0000-0000-00002F6B0000}"/>
    <cellStyle name="Normal 2 2 2 2 2 7 5 4" xfId="27441" xr:uid="{00000000-0005-0000-0000-0000306B0000}"/>
    <cellStyle name="Normal 2 2 2 2 2 7 5 4 2" xfId="27442" xr:uid="{00000000-0005-0000-0000-0000316B0000}"/>
    <cellStyle name="Normal 2 2 2 2 2 7 5 5" xfId="27443" xr:uid="{00000000-0005-0000-0000-0000326B0000}"/>
    <cellStyle name="Normal 2 2 2 2 2 7 6" xfId="27444" xr:uid="{00000000-0005-0000-0000-0000336B0000}"/>
    <cellStyle name="Normal 2 2 2 2 2 7 6 2" xfId="27445" xr:uid="{00000000-0005-0000-0000-0000346B0000}"/>
    <cellStyle name="Normal 2 2 2 2 2 7 6 2 2" xfId="27446" xr:uid="{00000000-0005-0000-0000-0000356B0000}"/>
    <cellStyle name="Normal 2 2 2 2 2 7 6 2 2 2" xfId="27447" xr:uid="{00000000-0005-0000-0000-0000366B0000}"/>
    <cellStyle name="Normal 2 2 2 2 2 7 6 2 2 2 2" xfId="27448" xr:uid="{00000000-0005-0000-0000-0000376B0000}"/>
    <cellStyle name="Normal 2 2 2 2 2 7 6 2 2 3" xfId="27449" xr:uid="{00000000-0005-0000-0000-0000386B0000}"/>
    <cellStyle name="Normal 2 2 2 2 2 7 6 2 3" xfId="27450" xr:uid="{00000000-0005-0000-0000-0000396B0000}"/>
    <cellStyle name="Normal 2 2 2 2 2 7 6 2 3 2" xfId="27451" xr:uid="{00000000-0005-0000-0000-00003A6B0000}"/>
    <cellStyle name="Normal 2 2 2 2 2 7 6 2 4" xfId="27452" xr:uid="{00000000-0005-0000-0000-00003B6B0000}"/>
    <cellStyle name="Normal 2 2 2 2 2 7 6 3" xfId="27453" xr:uid="{00000000-0005-0000-0000-00003C6B0000}"/>
    <cellStyle name="Normal 2 2 2 2 2 7 6 3 2" xfId="27454" xr:uid="{00000000-0005-0000-0000-00003D6B0000}"/>
    <cellStyle name="Normal 2 2 2 2 2 7 6 3 2 2" xfId="27455" xr:uid="{00000000-0005-0000-0000-00003E6B0000}"/>
    <cellStyle name="Normal 2 2 2 2 2 7 6 3 3" xfId="27456" xr:uid="{00000000-0005-0000-0000-00003F6B0000}"/>
    <cellStyle name="Normal 2 2 2 2 2 7 6 4" xfId="27457" xr:uid="{00000000-0005-0000-0000-0000406B0000}"/>
    <cellStyle name="Normal 2 2 2 2 2 7 6 4 2" xfId="27458" xr:uid="{00000000-0005-0000-0000-0000416B0000}"/>
    <cellStyle name="Normal 2 2 2 2 2 7 6 5" xfId="27459" xr:uid="{00000000-0005-0000-0000-0000426B0000}"/>
    <cellStyle name="Normal 2 2 2 2 2 7 7" xfId="27460" xr:uid="{00000000-0005-0000-0000-0000436B0000}"/>
    <cellStyle name="Normal 2 2 2 2 2 7 7 2" xfId="27461" xr:uid="{00000000-0005-0000-0000-0000446B0000}"/>
    <cellStyle name="Normal 2 2 2 2 2 7 7 2 2" xfId="27462" xr:uid="{00000000-0005-0000-0000-0000456B0000}"/>
    <cellStyle name="Normal 2 2 2 2 2 7 7 2 2 2" xfId="27463" xr:uid="{00000000-0005-0000-0000-0000466B0000}"/>
    <cellStyle name="Normal 2 2 2 2 2 7 7 2 3" xfId="27464" xr:uid="{00000000-0005-0000-0000-0000476B0000}"/>
    <cellStyle name="Normal 2 2 2 2 2 7 7 3" xfId="27465" xr:uid="{00000000-0005-0000-0000-0000486B0000}"/>
    <cellStyle name="Normal 2 2 2 2 2 7 7 3 2" xfId="27466" xr:uid="{00000000-0005-0000-0000-0000496B0000}"/>
    <cellStyle name="Normal 2 2 2 2 2 7 7 4" xfId="27467" xr:uid="{00000000-0005-0000-0000-00004A6B0000}"/>
    <cellStyle name="Normal 2 2 2 2 2 7 8" xfId="27468" xr:uid="{00000000-0005-0000-0000-00004B6B0000}"/>
    <cellStyle name="Normal 2 2 2 2 2 7 8 2" xfId="27469" xr:uid="{00000000-0005-0000-0000-00004C6B0000}"/>
    <cellStyle name="Normal 2 2 2 2 2 7 8 2 2" xfId="27470" xr:uid="{00000000-0005-0000-0000-00004D6B0000}"/>
    <cellStyle name="Normal 2 2 2 2 2 7 8 2 2 2" xfId="27471" xr:uid="{00000000-0005-0000-0000-00004E6B0000}"/>
    <cellStyle name="Normal 2 2 2 2 2 7 8 2 3" xfId="27472" xr:uid="{00000000-0005-0000-0000-00004F6B0000}"/>
    <cellStyle name="Normal 2 2 2 2 2 7 8 3" xfId="27473" xr:uid="{00000000-0005-0000-0000-0000506B0000}"/>
    <cellStyle name="Normal 2 2 2 2 2 7 8 3 2" xfId="27474" xr:uid="{00000000-0005-0000-0000-0000516B0000}"/>
    <cellStyle name="Normal 2 2 2 2 2 7 8 4" xfId="27475" xr:uid="{00000000-0005-0000-0000-0000526B0000}"/>
    <cellStyle name="Normal 2 2 2 2 2 7 9" xfId="27476" xr:uid="{00000000-0005-0000-0000-0000536B0000}"/>
    <cellStyle name="Normal 2 2 2 2 2 7 9 2" xfId="27477" xr:uid="{00000000-0005-0000-0000-0000546B0000}"/>
    <cellStyle name="Normal 2 2 2 2 2 7 9 2 2" xfId="27478" xr:uid="{00000000-0005-0000-0000-0000556B0000}"/>
    <cellStyle name="Normal 2 2 2 2 2 7 9 3" xfId="27479" xr:uid="{00000000-0005-0000-0000-0000566B0000}"/>
    <cellStyle name="Normal 2 2 2 2 2 8" xfId="27480" xr:uid="{00000000-0005-0000-0000-0000576B0000}"/>
    <cellStyle name="Normal 2 2 2 2 2 8 2" xfId="27481" xr:uid="{00000000-0005-0000-0000-0000586B0000}"/>
    <cellStyle name="Normal 2 2 2 2 2 8 2 2" xfId="27482" xr:uid="{00000000-0005-0000-0000-0000596B0000}"/>
    <cellStyle name="Normal 2 2 2 2 2 8 2 2 2" xfId="27483" xr:uid="{00000000-0005-0000-0000-00005A6B0000}"/>
    <cellStyle name="Normal 2 2 2 2 2 8 2 2 2 2" xfId="27484" xr:uid="{00000000-0005-0000-0000-00005B6B0000}"/>
    <cellStyle name="Normal 2 2 2 2 2 8 2 2 3" xfId="27485" xr:uid="{00000000-0005-0000-0000-00005C6B0000}"/>
    <cellStyle name="Normal 2 2 2 2 2 8 2 3" xfId="27486" xr:uid="{00000000-0005-0000-0000-00005D6B0000}"/>
    <cellStyle name="Normal 2 2 2 2 2 8 2 3 2" xfId="27487" xr:uid="{00000000-0005-0000-0000-00005E6B0000}"/>
    <cellStyle name="Normal 2 2 2 2 2 8 2 4" xfId="27488" xr:uid="{00000000-0005-0000-0000-00005F6B0000}"/>
    <cellStyle name="Normal 2 2 2 2 2 8 3" xfId="27489" xr:uid="{00000000-0005-0000-0000-0000606B0000}"/>
    <cellStyle name="Normal 2 2 2 2 2 8 3 2" xfId="27490" xr:uid="{00000000-0005-0000-0000-0000616B0000}"/>
    <cellStyle name="Normal 2 2 2 2 2 8 3 2 2" xfId="27491" xr:uid="{00000000-0005-0000-0000-0000626B0000}"/>
    <cellStyle name="Normal 2 2 2 2 2 8 3 3" xfId="27492" xr:uid="{00000000-0005-0000-0000-0000636B0000}"/>
    <cellStyle name="Normal 2 2 2 2 2 8 4" xfId="27493" xr:uid="{00000000-0005-0000-0000-0000646B0000}"/>
    <cellStyle name="Normal 2 2 2 2 2 8 4 2" xfId="27494" xr:uid="{00000000-0005-0000-0000-0000656B0000}"/>
    <cellStyle name="Normal 2 2 2 2 2 8 4 2 2" xfId="27495" xr:uid="{00000000-0005-0000-0000-0000666B0000}"/>
    <cellStyle name="Normal 2 2 2 2 2 8 4 3" xfId="27496" xr:uid="{00000000-0005-0000-0000-0000676B0000}"/>
    <cellStyle name="Normal 2 2 2 2 2 8 5" xfId="27497" xr:uid="{00000000-0005-0000-0000-0000686B0000}"/>
    <cellStyle name="Normal 2 2 2 2 2 8 5 2" xfId="27498" xr:uid="{00000000-0005-0000-0000-0000696B0000}"/>
    <cellStyle name="Normal 2 2 2 2 2 8 5 2 2" xfId="27499" xr:uid="{00000000-0005-0000-0000-00006A6B0000}"/>
    <cellStyle name="Normal 2 2 2 2 2 8 5 3" xfId="27500" xr:uid="{00000000-0005-0000-0000-00006B6B0000}"/>
    <cellStyle name="Normal 2 2 2 2 2 8 6" xfId="27501" xr:uid="{00000000-0005-0000-0000-00006C6B0000}"/>
    <cellStyle name="Normal 2 2 2 2 2 8 6 2" xfId="27502" xr:uid="{00000000-0005-0000-0000-00006D6B0000}"/>
    <cellStyle name="Normal 2 2 2 2 2 8 6 2 2" xfId="27503" xr:uid="{00000000-0005-0000-0000-00006E6B0000}"/>
    <cellStyle name="Normal 2 2 2 2 2 8 6 3" xfId="27504" xr:uid="{00000000-0005-0000-0000-00006F6B0000}"/>
    <cellStyle name="Normal 2 2 2 2 2 8 7" xfId="27505" xr:uid="{00000000-0005-0000-0000-0000706B0000}"/>
    <cellStyle name="Normal 2 2 2 2 2 8 7 2" xfId="27506" xr:uid="{00000000-0005-0000-0000-0000716B0000}"/>
    <cellStyle name="Normal 2 2 2 2 2 8 8" xfId="27507" xr:uid="{00000000-0005-0000-0000-0000726B0000}"/>
    <cellStyle name="Normal 2 2 2 2 2 9" xfId="27508" xr:uid="{00000000-0005-0000-0000-0000736B0000}"/>
    <cellStyle name="Normal 2 2 2 2 2 9 2" xfId="27509" xr:uid="{00000000-0005-0000-0000-0000746B0000}"/>
    <cellStyle name="Normal 2 2 2 2 2 9 2 2" xfId="27510" xr:uid="{00000000-0005-0000-0000-0000756B0000}"/>
    <cellStyle name="Normal 2 2 2 2 2 9 2 2 2" xfId="27511" xr:uid="{00000000-0005-0000-0000-0000766B0000}"/>
    <cellStyle name="Normal 2 2 2 2 2 9 2 2 2 2" xfId="27512" xr:uid="{00000000-0005-0000-0000-0000776B0000}"/>
    <cellStyle name="Normal 2 2 2 2 2 9 2 2 3" xfId="27513" xr:uid="{00000000-0005-0000-0000-0000786B0000}"/>
    <cellStyle name="Normal 2 2 2 2 2 9 2 3" xfId="27514" xr:uid="{00000000-0005-0000-0000-0000796B0000}"/>
    <cellStyle name="Normal 2 2 2 2 2 9 2 3 2" xfId="27515" xr:uid="{00000000-0005-0000-0000-00007A6B0000}"/>
    <cellStyle name="Normal 2 2 2 2 2 9 2 4" xfId="27516" xr:uid="{00000000-0005-0000-0000-00007B6B0000}"/>
    <cellStyle name="Normal 2 2 2 2 2 9 3" xfId="27517" xr:uid="{00000000-0005-0000-0000-00007C6B0000}"/>
    <cellStyle name="Normal 2 2 2 2 2 9 3 2" xfId="27518" xr:uid="{00000000-0005-0000-0000-00007D6B0000}"/>
    <cellStyle name="Normal 2 2 2 2 2 9 3 2 2" xfId="27519" xr:uid="{00000000-0005-0000-0000-00007E6B0000}"/>
    <cellStyle name="Normal 2 2 2 2 2 9 3 3" xfId="27520" xr:uid="{00000000-0005-0000-0000-00007F6B0000}"/>
    <cellStyle name="Normal 2 2 2 2 2 9 4" xfId="27521" xr:uid="{00000000-0005-0000-0000-0000806B0000}"/>
    <cellStyle name="Normal 2 2 2 2 2 9 4 2" xfId="27522" xr:uid="{00000000-0005-0000-0000-0000816B0000}"/>
    <cellStyle name="Normal 2 2 2 2 2 9 4 2 2" xfId="27523" xr:uid="{00000000-0005-0000-0000-0000826B0000}"/>
    <cellStyle name="Normal 2 2 2 2 2 9 4 3" xfId="27524" xr:uid="{00000000-0005-0000-0000-0000836B0000}"/>
    <cellStyle name="Normal 2 2 2 2 2 9 5" xfId="27525" xr:uid="{00000000-0005-0000-0000-0000846B0000}"/>
    <cellStyle name="Normal 2 2 2 2 2 9 5 2" xfId="27526" xr:uid="{00000000-0005-0000-0000-0000856B0000}"/>
    <cellStyle name="Normal 2 2 2 2 2 9 5 2 2" xfId="27527" xr:uid="{00000000-0005-0000-0000-0000866B0000}"/>
    <cellStyle name="Normal 2 2 2 2 2 9 5 3" xfId="27528" xr:uid="{00000000-0005-0000-0000-0000876B0000}"/>
    <cellStyle name="Normal 2 2 2 2 2 9 6" xfId="27529" xr:uid="{00000000-0005-0000-0000-0000886B0000}"/>
    <cellStyle name="Normal 2 2 2 2 2 9 6 2" xfId="27530" xr:uid="{00000000-0005-0000-0000-0000896B0000}"/>
    <cellStyle name="Normal 2 2 2 2 2 9 6 2 2" xfId="27531" xr:uid="{00000000-0005-0000-0000-00008A6B0000}"/>
    <cellStyle name="Normal 2 2 2 2 2 9 6 3" xfId="27532" xr:uid="{00000000-0005-0000-0000-00008B6B0000}"/>
    <cellStyle name="Normal 2 2 2 2 2 9 7" xfId="27533" xr:uid="{00000000-0005-0000-0000-00008C6B0000}"/>
    <cellStyle name="Normal 2 2 2 2 2 9 7 2" xfId="27534" xr:uid="{00000000-0005-0000-0000-00008D6B0000}"/>
    <cellStyle name="Normal 2 2 2 2 2 9 8" xfId="27535" xr:uid="{00000000-0005-0000-0000-00008E6B0000}"/>
    <cellStyle name="Normal 2 2 2 2 20" xfId="27536" xr:uid="{00000000-0005-0000-0000-00008F6B0000}"/>
    <cellStyle name="Normal 2 2 2 2 20 2" xfId="27537" xr:uid="{00000000-0005-0000-0000-0000906B0000}"/>
    <cellStyle name="Normal 2 2 2 2 20 2 2" xfId="27538" xr:uid="{00000000-0005-0000-0000-0000916B0000}"/>
    <cellStyle name="Normal 2 2 2 2 20 3" xfId="27539" xr:uid="{00000000-0005-0000-0000-0000926B0000}"/>
    <cellStyle name="Normal 2 2 2 2 21" xfId="27540" xr:uid="{00000000-0005-0000-0000-0000936B0000}"/>
    <cellStyle name="Normal 2 2 2 2 21 2" xfId="27541" xr:uid="{00000000-0005-0000-0000-0000946B0000}"/>
    <cellStyle name="Normal 2 2 2 2 22" xfId="27542" xr:uid="{00000000-0005-0000-0000-0000956B0000}"/>
    <cellStyle name="Normal 2 2 2 2 3" xfId="27543" xr:uid="{00000000-0005-0000-0000-0000966B0000}"/>
    <cellStyle name="Normal 2 2 2 2 3 10" xfId="27544" xr:uid="{00000000-0005-0000-0000-0000976B0000}"/>
    <cellStyle name="Normal 2 2 2 2 3 10 2" xfId="27545" xr:uid="{00000000-0005-0000-0000-0000986B0000}"/>
    <cellStyle name="Normal 2 2 2 2 3 10 2 2" xfId="27546" xr:uid="{00000000-0005-0000-0000-0000996B0000}"/>
    <cellStyle name="Normal 2 2 2 2 3 10 2 2 2" xfId="27547" xr:uid="{00000000-0005-0000-0000-00009A6B0000}"/>
    <cellStyle name="Normal 2 2 2 2 3 10 2 2 2 2" xfId="27548" xr:uid="{00000000-0005-0000-0000-00009B6B0000}"/>
    <cellStyle name="Normal 2 2 2 2 3 10 2 2 3" xfId="27549" xr:uid="{00000000-0005-0000-0000-00009C6B0000}"/>
    <cellStyle name="Normal 2 2 2 2 3 10 2 3" xfId="27550" xr:uid="{00000000-0005-0000-0000-00009D6B0000}"/>
    <cellStyle name="Normal 2 2 2 2 3 10 2 3 2" xfId="27551" xr:uid="{00000000-0005-0000-0000-00009E6B0000}"/>
    <cellStyle name="Normal 2 2 2 2 3 10 2 4" xfId="27552" xr:uid="{00000000-0005-0000-0000-00009F6B0000}"/>
    <cellStyle name="Normal 2 2 2 2 3 10 3" xfId="27553" xr:uid="{00000000-0005-0000-0000-0000A06B0000}"/>
    <cellStyle name="Normal 2 2 2 2 3 10 3 2" xfId="27554" xr:uid="{00000000-0005-0000-0000-0000A16B0000}"/>
    <cellStyle name="Normal 2 2 2 2 3 10 3 2 2" xfId="27555" xr:uid="{00000000-0005-0000-0000-0000A26B0000}"/>
    <cellStyle name="Normal 2 2 2 2 3 10 3 3" xfId="27556" xr:uid="{00000000-0005-0000-0000-0000A36B0000}"/>
    <cellStyle name="Normal 2 2 2 2 3 10 4" xfId="27557" xr:uid="{00000000-0005-0000-0000-0000A46B0000}"/>
    <cellStyle name="Normal 2 2 2 2 3 10 4 2" xfId="27558" xr:uid="{00000000-0005-0000-0000-0000A56B0000}"/>
    <cellStyle name="Normal 2 2 2 2 3 10 5" xfId="27559" xr:uid="{00000000-0005-0000-0000-0000A66B0000}"/>
    <cellStyle name="Normal 2 2 2 2 3 11" xfId="27560" xr:uid="{00000000-0005-0000-0000-0000A76B0000}"/>
    <cellStyle name="Normal 2 2 2 2 3 11 2" xfId="27561" xr:uid="{00000000-0005-0000-0000-0000A86B0000}"/>
    <cellStyle name="Normal 2 2 2 2 3 11 2 2" xfId="27562" xr:uid="{00000000-0005-0000-0000-0000A96B0000}"/>
    <cellStyle name="Normal 2 2 2 2 3 11 2 2 2" xfId="27563" xr:uid="{00000000-0005-0000-0000-0000AA6B0000}"/>
    <cellStyle name="Normal 2 2 2 2 3 11 2 2 2 2" xfId="27564" xr:uid="{00000000-0005-0000-0000-0000AB6B0000}"/>
    <cellStyle name="Normal 2 2 2 2 3 11 2 2 3" xfId="27565" xr:uid="{00000000-0005-0000-0000-0000AC6B0000}"/>
    <cellStyle name="Normal 2 2 2 2 3 11 2 3" xfId="27566" xr:uid="{00000000-0005-0000-0000-0000AD6B0000}"/>
    <cellStyle name="Normal 2 2 2 2 3 11 2 3 2" xfId="27567" xr:uid="{00000000-0005-0000-0000-0000AE6B0000}"/>
    <cellStyle name="Normal 2 2 2 2 3 11 2 4" xfId="27568" xr:uid="{00000000-0005-0000-0000-0000AF6B0000}"/>
    <cellStyle name="Normal 2 2 2 2 3 11 3" xfId="27569" xr:uid="{00000000-0005-0000-0000-0000B06B0000}"/>
    <cellStyle name="Normal 2 2 2 2 3 11 3 2" xfId="27570" xr:uid="{00000000-0005-0000-0000-0000B16B0000}"/>
    <cellStyle name="Normal 2 2 2 2 3 11 3 2 2" xfId="27571" xr:uid="{00000000-0005-0000-0000-0000B26B0000}"/>
    <cellStyle name="Normal 2 2 2 2 3 11 3 3" xfId="27572" xr:uid="{00000000-0005-0000-0000-0000B36B0000}"/>
    <cellStyle name="Normal 2 2 2 2 3 11 4" xfId="27573" xr:uid="{00000000-0005-0000-0000-0000B46B0000}"/>
    <cellStyle name="Normal 2 2 2 2 3 11 4 2" xfId="27574" xr:uid="{00000000-0005-0000-0000-0000B56B0000}"/>
    <cellStyle name="Normal 2 2 2 2 3 11 5" xfId="27575" xr:uid="{00000000-0005-0000-0000-0000B66B0000}"/>
    <cellStyle name="Normal 2 2 2 2 3 12" xfId="27576" xr:uid="{00000000-0005-0000-0000-0000B76B0000}"/>
    <cellStyle name="Normal 2 2 2 2 3 12 2" xfId="27577" xr:uid="{00000000-0005-0000-0000-0000B86B0000}"/>
    <cellStyle name="Normal 2 2 2 2 3 12 2 2" xfId="27578" xr:uid="{00000000-0005-0000-0000-0000B96B0000}"/>
    <cellStyle name="Normal 2 2 2 2 3 12 2 2 2" xfId="27579" xr:uid="{00000000-0005-0000-0000-0000BA6B0000}"/>
    <cellStyle name="Normal 2 2 2 2 3 12 2 2 2 2" xfId="27580" xr:uid="{00000000-0005-0000-0000-0000BB6B0000}"/>
    <cellStyle name="Normal 2 2 2 2 3 12 2 2 3" xfId="27581" xr:uid="{00000000-0005-0000-0000-0000BC6B0000}"/>
    <cellStyle name="Normal 2 2 2 2 3 12 2 3" xfId="27582" xr:uid="{00000000-0005-0000-0000-0000BD6B0000}"/>
    <cellStyle name="Normal 2 2 2 2 3 12 2 3 2" xfId="27583" xr:uid="{00000000-0005-0000-0000-0000BE6B0000}"/>
    <cellStyle name="Normal 2 2 2 2 3 12 2 4" xfId="27584" xr:uid="{00000000-0005-0000-0000-0000BF6B0000}"/>
    <cellStyle name="Normal 2 2 2 2 3 12 3" xfId="27585" xr:uid="{00000000-0005-0000-0000-0000C06B0000}"/>
    <cellStyle name="Normal 2 2 2 2 3 12 3 2" xfId="27586" xr:uid="{00000000-0005-0000-0000-0000C16B0000}"/>
    <cellStyle name="Normal 2 2 2 2 3 12 3 2 2" xfId="27587" xr:uid="{00000000-0005-0000-0000-0000C26B0000}"/>
    <cellStyle name="Normal 2 2 2 2 3 12 3 3" xfId="27588" xr:uid="{00000000-0005-0000-0000-0000C36B0000}"/>
    <cellStyle name="Normal 2 2 2 2 3 12 4" xfId="27589" xr:uid="{00000000-0005-0000-0000-0000C46B0000}"/>
    <cellStyle name="Normal 2 2 2 2 3 12 4 2" xfId="27590" xr:uid="{00000000-0005-0000-0000-0000C56B0000}"/>
    <cellStyle name="Normal 2 2 2 2 3 12 5" xfId="27591" xr:uid="{00000000-0005-0000-0000-0000C66B0000}"/>
    <cellStyle name="Normal 2 2 2 2 3 13" xfId="27592" xr:uid="{00000000-0005-0000-0000-0000C76B0000}"/>
    <cellStyle name="Normal 2 2 2 2 3 13 2" xfId="27593" xr:uid="{00000000-0005-0000-0000-0000C86B0000}"/>
    <cellStyle name="Normal 2 2 2 2 3 13 2 2" xfId="27594" xr:uid="{00000000-0005-0000-0000-0000C96B0000}"/>
    <cellStyle name="Normal 2 2 2 2 3 13 2 2 2" xfId="27595" xr:uid="{00000000-0005-0000-0000-0000CA6B0000}"/>
    <cellStyle name="Normal 2 2 2 2 3 13 2 3" xfId="27596" xr:uid="{00000000-0005-0000-0000-0000CB6B0000}"/>
    <cellStyle name="Normal 2 2 2 2 3 13 3" xfId="27597" xr:uid="{00000000-0005-0000-0000-0000CC6B0000}"/>
    <cellStyle name="Normal 2 2 2 2 3 13 3 2" xfId="27598" xr:uid="{00000000-0005-0000-0000-0000CD6B0000}"/>
    <cellStyle name="Normal 2 2 2 2 3 13 4" xfId="27599" xr:uid="{00000000-0005-0000-0000-0000CE6B0000}"/>
    <cellStyle name="Normal 2 2 2 2 3 14" xfId="27600" xr:uid="{00000000-0005-0000-0000-0000CF6B0000}"/>
    <cellStyle name="Normal 2 2 2 2 3 14 2" xfId="27601" xr:uid="{00000000-0005-0000-0000-0000D06B0000}"/>
    <cellStyle name="Normal 2 2 2 2 3 14 2 2" xfId="27602" xr:uid="{00000000-0005-0000-0000-0000D16B0000}"/>
    <cellStyle name="Normal 2 2 2 2 3 14 2 2 2" xfId="27603" xr:uid="{00000000-0005-0000-0000-0000D26B0000}"/>
    <cellStyle name="Normal 2 2 2 2 3 14 2 3" xfId="27604" xr:uid="{00000000-0005-0000-0000-0000D36B0000}"/>
    <cellStyle name="Normal 2 2 2 2 3 14 3" xfId="27605" xr:uid="{00000000-0005-0000-0000-0000D46B0000}"/>
    <cellStyle name="Normal 2 2 2 2 3 14 3 2" xfId="27606" xr:uid="{00000000-0005-0000-0000-0000D56B0000}"/>
    <cellStyle name="Normal 2 2 2 2 3 14 4" xfId="27607" xr:uid="{00000000-0005-0000-0000-0000D66B0000}"/>
    <cellStyle name="Normal 2 2 2 2 3 15" xfId="27608" xr:uid="{00000000-0005-0000-0000-0000D76B0000}"/>
    <cellStyle name="Normal 2 2 2 2 3 15 2" xfId="27609" xr:uid="{00000000-0005-0000-0000-0000D86B0000}"/>
    <cellStyle name="Normal 2 2 2 2 3 15 2 2" xfId="27610" xr:uid="{00000000-0005-0000-0000-0000D96B0000}"/>
    <cellStyle name="Normal 2 2 2 2 3 15 3" xfId="27611" xr:uid="{00000000-0005-0000-0000-0000DA6B0000}"/>
    <cellStyle name="Normal 2 2 2 2 3 16" xfId="27612" xr:uid="{00000000-0005-0000-0000-0000DB6B0000}"/>
    <cellStyle name="Normal 2 2 2 2 3 16 2" xfId="27613" xr:uid="{00000000-0005-0000-0000-0000DC6B0000}"/>
    <cellStyle name="Normal 2 2 2 2 3 16 2 2" xfId="27614" xr:uid="{00000000-0005-0000-0000-0000DD6B0000}"/>
    <cellStyle name="Normal 2 2 2 2 3 16 3" xfId="27615" xr:uid="{00000000-0005-0000-0000-0000DE6B0000}"/>
    <cellStyle name="Normal 2 2 2 2 3 17" xfId="27616" xr:uid="{00000000-0005-0000-0000-0000DF6B0000}"/>
    <cellStyle name="Normal 2 2 2 2 3 17 2" xfId="27617" xr:uid="{00000000-0005-0000-0000-0000E06B0000}"/>
    <cellStyle name="Normal 2 2 2 2 3 17 2 2" xfId="27618" xr:uid="{00000000-0005-0000-0000-0000E16B0000}"/>
    <cellStyle name="Normal 2 2 2 2 3 17 3" xfId="27619" xr:uid="{00000000-0005-0000-0000-0000E26B0000}"/>
    <cellStyle name="Normal 2 2 2 2 3 18" xfId="27620" xr:uid="{00000000-0005-0000-0000-0000E36B0000}"/>
    <cellStyle name="Normal 2 2 2 2 3 18 2" xfId="27621" xr:uid="{00000000-0005-0000-0000-0000E46B0000}"/>
    <cellStyle name="Normal 2 2 2 2 3 18 2 2" xfId="27622" xr:uid="{00000000-0005-0000-0000-0000E56B0000}"/>
    <cellStyle name="Normal 2 2 2 2 3 18 3" xfId="27623" xr:uid="{00000000-0005-0000-0000-0000E66B0000}"/>
    <cellStyle name="Normal 2 2 2 2 3 19" xfId="27624" xr:uid="{00000000-0005-0000-0000-0000E76B0000}"/>
    <cellStyle name="Normal 2 2 2 2 3 19 2" xfId="27625" xr:uid="{00000000-0005-0000-0000-0000E86B0000}"/>
    <cellStyle name="Normal 2 2 2 2 3 2" xfId="27626" xr:uid="{00000000-0005-0000-0000-0000E96B0000}"/>
    <cellStyle name="Normal 2 2 2 2 3 2 10" xfId="27627" xr:uid="{00000000-0005-0000-0000-0000EA6B0000}"/>
    <cellStyle name="Normal 2 2 2 2 3 2 10 2" xfId="27628" xr:uid="{00000000-0005-0000-0000-0000EB6B0000}"/>
    <cellStyle name="Normal 2 2 2 2 3 2 10 2 2" xfId="27629" xr:uid="{00000000-0005-0000-0000-0000EC6B0000}"/>
    <cellStyle name="Normal 2 2 2 2 3 2 10 3" xfId="27630" xr:uid="{00000000-0005-0000-0000-0000ED6B0000}"/>
    <cellStyle name="Normal 2 2 2 2 3 2 11" xfId="27631" xr:uid="{00000000-0005-0000-0000-0000EE6B0000}"/>
    <cellStyle name="Normal 2 2 2 2 3 2 11 2" xfId="27632" xr:uid="{00000000-0005-0000-0000-0000EF6B0000}"/>
    <cellStyle name="Normal 2 2 2 2 3 2 11 2 2" xfId="27633" xr:uid="{00000000-0005-0000-0000-0000F06B0000}"/>
    <cellStyle name="Normal 2 2 2 2 3 2 11 3" xfId="27634" xr:uid="{00000000-0005-0000-0000-0000F16B0000}"/>
    <cellStyle name="Normal 2 2 2 2 3 2 12" xfId="27635" xr:uid="{00000000-0005-0000-0000-0000F26B0000}"/>
    <cellStyle name="Normal 2 2 2 2 3 2 12 2" xfId="27636" xr:uid="{00000000-0005-0000-0000-0000F36B0000}"/>
    <cellStyle name="Normal 2 2 2 2 3 2 12 2 2" xfId="27637" xr:uid="{00000000-0005-0000-0000-0000F46B0000}"/>
    <cellStyle name="Normal 2 2 2 2 3 2 12 3" xfId="27638" xr:uid="{00000000-0005-0000-0000-0000F56B0000}"/>
    <cellStyle name="Normal 2 2 2 2 3 2 13" xfId="27639" xr:uid="{00000000-0005-0000-0000-0000F66B0000}"/>
    <cellStyle name="Normal 2 2 2 2 3 2 13 2" xfId="27640" xr:uid="{00000000-0005-0000-0000-0000F76B0000}"/>
    <cellStyle name="Normal 2 2 2 2 3 2 14" xfId="27641" xr:uid="{00000000-0005-0000-0000-0000F86B0000}"/>
    <cellStyle name="Normal 2 2 2 2 3 2 2" xfId="27642" xr:uid="{00000000-0005-0000-0000-0000F96B0000}"/>
    <cellStyle name="Normal 2 2 2 2 3 2 2 2" xfId="27643" xr:uid="{00000000-0005-0000-0000-0000FA6B0000}"/>
    <cellStyle name="Normal 2 2 2 2 3 2 2 2 2" xfId="27644" xr:uid="{00000000-0005-0000-0000-0000FB6B0000}"/>
    <cellStyle name="Normal 2 2 2 2 3 2 2 2 2 2" xfId="27645" xr:uid="{00000000-0005-0000-0000-0000FC6B0000}"/>
    <cellStyle name="Normal 2 2 2 2 3 2 2 2 2 2 2" xfId="27646" xr:uid="{00000000-0005-0000-0000-0000FD6B0000}"/>
    <cellStyle name="Normal 2 2 2 2 3 2 2 2 2 3" xfId="27647" xr:uid="{00000000-0005-0000-0000-0000FE6B0000}"/>
    <cellStyle name="Normal 2 2 2 2 3 2 2 2 3" xfId="27648" xr:uid="{00000000-0005-0000-0000-0000FF6B0000}"/>
    <cellStyle name="Normal 2 2 2 2 3 2 2 2 3 2" xfId="27649" xr:uid="{00000000-0005-0000-0000-0000006C0000}"/>
    <cellStyle name="Normal 2 2 2 2 3 2 2 2 4" xfId="27650" xr:uid="{00000000-0005-0000-0000-0000016C0000}"/>
    <cellStyle name="Normal 2 2 2 2 3 2 2 3" xfId="27651" xr:uid="{00000000-0005-0000-0000-0000026C0000}"/>
    <cellStyle name="Normal 2 2 2 2 3 2 2 3 2" xfId="27652" xr:uid="{00000000-0005-0000-0000-0000036C0000}"/>
    <cellStyle name="Normal 2 2 2 2 3 2 2 3 2 2" xfId="27653" xr:uid="{00000000-0005-0000-0000-0000046C0000}"/>
    <cellStyle name="Normal 2 2 2 2 3 2 2 3 3" xfId="27654" xr:uid="{00000000-0005-0000-0000-0000056C0000}"/>
    <cellStyle name="Normal 2 2 2 2 3 2 2 4" xfId="27655" xr:uid="{00000000-0005-0000-0000-0000066C0000}"/>
    <cellStyle name="Normal 2 2 2 2 3 2 2 4 2" xfId="27656" xr:uid="{00000000-0005-0000-0000-0000076C0000}"/>
    <cellStyle name="Normal 2 2 2 2 3 2 2 4 2 2" xfId="27657" xr:uid="{00000000-0005-0000-0000-0000086C0000}"/>
    <cellStyle name="Normal 2 2 2 2 3 2 2 4 3" xfId="27658" xr:uid="{00000000-0005-0000-0000-0000096C0000}"/>
    <cellStyle name="Normal 2 2 2 2 3 2 2 5" xfId="27659" xr:uid="{00000000-0005-0000-0000-00000A6C0000}"/>
    <cellStyle name="Normal 2 2 2 2 3 2 2 5 2" xfId="27660" xr:uid="{00000000-0005-0000-0000-00000B6C0000}"/>
    <cellStyle name="Normal 2 2 2 2 3 2 2 5 2 2" xfId="27661" xr:uid="{00000000-0005-0000-0000-00000C6C0000}"/>
    <cellStyle name="Normal 2 2 2 2 3 2 2 5 3" xfId="27662" xr:uid="{00000000-0005-0000-0000-00000D6C0000}"/>
    <cellStyle name="Normal 2 2 2 2 3 2 2 6" xfId="27663" xr:uid="{00000000-0005-0000-0000-00000E6C0000}"/>
    <cellStyle name="Normal 2 2 2 2 3 2 2 6 2" xfId="27664" xr:uid="{00000000-0005-0000-0000-00000F6C0000}"/>
    <cellStyle name="Normal 2 2 2 2 3 2 2 6 2 2" xfId="27665" xr:uid="{00000000-0005-0000-0000-0000106C0000}"/>
    <cellStyle name="Normal 2 2 2 2 3 2 2 6 3" xfId="27666" xr:uid="{00000000-0005-0000-0000-0000116C0000}"/>
    <cellStyle name="Normal 2 2 2 2 3 2 2 7" xfId="27667" xr:uid="{00000000-0005-0000-0000-0000126C0000}"/>
    <cellStyle name="Normal 2 2 2 2 3 2 2 7 2" xfId="27668" xr:uid="{00000000-0005-0000-0000-0000136C0000}"/>
    <cellStyle name="Normal 2 2 2 2 3 2 2 8" xfId="27669" xr:uid="{00000000-0005-0000-0000-0000146C0000}"/>
    <cellStyle name="Normal 2 2 2 2 3 2 3" xfId="27670" xr:uid="{00000000-0005-0000-0000-0000156C0000}"/>
    <cellStyle name="Normal 2 2 2 2 3 2 3 2" xfId="27671" xr:uid="{00000000-0005-0000-0000-0000166C0000}"/>
    <cellStyle name="Normal 2 2 2 2 3 2 3 2 2" xfId="27672" xr:uid="{00000000-0005-0000-0000-0000176C0000}"/>
    <cellStyle name="Normal 2 2 2 2 3 2 3 2 2 2" xfId="27673" xr:uid="{00000000-0005-0000-0000-0000186C0000}"/>
    <cellStyle name="Normal 2 2 2 2 3 2 3 2 2 2 2" xfId="27674" xr:uid="{00000000-0005-0000-0000-0000196C0000}"/>
    <cellStyle name="Normal 2 2 2 2 3 2 3 2 2 3" xfId="27675" xr:uid="{00000000-0005-0000-0000-00001A6C0000}"/>
    <cellStyle name="Normal 2 2 2 2 3 2 3 2 3" xfId="27676" xr:uid="{00000000-0005-0000-0000-00001B6C0000}"/>
    <cellStyle name="Normal 2 2 2 2 3 2 3 2 3 2" xfId="27677" xr:uid="{00000000-0005-0000-0000-00001C6C0000}"/>
    <cellStyle name="Normal 2 2 2 2 3 2 3 2 4" xfId="27678" xr:uid="{00000000-0005-0000-0000-00001D6C0000}"/>
    <cellStyle name="Normal 2 2 2 2 3 2 3 3" xfId="27679" xr:uid="{00000000-0005-0000-0000-00001E6C0000}"/>
    <cellStyle name="Normal 2 2 2 2 3 2 3 3 2" xfId="27680" xr:uid="{00000000-0005-0000-0000-00001F6C0000}"/>
    <cellStyle name="Normal 2 2 2 2 3 2 3 3 2 2" xfId="27681" xr:uid="{00000000-0005-0000-0000-0000206C0000}"/>
    <cellStyle name="Normal 2 2 2 2 3 2 3 3 3" xfId="27682" xr:uid="{00000000-0005-0000-0000-0000216C0000}"/>
    <cellStyle name="Normal 2 2 2 2 3 2 3 4" xfId="27683" xr:uid="{00000000-0005-0000-0000-0000226C0000}"/>
    <cellStyle name="Normal 2 2 2 2 3 2 3 4 2" xfId="27684" xr:uid="{00000000-0005-0000-0000-0000236C0000}"/>
    <cellStyle name="Normal 2 2 2 2 3 2 3 4 2 2" xfId="27685" xr:uid="{00000000-0005-0000-0000-0000246C0000}"/>
    <cellStyle name="Normal 2 2 2 2 3 2 3 4 3" xfId="27686" xr:uid="{00000000-0005-0000-0000-0000256C0000}"/>
    <cellStyle name="Normal 2 2 2 2 3 2 3 5" xfId="27687" xr:uid="{00000000-0005-0000-0000-0000266C0000}"/>
    <cellStyle name="Normal 2 2 2 2 3 2 3 5 2" xfId="27688" xr:uid="{00000000-0005-0000-0000-0000276C0000}"/>
    <cellStyle name="Normal 2 2 2 2 3 2 3 5 2 2" xfId="27689" xr:uid="{00000000-0005-0000-0000-0000286C0000}"/>
    <cellStyle name="Normal 2 2 2 2 3 2 3 5 3" xfId="27690" xr:uid="{00000000-0005-0000-0000-0000296C0000}"/>
    <cellStyle name="Normal 2 2 2 2 3 2 3 6" xfId="27691" xr:uid="{00000000-0005-0000-0000-00002A6C0000}"/>
    <cellStyle name="Normal 2 2 2 2 3 2 3 6 2" xfId="27692" xr:uid="{00000000-0005-0000-0000-00002B6C0000}"/>
    <cellStyle name="Normal 2 2 2 2 3 2 3 6 2 2" xfId="27693" xr:uid="{00000000-0005-0000-0000-00002C6C0000}"/>
    <cellStyle name="Normal 2 2 2 2 3 2 3 6 3" xfId="27694" xr:uid="{00000000-0005-0000-0000-00002D6C0000}"/>
    <cellStyle name="Normal 2 2 2 2 3 2 3 7" xfId="27695" xr:uid="{00000000-0005-0000-0000-00002E6C0000}"/>
    <cellStyle name="Normal 2 2 2 2 3 2 3 7 2" xfId="27696" xr:uid="{00000000-0005-0000-0000-00002F6C0000}"/>
    <cellStyle name="Normal 2 2 2 2 3 2 3 8" xfId="27697" xr:uid="{00000000-0005-0000-0000-0000306C0000}"/>
    <cellStyle name="Normal 2 2 2 2 3 2 4" xfId="27698" xr:uid="{00000000-0005-0000-0000-0000316C0000}"/>
    <cellStyle name="Normal 2 2 2 2 3 2 4 2" xfId="27699" xr:uid="{00000000-0005-0000-0000-0000326C0000}"/>
    <cellStyle name="Normal 2 2 2 2 3 2 4 2 2" xfId="27700" xr:uid="{00000000-0005-0000-0000-0000336C0000}"/>
    <cellStyle name="Normal 2 2 2 2 3 2 4 2 2 2" xfId="27701" xr:uid="{00000000-0005-0000-0000-0000346C0000}"/>
    <cellStyle name="Normal 2 2 2 2 3 2 4 2 2 2 2" xfId="27702" xr:uid="{00000000-0005-0000-0000-0000356C0000}"/>
    <cellStyle name="Normal 2 2 2 2 3 2 4 2 2 3" xfId="27703" xr:uid="{00000000-0005-0000-0000-0000366C0000}"/>
    <cellStyle name="Normal 2 2 2 2 3 2 4 2 3" xfId="27704" xr:uid="{00000000-0005-0000-0000-0000376C0000}"/>
    <cellStyle name="Normal 2 2 2 2 3 2 4 2 3 2" xfId="27705" xr:uid="{00000000-0005-0000-0000-0000386C0000}"/>
    <cellStyle name="Normal 2 2 2 2 3 2 4 2 4" xfId="27706" xr:uid="{00000000-0005-0000-0000-0000396C0000}"/>
    <cellStyle name="Normal 2 2 2 2 3 2 4 3" xfId="27707" xr:uid="{00000000-0005-0000-0000-00003A6C0000}"/>
    <cellStyle name="Normal 2 2 2 2 3 2 4 3 2" xfId="27708" xr:uid="{00000000-0005-0000-0000-00003B6C0000}"/>
    <cellStyle name="Normal 2 2 2 2 3 2 4 3 2 2" xfId="27709" xr:uid="{00000000-0005-0000-0000-00003C6C0000}"/>
    <cellStyle name="Normal 2 2 2 2 3 2 4 3 3" xfId="27710" xr:uid="{00000000-0005-0000-0000-00003D6C0000}"/>
    <cellStyle name="Normal 2 2 2 2 3 2 4 4" xfId="27711" xr:uid="{00000000-0005-0000-0000-00003E6C0000}"/>
    <cellStyle name="Normal 2 2 2 2 3 2 4 4 2" xfId="27712" xr:uid="{00000000-0005-0000-0000-00003F6C0000}"/>
    <cellStyle name="Normal 2 2 2 2 3 2 4 4 2 2" xfId="27713" xr:uid="{00000000-0005-0000-0000-0000406C0000}"/>
    <cellStyle name="Normal 2 2 2 2 3 2 4 4 3" xfId="27714" xr:uid="{00000000-0005-0000-0000-0000416C0000}"/>
    <cellStyle name="Normal 2 2 2 2 3 2 4 5" xfId="27715" xr:uid="{00000000-0005-0000-0000-0000426C0000}"/>
    <cellStyle name="Normal 2 2 2 2 3 2 4 5 2" xfId="27716" xr:uid="{00000000-0005-0000-0000-0000436C0000}"/>
    <cellStyle name="Normal 2 2 2 2 3 2 4 5 2 2" xfId="27717" xr:uid="{00000000-0005-0000-0000-0000446C0000}"/>
    <cellStyle name="Normal 2 2 2 2 3 2 4 5 3" xfId="27718" xr:uid="{00000000-0005-0000-0000-0000456C0000}"/>
    <cellStyle name="Normal 2 2 2 2 3 2 4 6" xfId="27719" xr:uid="{00000000-0005-0000-0000-0000466C0000}"/>
    <cellStyle name="Normal 2 2 2 2 3 2 4 6 2" xfId="27720" xr:uid="{00000000-0005-0000-0000-0000476C0000}"/>
    <cellStyle name="Normal 2 2 2 2 3 2 4 6 2 2" xfId="27721" xr:uid="{00000000-0005-0000-0000-0000486C0000}"/>
    <cellStyle name="Normal 2 2 2 2 3 2 4 6 3" xfId="27722" xr:uid="{00000000-0005-0000-0000-0000496C0000}"/>
    <cellStyle name="Normal 2 2 2 2 3 2 4 7" xfId="27723" xr:uid="{00000000-0005-0000-0000-00004A6C0000}"/>
    <cellStyle name="Normal 2 2 2 2 3 2 4 7 2" xfId="27724" xr:uid="{00000000-0005-0000-0000-00004B6C0000}"/>
    <cellStyle name="Normal 2 2 2 2 3 2 4 8" xfId="27725" xr:uid="{00000000-0005-0000-0000-00004C6C0000}"/>
    <cellStyle name="Normal 2 2 2 2 3 2 5" xfId="27726" xr:uid="{00000000-0005-0000-0000-00004D6C0000}"/>
    <cellStyle name="Normal 2 2 2 2 3 2 5 2" xfId="27727" xr:uid="{00000000-0005-0000-0000-00004E6C0000}"/>
    <cellStyle name="Normal 2 2 2 2 3 2 5 2 2" xfId="27728" xr:uid="{00000000-0005-0000-0000-00004F6C0000}"/>
    <cellStyle name="Normal 2 2 2 2 3 2 5 2 2 2" xfId="27729" xr:uid="{00000000-0005-0000-0000-0000506C0000}"/>
    <cellStyle name="Normal 2 2 2 2 3 2 5 2 2 2 2" xfId="27730" xr:uid="{00000000-0005-0000-0000-0000516C0000}"/>
    <cellStyle name="Normal 2 2 2 2 3 2 5 2 2 3" xfId="27731" xr:uid="{00000000-0005-0000-0000-0000526C0000}"/>
    <cellStyle name="Normal 2 2 2 2 3 2 5 2 3" xfId="27732" xr:uid="{00000000-0005-0000-0000-0000536C0000}"/>
    <cellStyle name="Normal 2 2 2 2 3 2 5 2 3 2" xfId="27733" xr:uid="{00000000-0005-0000-0000-0000546C0000}"/>
    <cellStyle name="Normal 2 2 2 2 3 2 5 2 4" xfId="27734" xr:uid="{00000000-0005-0000-0000-0000556C0000}"/>
    <cellStyle name="Normal 2 2 2 2 3 2 5 3" xfId="27735" xr:uid="{00000000-0005-0000-0000-0000566C0000}"/>
    <cellStyle name="Normal 2 2 2 2 3 2 5 3 2" xfId="27736" xr:uid="{00000000-0005-0000-0000-0000576C0000}"/>
    <cellStyle name="Normal 2 2 2 2 3 2 5 3 2 2" xfId="27737" xr:uid="{00000000-0005-0000-0000-0000586C0000}"/>
    <cellStyle name="Normal 2 2 2 2 3 2 5 3 3" xfId="27738" xr:uid="{00000000-0005-0000-0000-0000596C0000}"/>
    <cellStyle name="Normal 2 2 2 2 3 2 5 4" xfId="27739" xr:uid="{00000000-0005-0000-0000-00005A6C0000}"/>
    <cellStyle name="Normal 2 2 2 2 3 2 5 4 2" xfId="27740" xr:uid="{00000000-0005-0000-0000-00005B6C0000}"/>
    <cellStyle name="Normal 2 2 2 2 3 2 5 5" xfId="27741" xr:uid="{00000000-0005-0000-0000-00005C6C0000}"/>
    <cellStyle name="Normal 2 2 2 2 3 2 6" xfId="27742" xr:uid="{00000000-0005-0000-0000-00005D6C0000}"/>
    <cellStyle name="Normal 2 2 2 2 3 2 6 2" xfId="27743" xr:uid="{00000000-0005-0000-0000-00005E6C0000}"/>
    <cellStyle name="Normal 2 2 2 2 3 2 6 2 2" xfId="27744" xr:uid="{00000000-0005-0000-0000-00005F6C0000}"/>
    <cellStyle name="Normal 2 2 2 2 3 2 6 2 2 2" xfId="27745" xr:uid="{00000000-0005-0000-0000-0000606C0000}"/>
    <cellStyle name="Normal 2 2 2 2 3 2 6 2 2 2 2" xfId="27746" xr:uid="{00000000-0005-0000-0000-0000616C0000}"/>
    <cellStyle name="Normal 2 2 2 2 3 2 6 2 2 3" xfId="27747" xr:uid="{00000000-0005-0000-0000-0000626C0000}"/>
    <cellStyle name="Normal 2 2 2 2 3 2 6 2 3" xfId="27748" xr:uid="{00000000-0005-0000-0000-0000636C0000}"/>
    <cellStyle name="Normal 2 2 2 2 3 2 6 2 3 2" xfId="27749" xr:uid="{00000000-0005-0000-0000-0000646C0000}"/>
    <cellStyle name="Normal 2 2 2 2 3 2 6 2 4" xfId="27750" xr:uid="{00000000-0005-0000-0000-0000656C0000}"/>
    <cellStyle name="Normal 2 2 2 2 3 2 6 3" xfId="27751" xr:uid="{00000000-0005-0000-0000-0000666C0000}"/>
    <cellStyle name="Normal 2 2 2 2 3 2 6 3 2" xfId="27752" xr:uid="{00000000-0005-0000-0000-0000676C0000}"/>
    <cellStyle name="Normal 2 2 2 2 3 2 6 3 2 2" xfId="27753" xr:uid="{00000000-0005-0000-0000-0000686C0000}"/>
    <cellStyle name="Normal 2 2 2 2 3 2 6 3 3" xfId="27754" xr:uid="{00000000-0005-0000-0000-0000696C0000}"/>
    <cellStyle name="Normal 2 2 2 2 3 2 6 4" xfId="27755" xr:uid="{00000000-0005-0000-0000-00006A6C0000}"/>
    <cellStyle name="Normal 2 2 2 2 3 2 6 4 2" xfId="27756" xr:uid="{00000000-0005-0000-0000-00006B6C0000}"/>
    <cellStyle name="Normal 2 2 2 2 3 2 6 5" xfId="27757" xr:uid="{00000000-0005-0000-0000-00006C6C0000}"/>
    <cellStyle name="Normal 2 2 2 2 3 2 7" xfId="27758" xr:uid="{00000000-0005-0000-0000-00006D6C0000}"/>
    <cellStyle name="Normal 2 2 2 2 3 2 7 2" xfId="27759" xr:uid="{00000000-0005-0000-0000-00006E6C0000}"/>
    <cellStyle name="Normal 2 2 2 2 3 2 7 2 2" xfId="27760" xr:uid="{00000000-0005-0000-0000-00006F6C0000}"/>
    <cellStyle name="Normal 2 2 2 2 3 2 7 2 2 2" xfId="27761" xr:uid="{00000000-0005-0000-0000-0000706C0000}"/>
    <cellStyle name="Normal 2 2 2 2 3 2 7 2 3" xfId="27762" xr:uid="{00000000-0005-0000-0000-0000716C0000}"/>
    <cellStyle name="Normal 2 2 2 2 3 2 7 3" xfId="27763" xr:uid="{00000000-0005-0000-0000-0000726C0000}"/>
    <cellStyle name="Normal 2 2 2 2 3 2 7 3 2" xfId="27764" xr:uid="{00000000-0005-0000-0000-0000736C0000}"/>
    <cellStyle name="Normal 2 2 2 2 3 2 7 4" xfId="27765" xr:uid="{00000000-0005-0000-0000-0000746C0000}"/>
    <cellStyle name="Normal 2 2 2 2 3 2 8" xfId="27766" xr:uid="{00000000-0005-0000-0000-0000756C0000}"/>
    <cellStyle name="Normal 2 2 2 2 3 2 8 2" xfId="27767" xr:uid="{00000000-0005-0000-0000-0000766C0000}"/>
    <cellStyle name="Normal 2 2 2 2 3 2 8 2 2" xfId="27768" xr:uid="{00000000-0005-0000-0000-0000776C0000}"/>
    <cellStyle name="Normal 2 2 2 2 3 2 8 2 2 2" xfId="27769" xr:uid="{00000000-0005-0000-0000-0000786C0000}"/>
    <cellStyle name="Normal 2 2 2 2 3 2 8 2 3" xfId="27770" xr:uid="{00000000-0005-0000-0000-0000796C0000}"/>
    <cellStyle name="Normal 2 2 2 2 3 2 8 3" xfId="27771" xr:uid="{00000000-0005-0000-0000-00007A6C0000}"/>
    <cellStyle name="Normal 2 2 2 2 3 2 8 3 2" xfId="27772" xr:uid="{00000000-0005-0000-0000-00007B6C0000}"/>
    <cellStyle name="Normal 2 2 2 2 3 2 8 4" xfId="27773" xr:uid="{00000000-0005-0000-0000-00007C6C0000}"/>
    <cellStyle name="Normal 2 2 2 2 3 2 9" xfId="27774" xr:uid="{00000000-0005-0000-0000-00007D6C0000}"/>
    <cellStyle name="Normal 2 2 2 2 3 2 9 2" xfId="27775" xr:uid="{00000000-0005-0000-0000-00007E6C0000}"/>
    <cellStyle name="Normal 2 2 2 2 3 2 9 2 2" xfId="27776" xr:uid="{00000000-0005-0000-0000-00007F6C0000}"/>
    <cellStyle name="Normal 2 2 2 2 3 2 9 3" xfId="27777" xr:uid="{00000000-0005-0000-0000-0000806C0000}"/>
    <cellStyle name="Normal 2 2 2 2 3 20" xfId="27778" xr:uid="{00000000-0005-0000-0000-0000816C0000}"/>
    <cellStyle name="Normal 2 2 2 2 3 3" xfId="27779" xr:uid="{00000000-0005-0000-0000-0000826C0000}"/>
    <cellStyle name="Normal 2 2 2 2 3 3 10" xfId="27780" xr:uid="{00000000-0005-0000-0000-0000836C0000}"/>
    <cellStyle name="Normal 2 2 2 2 3 3 10 2" xfId="27781" xr:uid="{00000000-0005-0000-0000-0000846C0000}"/>
    <cellStyle name="Normal 2 2 2 2 3 3 10 2 2" xfId="27782" xr:uid="{00000000-0005-0000-0000-0000856C0000}"/>
    <cellStyle name="Normal 2 2 2 2 3 3 10 3" xfId="27783" xr:uid="{00000000-0005-0000-0000-0000866C0000}"/>
    <cellStyle name="Normal 2 2 2 2 3 3 11" xfId="27784" xr:uid="{00000000-0005-0000-0000-0000876C0000}"/>
    <cellStyle name="Normal 2 2 2 2 3 3 11 2" xfId="27785" xr:uid="{00000000-0005-0000-0000-0000886C0000}"/>
    <cellStyle name="Normal 2 2 2 2 3 3 11 2 2" xfId="27786" xr:uid="{00000000-0005-0000-0000-0000896C0000}"/>
    <cellStyle name="Normal 2 2 2 2 3 3 11 3" xfId="27787" xr:uid="{00000000-0005-0000-0000-00008A6C0000}"/>
    <cellStyle name="Normal 2 2 2 2 3 3 12" xfId="27788" xr:uid="{00000000-0005-0000-0000-00008B6C0000}"/>
    <cellStyle name="Normal 2 2 2 2 3 3 12 2" xfId="27789" xr:uid="{00000000-0005-0000-0000-00008C6C0000}"/>
    <cellStyle name="Normal 2 2 2 2 3 3 12 2 2" xfId="27790" xr:uid="{00000000-0005-0000-0000-00008D6C0000}"/>
    <cellStyle name="Normal 2 2 2 2 3 3 12 3" xfId="27791" xr:uid="{00000000-0005-0000-0000-00008E6C0000}"/>
    <cellStyle name="Normal 2 2 2 2 3 3 13" xfId="27792" xr:uid="{00000000-0005-0000-0000-00008F6C0000}"/>
    <cellStyle name="Normal 2 2 2 2 3 3 13 2" xfId="27793" xr:uid="{00000000-0005-0000-0000-0000906C0000}"/>
    <cellStyle name="Normal 2 2 2 2 3 3 14" xfId="27794" xr:uid="{00000000-0005-0000-0000-0000916C0000}"/>
    <cellStyle name="Normal 2 2 2 2 3 3 2" xfId="27795" xr:uid="{00000000-0005-0000-0000-0000926C0000}"/>
    <cellStyle name="Normal 2 2 2 2 3 3 2 2" xfId="27796" xr:uid="{00000000-0005-0000-0000-0000936C0000}"/>
    <cellStyle name="Normal 2 2 2 2 3 3 2 2 2" xfId="27797" xr:uid="{00000000-0005-0000-0000-0000946C0000}"/>
    <cellStyle name="Normal 2 2 2 2 3 3 2 2 2 2" xfId="27798" xr:uid="{00000000-0005-0000-0000-0000956C0000}"/>
    <cellStyle name="Normal 2 2 2 2 3 3 2 2 2 2 2" xfId="27799" xr:uid="{00000000-0005-0000-0000-0000966C0000}"/>
    <cellStyle name="Normal 2 2 2 2 3 3 2 2 2 3" xfId="27800" xr:uid="{00000000-0005-0000-0000-0000976C0000}"/>
    <cellStyle name="Normal 2 2 2 2 3 3 2 2 3" xfId="27801" xr:uid="{00000000-0005-0000-0000-0000986C0000}"/>
    <cellStyle name="Normal 2 2 2 2 3 3 2 2 3 2" xfId="27802" xr:uid="{00000000-0005-0000-0000-0000996C0000}"/>
    <cellStyle name="Normal 2 2 2 2 3 3 2 2 4" xfId="27803" xr:uid="{00000000-0005-0000-0000-00009A6C0000}"/>
    <cellStyle name="Normal 2 2 2 2 3 3 2 3" xfId="27804" xr:uid="{00000000-0005-0000-0000-00009B6C0000}"/>
    <cellStyle name="Normal 2 2 2 2 3 3 2 3 2" xfId="27805" xr:uid="{00000000-0005-0000-0000-00009C6C0000}"/>
    <cellStyle name="Normal 2 2 2 2 3 3 2 3 2 2" xfId="27806" xr:uid="{00000000-0005-0000-0000-00009D6C0000}"/>
    <cellStyle name="Normal 2 2 2 2 3 3 2 3 3" xfId="27807" xr:uid="{00000000-0005-0000-0000-00009E6C0000}"/>
    <cellStyle name="Normal 2 2 2 2 3 3 2 4" xfId="27808" xr:uid="{00000000-0005-0000-0000-00009F6C0000}"/>
    <cellStyle name="Normal 2 2 2 2 3 3 2 4 2" xfId="27809" xr:uid="{00000000-0005-0000-0000-0000A06C0000}"/>
    <cellStyle name="Normal 2 2 2 2 3 3 2 4 2 2" xfId="27810" xr:uid="{00000000-0005-0000-0000-0000A16C0000}"/>
    <cellStyle name="Normal 2 2 2 2 3 3 2 4 3" xfId="27811" xr:uid="{00000000-0005-0000-0000-0000A26C0000}"/>
    <cellStyle name="Normal 2 2 2 2 3 3 2 5" xfId="27812" xr:uid="{00000000-0005-0000-0000-0000A36C0000}"/>
    <cellStyle name="Normal 2 2 2 2 3 3 2 5 2" xfId="27813" xr:uid="{00000000-0005-0000-0000-0000A46C0000}"/>
    <cellStyle name="Normal 2 2 2 2 3 3 2 5 2 2" xfId="27814" xr:uid="{00000000-0005-0000-0000-0000A56C0000}"/>
    <cellStyle name="Normal 2 2 2 2 3 3 2 5 3" xfId="27815" xr:uid="{00000000-0005-0000-0000-0000A66C0000}"/>
    <cellStyle name="Normal 2 2 2 2 3 3 2 6" xfId="27816" xr:uid="{00000000-0005-0000-0000-0000A76C0000}"/>
    <cellStyle name="Normal 2 2 2 2 3 3 2 6 2" xfId="27817" xr:uid="{00000000-0005-0000-0000-0000A86C0000}"/>
    <cellStyle name="Normal 2 2 2 2 3 3 2 6 2 2" xfId="27818" xr:uid="{00000000-0005-0000-0000-0000A96C0000}"/>
    <cellStyle name="Normal 2 2 2 2 3 3 2 6 3" xfId="27819" xr:uid="{00000000-0005-0000-0000-0000AA6C0000}"/>
    <cellStyle name="Normal 2 2 2 2 3 3 2 7" xfId="27820" xr:uid="{00000000-0005-0000-0000-0000AB6C0000}"/>
    <cellStyle name="Normal 2 2 2 2 3 3 2 7 2" xfId="27821" xr:uid="{00000000-0005-0000-0000-0000AC6C0000}"/>
    <cellStyle name="Normal 2 2 2 2 3 3 2 8" xfId="27822" xr:uid="{00000000-0005-0000-0000-0000AD6C0000}"/>
    <cellStyle name="Normal 2 2 2 2 3 3 3" xfId="27823" xr:uid="{00000000-0005-0000-0000-0000AE6C0000}"/>
    <cellStyle name="Normal 2 2 2 2 3 3 3 2" xfId="27824" xr:uid="{00000000-0005-0000-0000-0000AF6C0000}"/>
    <cellStyle name="Normal 2 2 2 2 3 3 3 2 2" xfId="27825" xr:uid="{00000000-0005-0000-0000-0000B06C0000}"/>
    <cellStyle name="Normal 2 2 2 2 3 3 3 2 2 2" xfId="27826" xr:uid="{00000000-0005-0000-0000-0000B16C0000}"/>
    <cellStyle name="Normal 2 2 2 2 3 3 3 2 2 2 2" xfId="27827" xr:uid="{00000000-0005-0000-0000-0000B26C0000}"/>
    <cellStyle name="Normal 2 2 2 2 3 3 3 2 2 3" xfId="27828" xr:uid="{00000000-0005-0000-0000-0000B36C0000}"/>
    <cellStyle name="Normal 2 2 2 2 3 3 3 2 3" xfId="27829" xr:uid="{00000000-0005-0000-0000-0000B46C0000}"/>
    <cellStyle name="Normal 2 2 2 2 3 3 3 2 3 2" xfId="27830" xr:uid="{00000000-0005-0000-0000-0000B56C0000}"/>
    <cellStyle name="Normal 2 2 2 2 3 3 3 2 4" xfId="27831" xr:uid="{00000000-0005-0000-0000-0000B66C0000}"/>
    <cellStyle name="Normal 2 2 2 2 3 3 3 3" xfId="27832" xr:uid="{00000000-0005-0000-0000-0000B76C0000}"/>
    <cellStyle name="Normal 2 2 2 2 3 3 3 3 2" xfId="27833" xr:uid="{00000000-0005-0000-0000-0000B86C0000}"/>
    <cellStyle name="Normal 2 2 2 2 3 3 3 3 2 2" xfId="27834" xr:uid="{00000000-0005-0000-0000-0000B96C0000}"/>
    <cellStyle name="Normal 2 2 2 2 3 3 3 3 3" xfId="27835" xr:uid="{00000000-0005-0000-0000-0000BA6C0000}"/>
    <cellStyle name="Normal 2 2 2 2 3 3 3 4" xfId="27836" xr:uid="{00000000-0005-0000-0000-0000BB6C0000}"/>
    <cellStyle name="Normal 2 2 2 2 3 3 3 4 2" xfId="27837" xr:uid="{00000000-0005-0000-0000-0000BC6C0000}"/>
    <cellStyle name="Normal 2 2 2 2 3 3 3 4 2 2" xfId="27838" xr:uid="{00000000-0005-0000-0000-0000BD6C0000}"/>
    <cellStyle name="Normal 2 2 2 2 3 3 3 4 3" xfId="27839" xr:uid="{00000000-0005-0000-0000-0000BE6C0000}"/>
    <cellStyle name="Normal 2 2 2 2 3 3 3 5" xfId="27840" xr:uid="{00000000-0005-0000-0000-0000BF6C0000}"/>
    <cellStyle name="Normal 2 2 2 2 3 3 3 5 2" xfId="27841" xr:uid="{00000000-0005-0000-0000-0000C06C0000}"/>
    <cellStyle name="Normal 2 2 2 2 3 3 3 5 2 2" xfId="27842" xr:uid="{00000000-0005-0000-0000-0000C16C0000}"/>
    <cellStyle name="Normal 2 2 2 2 3 3 3 5 3" xfId="27843" xr:uid="{00000000-0005-0000-0000-0000C26C0000}"/>
    <cellStyle name="Normal 2 2 2 2 3 3 3 6" xfId="27844" xr:uid="{00000000-0005-0000-0000-0000C36C0000}"/>
    <cellStyle name="Normal 2 2 2 2 3 3 3 6 2" xfId="27845" xr:uid="{00000000-0005-0000-0000-0000C46C0000}"/>
    <cellStyle name="Normal 2 2 2 2 3 3 3 6 2 2" xfId="27846" xr:uid="{00000000-0005-0000-0000-0000C56C0000}"/>
    <cellStyle name="Normal 2 2 2 2 3 3 3 6 3" xfId="27847" xr:uid="{00000000-0005-0000-0000-0000C66C0000}"/>
    <cellStyle name="Normal 2 2 2 2 3 3 3 7" xfId="27848" xr:uid="{00000000-0005-0000-0000-0000C76C0000}"/>
    <cellStyle name="Normal 2 2 2 2 3 3 3 7 2" xfId="27849" xr:uid="{00000000-0005-0000-0000-0000C86C0000}"/>
    <cellStyle name="Normal 2 2 2 2 3 3 3 8" xfId="27850" xr:uid="{00000000-0005-0000-0000-0000C96C0000}"/>
    <cellStyle name="Normal 2 2 2 2 3 3 4" xfId="27851" xr:uid="{00000000-0005-0000-0000-0000CA6C0000}"/>
    <cellStyle name="Normal 2 2 2 2 3 3 4 2" xfId="27852" xr:uid="{00000000-0005-0000-0000-0000CB6C0000}"/>
    <cellStyle name="Normal 2 2 2 2 3 3 4 2 2" xfId="27853" xr:uid="{00000000-0005-0000-0000-0000CC6C0000}"/>
    <cellStyle name="Normal 2 2 2 2 3 3 4 2 2 2" xfId="27854" xr:uid="{00000000-0005-0000-0000-0000CD6C0000}"/>
    <cellStyle name="Normal 2 2 2 2 3 3 4 2 2 2 2" xfId="27855" xr:uid="{00000000-0005-0000-0000-0000CE6C0000}"/>
    <cellStyle name="Normal 2 2 2 2 3 3 4 2 2 3" xfId="27856" xr:uid="{00000000-0005-0000-0000-0000CF6C0000}"/>
    <cellStyle name="Normal 2 2 2 2 3 3 4 2 3" xfId="27857" xr:uid="{00000000-0005-0000-0000-0000D06C0000}"/>
    <cellStyle name="Normal 2 2 2 2 3 3 4 2 3 2" xfId="27858" xr:uid="{00000000-0005-0000-0000-0000D16C0000}"/>
    <cellStyle name="Normal 2 2 2 2 3 3 4 2 4" xfId="27859" xr:uid="{00000000-0005-0000-0000-0000D26C0000}"/>
    <cellStyle name="Normal 2 2 2 2 3 3 4 3" xfId="27860" xr:uid="{00000000-0005-0000-0000-0000D36C0000}"/>
    <cellStyle name="Normal 2 2 2 2 3 3 4 3 2" xfId="27861" xr:uid="{00000000-0005-0000-0000-0000D46C0000}"/>
    <cellStyle name="Normal 2 2 2 2 3 3 4 3 2 2" xfId="27862" xr:uid="{00000000-0005-0000-0000-0000D56C0000}"/>
    <cellStyle name="Normal 2 2 2 2 3 3 4 3 3" xfId="27863" xr:uid="{00000000-0005-0000-0000-0000D66C0000}"/>
    <cellStyle name="Normal 2 2 2 2 3 3 4 4" xfId="27864" xr:uid="{00000000-0005-0000-0000-0000D76C0000}"/>
    <cellStyle name="Normal 2 2 2 2 3 3 4 4 2" xfId="27865" xr:uid="{00000000-0005-0000-0000-0000D86C0000}"/>
    <cellStyle name="Normal 2 2 2 2 3 3 4 4 2 2" xfId="27866" xr:uid="{00000000-0005-0000-0000-0000D96C0000}"/>
    <cellStyle name="Normal 2 2 2 2 3 3 4 4 3" xfId="27867" xr:uid="{00000000-0005-0000-0000-0000DA6C0000}"/>
    <cellStyle name="Normal 2 2 2 2 3 3 4 5" xfId="27868" xr:uid="{00000000-0005-0000-0000-0000DB6C0000}"/>
    <cellStyle name="Normal 2 2 2 2 3 3 4 5 2" xfId="27869" xr:uid="{00000000-0005-0000-0000-0000DC6C0000}"/>
    <cellStyle name="Normal 2 2 2 2 3 3 4 5 2 2" xfId="27870" xr:uid="{00000000-0005-0000-0000-0000DD6C0000}"/>
    <cellStyle name="Normal 2 2 2 2 3 3 4 5 3" xfId="27871" xr:uid="{00000000-0005-0000-0000-0000DE6C0000}"/>
    <cellStyle name="Normal 2 2 2 2 3 3 4 6" xfId="27872" xr:uid="{00000000-0005-0000-0000-0000DF6C0000}"/>
    <cellStyle name="Normal 2 2 2 2 3 3 4 6 2" xfId="27873" xr:uid="{00000000-0005-0000-0000-0000E06C0000}"/>
    <cellStyle name="Normal 2 2 2 2 3 3 4 6 2 2" xfId="27874" xr:uid="{00000000-0005-0000-0000-0000E16C0000}"/>
    <cellStyle name="Normal 2 2 2 2 3 3 4 6 3" xfId="27875" xr:uid="{00000000-0005-0000-0000-0000E26C0000}"/>
    <cellStyle name="Normal 2 2 2 2 3 3 4 7" xfId="27876" xr:uid="{00000000-0005-0000-0000-0000E36C0000}"/>
    <cellStyle name="Normal 2 2 2 2 3 3 4 7 2" xfId="27877" xr:uid="{00000000-0005-0000-0000-0000E46C0000}"/>
    <cellStyle name="Normal 2 2 2 2 3 3 4 8" xfId="27878" xr:uid="{00000000-0005-0000-0000-0000E56C0000}"/>
    <cellStyle name="Normal 2 2 2 2 3 3 5" xfId="27879" xr:uid="{00000000-0005-0000-0000-0000E66C0000}"/>
    <cellStyle name="Normal 2 2 2 2 3 3 5 2" xfId="27880" xr:uid="{00000000-0005-0000-0000-0000E76C0000}"/>
    <cellStyle name="Normal 2 2 2 2 3 3 5 2 2" xfId="27881" xr:uid="{00000000-0005-0000-0000-0000E86C0000}"/>
    <cellStyle name="Normal 2 2 2 2 3 3 5 2 2 2" xfId="27882" xr:uid="{00000000-0005-0000-0000-0000E96C0000}"/>
    <cellStyle name="Normal 2 2 2 2 3 3 5 2 2 2 2" xfId="27883" xr:uid="{00000000-0005-0000-0000-0000EA6C0000}"/>
    <cellStyle name="Normal 2 2 2 2 3 3 5 2 2 3" xfId="27884" xr:uid="{00000000-0005-0000-0000-0000EB6C0000}"/>
    <cellStyle name="Normal 2 2 2 2 3 3 5 2 3" xfId="27885" xr:uid="{00000000-0005-0000-0000-0000EC6C0000}"/>
    <cellStyle name="Normal 2 2 2 2 3 3 5 2 3 2" xfId="27886" xr:uid="{00000000-0005-0000-0000-0000ED6C0000}"/>
    <cellStyle name="Normal 2 2 2 2 3 3 5 2 4" xfId="27887" xr:uid="{00000000-0005-0000-0000-0000EE6C0000}"/>
    <cellStyle name="Normal 2 2 2 2 3 3 5 3" xfId="27888" xr:uid="{00000000-0005-0000-0000-0000EF6C0000}"/>
    <cellStyle name="Normal 2 2 2 2 3 3 5 3 2" xfId="27889" xr:uid="{00000000-0005-0000-0000-0000F06C0000}"/>
    <cellStyle name="Normal 2 2 2 2 3 3 5 3 2 2" xfId="27890" xr:uid="{00000000-0005-0000-0000-0000F16C0000}"/>
    <cellStyle name="Normal 2 2 2 2 3 3 5 3 3" xfId="27891" xr:uid="{00000000-0005-0000-0000-0000F26C0000}"/>
    <cellStyle name="Normal 2 2 2 2 3 3 5 4" xfId="27892" xr:uid="{00000000-0005-0000-0000-0000F36C0000}"/>
    <cellStyle name="Normal 2 2 2 2 3 3 5 4 2" xfId="27893" xr:uid="{00000000-0005-0000-0000-0000F46C0000}"/>
    <cellStyle name="Normal 2 2 2 2 3 3 5 5" xfId="27894" xr:uid="{00000000-0005-0000-0000-0000F56C0000}"/>
    <cellStyle name="Normal 2 2 2 2 3 3 6" xfId="27895" xr:uid="{00000000-0005-0000-0000-0000F66C0000}"/>
    <cellStyle name="Normal 2 2 2 2 3 3 6 2" xfId="27896" xr:uid="{00000000-0005-0000-0000-0000F76C0000}"/>
    <cellStyle name="Normal 2 2 2 2 3 3 6 2 2" xfId="27897" xr:uid="{00000000-0005-0000-0000-0000F86C0000}"/>
    <cellStyle name="Normal 2 2 2 2 3 3 6 2 2 2" xfId="27898" xr:uid="{00000000-0005-0000-0000-0000F96C0000}"/>
    <cellStyle name="Normal 2 2 2 2 3 3 6 2 2 2 2" xfId="27899" xr:uid="{00000000-0005-0000-0000-0000FA6C0000}"/>
    <cellStyle name="Normal 2 2 2 2 3 3 6 2 2 3" xfId="27900" xr:uid="{00000000-0005-0000-0000-0000FB6C0000}"/>
    <cellStyle name="Normal 2 2 2 2 3 3 6 2 3" xfId="27901" xr:uid="{00000000-0005-0000-0000-0000FC6C0000}"/>
    <cellStyle name="Normal 2 2 2 2 3 3 6 2 3 2" xfId="27902" xr:uid="{00000000-0005-0000-0000-0000FD6C0000}"/>
    <cellStyle name="Normal 2 2 2 2 3 3 6 2 4" xfId="27903" xr:uid="{00000000-0005-0000-0000-0000FE6C0000}"/>
    <cellStyle name="Normal 2 2 2 2 3 3 6 3" xfId="27904" xr:uid="{00000000-0005-0000-0000-0000FF6C0000}"/>
    <cellStyle name="Normal 2 2 2 2 3 3 6 3 2" xfId="27905" xr:uid="{00000000-0005-0000-0000-0000006D0000}"/>
    <cellStyle name="Normal 2 2 2 2 3 3 6 3 2 2" xfId="27906" xr:uid="{00000000-0005-0000-0000-0000016D0000}"/>
    <cellStyle name="Normal 2 2 2 2 3 3 6 3 3" xfId="27907" xr:uid="{00000000-0005-0000-0000-0000026D0000}"/>
    <cellStyle name="Normal 2 2 2 2 3 3 6 4" xfId="27908" xr:uid="{00000000-0005-0000-0000-0000036D0000}"/>
    <cellStyle name="Normal 2 2 2 2 3 3 6 4 2" xfId="27909" xr:uid="{00000000-0005-0000-0000-0000046D0000}"/>
    <cellStyle name="Normal 2 2 2 2 3 3 6 5" xfId="27910" xr:uid="{00000000-0005-0000-0000-0000056D0000}"/>
    <cellStyle name="Normal 2 2 2 2 3 3 7" xfId="27911" xr:uid="{00000000-0005-0000-0000-0000066D0000}"/>
    <cellStyle name="Normal 2 2 2 2 3 3 7 2" xfId="27912" xr:uid="{00000000-0005-0000-0000-0000076D0000}"/>
    <cellStyle name="Normal 2 2 2 2 3 3 7 2 2" xfId="27913" xr:uid="{00000000-0005-0000-0000-0000086D0000}"/>
    <cellStyle name="Normal 2 2 2 2 3 3 7 2 2 2" xfId="27914" xr:uid="{00000000-0005-0000-0000-0000096D0000}"/>
    <cellStyle name="Normal 2 2 2 2 3 3 7 2 3" xfId="27915" xr:uid="{00000000-0005-0000-0000-00000A6D0000}"/>
    <cellStyle name="Normal 2 2 2 2 3 3 7 3" xfId="27916" xr:uid="{00000000-0005-0000-0000-00000B6D0000}"/>
    <cellStyle name="Normal 2 2 2 2 3 3 7 3 2" xfId="27917" xr:uid="{00000000-0005-0000-0000-00000C6D0000}"/>
    <cellStyle name="Normal 2 2 2 2 3 3 7 4" xfId="27918" xr:uid="{00000000-0005-0000-0000-00000D6D0000}"/>
    <cellStyle name="Normal 2 2 2 2 3 3 8" xfId="27919" xr:uid="{00000000-0005-0000-0000-00000E6D0000}"/>
    <cellStyle name="Normal 2 2 2 2 3 3 8 2" xfId="27920" xr:uid="{00000000-0005-0000-0000-00000F6D0000}"/>
    <cellStyle name="Normal 2 2 2 2 3 3 8 2 2" xfId="27921" xr:uid="{00000000-0005-0000-0000-0000106D0000}"/>
    <cellStyle name="Normal 2 2 2 2 3 3 8 2 2 2" xfId="27922" xr:uid="{00000000-0005-0000-0000-0000116D0000}"/>
    <cellStyle name="Normal 2 2 2 2 3 3 8 2 3" xfId="27923" xr:uid="{00000000-0005-0000-0000-0000126D0000}"/>
    <cellStyle name="Normal 2 2 2 2 3 3 8 3" xfId="27924" xr:uid="{00000000-0005-0000-0000-0000136D0000}"/>
    <cellStyle name="Normal 2 2 2 2 3 3 8 3 2" xfId="27925" xr:uid="{00000000-0005-0000-0000-0000146D0000}"/>
    <cellStyle name="Normal 2 2 2 2 3 3 8 4" xfId="27926" xr:uid="{00000000-0005-0000-0000-0000156D0000}"/>
    <cellStyle name="Normal 2 2 2 2 3 3 9" xfId="27927" xr:uid="{00000000-0005-0000-0000-0000166D0000}"/>
    <cellStyle name="Normal 2 2 2 2 3 3 9 2" xfId="27928" xr:uid="{00000000-0005-0000-0000-0000176D0000}"/>
    <cellStyle name="Normal 2 2 2 2 3 3 9 2 2" xfId="27929" xr:uid="{00000000-0005-0000-0000-0000186D0000}"/>
    <cellStyle name="Normal 2 2 2 2 3 3 9 3" xfId="27930" xr:uid="{00000000-0005-0000-0000-0000196D0000}"/>
    <cellStyle name="Normal 2 2 2 2 3 4" xfId="27931" xr:uid="{00000000-0005-0000-0000-00001A6D0000}"/>
    <cellStyle name="Normal 2 2 2 2 3 4 10" xfId="27932" xr:uid="{00000000-0005-0000-0000-00001B6D0000}"/>
    <cellStyle name="Normal 2 2 2 2 3 4 10 2" xfId="27933" xr:uid="{00000000-0005-0000-0000-00001C6D0000}"/>
    <cellStyle name="Normal 2 2 2 2 3 4 10 2 2" xfId="27934" xr:uid="{00000000-0005-0000-0000-00001D6D0000}"/>
    <cellStyle name="Normal 2 2 2 2 3 4 10 3" xfId="27935" xr:uid="{00000000-0005-0000-0000-00001E6D0000}"/>
    <cellStyle name="Normal 2 2 2 2 3 4 11" xfId="27936" xr:uid="{00000000-0005-0000-0000-00001F6D0000}"/>
    <cellStyle name="Normal 2 2 2 2 3 4 11 2" xfId="27937" xr:uid="{00000000-0005-0000-0000-0000206D0000}"/>
    <cellStyle name="Normal 2 2 2 2 3 4 11 2 2" xfId="27938" xr:uid="{00000000-0005-0000-0000-0000216D0000}"/>
    <cellStyle name="Normal 2 2 2 2 3 4 11 3" xfId="27939" xr:uid="{00000000-0005-0000-0000-0000226D0000}"/>
    <cellStyle name="Normal 2 2 2 2 3 4 12" xfId="27940" xr:uid="{00000000-0005-0000-0000-0000236D0000}"/>
    <cellStyle name="Normal 2 2 2 2 3 4 12 2" xfId="27941" xr:uid="{00000000-0005-0000-0000-0000246D0000}"/>
    <cellStyle name="Normal 2 2 2 2 3 4 12 2 2" xfId="27942" xr:uid="{00000000-0005-0000-0000-0000256D0000}"/>
    <cellStyle name="Normal 2 2 2 2 3 4 12 3" xfId="27943" xr:uid="{00000000-0005-0000-0000-0000266D0000}"/>
    <cellStyle name="Normal 2 2 2 2 3 4 13" xfId="27944" xr:uid="{00000000-0005-0000-0000-0000276D0000}"/>
    <cellStyle name="Normal 2 2 2 2 3 4 13 2" xfId="27945" xr:uid="{00000000-0005-0000-0000-0000286D0000}"/>
    <cellStyle name="Normal 2 2 2 2 3 4 14" xfId="27946" xr:uid="{00000000-0005-0000-0000-0000296D0000}"/>
    <cellStyle name="Normal 2 2 2 2 3 4 2" xfId="27947" xr:uid="{00000000-0005-0000-0000-00002A6D0000}"/>
    <cellStyle name="Normal 2 2 2 2 3 4 2 2" xfId="27948" xr:uid="{00000000-0005-0000-0000-00002B6D0000}"/>
    <cellStyle name="Normal 2 2 2 2 3 4 2 2 2" xfId="27949" xr:uid="{00000000-0005-0000-0000-00002C6D0000}"/>
    <cellStyle name="Normal 2 2 2 2 3 4 2 2 2 2" xfId="27950" xr:uid="{00000000-0005-0000-0000-00002D6D0000}"/>
    <cellStyle name="Normal 2 2 2 2 3 4 2 2 2 2 2" xfId="27951" xr:uid="{00000000-0005-0000-0000-00002E6D0000}"/>
    <cellStyle name="Normal 2 2 2 2 3 4 2 2 2 3" xfId="27952" xr:uid="{00000000-0005-0000-0000-00002F6D0000}"/>
    <cellStyle name="Normal 2 2 2 2 3 4 2 2 3" xfId="27953" xr:uid="{00000000-0005-0000-0000-0000306D0000}"/>
    <cellStyle name="Normal 2 2 2 2 3 4 2 2 3 2" xfId="27954" xr:uid="{00000000-0005-0000-0000-0000316D0000}"/>
    <cellStyle name="Normal 2 2 2 2 3 4 2 2 4" xfId="27955" xr:uid="{00000000-0005-0000-0000-0000326D0000}"/>
    <cellStyle name="Normal 2 2 2 2 3 4 2 3" xfId="27956" xr:uid="{00000000-0005-0000-0000-0000336D0000}"/>
    <cellStyle name="Normal 2 2 2 2 3 4 2 3 2" xfId="27957" xr:uid="{00000000-0005-0000-0000-0000346D0000}"/>
    <cellStyle name="Normal 2 2 2 2 3 4 2 3 2 2" xfId="27958" xr:uid="{00000000-0005-0000-0000-0000356D0000}"/>
    <cellStyle name="Normal 2 2 2 2 3 4 2 3 3" xfId="27959" xr:uid="{00000000-0005-0000-0000-0000366D0000}"/>
    <cellStyle name="Normal 2 2 2 2 3 4 2 4" xfId="27960" xr:uid="{00000000-0005-0000-0000-0000376D0000}"/>
    <cellStyle name="Normal 2 2 2 2 3 4 2 4 2" xfId="27961" xr:uid="{00000000-0005-0000-0000-0000386D0000}"/>
    <cellStyle name="Normal 2 2 2 2 3 4 2 4 2 2" xfId="27962" xr:uid="{00000000-0005-0000-0000-0000396D0000}"/>
    <cellStyle name="Normal 2 2 2 2 3 4 2 4 3" xfId="27963" xr:uid="{00000000-0005-0000-0000-00003A6D0000}"/>
    <cellStyle name="Normal 2 2 2 2 3 4 2 5" xfId="27964" xr:uid="{00000000-0005-0000-0000-00003B6D0000}"/>
    <cellStyle name="Normal 2 2 2 2 3 4 2 5 2" xfId="27965" xr:uid="{00000000-0005-0000-0000-00003C6D0000}"/>
    <cellStyle name="Normal 2 2 2 2 3 4 2 5 2 2" xfId="27966" xr:uid="{00000000-0005-0000-0000-00003D6D0000}"/>
    <cellStyle name="Normal 2 2 2 2 3 4 2 5 3" xfId="27967" xr:uid="{00000000-0005-0000-0000-00003E6D0000}"/>
    <cellStyle name="Normal 2 2 2 2 3 4 2 6" xfId="27968" xr:uid="{00000000-0005-0000-0000-00003F6D0000}"/>
    <cellStyle name="Normal 2 2 2 2 3 4 2 6 2" xfId="27969" xr:uid="{00000000-0005-0000-0000-0000406D0000}"/>
    <cellStyle name="Normal 2 2 2 2 3 4 2 6 2 2" xfId="27970" xr:uid="{00000000-0005-0000-0000-0000416D0000}"/>
    <cellStyle name="Normal 2 2 2 2 3 4 2 6 3" xfId="27971" xr:uid="{00000000-0005-0000-0000-0000426D0000}"/>
    <cellStyle name="Normal 2 2 2 2 3 4 2 7" xfId="27972" xr:uid="{00000000-0005-0000-0000-0000436D0000}"/>
    <cellStyle name="Normal 2 2 2 2 3 4 2 7 2" xfId="27973" xr:uid="{00000000-0005-0000-0000-0000446D0000}"/>
    <cellStyle name="Normal 2 2 2 2 3 4 2 8" xfId="27974" xr:uid="{00000000-0005-0000-0000-0000456D0000}"/>
    <cellStyle name="Normal 2 2 2 2 3 4 3" xfId="27975" xr:uid="{00000000-0005-0000-0000-0000466D0000}"/>
    <cellStyle name="Normal 2 2 2 2 3 4 3 2" xfId="27976" xr:uid="{00000000-0005-0000-0000-0000476D0000}"/>
    <cellStyle name="Normal 2 2 2 2 3 4 3 2 2" xfId="27977" xr:uid="{00000000-0005-0000-0000-0000486D0000}"/>
    <cellStyle name="Normal 2 2 2 2 3 4 3 2 2 2" xfId="27978" xr:uid="{00000000-0005-0000-0000-0000496D0000}"/>
    <cellStyle name="Normal 2 2 2 2 3 4 3 2 2 2 2" xfId="27979" xr:uid="{00000000-0005-0000-0000-00004A6D0000}"/>
    <cellStyle name="Normal 2 2 2 2 3 4 3 2 2 3" xfId="27980" xr:uid="{00000000-0005-0000-0000-00004B6D0000}"/>
    <cellStyle name="Normal 2 2 2 2 3 4 3 2 3" xfId="27981" xr:uid="{00000000-0005-0000-0000-00004C6D0000}"/>
    <cellStyle name="Normal 2 2 2 2 3 4 3 2 3 2" xfId="27982" xr:uid="{00000000-0005-0000-0000-00004D6D0000}"/>
    <cellStyle name="Normal 2 2 2 2 3 4 3 2 4" xfId="27983" xr:uid="{00000000-0005-0000-0000-00004E6D0000}"/>
    <cellStyle name="Normal 2 2 2 2 3 4 3 3" xfId="27984" xr:uid="{00000000-0005-0000-0000-00004F6D0000}"/>
    <cellStyle name="Normal 2 2 2 2 3 4 3 3 2" xfId="27985" xr:uid="{00000000-0005-0000-0000-0000506D0000}"/>
    <cellStyle name="Normal 2 2 2 2 3 4 3 3 2 2" xfId="27986" xr:uid="{00000000-0005-0000-0000-0000516D0000}"/>
    <cellStyle name="Normal 2 2 2 2 3 4 3 3 3" xfId="27987" xr:uid="{00000000-0005-0000-0000-0000526D0000}"/>
    <cellStyle name="Normal 2 2 2 2 3 4 3 4" xfId="27988" xr:uid="{00000000-0005-0000-0000-0000536D0000}"/>
    <cellStyle name="Normal 2 2 2 2 3 4 3 4 2" xfId="27989" xr:uid="{00000000-0005-0000-0000-0000546D0000}"/>
    <cellStyle name="Normal 2 2 2 2 3 4 3 4 2 2" xfId="27990" xr:uid="{00000000-0005-0000-0000-0000556D0000}"/>
    <cellStyle name="Normal 2 2 2 2 3 4 3 4 3" xfId="27991" xr:uid="{00000000-0005-0000-0000-0000566D0000}"/>
    <cellStyle name="Normal 2 2 2 2 3 4 3 5" xfId="27992" xr:uid="{00000000-0005-0000-0000-0000576D0000}"/>
    <cellStyle name="Normal 2 2 2 2 3 4 3 5 2" xfId="27993" xr:uid="{00000000-0005-0000-0000-0000586D0000}"/>
    <cellStyle name="Normal 2 2 2 2 3 4 3 5 2 2" xfId="27994" xr:uid="{00000000-0005-0000-0000-0000596D0000}"/>
    <cellStyle name="Normal 2 2 2 2 3 4 3 5 3" xfId="27995" xr:uid="{00000000-0005-0000-0000-00005A6D0000}"/>
    <cellStyle name="Normal 2 2 2 2 3 4 3 6" xfId="27996" xr:uid="{00000000-0005-0000-0000-00005B6D0000}"/>
    <cellStyle name="Normal 2 2 2 2 3 4 3 6 2" xfId="27997" xr:uid="{00000000-0005-0000-0000-00005C6D0000}"/>
    <cellStyle name="Normal 2 2 2 2 3 4 3 6 2 2" xfId="27998" xr:uid="{00000000-0005-0000-0000-00005D6D0000}"/>
    <cellStyle name="Normal 2 2 2 2 3 4 3 6 3" xfId="27999" xr:uid="{00000000-0005-0000-0000-00005E6D0000}"/>
    <cellStyle name="Normal 2 2 2 2 3 4 3 7" xfId="28000" xr:uid="{00000000-0005-0000-0000-00005F6D0000}"/>
    <cellStyle name="Normal 2 2 2 2 3 4 3 7 2" xfId="28001" xr:uid="{00000000-0005-0000-0000-0000606D0000}"/>
    <cellStyle name="Normal 2 2 2 2 3 4 3 8" xfId="28002" xr:uid="{00000000-0005-0000-0000-0000616D0000}"/>
    <cellStyle name="Normal 2 2 2 2 3 4 4" xfId="28003" xr:uid="{00000000-0005-0000-0000-0000626D0000}"/>
    <cellStyle name="Normal 2 2 2 2 3 4 4 2" xfId="28004" xr:uid="{00000000-0005-0000-0000-0000636D0000}"/>
    <cellStyle name="Normal 2 2 2 2 3 4 4 2 2" xfId="28005" xr:uid="{00000000-0005-0000-0000-0000646D0000}"/>
    <cellStyle name="Normal 2 2 2 2 3 4 4 2 2 2" xfId="28006" xr:uid="{00000000-0005-0000-0000-0000656D0000}"/>
    <cellStyle name="Normal 2 2 2 2 3 4 4 2 2 2 2" xfId="28007" xr:uid="{00000000-0005-0000-0000-0000666D0000}"/>
    <cellStyle name="Normal 2 2 2 2 3 4 4 2 2 3" xfId="28008" xr:uid="{00000000-0005-0000-0000-0000676D0000}"/>
    <cellStyle name="Normal 2 2 2 2 3 4 4 2 3" xfId="28009" xr:uid="{00000000-0005-0000-0000-0000686D0000}"/>
    <cellStyle name="Normal 2 2 2 2 3 4 4 2 3 2" xfId="28010" xr:uid="{00000000-0005-0000-0000-0000696D0000}"/>
    <cellStyle name="Normal 2 2 2 2 3 4 4 2 4" xfId="28011" xr:uid="{00000000-0005-0000-0000-00006A6D0000}"/>
    <cellStyle name="Normal 2 2 2 2 3 4 4 3" xfId="28012" xr:uid="{00000000-0005-0000-0000-00006B6D0000}"/>
    <cellStyle name="Normal 2 2 2 2 3 4 4 3 2" xfId="28013" xr:uid="{00000000-0005-0000-0000-00006C6D0000}"/>
    <cellStyle name="Normal 2 2 2 2 3 4 4 3 2 2" xfId="28014" xr:uid="{00000000-0005-0000-0000-00006D6D0000}"/>
    <cellStyle name="Normal 2 2 2 2 3 4 4 3 3" xfId="28015" xr:uid="{00000000-0005-0000-0000-00006E6D0000}"/>
    <cellStyle name="Normal 2 2 2 2 3 4 4 4" xfId="28016" xr:uid="{00000000-0005-0000-0000-00006F6D0000}"/>
    <cellStyle name="Normal 2 2 2 2 3 4 4 4 2" xfId="28017" xr:uid="{00000000-0005-0000-0000-0000706D0000}"/>
    <cellStyle name="Normal 2 2 2 2 3 4 4 4 2 2" xfId="28018" xr:uid="{00000000-0005-0000-0000-0000716D0000}"/>
    <cellStyle name="Normal 2 2 2 2 3 4 4 4 3" xfId="28019" xr:uid="{00000000-0005-0000-0000-0000726D0000}"/>
    <cellStyle name="Normal 2 2 2 2 3 4 4 5" xfId="28020" xr:uid="{00000000-0005-0000-0000-0000736D0000}"/>
    <cellStyle name="Normal 2 2 2 2 3 4 4 5 2" xfId="28021" xr:uid="{00000000-0005-0000-0000-0000746D0000}"/>
    <cellStyle name="Normal 2 2 2 2 3 4 4 5 2 2" xfId="28022" xr:uid="{00000000-0005-0000-0000-0000756D0000}"/>
    <cellStyle name="Normal 2 2 2 2 3 4 4 5 3" xfId="28023" xr:uid="{00000000-0005-0000-0000-0000766D0000}"/>
    <cellStyle name="Normal 2 2 2 2 3 4 4 6" xfId="28024" xr:uid="{00000000-0005-0000-0000-0000776D0000}"/>
    <cellStyle name="Normal 2 2 2 2 3 4 4 6 2" xfId="28025" xr:uid="{00000000-0005-0000-0000-0000786D0000}"/>
    <cellStyle name="Normal 2 2 2 2 3 4 4 6 2 2" xfId="28026" xr:uid="{00000000-0005-0000-0000-0000796D0000}"/>
    <cellStyle name="Normal 2 2 2 2 3 4 4 6 3" xfId="28027" xr:uid="{00000000-0005-0000-0000-00007A6D0000}"/>
    <cellStyle name="Normal 2 2 2 2 3 4 4 7" xfId="28028" xr:uid="{00000000-0005-0000-0000-00007B6D0000}"/>
    <cellStyle name="Normal 2 2 2 2 3 4 4 7 2" xfId="28029" xr:uid="{00000000-0005-0000-0000-00007C6D0000}"/>
    <cellStyle name="Normal 2 2 2 2 3 4 4 8" xfId="28030" xr:uid="{00000000-0005-0000-0000-00007D6D0000}"/>
    <cellStyle name="Normal 2 2 2 2 3 4 5" xfId="28031" xr:uid="{00000000-0005-0000-0000-00007E6D0000}"/>
    <cellStyle name="Normal 2 2 2 2 3 4 5 2" xfId="28032" xr:uid="{00000000-0005-0000-0000-00007F6D0000}"/>
    <cellStyle name="Normal 2 2 2 2 3 4 5 2 2" xfId="28033" xr:uid="{00000000-0005-0000-0000-0000806D0000}"/>
    <cellStyle name="Normal 2 2 2 2 3 4 5 2 2 2" xfId="28034" xr:uid="{00000000-0005-0000-0000-0000816D0000}"/>
    <cellStyle name="Normal 2 2 2 2 3 4 5 2 2 2 2" xfId="28035" xr:uid="{00000000-0005-0000-0000-0000826D0000}"/>
    <cellStyle name="Normal 2 2 2 2 3 4 5 2 2 3" xfId="28036" xr:uid="{00000000-0005-0000-0000-0000836D0000}"/>
    <cellStyle name="Normal 2 2 2 2 3 4 5 2 3" xfId="28037" xr:uid="{00000000-0005-0000-0000-0000846D0000}"/>
    <cellStyle name="Normal 2 2 2 2 3 4 5 2 3 2" xfId="28038" xr:uid="{00000000-0005-0000-0000-0000856D0000}"/>
    <cellStyle name="Normal 2 2 2 2 3 4 5 2 4" xfId="28039" xr:uid="{00000000-0005-0000-0000-0000866D0000}"/>
    <cellStyle name="Normal 2 2 2 2 3 4 5 3" xfId="28040" xr:uid="{00000000-0005-0000-0000-0000876D0000}"/>
    <cellStyle name="Normal 2 2 2 2 3 4 5 3 2" xfId="28041" xr:uid="{00000000-0005-0000-0000-0000886D0000}"/>
    <cellStyle name="Normal 2 2 2 2 3 4 5 3 2 2" xfId="28042" xr:uid="{00000000-0005-0000-0000-0000896D0000}"/>
    <cellStyle name="Normal 2 2 2 2 3 4 5 3 3" xfId="28043" xr:uid="{00000000-0005-0000-0000-00008A6D0000}"/>
    <cellStyle name="Normal 2 2 2 2 3 4 5 4" xfId="28044" xr:uid="{00000000-0005-0000-0000-00008B6D0000}"/>
    <cellStyle name="Normal 2 2 2 2 3 4 5 4 2" xfId="28045" xr:uid="{00000000-0005-0000-0000-00008C6D0000}"/>
    <cellStyle name="Normal 2 2 2 2 3 4 5 5" xfId="28046" xr:uid="{00000000-0005-0000-0000-00008D6D0000}"/>
    <cellStyle name="Normal 2 2 2 2 3 4 6" xfId="28047" xr:uid="{00000000-0005-0000-0000-00008E6D0000}"/>
    <cellStyle name="Normal 2 2 2 2 3 4 6 2" xfId="28048" xr:uid="{00000000-0005-0000-0000-00008F6D0000}"/>
    <cellStyle name="Normal 2 2 2 2 3 4 6 2 2" xfId="28049" xr:uid="{00000000-0005-0000-0000-0000906D0000}"/>
    <cellStyle name="Normal 2 2 2 2 3 4 6 2 2 2" xfId="28050" xr:uid="{00000000-0005-0000-0000-0000916D0000}"/>
    <cellStyle name="Normal 2 2 2 2 3 4 6 2 2 2 2" xfId="28051" xr:uid="{00000000-0005-0000-0000-0000926D0000}"/>
    <cellStyle name="Normal 2 2 2 2 3 4 6 2 2 3" xfId="28052" xr:uid="{00000000-0005-0000-0000-0000936D0000}"/>
    <cellStyle name="Normal 2 2 2 2 3 4 6 2 3" xfId="28053" xr:uid="{00000000-0005-0000-0000-0000946D0000}"/>
    <cellStyle name="Normal 2 2 2 2 3 4 6 2 3 2" xfId="28054" xr:uid="{00000000-0005-0000-0000-0000956D0000}"/>
    <cellStyle name="Normal 2 2 2 2 3 4 6 2 4" xfId="28055" xr:uid="{00000000-0005-0000-0000-0000966D0000}"/>
    <cellStyle name="Normal 2 2 2 2 3 4 6 3" xfId="28056" xr:uid="{00000000-0005-0000-0000-0000976D0000}"/>
    <cellStyle name="Normal 2 2 2 2 3 4 6 3 2" xfId="28057" xr:uid="{00000000-0005-0000-0000-0000986D0000}"/>
    <cellStyle name="Normal 2 2 2 2 3 4 6 3 2 2" xfId="28058" xr:uid="{00000000-0005-0000-0000-0000996D0000}"/>
    <cellStyle name="Normal 2 2 2 2 3 4 6 3 3" xfId="28059" xr:uid="{00000000-0005-0000-0000-00009A6D0000}"/>
    <cellStyle name="Normal 2 2 2 2 3 4 6 4" xfId="28060" xr:uid="{00000000-0005-0000-0000-00009B6D0000}"/>
    <cellStyle name="Normal 2 2 2 2 3 4 6 4 2" xfId="28061" xr:uid="{00000000-0005-0000-0000-00009C6D0000}"/>
    <cellStyle name="Normal 2 2 2 2 3 4 6 5" xfId="28062" xr:uid="{00000000-0005-0000-0000-00009D6D0000}"/>
    <cellStyle name="Normal 2 2 2 2 3 4 7" xfId="28063" xr:uid="{00000000-0005-0000-0000-00009E6D0000}"/>
    <cellStyle name="Normal 2 2 2 2 3 4 7 2" xfId="28064" xr:uid="{00000000-0005-0000-0000-00009F6D0000}"/>
    <cellStyle name="Normal 2 2 2 2 3 4 7 2 2" xfId="28065" xr:uid="{00000000-0005-0000-0000-0000A06D0000}"/>
    <cellStyle name="Normal 2 2 2 2 3 4 7 2 2 2" xfId="28066" xr:uid="{00000000-0005-0000-0000-0000A16D0000}"/>
    <cellStyle name="Normal 2 2 2 2 3 4 7 2 3" xfId="28067" xr:uid="{00000000-0005-0000-0000-0000A26D0000}"/>
    <cellStyle name="Normal 2 2 2 2 3 4 7 3" xfId="28068" xr:uid="{00000000-0005-0000-0000-0000A36D0000}"/>
    <cellStyle name="Normal 2 2 2 2 3 4 7 3 2" xfId="28069" xr:uid="{00000000-0005-0000-0000-0000A46D0000}"/>
    <cellStyle name="Normal 2 2 2 2 3 4 7 4" xfId="28070" xr:uid="{00000000-0005-0000-0000-0000A56D0000}"/>
    <cellStyle name="Normal 2 2 2 2 3 4 8" xfId="28071" xr:uid="{00000000-0005-0000-0000-0000A66D0000}"/>
    <cellStyle name="Normal 2 2 2 2 3 4 8 2" xfId="28072" xr:uid="{00000000-0005-0000-0000-0000A76D0000}"/>
    <cellStyle name="Normal 2 2 2 2 3 4 8 2 2" xfId="28073" xr:uid="{00000000-0005-0000-0000-0000A86D0000}"/>
    <cellStyle name="Normal 2 2 2 2 3 4 8 2 2 2" xfId="28074" xr:uid="{00000000-0005-0000-0000-0000A96D0000}"/>
    <cellStyle name="Normal 2 2 2 2 3 4 8 2 3" xfId="28075" xr:uid="{00000000-0005-0000-0000-0000AA6D0000}"/>
    <cellStyle name="Normal 2 2 2 2 3 4 8 3" xfId="28076" xr:uid="{00000000-0005-0000-0000-0000AB6D0000}"/>
    <cellStyle name="Normal 2 2 2 2 3 4 8 3 2" xfId="28077" xr:uid="{00000000-0005-0000-0000-0000AC6D0000}"/>
    <cellStyle name="Normal 2 2 2 2 3 4 8 4" xfId="28078" xr:uid="{00000000-0005-0000-0000-0000AD6D0000}"/>
    <cellStyle name="Normal 2 2 2 2 3 4 9" xfId="28079" xr:uid="{00000000-0005-0000-0000-0000AE6D0000}"/>
    <cellStyle name="Normal 2 2 2 2 3 4 9 2" xfId="28080" xr:uid="{00000000-0005-0000-0000-0000AF6D0000}"/>
    <cellStyle name="Normal 2 2 2 2 3 4 9 2 2" xfId="28081" xr:uid="{00000000-0005-0000-0000-0000B06D0000}"/>
    <cellStyle name="Normal 2 2 2 2 3 4 9 3" xfId="28082" xr:uid="{00000000-0005-0000-0000-0000B16D0000}"/>
    <cellStyle name="Normal 2 2 2 2 3 5" xfId="28083" xr:uid="{00000000-0005-0000-0000-0000B26D0000}"/>
    <cellStyle name="Normal 2 2 2 2 3 5 10" xfId="28084" xr:uid="{00000000-0005-0000-0000-0000B36D0000}"/>
    <cellStyle name="Normal 2 2 2 2 3 5 10 2" xfId="28085" xr:uid="{00000000-0005-0000-0000-0000B46D0000}"/>
    <cellStyle name="Normal 2 2 2 2 3 5 10 2 2" xfId="28086" xr:uid="{00000000-0005-0000-0000-0000B56D0000}"/>
    <cellStyle name="Normal 2 2 2 2 3 5 10 3" xfId="28087" xr:uid="{00000000-0005-0000-0000-0000B66D0000}"/>
    <cellStyle name="Normal 2 2 2 2 3 5 11" xfId="28088" xr:uid="{00000000-0005-0000-0000-0000B76D0000}"/>
    <cellStyle name="Normal 2 2 2 2 3 5 11 2" xfId="28089" xr:uid="{00000000-0005-0000-0000-0000B86D0000}"/>
    <cellStyle name="Normal 2 2 2 2 3 5 11 2 2" xfId="28090" xr:uid="{00000000-0005-0000-0000-0000B96D0000}"/>
    <cellStyle name="Normal 2 2 2 2 3 5 11 3" xfId="28091" xr:uid="{00000000-0005-0000-0000-0000BA6D0000}"/>
    <cellStyle name="Normal 2 2 2 2 3 5 12" xfId="28092" xr:uid="{00000000-0005-0000-0000-0000BB6D0000}"/>
    <cellStyle name="Normal 2 2 2 2 3 5 12 2" xfId="28093" xr:uid="{00000000-0005-0000-0000-0000BC6D0000}"/>
    <cellStyle name="Normal 2 2 2 2 3 5 12 2 2" xfId="28094" xr:uid="{00000000-0005-0000-0000-0000BD6D0000}"/>
    <cellStyle name="Normal 2 2 2 2 3 5 12 3" xfId="28095" xr:uid="{00000000-0005-0000-0000-0000BE6D0000}"/>
    <cellStyle name="Normal 2 2 2 2 3 5 13" xfId="28096" xr:uid="{00000000-0005-0000-0000-0000BF6D0000}"/>
    <cellStyle name="Normal 2 2 2 2 3 5 13 2" xfId="28097" xr:uid="{00000000-0005-0000-0000-0000C06D0000}"/>
    <cellStyle name="Normal 2 2 2 2 3 5 14" xfId="28098" xr:uid="{00000000-0005-0000-0000-0000C16D0000}"/>
    <cellStyle name="Normal 2 2 2 2 3 5 2" xfId="28099" xr:uid="{00000000-0005-0000-0000-0000C26D0000}"/>
    <cellStyle name="Normal 2 2 2 2 3 5 2 2" xfId="28100" xr:uid="{00000000-0005-0000-0000-0000C36D0000}"/>
    <cellStyle name="Normal 2 2 2 2 3 5 2 2 2" xfId="28101" xr:uid="{00000000-0005-0000-0000-0000C46D0000}"/>
    <cellStyle name="Normal 2 2 2 2 3 5 2 2 2 2" xfId="28102" xr:uid="{00000000-0005-0000-0000-0000C56D0000}"/>
    <cellStyle name="Normal 2 2 2 2 3 5 2 2 2 2 2" xfId="28103" xr:uid="{00000000-0005-0000-0000-0000C66D0000}"/>
    <cellStyle name="Normal 2 2 2 2 3 5 2 2 2 3" xfId="28104" xr:uid="{00000000-0005-0000-0000-0000C76D0000}"/>
    <cellStyle name="Normal 2 2 2 2 3 5 2 2 3" xfId="28105" xr:uid="{00000000-0005-0000-0000-0000C86D0000}"/>
    <cellStyle name="Normal 2 2 2 2 3 5 2 2 3 2" xfId="28106" xr:uid="{00000000-0005-0000-0000-0000C96D0000}"/>
    <cellStyle name="Normal 2 2 2 2 3 5 2 2 4" xfId="28107" xr:uid="{00000000-0005-0000-0000-0000CA6D0000}"/>
    <cellStyle name="Normal 2 2 2 2 3 5 2 3" xfId="28108" xr:uid="{00000000-0005-0000-0000-0000CB6D0000}"/>
    <cellStyle name="Normal 2 2 2 2 3 5 2 3 2" xfId="28109" xr:uid="{00000000-0005-0000-0000-0000CC6D0000}"/>
    <cellStyle name="Normal 2 2 2 2 3 5 2 3 2 2" xfId="28110" xr:uid="{00000000-0005-0000-0000-0000CD6D0000}"/>
    <cellStyle name="Normal 2 2 2 2 3 5 2 3 3" xfId="28111" xr:uid="{00000000-0005-0000-0000-0000CE6D0000}"/>
    <cellStyle name="Normal 2 2 2 2 3 5 2 4" xfId="28112" xr:uid="{00000000-0005-0000-0000-0000CF6D0000}"/>
    <cellStyle name="Normal 2 2 2 2 3 5 2 4 2" xfId="28113" xr:uid="{00000000-0005-0000-0000-0000D06D0000}"/>
    <cellStyle name="Normal 2 2 2 2 3 5 2 4 2 2" xfId="28114" xr:uid="{00000000-0005-0000-0000-0000D16D0000}"/>
    <cellStyle name="Normal 2 2 2 2 3 5 2 4 3" xfId="28115" xr:uid="{00000000-0005-0000-0000-0000D26D0000}"/>
    <cellStyle name="Normal 2 2 2 2 3 5 2 5" xfId="28116" xr:uid="{00000000-0005-0000-0000-0000D36D0000}"/>
    <cellStyle name="Normal 2 2 2 2 3 5 2 5 2" xfId="28117" xr:uid="{00000000-0005-0000-0000-0000D46D0000}"/>
    <cellStyle name="Normal 2 2 2 2 3 5 2 5 2 2" xfId="28118" xr:uid="{00000000-0005-0000-0000-0000D56D0000}"/>
    <cellStyle name="Normal 2 2 2 2 3 5 2 5 3" xfId="28119" xr:uid="{00000000-0005-0000-0000-0000D66D0000}"/>
    <cellStyle name="Normal 2 2 2 2 3 5 2 6" xfId="28120" xr:uid="{00000000-0005-0000-0000-0000D76D0000}"/>
    <cellStyle name="Normal 2 2 2 2 3 5 2 6 2" xfId="28121" xr:uid="{00000000-0005-0000-0000-0000D86D0000}"/>
    <cellStyle name="Normal 2 2 2 2 3 5 2 6 2 2" xfId="28122" xr:uid="{00000000-0005-0000-0000-0000D96D0000}"/>
    <cellStyle name="Normal 2 2 2 2 3 5 2 6 3" xfId="28123" xr:uid="{00000000-0005-0000-0000-0000DA6D0000}"/>
    <cellStyle name="Normal 2 2 2 2 3 5 2 7" xfId="28124" xr:uid="{00000000-0005-0000-0000-0000DB6D0000}"/>
    <cellStyle name="Normal 2 2 2 2 3 5 2 7 2" xfId="28125" xr:uid="{00000000-0005-0000-0000-0000DC6D0000}"/>
    <cellStyle name="Normal 2 2 2 2 3 5 2 8" xfId="28126" xr:uid="{00000000-0005-0000-0000-0000DD6D0000}"/>
    <cellStyle name="Normal 2 2 2 2 3 5 3" xfId="28127" xr:uid="{00000000-0005-0000-0000-0000DE6D0000}"/>
    <cellStyle name="Normal 2 2 2 2 3 5 3 2" xfId="28128" xr:uid="{00000000-0005-0000-0000-0000DF6D0000}"/>
    <cellStyle name="Normal 2 2 2 2 3 5 3 2 2" xfId="28129" xr:uid="{00000000-0005-0000-0000-0000E06D0000}"/>
    <cellStyle name="Normal 2 2 2 2 3 5 3 2 2 2" xfId="28130" xr:uid="{00000000-0005-0000-0000-0000E16D0000}"/>
    <cellStyle name="Normal 2 2 2 2 3 5 3 2 2 2 2" xfId="28131" xr:uid="{00000000-0005-0000-0000-0000E26D0000}"/>
    <cellStyle name="Normal 2 2 2 2 3 5 3 2 2 3" xfId="28132" xr:uid="{00000000-0005-0000-0000-0000E36D0000}"/>
    <cellStyle name="Normal 2 2 2 2 3 5 3 2 3" xfId="28133" xr:uid="{00000000-0005-0000-0000-0000E46D0000}"/>
    <cellStyle name="Normal 2 2 2 2 3 5 3 2 3 2" xfId="28134" xr:uid="{00000000-0005-0000-0000-0000E56D0000}"/>
    <cellStyle name="Normal 2 2 2 2 3 5 3 2 4" xfId="28135" xr:uid="{00000000-0005-0000-0000-0000E66D0000}"/>
    <cellStyle name="Normal 2 2 2 2 3 5 3 3" xfId="28136" xr:uid="{00000000-0005-0000-0000-0000E76D0000}"/>
    <cellStyle name="Normal 2 2 2 2 3 5 3 3 2" xfId="28137" xr:uid="{00000000-0005-0000-0000-0000E86D0000}"/>
    <cellStyle name="Normal 2 2 2 2 3 5 3 3 2 2" xfId="28138" xr:uid="{00000000-0005-0000-0000-0000E96D0000}"/>
    <cellStyle name="Normal 2 2 2 2 3 5 3 3 3" xfId="28139" xr:uid="{00000000-0005-0000-0000-0000EA6D0000}"/>
    <cellStyle name="Normal 2 2 2 2 3 5 3 4" xfId="28140" xr:uid="{00000000-0005-0000-0000-0000EB6D0000}"/>
    <cellStyle name="Normal 2 2 2 2 3 5 3 4 2" xfId="28141" xr:uid="{00000000-0005-0000-0000-0000EC6D0000}"/>
    <cellStyle name="Normal 2 2 2 2 3 5 3 4 2 2" xfId="28142" xr:uid="{00000000-0005-0000-0000-0000ED6D0000}"/>
    <cellStyle name="Normal 2 2 2 2 3 5 3 4 3" xfId="28143" xr:uid="{00000000-0005-0000-0000-0000EE6D0000}"/>
    <cellStyle name="Normal 2 2 2 2 3 5 3 5" xfId="28144" xr:uid="{00000000-0005-0000-0000-0000EF6D0000}"/>
    <cellStyle name="Normal 2 2 2 2 3 5 3 5 2" xfId="28145" xr:uid="{00000000-0005-0000-0000-0000F06D0000}"/>
    <cellStyle name="Normal 2 2 2 2 3 5 3 5 2 2" xfId="28146" xr:uid="{00000000-0005-0000-0000-0000F16D0000}"/>
    <cellStyle name="Normal 2 2 2 2 3 5 3 5 3" xfId="28147" xr:uid="{00000000-0005-0000-0000-0000F26D0000}"/>
    <cellStyle name="Normal 2 2 2 2 3 5 3 6" xfId="28148" xr:uid="{00000000-0005-0000-0000-0000F36D0000}"/>
    <cellStyle name="Normal 2 2 2 2 3 5 3 6 2" xfId="28149" xr:uid="{00000000-0005-0000-0000-0000F46D0000}"/>
    <cellStyle name="Normal 2 2 2 2 3 5 3 6 2 2" xfId="28150" xr:uid="{00000000-0005-0000-0000-0000F56D0000}"/>
    <cellStyle name="Normal 2 2 2 2 3 5 3 6 3" xfId="28151" xr:uid="{00000000-0005-0000-0000-0000F66D0000}"/>
    <cellStyle name="Normal 2 2 2 2 3 5 3 7" xfId="28152" xr:uid="{00000000-0005-0000-0000-0000F76D0000}"/>
    <cellStyle name="Normal 2 2 2 2 3 5 3 7 2" xfId="28153" xr:uid="{00000000-0005-0000-0000-0000F86D0000}"/>
    <cellStyle name="Normal 2 2 2 2 3 5 3 8" xfId="28154" xr:uid="{00000000-0005-0000-0000-0000F96D0000}"/>
    <cellStyle name="Normal 2 2 2 2 3 5 4" xfId="28155" xr:uid="{00000000-0005-0000-0000-0000FA6D0000}"/>
    <cellStyle name="Normal 2 2 2 2 3 5 4 2" xfId="28156" xr:uid="{00000000-0005-0000-0000-0000FB6D0000}"/>
    <cellStyle name="Normal 2 2 2 2 3 5 4 2 2" xfId="28157" xr:uid="{00000000-0005-0000-0000-0000FC6D0000}"/>
    <cellStyle name="Normal 2 2 2 2 3 5 4 2 2 2" xfId="28158" xr:uid="{00000000-0005-0000-0000-0000FD6D0000}"/>
    <cellStyle name="Normal 2 2 2 2 3 5 4 2 2 2 2" xfId="28159" xr:uid="{00000000-0005-0000-0000-0000FE6D0000}"/>
    <cellStyle name="Normal 2 2 2 2 3 5 4 2 2 3" xfId="28160" xr:uid="{00000000-0005-0000-0000-0000FF6D0000}"/>
    <cellStyle name="Normal 2 2 2 2 3 5 4 2 3" xfId="28161" xr:uid="{00000000-0005-0000-0000-0000006E0000}"/>
    <cellStyle name="Normal 2 2 2 2 3 5 4 2 3 2" xfId="28162" xr:uid="{00000000-0005-0000-0000-0000016E0000}"/>
    <cellStyle name="Normal 2 2 2 2 3 5 4 2 4" xfId="28163" xr:uid="{00000000-0005-0000-0000-0000026E0000}"/>
    <cellStyle name="Normal 2 2 2 2 3 5 4 3" xfId="28164" xr:uid="{00000000-0005-0000-0000-0000036E0000}"/>
    <cellStyle name="Normal 2 2 2 2 3 5 4 3 2" xfId="28165" xr:uid="{00000000-0005-0000-0000-0000046E0000}"/>
    <cellStyle name="Normal 2 2 2 2 3 5 4 3 2 2" xfId="28166" xr:uid="{00000000-0005-0000-0000-0000056E0000}"/>
    <cellStyle name="Normal 2 2 2 2 3 5 4 3 3" xfId="28167" xr:uid="{00000000-0005-0000-0000-0000066E0000}"/>
    <cellStyle name="Normal 2 2 2 2 3 5 4 4" xfId="28168" xr:uid="{00000000-0005-0000-0000-0000076E0000}"/>
    <cellStyle name="Normal 2 2 2 2 3 5 4 4 2" xfId="28169" xr:uid="{00000000-0005-0000-0000-0000086E0000}"/>
    <cellStyle name="Normal 2 2 2 2 3 5 4 4 2 2" xfId="28170" xr:uid="{00000000-0005-0000-0000-0000096E0000}"/>
    <cellStyle name="Normal 2 2 2 2 3 5 4 4 3" xfId="28171" xr:uid="{00000000-0005-0000-0000-00000A6E0000}"/>
    <cellStyle name="Normal 2 2 2 2 3 5 4 5" xfId="28172" xr:uid="{00000000-0005-0000-0000-00000B6E0000}"/>
    <cellStyle name="Normal 2 2 2 2 3 5 4 5 2" xfId="28173" xr:uid="{00000000-0005-0000-0000-00000C6E0000}"/>
    <cellStyle name="Normal 2 2 2 2 3 5 4 5 2 2" xfId="28174" xr:uid="{00000000-0005-0000-0000-00000D6E0000}"/>
    <cellStyle name="Normal 2 2 2 2 3 5 4 5 3" xfId="28175" xr:uid="{00000000-0005-0000-0000-00000E6E0000}"/>
    <cellStyle name="Normal 2 2 2 2 3 5 4 6" xfId="28176" xr:uid="{00000000-0005-0000-0000-00000F6E0000}"/>
    <cellStyle name="Normal 2 2 2 2 3 5 4 6 2" xfId="28177" xr:uid="{00000000-0005-0000-0000-0000106E0000}"/>
    <cellStyle name="Normal 2 2 2 2 3 5 4 6 2 2" xfId="28178" xr:uid="{00000000-0005-0000-0000-0000116E0000}"/>
    <cellStyle name="Normal 2 2 2 2 3 5 4 6 3" xfId="28179" xr:uid="{00000000-0005-0000-0000-0000126E0000}"/>
    <cellStyle name="Normal 2 2 2 2 3 5 4 7" xfId="28180" xr:uid="{00000000-0005-0000-0000-0000136E0000}"/>
    <cellStyle name="Normal 2 2 2 2 3 5 4 7 2" xfId="28181" xr:uid="{00000000-0005-0000-0000-0000146E0000}"/>
    <cellStyle name="Normal 2 2 2 2 3 5 4 8" xfId="28182" xr:uid="{00000000-0005-0000-0000-0000156E0000}"/>
    <cellStyle name="Normal 2 2 2 2 3 5 5" xfId="28183" xr:uid="{00000000-0005-0000-0000-0000166E0000}"/>
    <cellStyle name="Normal 2 2 2 2 3 5 5 2" xfId="28184" xr:uid="{00000000-0005-0000-0000-0000176E0000}"/>
    <cellStyle name="Normal 2 2 2 2 3 5 5 2 2" xfId="28185" xr:uid="{00000000-0005-0000-0000-0000186E0000}"/>
    <cellStyle name="Normal 2 2 2 2 3 5 5 2 2 2" xfId="28186" xr:uid="{00000000-0005-0000-0000-0000196E0000}"/>
    <cellStyle name="Normal 2 2 2 2 3 5 5 2 2 2 2" xfId="28187" xr:uid="{00000000-0005-0000-0000-00001A6E0000}"/>
    <cellStyle name="Normal 2 2 2 2 3 5 5 2 2 3" xfId="28188" xr:uid="{00000000-0005-0000-0000-00001B6E0000}"/>
    <cellStyle name="Normal 2 2 2 2 3 5 5 2 3" xfId="28189" xr:uid="{00000000-0005-0000-0000-00001C6E0000}"/>
    <cellStyle name="Normal 2 2 2 2 3 5 5 2 3 2" xfId="28190" xr:uid="{00000000-0005-0000-0000-00001D6E0000}"/>
    <cellStyle name="Normal 2 2 2 2 3 5 5 2 4" xfId="28191" xr:uid="{00000000-0005-0000-0000-00001E6E0000}"/>
    <cellStyle name="Normal 2 2 2 2 3 5 5 3" xfId="28192" xr:uid="{00000000-0005-0000-0000-00001F6E0000}"/>
    <cellStyle name="Normal 2 2 2 2 3 5 5 3 2" xfId="28193" xr:uid="{00000000-0005-0000-0000-0000206E0000}"/>
    <cellStyle name="Normal 2 2 2 2 3 5 5 3 2 2" xfId="28194" xr:uid="{00000000-0005-0000-0000-0000216E0000}"/>
    <cellStyle name="Normal 2 2 2 2 3 5 5 3 3" xfId="28195" xr:uid="{00000000-0005-0000-0000-0000226E0000}"/>
    <cellStyle name="Normal 2 2 2 2 3 5 5 4" xfId="28196" xr:uid="{00000000-0005-0000-0000-0000236E0000}"/>
    <cellStyle name="Normal 2 2 2 2 3 5 5 4 2" xfId="28197" xr:uid="{00000000-0005-0000-0000-0000246E0000}"/>
    <cellStyle name="Normal 2 2 2 2 3 5 5 5" xfId="28198" xr:uid="{00000000-0005-0000-0000-0000256E0000}"/>
    <cellStyle name="Normal 2 2 2 2 3 5 6" xfId="28199" xr:uid="{00000000-0005-0000-0000-0000266E0000}"/>
    <cellStyle name="Normal 2 2 2 2 3 5 6 2" xfId="28200" xr:uid="{00000000-0005-0000-0000-0000276E0000}"/>
    <cellStyle name="Normal 2 2 2 2 3 5 6 2 2" xfId="28201" xr:uid="{00000000-0005-0000-0000-0000286E0000}"/>
    <cellStyle name="Normal 2 2 2 2 3 5 6 2 2 2" xfId="28202" xr:uid="{00000000-0005-0000-0000-0000296E0000}"/>
    <cellStyle name="Normal 2 2 2 2 3 5 6 2 2 2 2" xfId="28203" xr:uid="{00000000-0005-0000-0000-00002A6E0000}"/>
    <cellStyle name="Normal 2 2 2 2 3 5 6 2 2 3" xfId="28204" xr:uid="{00000000-0005-0000-0000-00002B6E0000}"/>
    <cellStyle name="Normal 2 2 2 2 3 5 6 2 3" xfId="28205" xr:uid="{00000000-0005-0000-0000-00002C6E0000}"/>
    <cellStyle name="Normal 2 2 2 2 3 5 6 2 3 2" xfId="28206" xr:uid="{00000000-0005-0000-0000-00002D6E0000}"/>
    <cellStyle name="Normal 2 2 2 2 3 5 6 2 4" xfId="28207" xr:uid="{00000000-0005-0000-0000-00002E6E0000}"/>
    <cellStyle name="Normal 2 2 2 2 3 5 6 3" xfId="28208" xr:uid="{00000000-0005-0000-0000-00002F6E0000}"/>
    <cellStyle name="Normal 2 2 2 2 3 5 6 3 2" xfId="28209" xr:uid="{00000000-0005-0000-0000-0000306E0000}"/>
    <cellStyle name="Normal 2 2 2 2 3 5 6 3 2 2" xfId="28210" xr:uid="{00000000-0005-0000-0000-0000316E0000}"/>
    <cellStyle name="Normal 2 2 2 2 3 5 6 3 3" xfId="28211" xr:uid="{00000000-0005-0000-0000-0000326E0000}"/>
    <cellStyle name="Normal 2 2 2 2 3 5 6 4" xfId="28212" xr:uid="{00000000-0005-0000-0000-0000336E0000}"/>
    <cellStyle name="Normal 2 2 2 2 3 5 6 4 2" xfId="28213" xr:uid="{00000000-0005-0000-0000-0000346E0000}"/>
    <cellStyle name="Normal 2 2 2 2 3 5 6 5" xfId="28214" xr:uid="{00000000-0005-0000-0000-0000356E0000}"/>
    <cellStyle name="Normal 2 2 2 2 3 5 7" xfId="28215" xr:uid="{00000000-0005-0000-0000-0000366E0000}"/>
    <cellStyle name="Normal 2 2 2 2 3 5 7 2" xfId="28216" xr:uid="{00000000-0005-0000-0000-0000376E0000}"/>
    <cellStyle name="Normal 2 2 2 2 3 5 7 2 2" xfId="28217" xr:uid="{00000000-0005-0000-0000-0000386E0000}"/>
    <cellStyle name="Normal 2 2 2 2 3 5 7 2 2 2" xfId="28218" xr:uid="{00000000-0005-0000-0000-0000396E0000}"/>
    <cellStyle name="Normal 2 2 2 2 3 5 7 2 3" xfId="28219" xr:uid="{00000000-0005-0000-0000-00003A6E0000}"/>
    <cellStyle name="Normal 2 2 2 2 3 5 7 3" xfId="28220" xr:uid="{00000000-0005-0000-0000-00003B6E0000}"/>
    <cellStyle name="Normal 2 2 2 2 3 5 7 3 2" xfId="28221" xr:uid="{00000000-0005-0000-0000-00003C6E0000}"/>
    <cellStyle name="Normal 2 2 2 2 3 5 7 4" xfId="28222" xr:uid="{00000000-0005-0000-0000-00003D6E0000}"/>
    <cellStyle name="Normal 2 2 2 2 3 5 8" xfId="28223" xr:uid="{00000000-0005-0000-0000-00003E6E0000}"/>
    <cellStyle name="Normal 2 2 2 2 3 5 8 2" xfId="28224" xr:uid="{00000000-0005-0000-0000-00003F6E0000}"/>
    <cellStyle name="Normal 2 2 2 2 3 5 8 2 2" xfId="28225" xr:uid="{00000000-0005-0000-0000-0000406E0000}"/>
    <cellStyle name="Normal 2 2 2 2 3 5 8 2 2 2" xfId="28226" xr:uid="{00000000-0005-0000-0000-0000416E0000}"/>
    <cellStyle name="Normal 2 2 2 2 3 5 8 2 3" xfId="28227" xr:uid="{00000000-0005-0000-0000-0000426E0000}"/>
    <cellStyle name="Normal 2 2 2 2 3 5 8 3" xfId="28228" xr:uid="{00000000-0005-0000-0000-0000436E0000}"/>
    <cellStyle name="Normal 2 2 2 2 3 5 8 3 2" xfId="28229" xr:uid="{00000000-0005-0000-0000-0000446E0000}"/>
    <cellStyle name="Normal 2 2 2 2 3 5 8 4" xfId="28230" xr:uid="{00000000-0005-0000-0000-0000456E0000}"/>
    <cellStyle name="Normal 2 2 2 2 3 5 9" xfId="28231" xr:uid="{00000000-0005-0000-0000-0000466E0000}"/>
    <cellStyle name="Normal 2 2 2 2 3 5 9 2" xfId="28232" xr:uid="{00000000-0005-0000-0000-0000476E0000}"/>
    <cellStyle name="Normal 2 2 2 2 3 5 9 2 2" xfId="28233" xr:uid="{00000000-0005-0000-0000-0000486E0000}"/>
    <cellStyle name="Normal 2 2 2 2 3 5 9 3" xfId="28234" xr:uid="{00000000-0005-0000-0000-0000496E0000}"/>
    <cellStyle name="Normal 2 2 2 2 3 6" xfId="28235" xr:uid="{00000000-0005-0000-0000-00004A6E0000}"/>
    <cellStyle name="Normal 2 2 2 2 3 6 10" xfId="28236" xr:uid="{00000000-0005-0000-0000-00004B6E0000}"/>
    <cellStyle name="Normal 2 2 2 2 3 6 10 2" xfId="28237" xr:uid="{00000000-0005-0000-0000-00004C6E0000}"/>
    <cellStyle name="Normal 2 2 2 2 3 6 10 2 2" xfId="28238" xr:uid="{00000000-0005-0000-0000-00004D6E0000}"/>
    <cellStyle name="Normal 2 2 2 2 3 6 10 3" xfId="28239" xr:uid="{00000000-0005-0000-0000-00004E6E0000}"/>
    <cellStyle name="Normal 2 2 2 2 3 6 11" xfId="28240" xr:uid="{00000000-0005-0000-0000-00004F6E0000}"/>
    <cellStyle name="Normal 2 2 2 2 3 6 11 2" xfId="28241" xr:uid="{00000000-0005-0000-0000-0000506E0000}"/>
    <cellStyle name="Normal 2 2 2 2 3 6 11 2 2" xfId="28242" xr:uid="{00000000-0005-0000-0000-0000516E0000}"/>
    <cellStyle name="Normal 2 2 2 2 3 6 11 3" xfId="28243" xr:uid="{00000000-0005-0000-0000-0000526E0000}"/>
    <cellStyle name="Normal 2 2 2 2 3 6 12" xfId="28244" xr:uid="{00000000-0005-0000-0000-0000536E0000}"/>
    <cellStyle name="Normal 2 2 2 2 3 6 12 2" xfId="28245" xr:uid="{00000000-0005-0000-0000-0000546E0000}"/>
    <cellStyle name="Normal 2 2 2 2 3 6 12 2 2" xfId="28246" xr:uid="{00000000-0005-0000-0000-0000556E0000}"/>
    <cellStyle name="Normal 2 2 2 2 3 6 12 3" xfId="28247" xr:uid="{00000000-0005-0000-0000-0000566E0000}"/>
    <cellStyle name="Normal 2 2 2 2 3 6 13" xfId="28248" xr:uid="{00000000-0005-0000-0000-0000576E0000}"/>
    <cellStyle name="Normal 2 2 2 2 3 6 13 2" xfId="28249" xr:uid="{00000000-0005-0000-0000-0000586E0000}"/>
    <cellStyle name="Normal 2 2 2 2 3 6 14" xfId="28250" xr:uid="{00000000-0005-0000-0000-0000596E0000}"/>
    <cellStyle name="Normal 2 2 2 2 3 6 2" xfId="28251" xr:uid="{00000000-0005-0000-0000-00005A6E0000}"/>
    <cellStyle name="Normal 2 2 2 2 3 6 2 2" xfId="28252" xr:uid="{00000000-0005-0000-0000-00005B6E0000}"/>
    <cellStyle name="Normal 2 2 2 2 3 6 2 2 2" xfId="28253" xr:uid="{00000000-0005-0000-0000-00005C6E0000}"/>
    <cellStyle name="Normal 2 2 2 2 3 6 2 2 2 2" xfId="28254" xr:uid="{00000000-0005-0000-0000-00005D6E0000}"/>
    <cellStyle name="Normal 2 2 2 2 3 6 2 2 2 2 2" xfId="28255" xr:uid="{00000000-0005-0000-0000-00005E6E0000}"/>
    <cellStyle name="Normal 2 2 2 2 3 6 2 2 2 3" xfId="28256" xr:uid="{00000000-0005-0000-0000-00005F6E0000}"/>
    <cellStyle name="Normal 2 2 2 2 3 6 2 2 3" xfId="28257" xr:uid="{00000000-0005-0000-0000-0000606E0000}"/>
    <cellStyle name="Normal 2 2 2 2 3 6 2 2 3 2" xfId="28258" xr:uid="{00000000-0005-0000-0000-0000616E0000}"/>
    <cellStyle name="Normal 2 2 2 2 3 6 2 2 4" xfId="28259" xr:uid="{00000000-0005-0000-0000-0000626E0000}"/>
    <cellStyle name="Normal 2 2 2 2 3 6 2 3" xfId="28260" xr:uid="{00000000-0005-0000-0000-0000636E0000}"/>
    <cellStyle name="Normal 2 2 2 2 3 6 2 3 2" xfId="28261" xr:uid="{00000000-0005-0000-0000-0000646E0000}"/>
    <cellStyle name="Normal 2 2 2 2 3 6 2 3 2 2" xfId="28262" xr:uid="{00000000-0005-0000-0000-0000656E0000}"/>
    <cellStyle name="Normal 2 2 2 2 3 6 2 3 3" xfId="28263" xr:uid="{00000000-0005-0000-0000-0000666E0000}"/>
    <cellStyle name="Normal 2 2 2 2 3 6 2 4" xfId="28264" xr:uid="{00000000-0005-0000-0000-0000676E0000}"/>
    <cellStyle name="Normal 2 2 2 2 3 6 2 4 2" xfId="28265" xr:uid="{00000000-0005-0000-0000-0000686E0000}"/>
    <cellStyle name="Normal 2 2 2 2 3 6 2 4 2 2" xfId="28266" xr:uid="{00000000-0005-0000-0000-0000696E0000}"/>
    <cellStyle name="Normal 2 2 2 2 3 6 2 4 3" xfId="28267" xr:uid="{00000000-0005-0000-0000-00006A6E0000}"/>
    <cellStyle name="Normal 2 2 2 2 3 6 2 5" xfId="28268" xr:uid="{00000000-0005-0000-0000-00006B6E0000}"/>
    <cellStyle name="Normal 2 2 2 2 3 6 2 5 2" xfId="28269" xr:uid="{00000000-0005-0000-0000-00006C6E0000}"/>
    <cellStyle name="Normal 2 2 2 2 3 6 2 5 2 2" xfId="28270" xr:uid="{00000000-0005-0000-0000-00006D6E0000}"/>
    <cellStyle name="Normal 2 2 2 2 3 6 2 5 3" xfId="28271" xr:uid="{00000000-0005-0000-0000-00006E6E0000}"/>
    <cellStyle name="Normal 2 2 2 2 3 6 2 6" xfId="28272" xr:uid="{00000000-0005-0000-0000-00006F6E0000}"/>
    <cellStyle name="Normal 2 2 2 2 3 6 2 6 2" xfId="28273" xr:uid="{00000000-0005-0000-0000-0000706E0000}"/>
    <cellStyle name="Normal 2 2 2 2 3 6 2 6 2 2" xfId="28274" xr:uid="{00000000-0005-0000-0000-0000716E0000}"/>
    <cellStyle name="Normal 2 2 2 2 3 6 2 6 3" xfId="28275" xr:uid="{00000000-0005-0000-0000-0000726E0000}"/>
    <cellStyle name="Normal 2 2 2 2 3 6 2 7" xfId="28276" xr:uid="{00000000-0005-0000-0000-0000736E0000}"/>
    <cellStyle name="Normal 2 2 2 2 3 6 2 7 2" xfId="28277" xr:uid="{00000000-0005-0000-0000-0000746E0000}"/>
    <cellStyle name="Normal 2 2 2 2 3 6 2 8" xfId="28278" xr:uid="{00000000-0005-0000-0000-0000756E0000}"/>
    <cellStyle name="Normal 2 2 2 2 3 6 3" xfId="28279" xr:uid="{00000000-0005-0000-0000-0000766E0000}"/>
    <cellStyle name="Normal 2 2 2 2 3 6 3 2" xfId="28280" xr:uid="{00000000-0005-0000-0000-0000776E0000}"/>
    <cellStyle name="Normal 2 2 2 2 3 6 3 2 2" xfId="28281" xr:uid="{00000000-0005-0000-0000-0000786E0000}"/>
    <cellStyle name="Normal 2 2 2 2 3 6 3 2 2 2" xfId="28282" xr:uid="{00000000-0005-0000-0000-0000796E0000}"/>
    <cellStyle name="Normal 2 2 2 2 3 6 3 2 2 2 2" xfId="28283" xr:uid="{00000000-0005-0000-0000-00007A6E0000}"/>
    <cellStyle name="Normal 2 2 2 2 3 6 3 2 2 3" xfId="28284" xr:uid="{00000000-0005-0000-0000-00007B6E0000}"/>
    <cellStyle name="Normal 2 2 2 2 3 6 3 2 3" xfId="28285" xr:uid="{00000000-0005-0000-0000-00007C6E0000}"/>
    <cellStyle name="Normal 2 2 2 2 3 6 3 2 3 2" xfId="28286" xr:uid="{00000000-0005-0000-0000-00007D6E0000}"/>
    <cellStyle name="Normal 2 2 2 2 3 6 3 2 4" xfId="28287" xr:uid="{00000000-0005-0000-0000-00007E6E0000}"/>
    <cellStyle name="Normal 2 2 2 2 3 6 3 3" xfId="28288" xr:uid="{00000000-0005-0000-0000-00007F6E0000}"/>
    <cellStyle name="Normal 2 2 2 2 3 6 3 3 2" xfId="28289" xr:uid="{00000000-0005-0000-0000-0000806E0000}"/>
    <cellStyle name="Normal 2 2 2 2 3 6 3 3 2 2" xfId="28290" xr:uid="{00000000-0005-0000-0000-0000816E0000}"/>
    <cellStyle name="Normal 2 2 2 2 3 6 3 3 3" xfId="28291" xr:uid="{00000000-0005-0000-0000-0000826E0000}"/>
    <cellStyle name="Normal 2 2 2 2 3 6 3 4" xfId="28292" xr:uid="{00000000-0005-0000-0000-0000836E0000}"/>
    <cellStyle name="Normal 2 2 2 2 3 6 3 4 2" xfId="28293" xr:uid="{00000000-0005-0000-0000-0000846E0000}"/>
    <cellStyle name="Normal 2 2 2 2 3 6 3 4 2 2" xfId="28294" xr:uid="{00000000-0005-0000-0000-0000856E0000}"/>
    <cellStyle name="Normal 2 2 2 2 3 6 3 4 3" xfId="28295" xr:uid="{00000000-0005-0000-0000-0000866E0000}"/>
    <cellStyle name="Normal 2 2 2 2 3 6 3 5" xfId="28296" xr:uid="{00000000-0005-0000-0000-0000876E0000}"/>
    <cellStyle name="Normal 2 2 2 2 3 6 3 5 2" xfId="28297" xr:uid="{00000000-0005-0000-0000-0000886E0000}"/>
    <cellStyle name="Normal 2 2 2 2 3 6 3 5 2 2" xfId="28298" xr:uid="{00000000-0005-0000-0000-0000896E0000}"/>
    <cellStyle name="Normal 2 2 2 2 3 6 3 5 3" xfId="28299" xr:uid="{00000000-0005-0000-0000-00008A6E0000}"/>
    <cellStyle name="Normal 2 2 2 2 3 6 3 6" xfId="28300" xr:uid="{00000000-0005-0000-0000-00008B6E0000}"/>
    <cellStyle name="Normal 2 2 2 2 3 6 3 6 2" xfId="28301" xr:uid="{00000000-0005-0000-0000-00008C6E0000}"/>
    <cellStyle name="Normal 2 2 2 2 3 6 3 6 2 2" xfId="28302" xr:uid="{00000000-0005-0000-0000-00008D6E0000}"/>
    <cellStyle name="Normal 2 2 2 2 3 6 3 6 3" xfId="28303" xr:uid="{00000000-0005-0000-0000-00008E6E0000}"/>
    <cellStyle name="Normal 2 2 2 2 3 6 3 7" xfId="28304" xr:uid="{00000000-0005-0000-0000-00008F6E0000}"/>
    <cellStyle name="Normal 2 2 2 2 3 6 3 7 2" xfId="28305" xr:uid="{00000000-0005-0000-0000-0000906E0000}"/>
    <cellStyle name="Normal 2 2 2 2 3 6 3 8" xfId="28306" xr:uid="{00000000-0005-0000-0000-0000916E0000}"/>
    <cellStyle name="Normal 2 2 2 2 3 6 4" xfId="28307" xr:uid="{00000000-0005-0000-0000-0000926E0000}"/>
    <cellStyle name="Normal 2 2 2 2 3 6 4 2" xfId="28308" xr:uid="{00000000-0005-0000-0000-0000936E0000}"/>
    <cellStyle name="Normal 2 2 2 2 3 6 4 2 2" xfId="28309" xr:uid="{00000000-0005-0000-0000-0000946E0000}"/>
    <cellStyle name="Normal 2 2 2 2 3 6 4 2 2 2" xfId="28310" xr:uid="{00000000-0005-0000-0000-0000956E0000}"/>
    <cellStyle name="Normal 2 2 2 2 3 6 4 2 2 2 2" xfId="28311" xr:uid="{00000000-0005-0000-0000-0000966E0000}"/>
    <cellStyle name="Normal 2 2 2 2 3 6 4 2 2 3" xfId="28312" xr:uid="{00000000-0005-0000-0000-0000976E0000}"/>
    <cellStyle name="Normal 2 2 2 2 3 6 4 2 3" xfId="28313" xr:uid="{00000000-0005-0000-0000-0000986E0000}"/>
    <cellStyle name="Normal 2 2 2 2 3 6 4 2 3 2" xfId="28314" xr:uid="{00000000-0005-0000-0000-0000996E0000}"/>
    <cellStyle name="Normal 2 2 2 2 3 6 4 2 4" xfId="28315" xr:uid="{00000000-0005-0000-0000-00009A6E0000}"/>
    <cellStyle name="Normal 2 2 2 2 3 6 4 3" xfId="28316" xr:uid="{00000000-0005-0000-0000-00009B6E0000}"/>
    <cellStyle name="Normal 2 2 2 2 3 6 4 3 2" xfId="28317" xr:uid="{00000000-0005-0000-0000-00009C6E0000}"/>
    <cellStyle name="Normal 2 2 2 2 3 6 4 3 2 2" xfId="28318" xr:uid="{00000000-0005-0000-0000-00009D6E0000}"/>
    <cellStyle name="Normal 2 2 2 2 3 6 4 3 3" xfId="28319" xr:uid="{00000000-0005-0000-0000-00009E6E0000}"/>
    <cellStyle name="Normal 2 2 2 2 3 6 4 4" xfId="28320" xr:uid="{00000000-0005-0000-0000-00009F6E0000}"/>
    <cellStyle name="Normal 2 2 2 2 3 6 4 4 2" xfId="28321" xr:uid="{00000000-0005-0000-0000-0000A06E0000}"/>
    <cellStyle name="Normal 2 2 2 2 3 6 4 4 2 2" xfId="28322" xr:uid="{00000000-0005-0000-0000-0000A16E0000}"/>
    <cellStyle name="Normal 2 2 2 2 3 6 4 4 3" xfId="28323" xr:uid="{00000000-0005-0000-0000-0000A26E0000}"/>
    <cellStyle name="Normal 2 2 2 2 3 6 4 5" xfId="28324" xr:uid="{00000000-0005-0000-0000-0000A36E0000}"/>
    <cellStyle name="Normal 2 2 2 2 3 6 4 5 2" xfId="28325" xr:uid="{00000000-0005-0000-0000-0000A46E0000}"/>
    <cellStyle name="Normal 2 2 2 2 3 6 4 5 2 2" xfId="28326" xr:uid="{00000000-0005-0000-0000-0000A56E0000}"/>
    <cellStyle name="Normal 2 2 2 2 3 6 4 5 3" xfId="28327" xr:uid="{00000000-0005-0000-0000-0000A66E0000}"/>
    <cellStyle name="Normal 2 2 2 2 3 6 4 6" xfId="28328" xr:uid="{00000000-0005-0000-0000-0000A76E0000}"/>
    <cellStyle name="Normal 2 2 2 2 3 6 4 6 2" xfId="28329" xr:uid="{00000000-0005-0000-0000-0000A86E0000}"/>
    <cellStyle name="Normal 2 2 2 2 3 6 4 6 2 2" xfId="28330" xr:uid="{00000000-0005-0000-0000-0000A96E0000}"/>
    <cellStyle name="Normal 2 2 2 2 3 6 4 6 3" xfId="28331" xr:uid="{00000000-0005-0000-0000-0000AA6E0000}"/>
    <cellStyle name="Normal 2 2 2 2 3 6 4 7" xfId="28332" xr:uid="{00000000-0005-0000-0000-0000AB6E0000}"/>
    <cellStyle name="Normal 2 2 2 2 3 6 4 7 2" xfId="28333" xr:uid="{00000000-0005-0000-0000-0000AC6E0000}"/>
    <cellStyle name="Normal 2 2 2 2 3 6 4 8" xfId="28334" xr:uid="{00000000-0005-0000-0000-0000AD6E0000}"/>
    <cellStyle name="Normal 2 2 2 2 3 6 5" xfId="28335" xr:uid="{00000000-0005-0000-0000-0000AE6E0000}"/>
    <cellStyle name="Normal 2 2 2 2 3 6 5 2" xfId="28336" xr:uid="{00000000-0005-0000-0000-0000AF6E0000}"/>
    <cellStyle name="Normal 2 2 2 2 3 6 5 2 2" xfId="28337" xr:uid="{00000000-0005-0000-0000-0000B06E0000}"/>
    <cellStyle name="Normal 2 2 2 2 3 6 5 2 2 2" xfId="28338" xr:uid="{00000000-0005-0000-0000-0000B16E0000}"/>
    <cellStyle name="Normal 2 2 2 2 3 6 5 2 2 2 2" xfId="28339" xr:uid="{00000000-0005-0000-0000-0000B26E0000}"/>
    <cellStyle name="Normal 2 2 2 2 3 6 5 2 2 3" xfId="28340" xr:uid="{00000000-0005-0000-0000-0000B36E0000}"/>
    <cellStyle name="Normal 2 2 2 2 3 6 5 2 3" xfId="28341" xr:uid="{00000000-0005-0000-0000-0000B46E0000}"/>
    <cellStyle name="Normal 2 2 2 2 3 6 5 2 3 2" xfId="28342" xr:uid="{00000000-0005-0000-0000-0000B56E0000}"/>
    <cellStyle name="Normal 2 2 2 2 3 6 5 2 4" xfId="28343" xr:uid="{00000000-0005-0000-0000-0000B66E0000}"/>
    <cellStyle name="Normal 2 2 2 2 3 6 5 3" xfId="28344" xr:uid="{00000000-0005-0000-0000-0000B76E0000}"/>
    <cellStyle name="Normal 2 2 2 2 3 6 5 3 2" xfId="28345" xr:uid="{00000000-0005-0000-0000-0000B86E0000}"/>
    <cellStyle name="Normal 2 2 2 2 3 6 5 3 2 2" xfId="28346" xr:uid="{00000000-0005-0000-0000-0000B96E0000}"/>
    <cellStyle name="Normal 2 2 2 2 3 6 5 3 3" xfId="28347" xr:uid="{00000000-0005-0000-0000-0000BA6E0000}"/>
    <cellStyle name="Normal 2 2 2 2 3 6 5 4" xfId="28348" xr:uid="{00000000-0005-0000-0000-0000BB6E0000}"/>
    <cellStyle name="Normal 2 2 2 2 3 6 5 4 2" xfId="28349" xr:uid="{00000000-0005-0000-0000-0000BC6E0000}"/>
    <cellStyle name="Normal 2 2 2 2 3 6 5 5" xfId="28350" xr:uid="{00000000-0005-0000-0000-0000BD6E0000}"/>
    <cellStyle name="Normal 2 2 2 2 3 6 6" xfId="28351" xr:uid="{00000000-0005-0000-0000-0000BE6E0000}"/>
    <cellStyle name="Normal 2 2 2 2 3 6 6 2" xfId="28352" xr:uid="{00000000-0005-0000-0000-0000BF6E0000}"/>
    <cellStyle name="Normal 2 2 2 2 3 6 6 2 2" xfId="28353" xr:uid="{00000000-0005-0000-0000-0000C06E0000}"/>
    <cellStyle name="Normal 2 2 2 2 3 6 6 2 2 2" xfId="28354" xr:uid="{00000000-0005-0000-0000-0000C16E0000}"/>
    <cellStyle name="Normal 2 2 2 2 3 6 6 2 2 2 2" xfId="28355" xr:uid="{00000000-0005-0000-0000-0000C26E0000}"/>
    <cellStyle name="Normal 2 2 2 2 3 6 6 2 2 3" xfId="28356" xr:uid="{00000000-0005-0000-0000-0000C36E0000}"/>
    <cellStyle name="Normal 2 2 2 2 3 6 6 2 3" xfId="28357" xr:uid="{00000000-0005-0000-0000-0000C46E0000}"/>
    <cellStyle name="Normal 2 2 2 2 3 6 6 2 3 2" xfId="28358" xr:uid="{00000000-0005-0000-0000-0000C56E0000}"/>
    <cellStyle name="Normal 2 2 2 2 3 6 6 2 4" xfId="28359" xr:uid="{00000000-0005-0000-0000-0000C66E0000}"/>
    <cellStyle name="Normal 2 2 2 2 3 6 6 3" xfId="28360" xr:uid="{00000000-0005-0000-0000-0000C76E0000}"/>
    <cellStyle name="Normal 2 2 2 2 3 6 6 3 2" xfId="28361" xr:uid="{00000000-0005-0000-0000-0000C86E0000}"/>
    <cellStyle name="Normal 2 2 2 2 3 6 6 3 2 2" xfId="28362" xr:uid="{00000000-0005-0000-0000-0000C96E0000}"/>
    <cellStyle name="Normal 2 2 2 2 3 6 6 3 3" xfId="28363" xr:uid="{00000000-0005-0000-0000-0000CA6E0000}"/>
    <cellStyle name="Normal 2 2 2 2 3 6 6 4" xfId="28364" xr:uid="{00000000-0005-0000-0000-0000CB6E0000}"/>
    <cellStyle name="Normal 2 2 2 2 3 6 6 4 2" xfId="28365" xr:uid="{00000000-0005-0000-0000-0000CC6E0000}"/>
    <cellStyle name="Normal 2 2 2 2 3 6 6 5" xfId="28366" xr:uid="{00000000-0005-0000-0000-0000CD6E0000}"/>
    <cellStyle name="Normal 2 2 2 2 3 6 7" xfId="28367" xr:uid="{00000000-0005-0000-0000-0000CE6E0000}"/>
    <cellStyle name="Normal 2 2 2 2 3 6 7 2" xfId="28368" xr:uid="{00000000-0005-0000-0000-0000CF6E0000}"/>
    <cellStyle name="Normal 2 2 2 2 3 6 7 2 2" xfId="28369" xr:uid="{00000000-0005-0000-0000-0000D06E0000}"/>
    <cellStyle name="Normal 2 2 2 2 3 6 7 2 2 2" xfId="28370" xr:uid="{00000000-0005-0000-0000-0000D16E0000}"/>
    <cellStyle name="Normal 2 2 2 2 3 6 7 2 3" xfId="28371" xr:uid="{00000000-0005-0000-0000-0000D26E0000}"/>
    <cellStyle name="Normal 2 2 2 2 3 6 7 3" xfId="28372" xr:uid="{00000000-0005-0000-0000-0000D36E0000}"/>
    <cellStyle name="Normal 2 2 2 2 3 6 7 3 2" xfId="28373" xr:uid="{00000000-0005-0000-0000-0000D46E0000}"/>
    <cellStyle name="Normal 2 2 2 2 3 6 7 4" xfId="28374" xr:uid="{00000000-0005-0000-0000-0000D56E0000}"/>
    <cellStyle name="Normal 2 2 2 2 3 6 8" xfId="28375" xr:uid="{00000000-0005-0000-0000-0000D66E0000}"/>
    <cellStyle name="Normal 2 2 2 2 3 6 8 2" xfId="28376" xr:uid="{00000000-0005-0000-0000-0000D76E0000}"/>
    <cellStyle name="Normal 2 2 2 2 3 6 8 2 2" xfId="28377" xr:uid="{00000000-0005-0000-0000-0000D86E0000}"/>
    <cellStyle name="Normal 2 2 2 2 3 6 8 2 2 2" xfId="28378" xr:uid="{00000000-0005-0000-0000-0000D96E0000}"/>
    <cellStyle name="Normal 2 2 2 2 3 6 8 2 3" xfId="28379" xr:uid="{00000000-0005-0000-0000-0000DA6E0000}"/>
    <cellStyle name="Normal 2 2 2 2 3 6 8 3" xfId="28380" xr:uid="{00000000-0005-0000-0000-0000DB6E0000}"/>
    <cellStyle name="Normal 2 2 2 2 3 6 8 3 2" xfId="28381" xr:uid="{00000000-0005-0000-0000-0000DC6E0000}"/>
    <cellStyle name="Normal 2 2 2 2 3 6 8 4" xfId="28382" xr:uid="{00000000-0005-0000-0000-0000DD6E0000}"/>
    <cellStyle name="Normal 2 2 2 2 3 6 9" xfId="28383" xr:uid="{00000000-0005-0000-0000-0000DE6E0000}"/>
    <cellStyle name="Normal 2 2 2 2 3 6 9 2" xfId="28384" xr:uid="{00000000-0005-0000-0000-0000DF6E0000}"/>
    <cellStyle name="Normal 2 2 2 2 3 6 9 2 2" xfId="28385" xr:uid="{00000000-0005-0000-0000-0000E06E0000}"/>
    <cellStyle name="Normal 2 2 2 2 3 6 9 3" xfId="28386" xr:uid="{00000000-0005-0000-0000-0000E16E0000}"/>
    <cellStyle name="Normal 2 2 2 2 3 7" xfId="28387" xr:uid="{00000000-0005-0000-0000-0000E26E0000}"/>
    <cellStyle name="Normal 2 2 2 2 3 7 2" xfId="28388" xr:uid="{00000000-0005-0000-0000-0000E36E0000}"/>
    <cellStyle name="Normal 2 2 2 2 3 7 2 2" xfId="28389" xr:uid="{00000000-0005-0000-0000-0000E46E0000}"/>
    <cellStyle name="Normal 2 2 2 2 3 7 2 2 2" xfId="28390" xr:uid="{00000000-0005-0000-0000-0000E56E0000}"/>
    <cellStyle name="Normal 2 2 2 2 3 7 2 2 2 2" xfId="28391" xr:uid="{00000000-0005-0000-0000-0000E66E0000}"/>
    <cellStyle name="Normal 2 2 2 2 3 7 2 2 3" xfId="28392" xr:uid="{00000000-0005-0000-0000-0000E76E0000}"/>
    <cellStyle name="Normal 2 2 2 2 3 7 2 3" xfId="28393" xr:uid="{00000000-0005-0000-0000-0000E86E0000}"/>
    <cellStyle name="Normal 2 2 2 2 3 7 2 3 2" xfId="28394" xr:uid="{00000000-0005-0000-0000-0000E96E0000}"/>
    <cellStyle name="Normal 2 2 2 2 3 7 2 4" xfId="28395" xr:uid="{00000000-0005-0000-0000-0000EA6E0000}"/>
    <cellStyle name="Normal 2 2 2 2 3 7 3" xfId="28396" xr:uid="{00000000-0005-0000-0000-0000EB6E0000}"/>
    <cellStyle name="Normal 2 2 2 2 3 7 3 2" xfId="28397" xr:uid="{00000000-0005-0000-0000-0000EC6E0000}"/>
    <cellStyle name="Normal 2 2 2 2 3 7 3 2 2" xfId="28398" xr:uid="{00000000-0005-0000-0000-0000ED6E0000}"/>
    <cellStyle name="Normal 2 2 2 2 3 7 3 3" xfId="28399" xr:uid="{00000000-0005-0000-0000-0000EE6E0000}"/>
    <cellStyle name="Normal 2 2 2 2 3 7 4" xfId="28400" xr:uid="{00000000-0005-0000-0000-0000EF6E0000}"/>
    <cellStyle name="Normal 2 2 2 2 3 7 4 2" xfId="28401" xr:uid="{00000000-0005-0000-0000-0000F06E0000}"/>
    <cellStyle name="Normal 2 2 2 2 3 7 4 2 2" xfId="28402" xr:uid="{00000000-0005-0000-0000-0000F16E0000}"/>
    <cellStyle name="Normal 2 2 2 2 3 7 4 3" xfId="28403" xr:uid="{00000000-0005-0000-0000-0000F26E0000}"/>
    <cellStyle name="Normal 2 2 2 2 3 7 5" xfId="28404" xr:uid="{00000000-0005-0000-0000-0000F36E0000}"/>
    <cellStyle name="Normal 2 2 2 2 3 7 5 2" xfId="28405" xr:uid="{00000000-0005-0000-0000-0000F46E0000}"/>
    <cellStyle name="Normal 2 2 2 2 3 7 5 2 2" xfId="28406" xr:uid="{00000000-0005-0000-0000-0000F56E0000}"/>
    <cellStyle name="Normal 2 2 2 2 3 7 5 3" xfId="28407" xr:uid="{00000000-0005-0000-0000-0000F66E0000}"/>
    <cellStyle name="Normal 2 2 2 2 3 7 6" xfId="28408" xr:uid="{00000000-0005-0000-0000-0000F76E0000}"/>
    <cellStyle name="Normal 2 2 2 2 3 7 6 2" xfId="28409" xr:uid="{00000000-0005-0000-0000-0000F86E0000}"/>
    <cellStyle name="Normal 2 2 2 2 3 7 6 2 2" xfId="28410" xr:uid="{00000000-0005-0000-0000-0000F96E0000}"/>
    <cellStyle name="Normal 2 2 2 2 3 7 6 3" xfId="28411" xr:uid="{00000000-0005-0000-0000-0000FA6E0000}"/>
    <cellStyle name="Normal 2 2 2 2 3 7 7" xfId="28412" xr:uid="{00000000-0005-0000-0000-0000FB6E0000}"/>
    <cellStyle name="Normal 2 2 2 2 3 7 7 2" xfId="28413" xr:uid="{00000000-0005-0000-0000-0000FC6E0000}"/>
    <cellStyle name="Normal 2 2 2 2 3 7 8" xfId="28414" xr:uid="{00000000-0005-0000-0000-0000FD6E0000}"/>
    <cellStyle name="Normal 2 2 2 2 3 8" xfId="28415" xr:uid="{00000000-0005-0000-0000-0000FE6E0000}"/>
    <cellStyle name="Normal 2 2 2 2 3 8 2" xfId="28416" xr:uid="{00000000-0005-0000-0000-0000FF6E0000}"/>
    <cellStyle name="Normal 2 2 2 2 3 8 2 2" xfId="28417" xr:uid="{00000000-0005-0000-0000-0000006F0000}"/>
    <cellStyle name="Normal 2 2 2 2 3 8 2 2 2" xfId="28418" xr:uid="{00000000-0005-0000-0000-0000016F0000}"/>
    <cellStyle name="Normal 2 2 2 2 3 8 2 2 2 2" xfId="28419" xr:uid="{00000000-0005-0000-0000-0000026F0000}"/>
    <cellStyle name="Normal 2 2 2 2 3 8 2 2 3" xfId="28420" xr:uid="{00000000-0005-0000-0000-0000036F0000}"/>
    <cellStyle name="Normal 2 2 2 2 3 8 2 3" xfId="28421" xr:uid="{00000000-0005-0000-0000-0000046F0000}"/>
    <cellStyle name="Normal 2 2 2 2 3 8 2 3 2" xfId="28422" xr:uid="{00000000-0005-0000-0000-0000056F0000}"/>
    <cellStyle name="Normal 2 2 2 2 3 8 2 4" xfId="28423" xr:uid="{00000000-0005-0000-0000-0000066F0000}"/>
    <cellStyle name="Normal 2 2 2 2 3 8 3" xfId="28424" xr:uid="{00000000-0005-0000-0000-0000076F0000}"/>
    <cellStyle name="Normal 2 2 2 2 3 8 3 2" xfId="28425" xr:uid="{00000000-0005-0000-0000-0000086F0000}"/>
    <cellStyle name="Normal 2 2 2 2 3 8 3 2 2" xfId="28426" xr:uid="{00000000-0005-0000-0000-0000096F0000}"/>
    <cellStyle name="Normal 2 2 2 2 3 8 3 3" xfId="28427" xr:uid="{00000000-0005-0000-0000-00000A6F0000}"/>
    <cellStyle name="Normal 2 2 2 2 3 8 4" xfId="28428" xr:uid="{00000000-0005-0000-0000-00000B6F0000}"/>
    <cellStyle name="Normal 2 2 2 2 3 8 4 2" xfId="28429" xr:uid="{00000000-0005-0000-0000-00000C6F0000}"/>
    <cellStyle name="Normal 2 2 2 2 3 8 4 2 2" xfId="28430" xr:uid="{00000000-0005-0000-0000-00000D6F0000}"/>
    <cellStyle name="Normal 2 2 2 2 3 8 4 3" xfId="28431" xr:uid="{00000000-0005-0000-0000-00000E6F0000}"/>
    <cellStyle name="Normal 2 2 2 2 3 8 5" xfId="28432" xr:uid="{00000000-0005-0000-0000-00000F6F0000}"/>
    <cellStyle name="Normal 2 2 2 2 3 8 5 2" xfId="28433" xr:uid="{00000000-0005-0000-0000-0000106F0000}"/>
    <cellStyle name="Normal 2 2 2 2 3 8 5 2 2" xfId="28434" xr:uid="{00000000-0005-0000-0000-0000116F0000}"/>
    <cellStyle name="Normal 2 2 2 2 3 8 5 3" xfId="28435" xr:uid="{00000000-0005-0000-0000-0000126F0000}"/>
    <cellStyle name="Normal 2 2 2 2 3 8 6" xfId="28436" xr:uid="{00000000-0005-0000-0000-0000136F0000}"/>
    <cellStyle name="Normal 2 2 2 2 3 8 6 2" xfId="28437" xr:uid="{00000000-0005-0000-0000-0000146F0000}"/>
    <cellStyle name="Normal 2 2 2 2 3 8 6 2 2" xfId="28438" xr:uid="{00000000-0005-0000-0000-0000156F0000}"/>
    <cellStyle name="Normal 2 2 2 2 3 8 6 3" xfId="28439" xr:uid="{00000000-0005-0000-0000-0000166F0000}"/>
    <cellStyle name="Normal 2 2 2 2 3 8 7" xfId="28440" xr:uid="{00000000-0005-0000-0000-0000176F0000}"/>
    <cellStyle name="Normal 2 2 2 2 3 8 7 2" xfId="28441" xr:uid="{00000000-0005-0000-0000-0000186F0000}"/>
    <cellStyle name="Normal 2 2 2 2 3 8 8" xfId="28442" xr:uid="{00000000-0005-0000-0000-0000196F0000}"/>
    <cellStyle name="Normal 2 2 2 2 3 9" xfId="28443" xr:uid="{00000000-0005-0000-0000-00001A6F0000}"/>
    <cellStyle name="Normal 2 2 2 2 3 9 2" xfId="28444" xr:uid="{00000000-0005-0000-0000-00001B6F0000}"/>
    <cellStyle name="Normal 2 2 2 2 3 9 2 2" xfId="28445" xr:uid="{00000000-0005-0000-0000-00001C6F0000}"/>
    <cellStyle name="Normal 2 2 2 2 3 9 2 2 2" xfId="28446" xr:uid="{00000000-0005-0000-0000-00001D6F0000}"/>
    <cellStyle name="Normal 2 2 2 2 3 9 2 2 2 2" xfId="28447" xr:uid="{00000000-0005-0000-0000-00001E6F0000}"/>
    <cellStyle name="Normal 2 2 2 2 3 9 2 2 3" xfId="28448" xr:uid="{00000000-0005-0000-0000-00001F6F0000}"/>
    <cellStyle name="Normal 2 2 2 2 3 9 2 3" xfId="28449" xr:uid="{00000000-0005-0000-0000-0000206F0000}"/>
    <cellStyle name="Normal 2 2 2 2 3 9 2 3 2" xfId="28450" xr:uid="{00000000-0005-0000-0000-0000216F0000}"/>
    <cellStyle name="Normal 2 2 2 2 3 9 2 4" xfId="28451" xr:uid="{00000000-0005-0000-0000-0000226F0000}"/>
    <cellStyle name="Normal 2 2 2 2 3 9 3" xfId="28452" xr:uid="{00000000-0005-0000-0000-0000236F0000}"/>
    <cellStyle name="Normal 2 2 2 2 3 9 3 2" xfId="28453" xr:uid="{00000000-0005-0000-0000-0000246F0000}"/>
    <cellStyle name="Normal 2 2 2 2 3 9 3 2 2" xfId="28454" xr:uid="{00000000-0005-0000-0000-0000256F0000}"/>
    <cellStyle name="Normal 2 2 2 2 3 9 3 3" xfId="28455" xr:uid="{00000000-0005-0000-0000-0000266F0000}"/>
    <cellStyle name="Normal 2 2 2 2 3 9 4" xfId="28456" xr:uid="{00000000-0005-0000-0000-0000276F0000}"/>
    <cellStyle name="Normal 2 2 2 2 3 9 4 2" xfId="28457" xr:uid="{00000000-0005-0000-0000-0000286F0000}"/>
    <cellStyle name="Normal 2 2 2 2 3 9 4 2 2" xfId="28458" xr:uid="{00000000-0005-0000-0000-0000296F0000}"/>
    <cellStyle name="Normal 2 2 2 2 3 9 4 3" xfId="28459" xr:uid="{00000000-0005-0000-0000-00002A6F0000}"/>
    <cellStyle name="Normal 2 2 2 2 3 9 5" xfId="28460" xr:uid="{00000000-0005-0000-0000-00002B6F0000}"/>
    <cellStyle name="Normal 2 2 2 2 3 9 5 2" xfId="28461" xr:uid="{00000000-0005-0000-0000-00002C6F0000}"/>
    <cellStyle name="Normal 2 2 2 2 3 9 5 2 2" xfId="28462" xr:uid="{00000000-0005-0000-0000-00002D6F0000}"/>
    <cellStyle name="Normal 2 2 2 2 3 9 5 3" xfId="28463" xr:uid="{00000000-0005-0000-0000-00002E6F0000}"/>
    <cellStyle name="Normal 2 2 2 2 3 9 6" xfId="28464" xr:uid="{00000000-0005-0000-0000-00002F6F0000}"/>
    <cellStyle name="Normal 2 2 2 2 3 9 6 2" xfId="28465" xr:uid="{00000000-0005-0000-0000-0000306F0000}"/>
    <cellStyle name="Normal 2 2 2 2 3 9 6 2 2" xfId="28466" xr:uid="{00000000-0005-0000-0000-0000316F0000}"/>
    <cellStyle name="Normal 2 2 2 2 3 9 6 3" xfId="28467" xr:uid="{00000000-0005-0000-0000-0000326F0000}"/>
    <cellStyle name="Normal 2 2 2 2 3 9 7" xfId="28468" xr:uid="{00000000-0005-0000-0000-0000336F0000}"/>
    <cellStyle name="Normal 2 2 2 2 3 9 7 2" xfId="28469" xr:uid="{00000000-0005-0000-0000-0000346F0000}"/>
    <cellStyle name="Normal 2 2 2 2 3 9 8" xfId="28470" xr:uid="{00000000-0005-0000-0000-0000356F0000}"/>
    <cellStyle name="Normal 2 2 2 2 4" xfId="28471" xr:uid="{00000000-0005-0000-0000-0000366F0000}"/>
    <cellStyle name="Normal 2 2 2 2 4 10" xfId="28472" xr:uid="{00000000-0005-0000-0000-0000376F0000}"/>
    <cellStyle name="Normal 2 2 2 2 4 10 2" xfId="28473" xr:uid="{00000000-0005-0000-0000-0000386F0000}"/>
    <cellStyle name="Normal 2 2 2 2 4 10 2 2" xfId="28474" xr:uid="{00000000-0005-0000-0000-0000396F0000}"/>
    <cellStyle name="Normal 2 2 2 2 4 10 3" xfId="28475" xr:uid="{00000000-0005-0000-0000-00003A6F0000}"/>
    <cellStyle name="Normal 2 2 2 2 4 11" xfId="28476" xr:uid="{00000000-0005-0000-0000-00003B6F0000}"/>
    <cellStyle name="Normal 2 2 2 2 4 11 2" xfId="28477" xr:uid="{00000000-0005-0000-0000-00003C6F0000}"/>
    <cellStyle name="Normal 2 2 2 2 4 11 2 2" xfId="28478" xr:uid="{00000000-0005-0000-0000-00003D6F0000}"/>
    <cellStyle name="Normal 2 2 2 2 4 11 3" xfId="28479" xr:uid="{00000000-0005-0000-0000-00003E6F0000}"/>
    <cellStyle name="Normal 2 2 2 2 4 12" xfId="28480" xr:uid="{00000000-0005-0000-0000-00003F6F0000}"/>
    <cellStyle name="Normal 2 2 2 2 4 12 2" xfId="28481" xr:uid="{00000000-0005-0000-0000-0000406F0000}"/>
    <cellStyle name="Normal 2 2 2 2 4 12 2 2" xfId="28482" xr:uid="{00000000-0005-0000-0000-0000416F0000}"/>
    <cellStyle name="Normal 2 2 2 2 4 12 3" xfId="28483" xr:uid="{00000000-0005-0000-0000-0000426F0000}"/>
    <cellStyle name="Normal 2 2 2 2 4 13" xfId="28484" xr:uid="{00000000-0005-0000-0000-0000436F0000}"/>
    <cellStyle name="Normal 2 2 2 2 4 13 2" xfId="28485" xr:uid="{00000000-0005-0000-0000-0000446F0000}"/>
    <cellStyle name="Normal 2 2 2 2 4 14" xfId="28486" xr:uid="{00000000-0005-0000-0000-0000456F0000}"/>
    <cellStyle name="Normal 2 2 2 2 4 2" xfId="28487" xr:uid="{00000000-0005-0000-0000-0000466F0000}"/>
    <cellStyle name="Normal 2 2 2 2 4 2 2" xfId="28488" xr:uid="{00000000-0005-0000-0000-0000476F0000}"/>
    <cellStyle name="Normal 2 2 2 2 4 2 2 2" xfId="28489" xr:uid="{00000000-0005-0000-0000-0000486F0000}"/>
    <cellStyle name="Normal 2 2 2 2 4 2 2 2 2" xfId="28490" xr:uid="{00000000-0005-0000-0000-0000496F0000}"/>
    <cellStyle name="Normal 2 2 2 2 4 2 2 2 2 2" xfId="28491" xr:uid="{00000000-0005-0000-0000-00004A6F0000}"/>
    <cellStyle name="Normal 2 2 2 2 4 2 2 2 3" xfId="28492" xr:uid="{00000000-0005-0000-0000-00004B6F0000}"/>
    <cellStyle name="Normal 2 2 2 2 4 2 2 3" xfId="28493" xr:uid="{00000000-0005-0000-0000-00004C6F0000}"/>
    <cellStyle name="Normal 2 2 2 2 4 2 2 3 2" xfId="28494" xr:uid="{00000000-0005-0000-0000-00004D6F0000}"/>
    <cellStyle name="Normal 2 2 2 2 4 2 2 4" xfId="28495" xr:uid="{00000000-0005-0000-0000-00004E6F0000}"/>
    <cellStyle name="Normal 2 2 2 2 4 2 3" xfId="28496" xr:uid="{00000000-0005-0000-0000-00004F6F0000}"/>
    <cellStyle name="Normal 2 2 2 2 4 2 3 2" xfId="28497" xr:uid="{00000000-0005-0000-0000-0000506F0000}"/>
    <cellStyle name="Normal 2 2 2 2 4 2 3 2 2" xfId="28498" xr:uid="{00000000-0005-0000-0000-0000516F0000}"/>
    <cellStyle name="Normal 2 2 2 2 4 2 3 3" xfId="28499" xr:uid="{00000000-0005-0000-0000-0000526F0000}"/>
    <cellStyle name="Normal 2 2 2 2 4 2 4" xfId="28500" xr:uid="{00000000-0005-0000-0000-0000536F0000}"/>
    <cellStyle name="Normal 2 2 2 2 4 2 4 2" xfId="28501" xr:uid="{00000000-0005-0000-0000-0000546F0000}"/>
    <cellStyle name="Normal 2 2 2 2 4 2 4 2 2" xfId="28502" xr:uid="{00000000-0005-0000-0000-0000556F0000}"/>
    <cellStyle name="Normal 2 2 2 2 4 2 4 3" xfId="28503" xr:uid="{00000000-0005-0000-0000-0000566F0000}"/>
    <cellStyle name="Normal 2 2 2 2 4 2 5" xfId="28504" xr:uid="{00000000-0005-0000-0000-0000576F0000}"/>
    <cellStyle name="Normal 2 2 2 2 4 2 5 2" xfId="28505" xr:uid="{00000000-0005-0000-0000-0000586F0000}"/>
    <cellStyle name="Normal 2 2 2 2 4 2 5 2 2" xfId="28506" xr:uid="{00000000-0005-0000-0000-0000596F0000}"/>
    <cellStyle name="Normal 2 2 2 2 4 2 5 3" xfId="28507" xr:uid="{00000000-0005-0000-0000-00005A6F0000}"/>
    <cellStyle name="Normal 2 2 2 2 4 2 6" xfId="28508" xr:uid="{00000000-0005-0000-0000-00005B6F0000}"/>
    <cellStyle name="Normal 2 2 2 2 4 2 6 2" xfId="28509" xr:uid="{00000000-0005-0000-0000-00005C6F0000}"/>
    <cellStyle name="Normal 2 2 2 2 4 2 6 2 2" xfId="28510" xr:uid="{00000000-0005-0000-0000-00005D6F0000}"/>
    <cellStyle name="Normal 2 2 2 2 4 2 6 3" xfId="28511" xr:uid="{00000000-0005-0000-0000-00005E6F0000}"/>
    <cellStyle name="Normal 2 2 2 2 4 2 7" xfId="28512" xr:uid="{00000000-0005-0000-0000-00005F6F0000}"/>
    <cellStyle name="Normal 2 2 2 2 4 2 7 2" xfId="28513" xr:uid="{00000000-0005-0000-0000-0000606F0000}"/>
    <cellStyle name="Normal 2 2 2 2 4 2 8" xfId="28514" xr:uid="{00000000-0005-0000-0000-0000616F0000}"/>
    <cellStyle name="Normal 2 2 2 2 4 3" xfId="28515" xr:uid="{00000000-0005-0000-0000-0000626F0000}"/>
    <cellStyle name="Normal 2 2 2 2 4 3 2" xfId="28516" xr:uid="{00000000-0005-0000-0000-0000636F0000}"/>
    <cellStyle name="Normal 2 2 2 2 4 3 2 2" xfId="28517" xr:uid="{00000000-0005-0000-0000-0000646F0000}"/>
    <cellStyle name="Normal 2 2 2 2 4 3 2 2 2" xfId="28518" xr:uid="{00000000-0005-0000-0000-0000656F0000}"/>
    <cellStyle name="Normal 2 2 2 2 4 3 2 2 2 2" xfId="28519" xr:uid="{00000000-0005-0000-0000-0000666F0000}"/>
    <cellStyle name="Normal 2 2 2 2 4 3 2 2 3" xfId="28520" xr:uid="{00000000-0005-0000-0000-0000676F0000}"/>
    <cellStyle name="Normal 2 2 2 2 4 3 2 3" xfId="28521" xr:uid="{00000000-0005-0000-0000-0000686F0000}"/>
    <cellStyle name="Normal 2 2 2 2 4 3 2 3 2" xfId="28522" xr:uid="{00000000-0005-0000-0000-0000696F0000}"/>
    <cellStyle name="Normal 2 2 2 2 4 3 2 4" xfId="28523" xr:uid="{00000000-0005-0000-0000-00006A6F0000}"/>
    <cellStyle name="Normal 2 2 2 2 4 3 3" xfId="28524" xr:uid="{00000000-0005-0000-0000-00006B6F0000}"/>
    <cellStyle name="Normal 2 2 2 2 4 3 3 2" xfId="28525" xr:uid="{00000000-0005-0000-0000-00006C6F0000}"/>
    <cellStyle name="Normal 2 2 2 2 4 3 3 2 2" xfId="28526" xr:uid="{00000000-0005-0000-0000-00006D6F0000}"/>
    <cellStyle name="Normal 2 2 2 2 4 3 3 3" xfId="28527" xr:uid="{00000000-0005-0000-0000-00006E6F0000}"/>
    <cellStyle name="Normal 2 2 2 2 4 3 4" xfId="28528" xr:uid="{00000000-0005-0000-0000-00006F6F0000}"/>
    <cellStyle name="Normal 2 2 2 2 4 3 4 2" xfId="28529" xr:uid="{00000000-0005-0000-0000-0000706F0000}"/>
    <cellStyle name="Normal 2 2 2 2 4 3 4 2 2" xfId="28530" xr:uid="{00000000-0005-0000-0000-0000716F0000}"/>
    <cellStyle name="Normal 2 2 2 2 4 3 4 3" xfId="28531" xr:uid="{00000000-0005-0000-0000-0000726F0000}"/>
    <cellStyle name="Normal 2 2 2 2 4 3 5" xfId="28532" xr:uid="{00000000-0005-0000-0000-0000736F0000}"/>
    <cellStyle name="Normal 2 2 2 2 4 3 5 2" xfId="28533" xr:uid="{00000000-0005-0000-0000-0000746F0000}"/>
    <cellStyle name="Normal 2 2 2 2 4 3 5 2 2" xfId="28534" xr:uid="{00000000-0005-0000-0000-0000756F0000}"/>
    <cellStyle name="Normal 2 2 2 2 4 3 5 3" xfId="28535" xr:uid="{00000000-0005-0000-0000-0000766F0000}"/>
    <cellStyle name="Normal 2 2 2 2 4 3 6" xfId="28536" xr:uid="{00000000-0005-0000-0000-0000776F0000}"/>
    <cellStyle name="Normal 2 2 2 2 4 3 6 2" xfId="28537" xr:uid="{00000000-0005-0000-0000-0000786F0000}"/>
    <cellStyle name="Normal 2 2 2 2 4 3 6 2 2" xfId="28538" xr:uid="{00000000-0005-0000-0000-0000796F0000}"/>
    <cellStyle name="Normal 2 2 2 2 4 3 6 3" xfId="28539" xr:uid="{00000000-0005-0000-0000-00007A6F0000}"/>
    <cellStyle name="Normal 2 2 2 2 4 3 7" xfId="28540" xr:uid="{00000000-0005-0000-0000-00007B6F0000}"/>
    <cellStyle name="Normal 2 2 2 2 4 3 7 2" xfId="28541" xr:uid="{00000000-0005-0000-0000-00007C6F0000}"/>
    <cellStyle name="Normal 2 2 2 2 4 3 8" xfId="28542" xr:uid="{00000000-0005-0000-0000-00007D6F0000}"/>
    <cellStyle name="Normal 2 2 2 2 4 4" xfId="28543" xr:uid="{00000000-0005-0000-0000-00007E6F0000}"/>
    <cellStyle name="Normal 2 2 2 2 4 4 2" xfId="28544" xr:uid="{00000000-0005-0000-0000-00007F6F0000}"/>
    <cellStyle name="Normal 2 2 2 2 4 4 2 2" xfId="28545" xr:uid="{00000000-0005-0000-0000-0000806F0000}"/>
    <cellStyle name="Normal 2 2 2 2 4 4 2 2 2" xfId="28546" xr:uid="{00000000-0005-0000-0000-0000816F0000}"/>
    <cellStyle name="Normal 2 2 2 2 4 4 2 2 2 2" xfId="28547" xr:uid="{00000000-0005-0000-0000-0000826F0000}"/>
    <cellStyle name="Normal 2 2 2 2 4 4 2 2 3" xfId="28548" xr:uid="{00000000-0005-0000-0000-0000836F0000}"/>
    <cellStyle name="Normal 2 2 2 2 4 4 2 3" xfId="28549" xr:uid="{00000000-0005-0000-0000-0000846F0000}"/>
    <cellStyle name="Normal 2 2 2 2 4 4 2 3 2" xfId="28550" xr:uid="{00000000-0005-0000-0000-0000856F0000}"/>
    <cellStyle name="Normal 2 2 2 2 4 4 2 4" xfId="28551" xr:uid="{00000000-0005-0000-0000-0000866F0000}"/>
    <cellStyle name="Normal 2 2 2 2 4 4 3" xfId="28552" xr:uid="{00000000-0005-0000-0000-0000876F0000}"/>
    <cellStyle name="Normal 2 2 2 2 4 4 3 2" xfId="28553" xr:uid="{00000000-0005-0000-0000-0000886F0000}"/>
    <cellStyle name="Normal 2 2 2 2 4 4 3 2 2" xfId="28554" xr:uid="{00000000-0005-0000-0000-0000896F0000}"/>
    <cellStyle name="Normal 2 2 2 2 4 4 3 3" xfId="28555" xr:uid="{00000000-0005-0000-0000-00008A6F0000}"/>
    <cellStyle name="Normal 2 2 2 2 4 4 4" xfId="28556" xr:uid="{00000000-0005-0000-0000-00008B6F0000}"/>
    <cellStyle name="Normal 2 2 2 2 4 4 4 2" xfId="28557" xr:uid="{00000000-0005-0000-0000-00008C6F0000}"/>
    <cellStyle name="Normal 2 2 2 2 4 4 4 2 2" xfId="28558" xr:uid="{00000000-0005-0000-0000-00008D6F0000}"/>
    <cellStyle name="Normal 2 2 2 2 4 4 4 3" xfId="28559" xr:uid="{00000000-0005-0000-0000-00008E6F0000}"/>
    <cellStyle name="Normal 2 2 2 2 4 4 5" xfId="28560" xr:uid="{00000000-0005-0000-0000-00008F6F0000}"/>
    <cellStyle name="Normal 2 2 2 2 4 4 5 2" xfId="28561" xr:uid="{00000000-0005-0000-0000-0000906F0000}"/>
    <cellStyle name="Normal 2 2 2 2 4 4 5 2 2" xfId="28562" xr:uid="{00000000-0005-0000-0000-0000916F0000}"/>
    <cellStyle name="Normal 2 2 2 2 4 4 5 3" xfId="28563" xr:uid="{00000000-0005-0000-0000-0000926F0000}"/>
    <cellStyle name="Normal 2 2 2 2 4 4 6" xfId="28564" xr:uid="{00000000-0005-0000-0000-0000936F0000}"/>
    <cellStyle name="Normal 2 2 2 2 4 4 6 2" xfId="28565" xr:uid="{00000000-0005-0000-0000-0000946F0000}"/>
    <cellStyle name="Normal 2 2 2 2 4 4 6 2 2" xfId="28566" xr:uid="{00000000-0005-0000-0000-0000956F0000}"/>
    <cellStyle name="Normal 2 2 2 2 4 4 6 3" xfId="28567" xr:uid="{00000000-0005-0000-0000-0000966F0000}"/>
    <cellStyle name="Normal 2 2 2 2 4 4 7" xfId="28568" xr:uid="{00000000-0005-0000-0000-0000976F0000}"/>
    <cellStyle name="Normal 2 2 2 2 4 4 7 2" xfId="28569" xr:uid="{00000000-0005-0000-0000-0000986F0000}"/>
    <cellStyle name="Normal 2 2 2 2 4 4 8" xfId="28570" xr:uid="{00000000-0005-0000-0000-0000996F0000}"/>
    <cellStyle name="Normal 2 2 2 2 4 5" xfId="28571" xr:uid="{00000000-0005-0000-0000-00009A6F0000}"/>
    <cellStyle name="Normal 2 2 2 2 4 5 2" xfId="28572" xr:uid="{00000000-0005-0000-0000-00009B6F0000}"/>
    <cellStyle name="Normal 2 2 2 2 4 5 2 2" xfId="28573" xr:uid="{00000000-0005-0000-0000-00009C6F0000}"/>
    <cellStyle name="Normal 2 2 2 2 4 5 2 2 2" xfId="28574" xr:uid="{00000000-0005-0000-0000-00009D6F0000}"/>
    <cellStyle name="Normal 2 2 2 2 4 5 2 2 2 2" xfId="28575" xr:uid="{00000000-0005-0000-0000-00009E6F0000}"/>
    <cellStyle name="Normal 2 2 2 2 4 5 2 2 3" xfId="28576" xr:uid="{00000000-0005-0000-0000-00009F6F0000}"/>
    <cellStyle name="Normal 2 2 2 2 4 5 2 3" xfId="28577" xr:uid="{00000000-0005-0000-0000-0000A06F0000}"/>
    <cellStyle name="Normal 2 2 2 2 4 5 2 3 2" xfId="28578" xr:uid="{00000000-0005-0000-0000-0000A16F0000}"/>
    <cellStyle name="Normal 2 2 2 2 4 5 2 4" xfId="28579" xr:uid="{00000000-0005-0000-0000-0000A26F0000}"/>
    <cellStyle name="Normal 2 2 2 2 4 5 3" xfId="28580" xr:uid="{00000000-0005-0000-0000-0000A36F0000}"/>
    <cellStyle name="Normal 2 2 2 2 4 5 3 2" xfId="28581" xr:uid="{00000000-0005-0000-0000-0000A46F0000}"/>
    <cellStyle name="Normal 2 2 2 2 4 5 3 2 2" xfId="28582" xr:uid="{00000000-0005-0000-0000-0000A56F0000}"/>
    <cellStyle name="Normal 2 2 2 2 4 5 3 3" xfId="28583" xr:uid="{00000000-0005-0000-0000-0000A66F0000}"/>
    <cellStyle name="Normal 2 2 2 2 4 5 4" xfId="28584" xr:uid="{00000000-0005-0000-0000-0000A76F0000}"/>
    <cellStyle name="Normal 2 2 2 2 4 5 4 2" xfId="28585" xr:uid="{00000000-0005-0000-0000-0000A86F0000}"/>
    <cellStyle name="Normal 2 2 2 2 4 5 5" xfId="28586" xr:uid="{00000000-0005-0000-0000-0000A96F0000}"/>
    <cellStyle name="Normal 2 2 2 2 4 6" xfId="28587" xr:uid="{00000000-0005-0000-0000-0000AA6F0000}"/>
    <cellStyle name="Normal 2 2 2 2 4 6 2" xfId="28588" xr:uid="{00000000-0005-0000-0000-0000AB6F0000}"/>
    <cellStyle name="Normal 2 2 2 2 4 6 2 2" xfId="28589" xr:uid="{00000000-0005-0000-0000-0000AC6F0000}"/>
    <cellStyle name="Normal 2 2 2 2 4 6 2 2 2" xfId="28590" xr:uid="{00000000-0005-0000-0000-0000AD6F0000}"/>
    <cellStyle name="Normal 2 2 2 2 4 6 2 2 2 2" xfId="28591" xr:uid="{00000000-0005-0000-0000-0000AE6F0000}"/>
    <cellStyle name="Normal 2 2 2 2 4 6 2 2 3" xfId="28592" xr:uid="{00000000-0005-0000-0000-0000AF6F0000}"/>
    <cellStyle name="Normal 2 2 2 2 4 6 2 3" xfId="28593" xr:uid="{00000000-0005-0000-0000-0000B06F0000}"/>
    <cellStyle name="Normal 2 2 2 2 4 6 2 3 2" xfId="28594" xr:uid="{00000000-0005-0000-0000-0000B16F0000}"/>
    <cellStyle name="Normal 2 2 2 2 4 6 2 4" xfId="28595" xr:uid="{00000000-0005-0000-0000-0000B26F0000}"/>
    <cellStyle name="Normal 2 2 2 2 4 6 3" xfId="28596" xr:uid="{00000000-0005-0000-0000-0000B36F0000}"/>
    <cellStyle name="Normal 2 2 2 2 4 6 3 2" xfId="28597" xr:uid="{00000000-0005-0000-0000-0000B46F0000}"/>
    <cellStyle name="Normal 2 2 2 2 4 6 3 2 2" xfId="28598" xr:uid="{00000000-0005-0000-0000-0000B56F0000}"/>
    <cellStyle name="Normal 2 2 2 2 4 6 3 3" xfId="28599" xr:uid="{00000000-0005-0000-0000-0000B66F0000}"/>
    <cellStyle name="Normal 2 2 2 2 4 6 4" xfId="28600" xr:uid="{00000000-0005-0000-0000-0000B76F0000}"/>
    <cellStyle name="Normal 2 2 2 2 4 6 4 2" xfId="28601" xr:uid="{00000000-0005-0000-0000-0000B86F0000}"/>
    <cellStyle name="Normal 2 2 2 2 4 6 5" xfId="28602" xr:uid="{00000000-0005-0000-0000-0000B96F0000}"/>
    <cellStyle name="Normal 2 2 2 2 4 7" xfId="28603" xr:uid="{00000000-0005-0000-0000-0000BA6F0000}"/>
    <cellStyle name="Normal 2 2 2 2 4 7 2" xfId="28604" xr:uid="{00000000-0005-0000-0000-0000BB6F0000}"/>
    <cellStyle name="Normal 2 2 2 2 4 7 2 2" xfId="28605" xr:uid="{00000000-0005-0000-0000-0000BC6F0000}"/>
    <cellStyle name="Normal 2 2 2 2 4 7 2 2 2" xfId="28606" xr:uid="{00000000-0005-0000-0000-0000BD6F0000}"/>
    <cellStyle name="Normal 2 2 2 2 4 7 2 3" xfId="28607" xr:uid="{00000000-0005-0000-0000-0000BE6F0000}"/>
    <cellStyle name="Normal 2 2 2 2 4 7 3" xfId="28608" xr:uid="{00000000-0005-0000-0000-0000BF6F0000}"/>
    <cellStyle name="Normal 2 2 2 2 4 7 3 2" xfId="28609" xr:uid="{00000000-0005-0000-0000-0000C06F0000}"/>
    <cellStyle name="Normal 2 2 2 2 4 7 4" xfId="28610" xr:uid="{00000000-0005-0000-0000-0000C16F0000}"/>
    <cellStyle name="Normal 2 2 2 2 4 8" xfId="28611" xr:uid="{00000000-0005-0000-0000-0000C26F0000}"/>
    <cellStyle name="Normal 2 2 2 2 4 8 2" xfId="28612" xr:uid="{00000000-0005-0000-0000-0000C36F0000}"/>
    <cellStyle name="Normal 2 2 2 2 4 8 2 2" xfId="28613" xr:uid="{00000000-0005-0000-0000-0000C46F0000}"/>
    <cellStyle name="Normal 2 2 2 2 4 8 2 2 2" xfId="28614" xr:uid="{00000000-0005-0000-0000-0000C56F0000}"/>
    <cellStyle name="Normal 2 2 2 2 4 8 2 3" xfId="28615" xr:uid="{00000000-0005-0000-0000-0000C66F0000}"/>
    <cellStyle name="Normal 2 2 2 2 4 8 3" xfId="28616" xr:uid="{00000000-0005-0000-0000-0000C76F0000}"/>
    <cellStyle name="Normal 2 2 2 2 4 8 3 2" xfId="28617" xr:uid="{00000000-0005-0000-0000-0000C86F0000}"/>
    <cellStyle name="Normal 2 2 2 2 4 8 4" xfId="28618" xr:uid="{00000000-0005-0000-0000-0000C96F0000}"/>
    <cellStyle name="Normal 2 2 2 2 4 9" xfId="28619" xr:uid="{00000000-0005-0000-0000-0000CA6F0000}"/>
    <cellStyle name="Normal 2 2 2 2 4 9 2" xfId="28620" xr:uid="{00000000-0005-0000-0000-0000CB6F0000}"/>
    <cellStyle name="Normal 2 2 2 2 4 9 2 2" xfId="28621" xr:uid="{00000000-0005-0000-0000-0000CC6F0000}"/>
    <cellStyle name="Normal 2 2 2 2 4 9 3" xfId="28622" xr:uid="{00000000-0005-0000-0000-0000CD6F0000}"/>
    <cellStyle name="Normal 2 2 2 2 5" xfId="28623" xr:uid="{00000000-0005-0000-0000-0000CE6F0000}"/>
    <cellStyle name="Normal 2 2 2 2 5 10" xfId="28624" xr:uid="{00000000-0005-0000-0000-0000CF6F0000}"/>
    <cellStyle name="Normal 2 2 2 2 5 10 2" xfId="28625" xr:uid="{00000000-0005-0000-0000-0000D06F0000}"/>
    <cellStyle name="Normal 2 2 2 2 5 10 2 2" xfId="28626" xr:uid="{00000000-0005-0000-0000-0000D16F0000}"/>
    <cellStyle name="Normal 2 2 2 2 5 10 3" xfId="28627" xr:uid="{00000000-0005-0000-0000-0000D26F0000}"/>
    <cellStyle name="Normal 2 2 2 2 5 11" xfId="28628" xr:uid="{00000000-0005-0000-0000-0000D36F0000}"/>
    <cellStyle name="Normal 2 2 2 2 5 11 2" xfId="28629" xr:uid="{00000000-0005-0000-0000-0000D46F0000}"/>
    <cellStyle name="Normal 2 2 2 2 5 11 2 2" xfId="28630" xr:uid="{00000000-0005-0000-0000-0000D56F0000}"/>
    <cellStyle name="Normal 2 2 2 2 5 11 3" xfId="28631" xr:uid="{00000000-0005-0000-0000-0000D66F0000}"/>
    <cellStyle name="Normal 2 2 2 2 5 12" xfId="28632" xr:uid="{00000000-0005-0000-0000-0000D76F0000}"/>
    <cellStyle name="Normal 2 2 2 2 5 12 2" xfId="28633" xr:uid="{00000000-0005-0000-0000-0000D86F0000}"/>
    <cellStyle name="Normal 2 2 2 2 5 12 2 2" xfId="28634" xr:uid="{00000000-0005-0000-0000-0000D96F0000}"/>
    <cellStyle name="Normal 2 2 2 2 5 12 3" xfId="28635" xr:uid="{00000000-0005-0000-0000-0000DA6F0000}"/>
    <cellStyle name="Normal 2 2 2 2 5 13" xfId="28636" xr:uid="{00000000-0005-0000-0000-0000DB6F0000}"/>
    <cellStyle name="Normal 2 2 2 2 5 13 2" xfId="28637" xr:uid="{00000000-0005-0000-0000-0000DC6F0000}"/>
    <cellStyle name="Normal 2 2 2 2 5 14" xfId="28638" xr:uid="{00000000-0005-0000-0000-0000DD6F0000}"/>
    <cellStyle name="Normal 2 2 2 2 5 2" xfId="28639" xr:uid="{00000000-0005-0000-0000-0000DE6F0000}"/>
    <cellStyle name="Normal 2 2 2 2 5 2 2" xfId="28640" xr:uid="{00000000-0005-0000-0000-0000DF6F0000}"/>
    <cellStyle name="Normal 2 2 2 2 5 2 2 2" xfId="28641" xr:uid="{00000000-0005-0000-0000-0000E06F0000}"/>
    <cellStyle name="Normal 2 2 2 2 5 2 2 2 2" xfId="28642" xr:uid="{00000000-0005-0000-0000-0000E16F0000}"/>
    <cellStyle name="Normal 2 2 2 2 5 2 2 2 2 2" xfId="28643" xr:uid="{00000000-0005-0000-0000-0000E26F0000}"/>
    <cellStyle name="Normal 2 2 2 2 5 2 2 2 3" xfId="28644" xr:uid="{00000000-0005-0000-0000-0000E36F0000}"/>
    <cellStyle name="Normal 2 2 2 2 5 2 2 3" xfId="28645" xr:uid="{00000000-0005-0000-0000-0000E46F0000}"/>
    <cellStyle name="Normal 2 2 2 2 5 2 2 3 2" xfId="28646" xr:uid="{00000000-0005-0000-0000-0000E56F0000}"/>
    <cellStyle name="Normal 2 2 2 2 5 2 2 4" xfId="28647" xr:uid="{00000000-0005-0000-0000-0000E66F0000}"/>
    <cellStyle name="Normal 2 2 2 2 5 2 3" xfId="28648" xr:uid="{00000000-0005-0000-0000-0000E76F0000}"/>
    <cellStyle name="Normal 2 2 2 2 5 2 3 2" xfId="28649" xr:uid="{00000000-0005-0000-0000-0000E86F0000}"/>
    <cellStyle name="Normal 2 2 2 2 5 2 3 2 2" xfId="28650" xr:uid="{00000000-0005-0000-0000-0000E96F0000}"/>
    <cellStyle name="Normal 2 2 2 2 5 2 3 3" xfId="28651" xr:uid="{00000000-0005-0000-0000-0000EA6F0000}"/>
    <cellStyle name="Normal 2 2 2 2 5 2 4" xfId="28652" xr:uid="{00000000-0005-0000-0000-0000EB6F0000}"/>
    <cellStyle name="Normal 2 2 2 2 5 2 4 2" xfId="28653" xr:uid="{00000000-0005-0000-0000-0000EC6F0000}"/>
    <cellStyle name="Normal 2 2 2 2 5 2 4 2 2" xfId="28654" xr:uid="{00000000-0005-0000-0000-0000ED6F0000}"/>
    <cellStyle name="Normal 2 2 2 2 5 2 4 3" xfId="28655" xr:uid="{00000000-0005-0000-0000-0000EE6F0000}"/>
    <cellStyle name="Normal 2 2 2 2 5 2 5" xfId="28656" xr:uid="{00000000-0005-0000-0000-0000EF6F0000}"/>
    <cellStyle name="Normal 2 2 2 2 5 2 5 2" xfId="28657" xr:uid="{00000000-0005-0000-0000-0000F06F0000}"/>
    <cellStyle name="Normal 2 2 2 2 5 2 5 2 2" xfId="28658" xr:uid="{00000000-0005-0000-0000-0000F16F0000}"/>
    <cellStyle name="Normal 2 2 2 2 5 2 5 3" xfId="28659" xr:uid="{00000000-0005-0000-0000-0000F26F0000}"/>
    <cellStyle name="Normal 2 2 2 2 5 2 6" xfId="28660" xr:uid="{00000000-0005-0000-0000-0000F36F0000}"/>
    <cellStyle name="Normal 2 2 2 2 5 2 6 2" xfId="28661" xr:uid="{00000000-0005-0000-0000-0000F46F0000}"/>
    <cellStyle name="Normal 2 2 2 2 5 2 6 2 2" xfId="28662" xr:uid="{00000000-0005-0000-0000-0000F56F0000}"/>
    <cellStyle name="Normal 2 2 2 2 5 2 6 3" xfId="28663" xr:uid="{00000000-0005-0000-0000-0000F66F0000}"/>
    <cellStyle name="Normal 2 2 2 2 5 2 7" xfId="28664" xr:uid="{00000000-0005-0000-0000-0000F76F0000}"/>
    <cellStyle name="Normal 2 2 2 2 5 2 7 2" xfId="28665" xr:uid="{00000000-0005-0000-0000-0000F86F0000}"/>
    <cellStyle name="Normal 2 2 2 2 5 2 8" xfId="28666" xr:uid="{00000000-0005-0000-0000-0000F96F0000}"/>
    <cellStyle name="Normal 2 2 2 2 5 3" xfId="28667" xr:uid="{00000000-0005-0000-0000-0000FA6F0000}"/>
    <cellStyle name="Normal 2 2 2 2 5 3 2" xfId="28668" xr:uid="{00000000-0005-0000-0000-0000FB6F0000}"/>
    <cellStyle name="Normal 2 2 2 2 5 3 2 2" xfId="28669" xr:uid="{00000000-0005-0000-0000-0000FC6F0000}"/>
    <cellStyle name="Normal 2 2 2 2 5 3 2 2 2" xfId="28670" xr:uid="{00000000-0005-0000-0000-0000FD6F0000}"/>
    <cellStyle name="Normal 2 2 2 2 5 3 2 2 2 2" xfId="28671" xr:uid="{00000000-0005-0000-0000-0000FE6F0000}"/>
    <cellStyle name="Normal 2 2 2 2 5 3 2 2 3" xfId="28672" xr:uid="{00000000-0005-0000-0000-0000FF6F0000}"/>
    <cellStyle name="Normal 2 2 2 2 5 3 2 3" xfId="28673" xr:uid="{00000000-0005-0000-0000-000000700000}"/>
    <cellStyle name="Normal 2 2 2 2 5 3 2 3 2" xfId="28674" xr:uid="{00000000-0005-0000-0000-000001700000}"/>
    <cellStyle name="Normal 2 2 2 2 5 3 2 4" xfId="28675" xr:uid="{00000000-0005-0000-0000-000002700000}"/>
    <cellStyle name="Normal 2 2 2 2 5 3 3" xfId="28676" xr:uid="{00000000-0005-0000-0000-000003700000}"/>
    <cellStyle name="Normal 2 2 2 2 5 3 3 2" xfId="28677" xr:uid="{00000000-0005-0000-0000-000004700000}"/>
    <cellStyle name="Normal 2 2 2 2 5 3 3 2 2" xfId="28678" xr:uid="{00000000-0005-0000-0000-000005700000}"/>
    <cellStyle name="Normal 2 2 2 2 5 3 3 3" xfId="28679" xr:uid="{00000000-0005-0000-0000-000006700000}"/>
    <cellStyle name="Normal 2 2 2 2 5 3 4" xfId="28680" xr:uid="{00000000-0005-0000-0000-000007700000}"/>
    <cellStyle name="Normal 2 2 2 2 5 3 4 2" xfId="28681" xr:uid="{00000000-0005-0000-0000-000008700000}"/>
    <cellStyle name="Normal 2 2 2 2 5 3 4 2 2" xfId="28682" xr:uid="{00000000-0005-0000-0000-000009700000}"/>
    <cellStyle name="Normal 2 2 2 2 5 3 4 3" xfId="28683" xr:uid="{00000000-0005-0000-0000-00000A700000}"/>
    <cellStyle name="Normal 2 2 2 2 5 3 5" xfId="28684" xr:uid="{00000000-0005-0000-0000-00000B700000}"/>
    <cellStyle name="Normal 2 2 2 2 5 3 5 2" xfId="28685" xr:uid="{00000000-0005-0000-0000-00000C700000}"/>
    <cellStyle name="Normal 2 2 2 2 5 3 5 2 2" xfId="28686" xr:uid="{00000000-0005-0000-0000-00000D700000}"/>
    <cellStyle name="Normal 2 2 2 2 5 3 5 3" xfId="28687" xr:uid="{00000000-0005-0000-0000-00000E700000}"/>
    <cellStyle name="Normal 2 2 2 2 5 3 6" xfId="28688" xr:uid="{00000000-0005-0000-0000-00000F700000}"/>
    <cellStyle name="Normal 2 2 2 2 5 3 6 2" xfId="28689" xr:uid="{00000000-0005-0000-0000-000010700000}"/>
    <cellStyle name="Normal 2 2 2 2 5 3 6 2 2" xfId="28690" xr:uid="{00000000-0005-0000-0000-000011700000}"/>
    <cellStyle name="Normal 2 2 2 2 5 3 6 3" xfId="28691" xr:uid="{00000000-0005-0000-0000-000012700000}"/>
    <cellStyle name="Normal 2 2 2 2 5 3 7" xfId="28692" xr:uid="{00000000-0005-0000-0000-000013700000}"/>
    <cellStyle name="Normal 2 2 2 2 5 3 7 2" xfId="28693" xr:uid="{00000000-0005-0000-0000-000014700000}"/>
    <cellStyle name="Normal 2 2 2 2 5 3 8" xfId="28694" xr:uid="{00000000-0005-0000-0000-000015700000}"/>
    <cellStyle name="Normal 2 2 2 2 5 4" xfId="28695" xr:uid="{00000000-0005-0000-0000-000016700000}"/>
    <cellStyle name="Normal 2 2 2 2 5 4 2" xfId="28696" xr:uid="{00000000-0005-0000-0000-000017700000}"/>
    <cellStyle name="Normal 2 2 2 2 5 4 2 2" xfId="28697" xr:uid="{00000000-0005-0000-0000-000018700000}"/>
    <cellStyle name="Normal 2 2 2 2 5 4 2 2 2" xfId="28698" xr:uid="{00000000-0005-0000-0000-000019700000}"/>
    <cellStyle name="Normal 2 2 2 2 5 4 2 2 2 2" xfId="28699" xr:uid="{00000000-0005-0000-0000-00001A700000}"/>
    <cellStyle name="Normal 2 2 2 2 5 4 2 2 3" xfId="28700" xr:uid="{00000000-0005-0000-0000-00001B700000}"/>
    <cellStyle name="Normal 2 2 2 2 5 4 2 3" xfId="28701" xr:uid="{00000000-0005-0000-0000-00001C700000}"/>
    <cellStyle name="Normal 2 2 2 2 5 4 2 3 2" xfId="28702" xr:uid="{00000000-0005-0000-0000-00001D700000}"/>
    <cellStyle name="Normal 2 2 2 2 5 4 2 4" xfId="28703" xr:uid="{00000000-0005-0000-0000-00001E700000}"/>
    <cellStyle name="Normal 2 2 2 2 5 4 3" xfId="28704" xr:uid="{00000000-0005-0000-0000-00001F700000}"/>
    <cellStyle name="Normal 2 2 2 2 5 4 3 2" xfId="28705" xr:uid="{00000000-0005-0000-0000-000020700000}"/>
    <cellStyle name="Normal 2 2 2 2 5 4 3 2 2" xfId="28706" xr:uid="{00000000-0005-0000-0000-000021700000}"/>
    <cellStyle name="Normal 2 2 2 2 5 4 3 3" xfId="28707" xr:uid="{00000000-0005-0000-0000-000022700000}"/>
    <cellStyle name="Normal 2 2 2 2 5 4 4" xfId="28708" xr:uid="{00000000-0005-0000-0000-000023700000}"/>
    <cellStyle name="Normal 2 2 2 2 5 4 4 2" xfId="28709" xr:uid="{00000000-0005-0000-0000-000024700000}"/>
    <cellStyle name="Normal 2 2 2 2 5 4 4 2 2" xfId="28710" xr:uid="{00000000-0005-0000-0000-000025700000}"/>
    <cellStyle name="Normal 2 2 2 2 5 4 4 3" xfId="28711" xr:uid="{00000000-0005-0000-0000-000026700000}"/>
    <cellStyle name="Normal 2 2 2 2 5 4 5" xfId="28712" xr:uid="{00000000-0005-0000-0000-000027700000}"/>
    <cellStyle name="Normal 2 2 2 2 5 4 5 2" xfId="28713" xr:uid="{00000000-0005-0000-0000-000028700000}"/>
    <cellStyle name="Normal 2 2 2 2 5 4 5 2 2" xfId="28714" xr:uid="{00000000-0005-0000-0000-000029700000}"/>
    <cellStyle name="Normal 2 2 2 2 5 4 5 3" xfId="28715" xr:uid="{00000000-0005-0000-0000-00002A700000}"/>
    <cellStyle name="Normal 2 2 2 2 5 4 6" xfId="28716" xr:uid="{00000000-0005-0000-0000-00002B700000}"/>
    <cellStyle name="Normal 2 2 2 2 5 4 6 2" xfId="28717" xr:uid="{00000000-0005-0000-0000-00002C700000}"/>
    <cellStyle name="Normal 2 2 2 2 5 4 6 2 2" xfId="28718" xr:uid="{00000000-0005-0000-0000-00002D700000}"/>
    <cellStyle name="Normal 2 2 2 2 5 4 6 3" xfId="28719" xr:uid="{00000000-0005-0000-0000-00002E700000}"/>
    <cellStyle name="Normal 2 2 2 2 5 4 7" xfId="28720" xr:uid="{00000000-0005-0000-0000-00002F700000}"/>
    <cellStyle name="Normal 2 2 2 2 5 4 7 2" xfId="28721" xr:uid="{00000000-0005-0000-0000-000030700000}"/>
    <cellStyle name="Normal 2 2 2 2 5 4 8" xfId="28722" xr:uid="{00000000-0005-0000-0000-000031700000}"/>
    <cellStyle name="Normal 2 2 2 2 5 5" xfId="28723" xr:uid="{00000000-0005-0000-0000-000032700000}"/>
    <cellStyle name="Normal 2 2 2 2 5 5 2" xfId="28724" xr:uid="{00000000-0005-0000-0000-000033700000}"/>
    <cellStyle name="Normal 2 2 2 2 5 5 2 2" xfId="28725" xr:uid="{00000000-0005-0000-0000-000034700000}"/>
    <cellStyle name="Normal 2 2 2 2 5 5 2 2 2" xfId="28726" xr:uid="{00000000-0005-0000-0000-000035700000}"/>
    <cellStyle name="Normal 2 2 2 2 5 5 2 2 2 2" xfId="28727" xr:uid="{00000000-0005-0000-0000-000036700000}"/>
    <cellStyle name="Normal 2 2 2 2 5 5 2 2 3" xfId="28728" xr:uid="{00000000-0005-0000-0000-000037700000}"/>
    <cellStyle name="Normal 2 2 2 2 5 5 2 3" xfId="28729" xr:uid="{00000000-0005-0000-0000-000038700000}"/>
    <cellStyle name="Normal 2 2 2 2 5 5 2 3 2" xfId="28730" xr:uid="{00000000-0005-0000-0000-000039700000}"/>
    <cellStyle name="Normal 2 2 2 2 5 5 2 4" xfId="28731" xr:uid="{00000000-0005-0000-0000-00003A700000}"/>
    <cellStyle name="Normal 2 2 2 2 5 5 3" xfId="28732" xr:uid="{00000000-0005-0000-0000-00003B700000}"/>
    <cellStyle name="Normal 2 2 2 2 5 5 3 2" xfId="28733" xr:uid="{00000000-0005-0000-0000-00003C700000}"/>
    <cellStyle name="Normal 2 2 2 2 5 5 3 2 2" xfId="28734" xr:uid="{00000000-0005-0000-0000-00003D700000}"/>
    <cellStyle name="Normal 2 2 2 2 5 5 3 3" xfId="28735" xr:uid="{00000000-0005-0000-0000-00003E700000}"/>
    <cellStyle name="Normal 2 2 2 2 5 5 4" xfId="28736" xr:uid="{00000000-0005-0000-0000-00003F700000}"/>
    <cellStyle name="Normal 2 2 2 2 5 5 4 2" xfId="28737" xr:uid="{00000000-0005-0000-0000-000040700000}"/>
    <cellStyle name="Normal 2 2 2 2 5 5 5" xfId="28738" xr:uid="{00000000-0005-0000-0000-000041700000}"/>
    <cellStyle name="Normal 2 2 2 2 5 6" xfId="28739" xr:uid="{00000000-0005-0000-0000-000042700000}"/>
    <cellStyle name="Normal 2 2 2 2 5 6 2" xfId="28740" xr:uid="{00000000-0005-0000-0000-000043700000}"/>
    <cellStyle name="Normal 2 2 2 2 5 6 2 2" xfId="28741" xr:uid="{00000000-0005-0000-0000-000044700000}"/>
    <cellStyle name="Normal 2 2 2 2 5 6 2 2 2" xfId="28742" xr:uid="{00000000-0005-0000-0000-000045700000}"/>
    <cellStyle name="Normal 2 2 2 2 5 6 2 2 2 2" xfId="28743" xr:uid="{00000000-0005-0000-0000-000046700000}"/>
    <cellStyle name="Normal 2 2 2 2 5 6 2 2 3" xfId="28744" xr:uid="{00000000-0005-0000-0000-000047700000}"/>
    <cellStyle name="Normal 2 2 2 2 5 6 2 3" xfId="28745" xr:uid="{00000000-0005-0000-0000-000048700000}"/>
    <cellStyle name="Normal 2 2 2 2 5 6 2 3 2" xfId="28746" xr:uid="{00000000-0005-0000-0000-000049700000}"/>
    <cellStyle name="Normal 2 2 2 2 5 6 2 4" xfId="28747" xr:uid="{00000000-0005-0000-0000-00004A700000}"/>
    <cellStyle name="Normal 2 2 2 2 5 6 3" xfId="28748" xr:uid="{00000000-0005-0000-0000-00004B700000}"/>
    <cellStyle name="Normal 2 2 2 2 5 6 3 2" xfId="28749" xr:uid="{00000000-0005-0000-0000-00004C700000}"/>
    <cellStyle name="Normal 2 2 2 2 5 6 3 2 2" xfId="28750" xr:uid="{00000000-0005-0000-0000-00004D700000}"/>
    <cellStyle name="Normal 2 2 2 2 5 6 3 3" xfId="28751" xr:uid="{00000000-0005-0000-0000-00004E700000}"/>
    <cellStyle name="Normal 2 2 2 2 5 6 4" xfId="28752" xr:uid="{00000000-0005-0000-0000-00004F700000}"/>
    <cellStyle name="Normal 2 2 2 2 5 6 4 2" xfId="28753" xr:uid="{00000000-0005-0000-0000-000050700000}"/>
    <cellStyle name="Normal 2 2 2 2 5 6 5" xfId="28754" xr:uid="{00000000-0005-0000-0000-000051700000}"/>
    <cellStyle name="Normal 2 2 2 2 5 7" xfId="28755" xr:uid="{00000000-0005-0000-0000-000052700000}"/>
    <cellStyle name="Normal 2 2 2 2 5 7 2" xfId="28756" xr:uid="{00000000-0005-0000-0000-000053700000}"/>
    <cellStyle name="Normal 2 2 2 2 5 7 2 2" xfId="28757" xr:uid="{00000000-0005-0000-0000-000054700000}"/>
    <cellStyle name="Normal 2 2 2 2 5 7 2 2 2" xfId="28758" xr:uid="{00000000-0005-0000-0000-000055700000}"/>
    <cellStyle name="Normal 2 2 2 2 5 7 2 3" xfId="28759" xr:uid="{00000000-0005-0000-0000-000056700000}"/>
    <cellStyle name="Normal 2 2 2 2 5 7 3" xfId="28760" xr:uid="{00000000-0005-0000-0000-000057700000}"/>
    <cellStyle name="Normal 2 2 2 2 5 7 3 2" xfId="28761" xr:uid="{00000000-0005-0000-0000-000058700000}"/>
    <cellStyle name="Normal 2 2 2 2 5 7 4" xfId="28762" xr:uid="{00000000-0005-0000-0000-000059700000}"/>
    <cellStyle name="Normal 2 2 2 2 5 8" xfId="28763" xr:uid="{00000000-0005-0000-0000-00005A700000}"/>
    <cellStyle name="Normal 2 2 2 2 5 8 2" xfId="28764" xr:uid="{00000000-0005-0000-0000-00005B700000}"/>
    <cellStyle name="Normal 2 2 2 2 5 8 2 2" xfId="28765" xr:uid="{00000000-0005-0000-0000-00005C700000}"/>
    <cellStyle name="Normal 2 2 2 2 5 8 2 2 2" xfId="28766" xr:uid="{00000000-0005-0000-0000-00005D700000}"/>
    <cellStyle name="Normal 2 2 2 2 5 8 2 3" xfId="28767" xr:uid="{00000000-0005-0000-0000-00005E700000}"/>
    <cellStyle name="Normal 2 2 2 2 5 8 3" xfId="28768" xr:uid="{00000000-0005-0000-0000-00005F700000}"/>
    <cellStyle name="Normal 2 2 2 2 5 8 3 2" xfId="28769" xr:uid="{00000000-0005-0000-0000-000060700000}"/>
    <cellStyle name="Normal 2 2 2 2 5 8 4" xfId="28770" xr:uid="{00000000-0005-0000-0000-000061700000}"/>
    <cellStyle name="Normal 2 2 2 2 5 9" xfId="28771" xr:uid="{00000000-0005-0000-0000-000062700000}"/>
    <cellStyle name="Normal 2 2 2 2 5 9 2" xfId="28772" xr:uid="{00000000-0005-0000-0000-000063700000}"/>
    <cellStyle name="Normal 2 2 2 2 5 9 2 2" xfId="28773" xr:uid="{00000000-0005-0000-0000-000064700000}"/>
    <cellStyle name="Normal 2 2 2 2 5 9 3" xfId="28774" xr:uid="{00000000-0005-0000-0000-000065700000}"/>
    <cellStyle name="Normal 2 2 2 2 6" xfId="28775" xr:uid="{00000000-0005-0000-0000-000066700000}"/>
    <cellStyle name="Normal 2 2 2 2 6 10" xfId="28776" xr:uid="{00000000-0005-0000-0000-000067700000}"/>
    <cellStyle name="Normal 2 2 2 2 6 10 2" xfId="28777" xr:uid="{00000000-0005-0000-0000-000068700000}"/>
    <cellStyle name="Normal 2 2 2 2 6 10 2 2" xfId="28778" xr:uid="{00000000-0005-0000-0000-000069700000}"/>
    <cellStyle name="Normal 2 2 2 2 6 10 3" xfId="28779" xr:uid="{00000000-0005-0000-0000-00006A700000}"/>
    <cellStyle name="Normal 2 2 2 2 6 11" xfId="28780" xr:uid="{00000000-0005-0000-0000-00006B700000}"/>
    <cellStyle name="Normal 2 2 2 2 6 11 2" xfId="28781" xr:uid="{00000000-0005-0000-0000-00006C700000}"/>
    <cellStyle name="Normal 2 2 2 2 6 11 2 2" xfId="28782" xr:uid="{00000000-0005-0000-0000-00006D700000}"/>
    <cellStyle name="Normal 2 2 2 2 6 11 3" xfId="28783" xr:uid="{00000000-0005-0000-0000-00006E700000}"/>
    <cellStyle name="Normal 2 2 2 2 6 12" xfId="28784" xr:uid="{00000000-0005-0000-0000-00006F700000}"/>
    <cellStyle name="Normal 2 2 2 2 6 12 2" xfId="28785" xr:uid="{00000000-0005-0000-0000-000070700000}"/>
    <cellStyle name="Normal 2 2 2 2 6 12 2 2" xfId="28786" xr:uid="{00000000-0005-0000-0000-000071700000}"/>
    <cellStyle name="Normal 2 2 2 2 6 12 3" xfId="28787" xr:uid="{00000000-0005-0000-0000-000072700000}"/>
    <cellStyle name="Normal 2 2 2 2 6 13" xfId="28788" xr:uid="{00000000-0005-0000-0000-000073700000}"/>
    <cellStyle name="Normal 2 2 2 2 6 13 2" xfId="28789" xr:uid="{00000000-0005-0000-0000-000074700000}"/>
    <cellStyle name="Normal 2 2 2 2 6 14" xfId="28790" xr:uid="{00000000-0005-0000-0000-000075700000}"/>
    <cellStyle name="Normal 2 2 2 2 6 2" xfId="28791" xr:uid="{00000000-0005-0000-0000-000076700000}"/>
    <cellStyle name="Normal 2 2 2 2 6 2 2" xfId="28792" xr:uid="{00000000-0005-0000-0000-000077700000}"/>
    <cellStyle name="Normal 2 2 2 2 6 2 2 2" xfId="28793" xr:uid="{00000000-0005-0000-0000-000078700000}"/>
    <cellStyle name="Normal 2 2 2 2 6 2 2 2 2" xfId="28794" xr:uid="{00000000-0005-0000-0000-000079700000}"/>
    <cellStyle name="Normal 2 2 2 2 6 2 2 2 2 2" xfId="28795" xr:uid="{00000000-0005-0000-0000-00007A700000}"/>
    <cellStyle name="Normal 2 2 2 2 6 2 2 2 3" xfId="28796" xr:uid="{00000000-0005-0000-0000-00007B700000}"/>
    <cellStyle name="Normal 2 2 2 2 6 2 2 3" xfId="28797" xr:uid="{00000000-0005-0000-0000-00007C700000}"/>
    <cellStyle name="Normal 2 2 2 2 6 2 2 3 2" xfId="28798" xr:uid="{00000000-0005-0000-0000-00007D700000}"/>
    <cellStyle name="Normal 2 2 2 2 6 2 2 4" xfId="28799" xr:uid="{00000000-0005-0000-0000-00007E700000}"/>
    <cellStyle name="Normal 2 2 2 2 6 2 3" xfId="28800" xr:uid="{00000000-0005-0000-0000-00007F700000}"/>
    <cellStyle name="Normal 2 2 2 2 6 2 3 2" xfId="28801" xr:uid="{00000000-0005-0000-0000-000080700000}"/>
    <cellStyle name="Normal 2 2 2 2 6 2 3 2 2" xfId="28802" xr:uid="{00000000-0005-0000-0000-000081700000}"/>
    <cellStyle name="Normal 2 2 2 2 6 2 3 3" xfId="28803" xr:uid="{00000000-0005-0000-0000-000082700000}"/>
    <cellStyle name="Normal 2 2 2 2 6 2 4" xfId="28804" xr:uid="{00000000-0005-0000-0000-000083700000}"/>
    <cellStyle name="Normal 2 2 2 2 6 2 4 2" xfId="28805" xr:uid="{00000000-0005-0000-0000-000084700000}"/>
    <cellStyle name="Normal 2 2 2 2 6 2 4 2 2" xfId="28806" xr:uid="{00000000-0005-0000-0000-000085700000}"/>
    <cellStyle name="Normal 2 2 2 2 6 2 4 3" xfId="28807" xr:uid="{00000000-0005-0000-0000-000086700000}"/>
    <cellStyle name="Normal 2 2 2 2 6 2 5" xfId="28808" xr:uid="{00000000-0005-0000-0000-000087700000}"/>
    <cellStyle name="Normal 2 2 2 2 6 2 5 2" xfId="28809" xr:uid="{00000000-0005-0000-0000-000088700000}"/>
    <cellStyle name="Normal 2 2 2 2 6 2 5 2 2" xfId="28810" xr:uid="{00000000-0005-0000-0000-000089700000}"/>
    <cellStyle name="Normal 2 2 2 2 6 2 5 3" xfId="28811" xr:uid="{00000000-0005-0000-0000-00008A700000}"/>
    <cellStyle name="Normal 2 2 2 2 6 2 6" xfId="28812" xr:uid="{00000000-0005-0000-0000-00008B700000}"/>
    <cellStyle name="Normal 2 2 2 2 6 2 6 2" xfId="28813" xr:uid="{00000000-0005-0000-0000-00008C700000}"/>
    <cellStyle name="Normal 2 2 2 2 6 2 6 2 2" xfId="28814" xr:uid="{00000000-0005-0000-0000-00008D700000}"/>
    <cellStyle name="Normal 2 2 2 2 6 2 6 3" xfId="28815" xr:uid="{00000000-0005-0000-0000-00008E700000}"/>
    <cellStyle name="Normal 2 2 2 2 6 2 7" xfId="28816" xr:uid="{00000000-0005-0000-0000-00008F700000}"/>
    <cellStyle name="Normal 2 2 2 2 6 2 7 2" xfId="28817" xr:uid="{00000000-0005-0000-0000-000090700000}"/>
    <cellStyle name="Normal 2 2 2 2 6 2 8" xfId="28818" xr:uid="{00000000-0005-0000-0000-000091700000}"/>
    <cellStyle name="Normal 2 2 2 2 6 3" xfId="28819" xr:uid="{00000000-0005-0000-0000-000092700000}"/>
    <cellStyle name="Normal 2 2 2 2 6 3 2" xfId="28820" xr:uid="{00000000-0005-0000-0000-000093700000}"/>
    <cellStyle name="Normal 2 2 2 2 6 3 2 2" xfId="28821" xr:uid="{00000000-0005-0000-0000-000094700000}"/>
    <cellStyle name="Normal 2 2 2 2 6 3 2 2 2" xfId="28822" xr:uid="{00000000-0005-0000-0000-000095700000}"/>
    <cellStyle name="Normal 2 2 2 2 6 3 2 2 2 2" xfId="28823" xr:uid="{00000000-0005-0000-0000-000096700000}"/>
    <cellStyle name="Normal 2 2 2 2 6 3 2 2 3" xfId="28824" xr:uid="{00000000-0005-0000-0000-000097700000}"/>
    <cellStyle name="Normal 2 2 2 2 6 3 2 3" xfId="28825" xr:uid="{00000000-0005-0000-0000-000098700000}"/>
    <cellStyle name="Normal 2 2 2 2 6 3 2 3 2" xfId="28826" xr:uid="{00000000-0005-0000-0000-000099700000}"/>
    <cellStyle name="Normal 2 2 2 2 6 3 2 4" xfId="28827" xr:uid="{00000000-0005-0000-0000-00009A700000}"/>
    <cellStyle name="Normal 2 2 2 2 6 3 3" xfId="28828" xr:uid="{00000000-0005-0000-0000-00009B700000}"/>
    <cellStyle name="Normal 2 2 2 2 6 3 3 2" xfId="28829" xr:uid="{00000000-0005-0000-0000-00009C700000}"/>
    <cellStyle name="Normal 2 2 2 2 6 3 3 2 2" xfId="28830" xr:uid="{00000000-0005-0000-0000-00009D700000}"/>
    <cellStyle name="Normal 2 2 2 2 6 3 3 3" xfId="28831" xr:uid="{00000000-0005-0000-0000-00009E700000}"/>
    <cellStyle name="Normal 2 2 2 2 6 3 4" xfId="28832" xr:uid="{00000000-0005-0000-0000-00009F700000}"/>
    <cellStyle name="Normal 2 2 2 2 6 3 4 2" xfId="28833" xr:uid="{00000000-0005-0000-0000-0000A0700000}"/>
    <cellStyle name="Normal 2 2 2 2 6 3 4 2 2" xfId="28834" xr:uid="{00000000-0005-0000-0000-0000A1700000}"/>
    <cellStyle name="Normal 2 2 2 2 6 3 4 3" xfId="28835" xr:uid="{00000000-0005-0000-0000-0000A2700000}"/>
    <cellStyle name="Normal 2 2 2 2 6 3 5" xfId="28836" xr:uid="{00000000-0005-0000-0000-0000A3700000}"/>
    <cellStyle name="Normal 2 2 2 2 6 3 5 2" xfId="28837" xr:uid="{00000000-0005-0000-0000-0000A4700000}"/>
    <cellStyle name="Normal 2 2 2 2 6 3 5 2 2" xfId="28838" xr:uid="{00000000-0005-0000-0000-0000A5700000}"/>
    <cellStyle name="Normal 2 2 2 2 6 3 5 3" xfId="28839" xr:uid="{00000000-0005-0000-0000-0000A6700000}"/>
    <cellStyle name="Normal 2 2 2 2 6 3 6" xfId="28840" xr:uid="{00000000-0005-0000-0000-0000A7700000}"/>
    <cellStyle name="Normal 2 2 2 2 6 3 6 2" xfId="28841" xr:uid="{00000000-0005-0000-0000-0000A8700000}"/>
    <cellStyle name="Normal 2 2 2 2 6 3 6 2 2" xfId="28842" xr:uid="{00000000-0005-0000-0000-0000A9700000}"/>
    <cellStyle name="Normal 2 2 2 2 6 3 6 3" xfId="28843" xr:uid="{00000000-0005-0000-0000-0000AA700000}"/>
    <cellStyle name="Normal 2 2 2 2 6 3 7" xfId="28844" xr:uid="{00000000-0005-0000-0000-0000AB700000}"/>
    <cellStyle name="Normal 2 2 2 2 6 3 7 2" xfId="28845" xr:uid="{00000000-0005-0000-0000-0000AC700000}"/>
    <cellStyle name="Normal 2 2 2 2 6 3 8" xfId="28846" xr:uid="{00000000-0005-0000-0000-0000AD700000}"/>
    <cellStyle name="Normal 2 2 2 2 6 4" xfId="28847" xr:uid="{00000000-0005-0000-0000-0000AE700000}"/>
    <cellStyle name="Normal 2 2 2 2 6 4 2" xfId="28848" xr:uid="{00000000-0005-0000-0000-0000AF700000}"/>
    <cellStyle name="Normal 2 2 2 2 6 4 2 2" xfId="28849" xr:uid="{00000000-0005-0000-0000-0000B0700000}"/>
    <cellStyle name="Normal 2 2 2 2 6 4 2 2 2" xfId="28850" xr:uid="{00000000-0005-0000-0000-0000B1700000}"/>
    <cellStyle name="Normal 2 2 2 2 6 4 2 2 2 2" xfId="28851" xr:uid="{00000000-0005-0000-0000-0000B2700000}"/>
    <cellStyle name="Normal 2 2 2 2 6 4 2 2 3" xfId="28852" xr:uid="{00000000-0005-0000-0000-0000B3700000}"/>
    <cellStyle name="Normal 2 2 2 2 6 4 2 3" xfId="28853" xr:uid="{00000000-0005-0000-0000-0000B4700000}"/>
    <cellStyle name="Normal 2 2 2 2 6 4 2 3 2" xfId="28854" xr:uid="{00000000-0005-0000-0000-0000B5700000}"/>
    <cellStyle name="Normal 2 2 2 2 6 4 2 4" xfId="28855" xr:uid="{00000000-0005-0000-0000-0000B6700000}"/>
    <cellStyle name="Normal 2 2 2 2 6 4 3" xfId="28856" xr:uid="{00000000-0005-0000-0000-0000B7700000}"/>
    <cellStyle name="Normal 2 2 2 2 6 4 3 2" xfId="28857" xr:uid="{00000000-0005-0000-0000-0000B8700000}"/>
    <cellStyle name="Normal 2 2 2 2 6 4 3 2 2" xfId="28858" xr:uid="{00000000-0005-0000-0000-0000B9700000}"/>
    <cellStyle name="Normal 2 2 2 2 6 4 3 3" xfId="28859" xr:uid="{00000000-0005-0000-0000-0000BA700000}"/>
    <cellStyle name="Normal 2 2 2 2 6 4 4" xfId="28860" xr:uid="{00000000-0005-0000-0000-0000BB700000}"/>
    <cellStyle name="Normal 2 2 2 2 6 4 4 2" xfId="28861" xr:uid="{00000000-0005-0000-0000-0000BC700000}"/>
    <cellStyle name="Normal 2 2 2 2 6 4 4 2 2" xfId="28862" xr:uid="{00000000-0005-0000-0000-0000BD700000}"/>
    <cellStyle name="Normal 2 2 2 2 6 4 4 3" xfId="28863" xr:uid="{00000000-0005-0000-0000-0000BE700000}"/>
    <cellStyle name="Normal 2 2 2 2 6 4 5" xfId="28864" xr:uid="{00000000-0005-0000-0000-0000BF700000}"/>
    <cellStyle name="Normal 2 2 2 2 6 4 5 2" xfId="28865" xr:uid="{00000000-0005-0000-0000-0000C0700000}"/>
    <cellStyle name="Normal 2 2 2 2 6 4 5 2 2" xfId="28866" xr:uid="{00000000-0005-0000-0000-0000C1700000}"/>
    <cellStyle name="Normal 2 2 2 2 6 4 5 3" xfId="28867" xr:uid="{00000000-0005-0000-0000-0000C2700000}"/>
    <cellStyle name="Normal 2 2 2 2 6 4 6" xfId="28868" xr:uid="{00000000-0005-0000-0000-0000C3700000}"/>
    <cellStyle name="Normal 2 2 2 2 6 4 6 2" xfId="28869" xr:uid="{00000000-0005-0000-0000-0000C4700000}"/>
    <cellStyle name="Normal 2 2 2 2 6 4 6 2 2" xfId="28870" xr:uid="{00000000-0005-0000-0000-0000C5700000}"/>
    <cellStyle name="Normal 2 2 2 2 6 4 6 3" xfId="28871" xr:uid="{00000000-0005-0000-0000-0000C6700000}"/>
    <cellStyle name="Normal 2 2 2 2 6 4 7" xfId="28872" xr:uid="{00000000-0005-0000-0000-0000C7700000}"/>
    <cellStyle name="Normal 2 2 2 2 6 4 7 2" xfId="28873" xr:uid="{00000000-0005-0000-0000-0000C8700000}"/>
    <cellStyle name="Normal 2 2 2 2 6 4 8" xfId="28874" xr:uid="{00000000-0005-0000-0000-0000C9700000}"/>
    <cellStyle name="Normal 2 2 2 2 6 5" xfId="28875" xr:uid="{00000000-0005-0000-0000-0000CA700000}"/>
    <cellStyle name="Normal 2 2 2 2 6 5 2" xfId="28876" xr:uid="{00000000-0005-0000-0000-0000CB700000}"/>
    <cellStyle name="Normal 2 2 2 2 6 5 2 2" xfId="28877" xr:uid="{00000000-0005-0000-0000-0000CC700000}"/>
    <cellStyle name="Normal 2 2 2 2 6 5 2 2 2" xfId="28878" xr:uid="{00000000-0005-0000-0000-0000CD700000}"/>
    <cellStyle name="Normal 2 2 2 2 6 5 2 2 2 2" xfId="28879" xr:uid="{00000000-0005-0000-0000-0000CE700000}"/>
    <cellStyle name="Normal 2 2 2 2 6 5 2 2 3" xfId="28880" xr:uid="{00000000-0005-0000-0000-0000CF700000}"/>
    <cellStyle name="Normal 2 2 2 2 6 5 2 3" xfId="28881" xr:uid="{00000000-0005-0000-0000-0000D0700000}"/>
    <cellStyle name="Normal 2 2 2 2 6 5 2 3 2" xfId="28882" xr:uid="{00000000-0005-0000-0000-0000D1700000}"/>
    <cellStyle name="Normal 2 2 2 2 6 5 2 4" xfId="28883" xr:uid="{00000000-0005-0000-0000-0000D2700000}"/>
    <cellStyle name="Normal 2 2 2 2 6 5 3" xfId="28884" xr:uid="{00000000-0005-0000-0000-0000D3700000}"/>
    <cellStyle name="Normal 2 2 2 2 6 5 3 2" xfId="28885" xr:uid="{00000000-0005-0000-0000-0000D4700000}"/>
    <cellStyle name="Normal 2 2 2 2 6 5 3 2 2" xfId="28886" xr:uid="{00000000-0005-0000-0000-0000D5700000}"/>
    <cellStyle name="Normal 2 2 2 2 6 5 3 3" xfId="28887" xr:uid="{00000000-0005-0000-0000-0000D6700000}"/>
    <cellStyle name="Normal 2 2 2 2 6 5 4" xfId="28888" xr:uid="{00000000-0005-0000-0000-0000D7700000}"/>
    <cellStyle name="Normal 2 2 2 2 6 5 4 2" xfId="28889" xr:uid="{00000000-0005-0000-0000-0000D8700000}"/>
    <cellStyle name="Normal 2 2 2 2 6 5 5" xfId="28890" xr:uid="{00000000-0005-0000-0000-0000D9700000}"/>
    <cellStyle name="Normal 2 2 2 2 6 6" xfId="28891" xr:uid="{00000000-0005-0000-0000-0000DA700000}"/>
    <cellStyle name="Normal 2 2 2 2 6 6 2" xfId="28892" xr:uid="{00000000-0005-0000-0000-0000DB700000}"/>
    <cellStyle name="Normal 2 2 2 2 6 6 2 2" xfId="28893" xr:uid="{00000000-0005-0000-0000-0000DC700000}"/>
    <cellStyle name="Normal 2 2 2 2 6 6 2 2 2" xfId="28894" xr:uid="{00000000-0005-0000-0000-0000DD700000}"/>
    <cellStyle name="Normal 2 2 2 2 6 6 2 2 2 2" xfId="28895" xr:uid="{00000000-0005-0000-0000-0000DE700000}"/>
    <cellStyle name="Normal 2 2 2 2 6 6 2 2 3" xfId="28896" xr:uid="{00000000-0005-0000-0000-0000DF700000}"/>
    <cellStyle name="Normal 2 2 2 2 6 6 2 3" xfId="28897" xr:uid="{00000000-0005-0000-0000-0000E0700000}"/>
    <cellStyle name="Normal 2 2 2 2 6 6 2 3 2" xfId="28898" xr:uid="{00000000-0005-0000-0000-0000E1700000}"/>
    <cellStyle name="Normal 2 2 2 2 6 6 2 4" xfId="28899" xr:uid="{00000000-0005-0000-0000-0000E2700000}"/>
    <cellStyle name="Normal 2 2 2 2 6 6 3" xfId="28900" xr:uid="{00000000-0005-0000-0000-0000E3700000}"/>
    <cellStyle name="Normal 2 2 2 2 6 6 3 2" xfId="28901" xr:uid="{00000000-0005-0000-0000-0000E4700000}"/>
    <cellStyle name="Normal 2 2 2 2 6 6 3 2 2" xfId="28902" xr:uid="{00000000-0005-0000-0000-0000E5700000}"/>
    <cellStyle name="Normal 2 2 2 2 6 6 3 3" xfId="28903" xr:uid="{00000000-0005-0000-0000-0000E6700000}"/>
    <cellStyle name="Normal 2 2 2 2 6 6 4" xfId="28904" xr:uid="{00000000-0005-0000-0000-0000E7700000}"/>
    <cellStyle name="Normal 2 2 2 2 6 6 4 2" xfId="28905" xr:uid="{00000000-0005-0000-0000-0000E8700000}"/>
    <cellStyle name="Normal 2 2 2 2 6 6 5" xfId="28906" xr:uid="{00000000-0005-0000-0000-0000E9700000}"/>
    <cellStyle name="Normal 2 2 2 2 6 7" xfId="28907" xr:uid="{00000000-0005-0000-0000-0000EA700000}"/>
    <cellStyle name="Normal 2 2 2 2 6 7 2" xfId="28908" xr:uid="{00000000-0005-0000-0000-0000EB700000}"/>
    <cellStyle name="Normal 2 2 2 2 6 7 2 2" xfId="28909" xr:uid="{00000000-0005-0000-0000-0000EC700000}"/>
    <cellStyle name="Normal 2 2 2 2 6 7 2 2 2" xfId="28910" xr:uid="{00000000-0005-0000-0000-0000ED700000}"/>
    <cellStyle name="Normal 2 2 2 2 6 7 2 3" xfId="28911" xr:uid="{00000000-0005-0000-0000-0000EE700000}"/>
    <cellStyle name="Normal 2 2 2 2 6 7 3" xfId="28912" xr:uid="{00000000-0005-0000-0000-0000EF700000}"/>
    <cellStyle name="Normal 2 2 2 2 6 7 3 2" xfId="28913" xr:uid="{00000000-0005-0000-0000-0000F0700000}"/>
    <cellStyle name="Normal 2 2 2 2 6 7 4" xfId="28914" xr:uid="{00000000-0005-0000-0000-0000F1700000}"/>
    <cellStyle name="Normal 2 2 2 2 6 8" xfId="28915" xr:uid="{00000000-0005-0000-0000-0000F2700000}"/>
    <cellStyle name="Normal 2 2 2 2 6 8 2" xfId="28916" xr:uid="{00000000-0005-0000-0000-0000F3700000}"/>
    <cellStyle name="Normal 2 2 2 2 6 8 2 2" xfId="28917" xr:uid="{00000000-0005-0000-0000-0000F4700000}"/>
    <cellStyle name="Normal 2 2 2 2 6 8 2 2 2" xfId="28918" xr:uid="{00000000-0005-0000-0000-0000F5700000}"/>
    <cellStyle name="Normal 2 2 2 2 6 8 2 3" xfId="28919" xr:uid="{00000000-0005-0000-0000-0000F6700000}"/>
    <cellStyle name="Normal 2 2 2 2 6 8 3" xfId="28920" xr:uid="{00000000-0005-0000-0000-0000F7700000}"/>
    <cellStyle name="Normal 2 2 2 2 6 8 3 2" xfId="28921" xr:uid="{00000000-0005-0000-0000-0000F8700000}"/>
    <cellStyle name="Normal 2 2 2 2 6 8 4" xfId="28922" xr:uid="{00000000-0005-0000-0000-0000F9700000}"/>
    <cellStyle name="Normal 2 2 2 2 6 9" xfId="28923" xr:uid="{00000000-0005-0000-0000-0000FA700000}"/>
    <cellStyle name="Normal 2 2 2 2 6 9 2" xfId="28924" xr:uid="{00000000-0005-0000-0000-0000FB700000}"/>
    <cellStyle name="Normal 2 2 2 2 6 9 2 2" xfId="28925" xr:uid="{00000000-0005-0000-0000-0000FC700000}"/>
    <cellStyle name="Normal 2 2 2 2 6 9 3" xfId="28926" xr:uid="{00000000-0005-0000-0000-0000FD700000}"/>
    <cellStyle name="Normal 2 2 2 2 7" xfId="28927" xr:uid="{00000000-0005-0000-0000-0000FE700000}"/>
    <cellStyle name="Normal 2 2 2 2 7 10" xfId="28928" xr:uid="{00000000-0005-0000-0000-0000FF700000}"/>
    <cellStyle name="Normal 2 2 2 2 7 10 2" xfId="28929" xr:uid="{00000000-0005-0000-0000-000000710000}"/>
    <cellStyle name="Normal 2 2 2 2 7 10 2 2" xfId="28930" xr:uid="{00000000-0005-0000-0000-000001710000}"/>
    <cellStyle name="Normal 2 2 2 2 7 10 3" xfId="28931" xr:uid="{00000000-0005-0000-0000-000002710000}"/>
    <cellStyle name="Normal 2 2 2 2 7 11" xfId="28932" xr:uid="{00000000-0005-0000-0000-000003710000}"/>
    <cellStyle name="Normal 2 2 2 2 7 11 2" xfId="28933" xr:uid="{00000000-0005-0000-0000-000004710000}"/>
    <cellStyle name="Normal 2 2 2 2 7 11 2 2" xfId="28934" xr:uid="{00000000-0005-0000-0000-000005710000}"/>
    <cellStyle name="Normal 2 2 2 2 7 11 3" xfId="28935" xr:uid="{00000000-0005-0000-0000-000006710000}"/>
    <cellStyle name="Normal 2 2 2 2 7 12" xfId="28936" xr:uid="{00000000-0005-0000-0000-000007710000}"/>
    <cellStyle name="Normal 2 2 2 2 7 12 2" xfId="28937" xr:uid="{00000000-0005-0000-0000-000008710000}"/>
    <cellStyle name="Normal 2 2 2 2 7 12 2 2" xfId="28938" xr:uid="{00000000-0005-0000-0000-000009710000}"/>
    <cellStyle name="Normal 2 2 2 2 7 12 3" xfId="28939" xr:uid="{00000000-0005-0000-0000-00000A710000}"/>
    <cellStyle name="Normal 2 2 2 2 7 13" xfId="28940" xr:uid="{00000000-0005-0000-0000-00000B710000}"/>
    <cellStyle name="Normal 2 2 2 2 7 13 2" xfId="28941" xr:uid="{00000000-0005-0000-0000-00000C710000}"/>
    <cellStyle name="Normal 2 2 2 2 7 14" xfId="28942" xr:uid="{00000000-0005-0000-0000-00000D710000}"/>
    <cellStyle name="Normal 2 2 2 2 7 2" xfId="28943" xr:uid="{00000000-0005-0000-0000-00000E710000}"/>
    <cellStyle name="Normal 2 2 2 2 7 2 2" xfId="28944" xr:uid="{00000000-0005-0000-0000-00000F710000}"/>
    <cellStyle name="Normal 2 2 2 2 7 2 2 2" xfId="28945" xr:uid="{00000000-0005-0000-0000-000010710000}"/>
    <cellStyle name="Normal 2 2 2 2 7 2 2 2 2" xfId="28946" xr:uid="{00000000-0005-0000-0000-000011710000}"/>
    <cellStyle name="Normal 2 2 2 2 7 2 2 2 2 2" xfId="28947" xr:uid="{00000000-0005-0000-0000-000012710000}"/>
    <cellStyle name="Normal 2 2 2 2 7 2 2 2 3" xfId="28948" xr:uid="{00000000-0005-0000-0000-000013710000}"/>
    <cellStyle name="Normal 2 2 2 2 7 2 2 3" xfId="28949" xr:uid="{00000000-0005-0000-0000-000014710000}"/>
    <cellStyle name="Normal 2 2 2 2 7 2 2 3 2" xfId="28950" xr:uid="{00000000-0005-0000-0000-000015710000}"/>
    <cellStyle name="Normal 2 2 2 2 7 2 2 4" xfId="28951" xr:uid="{00000000-0005-0000-0000-000016710000}"/>
    <cellStyle name="Normal 2 2 2 2 7 2 3" xfId="28952" xr:uid="{00000000-0005-0000-0000-000017710000}"/>
    <cellStyle name="Normal 2 2 2 2 7 2 3 2" xfId="28953" xr:uid="{00000000-0005-0000-0000-000018710000}"/>
    <cellStyle name="Normal 2 2 2 2 7 2 3 2 2" xfId="28954" xr:uid="{00000000-0005-0000-0000-000019710000}"/>
    <cellStyle name="Normal 2 2 2 2 7 2 3 3" xfId="28955" xr:uid="{00000000-0005-0000-0000-00001A710000}"/>
    <cellStyle name="Normal 2 2 2 2 7 2 4" xfId="28956" xr:uid="{00000000-0005-0000-0000-00001B710000}"/>
    <cellStyle name="Normal 2 2 2 2 7 2 4 2" xfId="28957" xr:uid="{00000000-0005-0000-0000-00001C710000}"/>
    <cellStyle name="Normal 2 2 2 2 7 2 4 2 2" xfId="28958" xr:uid="{00000000-0005-0000-0000-00001D710000}"/>
    <cellStyle name="Normal 2 2 2 2 7 2 4 3" xfId="28959" xr:uid="{00000000-0005-0000-0000-00001E710000}"/>
    <cellStyle name="Normal 2 2 2 2 7 2 5" xfId="28960" xr:uid="{00000000-0005-0000-0000-00001F710000}"/>
    <cellStyle name="Normal 2 2 2 2 7 2 5 2" xfId="28961" xr:uid="{00000000-0005-0000-0000-000020710000}"/>
    <cellStyle name="Normal 2 2 2 2 7 2 5 2 2" xfId="28962" xr:uid="{00000000-0005-0000-0000-000021710000}"/>
    <cellStyle name="Normal 2 2 2 2 7 2 5 3" xfId="28963" xr:uid="{00000000-0005-0000-0000-000022710000}"/>
    <cellStyle name="Normal 2 2 2 2 7 2 6" xfId="28964" xr:uid="{00000000-0005-0000-0000-000023710000}"/>
    <cellStyle name="Normal 2 2 2 2 7 2 6 2" xfId="28965" xr:uid="{00000000-0005-0000-0000-000024710000}"/>
    <cellStyle name="Normal 2 2 2 2 7 2 6 2 2" xfId="28966" xr:uid="{00000000-0005-0000-0000-000025710000}"/>
    <cellStyle name="Normal 2 2 2 2 7 2 6 3" xfId="28967" xr:uid="{00000000-0005-0000-0000-000026710000}"/>
    <cellStyle name="Normal 2 2 2 2 7 2 7" xfId="28968" xr:uid="{00000000-0005-0000-0000-000027710000}"/>
    <cellStyle name="Normal 2 2 2 2 7 2 7 2" xfId="28969" xr:uid="{00000000-0005-0000-0000-000028710000}"/>
    <cellStyle name="Normal 2 2 2 2 7 2 8" xfId="28970" xr:uid="{00000000-0005-0000-0000-000029710000}"/>
    <cellStyle name="Normal 2 2 2 2 7 3" xfId="28971" xr:uid="{00000000-0005-0000-0000-00002A710000}"/>
    <cellStyle name="Normal 2 2 2 2 7 3 2" xfId="28972" xr:uid="{00000000-0005-0000-0000-00002B710000}"/>
    <cellStyle name="Normal 2 2 2 2 7 3 2 2" xfId="28973" xr:uid="{00000000-0005-0000-0000-00002C710000}"/>
    <cellStyle name="Normal 2 2 2 2 7 3 2 2 2" xfId="28974" xr:uid="{00000000-0005-0000-0000-00002D710000}"/>
    <cellStyle name="Normal 2 2 2 2 7 3 2 2 2 2" xfId="28975" xr:uid="{00000000-0005-0000-0000-00002E710000}"/>
    <cellStyle name="Normal 2 2 2 2 7 3 2 2 3" xfId="28976" xr:uid="{00000000-0005-0000-0000-00002F710000}"/>
    <cellStyle name="Normal 2 2 2 2 7 3 2 3" xfId="28977" xr:uid="{00000000-0005-0000-0000-000030710000}"/>
    <cellStyle name="Normal 2 2 2 2 7 3 2 3 2" xfId="28978" xr:uid="{00000000-0005-0000-0000-000031710000}"/>
    <cellStyle name="Normal 2 2 2 2 7 3 2 4" xfId="28979" xr:uid="{00000000-0005-0000-0000-000032710000}"/>
    <cellStyle name="Normal 2 2 2 2 7 3 3" xfId="28980" xr:uid="{00000000-0005-0000-0000-000033710000}"/>
    <cellStyle name="Normal 2 2 2 2 7 3 3 2" xfId="28981" xr:uid="{00000000-0005-0000-0000-000034710000}"/>
    <cellStyle name="Normal 2 2 2 2 7 3 3 2 2" xfId="28982" xr:uid="{00000000-0005-0000-0000-000035710000}"/>
    <cellStyle name="Normal 2 2 2 2 7 3 3 3" xfId="28983" xr:uid="{00000000-0005-0000-0000-000036710000}"/>
    <cellStyle name="Normal 2 2 2 2 7 3 4" xfId="28984" xr:uid="{00000000-0005-0000-0000-000037710000}"/>
    <cellStyle name="Normal 2 2 2 2 7 3 4 2" xfId="28985" xr:uid="{00000000-0005-0000-0000-000038710000}"/>
    <cellStyle name="Normal 2 2 2 2 7 3 4 2 2" xfId="28986" xr:uid="{00000000-0005-0000-0000-000039710000}"/>
    <cellStyle name="Normal 2 2 2 2 7 3 4 3" xfId="28987" xr:uid="{00000000-0005-0000-0000-00003A710000}"/>
    <cellStyle name="Normal 2 2 2 2 7 3 5" xfId="28988" xr:uid="{00000000-0005-0000-0000-00003B710000}"/>
    <cellStyle name="Normal 2 2 2 2 7 3 5 2" xfId="28989" xr:uid="{00000000-0005-0000-0000-00003C710000}"/>
    <cellStyle name="Normal 2 2 2 2 7 3 5 2 2" xfId="28990" xr:uid="{00000000-0005-0000-0000-00003D710000}"/>
    <cellStyle name="Normal 2 2 2 2 7 3 5 3" xfId="28991" xr:uid="{00000000-0005-0000-0000-00003E710000}"/>
    <cellStyle name="Normal 2 2 2 2 7 3 6" xfId="28992" xr:uid="{00000000-0005-0000-0000-00003F710000}"/>
    <cellStyle name="Normal 2 2 2 2 7 3 6 2" xfId="28993" xr:uid="{00000000-0005-0000-0000-000040710000}"/>
    <cellStyle name="Normal 2 2 2 2 7 3 6 2 2" xfId="28994" xr:uid="{00000000-0005-0000-0000-000041710000}"/>
    <cellStyle name="Normal 2 2 2 2 7 3 6 3" xfId="28995" xr:uid="{00000000-0005-0000-0000-000042710000}"/>
    <cellStyle name="Normal 2 2 2 2 7 3 7" xfId="28996" xr:uid="{00000000-0005-0000-0000-000043710000}"/>
    <cellStyle name="Normal 2 2 2 2 7 3 7 2" xfId="28997" xr:uid="{00000000-0005-0000-0000-000044710000}"/>
    <cellStyle name="Normal 2 2 2 2 7 3 8" xfId="28998" xr:uid="{00000000-0005-0000-0000-000045710000}"/>
    <cellStyle name="Normal 2 2 2 2 7 4" xfId="28999" xr:uid="{00000000-0005-0000-0000-000046710000}"/>
    <cellStyle name="Normal 2 2 2 2 7 4 2" xfId="29000" xr:uid="{00000000-0005-0000-0000-000047710000}"/>
    <cellStyle name="Normal 2 2 2 2 7 4 2 2" xfId="29001" xr:uid="{00000000-0005-0000-0000-000048710000}"/>
    <cellStyle name="Normal 2 2 2 2 7 4 2 2 2" xfId="29002" xr:uid="{00000000-0005-0000-0000-000049710000}"/>
    <cellStyle name="Normal 2 2 2 2 7 4 2 2 2 2" xfId="29003" xr:uid="{00000000-0005-0000-0000-00004A710000}"/>
    <cellStyle name="Normal 2 2 2 2 7 4 2 2 3" xfId="29004" xr:uid="{00000000-0005-0000-0000-00004B710000}"/>
    <cellStyle name="Normal 2 2 2 2 7 4 2 3" xfId="29005" xr:uid="{00000000-0005-0000-0000-00004C710000}"/>
    <cellStyle name="Normal 2 2 2 2 7 4 2 3 2" xfId="29006" xr:uid="{00000000-0005-0000-0000-00004D710000}"/>
    <cellStyle name="Normal 2 2 2 2 7 4 2 4" xfId="29007" xr:uid="{00000000-0005-0000-0000-00004E710000}"/>
    <cellStyle name="Normal 2 2 2 2 7 4 3" xfId="29008" xr:uid="{00000000-0005-0000-0000-00004F710000}"/>
    <cellStyle name="Normal 2 2 2 2 7 4 3 2" xfId="29009" xr:uid="{00000000-0005-0000-0000-000050710000}"/>
    <cellStyle name="Normal 2 2 2 2 7 4 3 2 2" xfId="29010" xr:uid="{00000000-0005-0000-0000-000051710000}"/>
    <cellStyle name="Normal 2 2 2 2 7 4 3 3" xfId="29011" xr:uid="{00000000-0005-0000-0000-000052710000}"/>
    <cellStyle name="Normal 2 2 2 2 7 4 4" xfId="29012" xr:uid="{00000000-0005-0000-0000-000053710000}"/>
    <cellStyle name="Normal 2 2 2 2 7 4 4 2" xfId="29013" xr:uid="{00000000-0005-0000-0000-000054710000}"/>
    <cellStyle name="Normal 2 2 2 2 7 4 4 2 2" xfId="29014" xr:uid="{00000000-0005-0000-0000-000055710000}"/>
    <cellStyle name="Normal 2 2 2 2 7 4 4 3" xfId="29015" xr:uid="{00000000-0005-0000-0000-000056710000}"/>
    <cellStyle name="Normal 2 2 2 2 7 4 5" xfId="29016" xr:uid="{00000000-0005-0000-0000-000057710000}"/>
    <cellStyle name="Normal 2 2 2 2 7 4 5 2" xfId="29017" xr:uid="{00000000-0005-0000-0000-000058710000}"/>
    <cellStyle name="Normal 2 2 2 2 7 4 5 2 2" xfId="29018" xr:uid="{00000000-0005-0000-0000-000059710000}"/>
    <cellStyle name="Normal 2 2 2 2 7 4 5 3" xfId="29019" xr:uid="{00000000-0005-0000-0000-00005A710000}"/>
    <cellStyle name="Normal 2 2 2 2 7 4 6" xfId="29020" xr:uid="{00000000-0005-0000-0000-00005B710000}"/>
    <cellStyle name="Normal 2 2 2 2 7 4 6 2" xfId="29021" xr:uid="{00000000-0005-0000-0000-00005C710000}"/>
    <cellStyle name="Normal 2 2 2 2 7 4 6 2 2" xfId="29022" xr:uid="{00000000-0005-0000-0000-00005D710000}"/>
    <cellStyle name="Normal 2 2 2 2 7 4 6 3" xfId="29023" xr:uid="{00000000-0005-0000-0000-00005E710000}"/>
    <cellStyle name="Normal 2 2 2 2 7 4 7" xfId="29024" xr:uid="{00000000-0005-0000-0000-00005F710000}"/>
    <cellStyle name="Normal 2 2 2 2 7 4 7 2" xfId="29025" xr:uid="{00000000-0005-0000-0000-000060710000}"/>
    <cellStyle name="Normal 2 2 2 2 7 4 8" xfId="29026" xr:uid="{00000000-0005-0000-0000-000061710000}"/>
    <cellStyle name="Normal 2 2 2 2 7 5" xfId="29027" xr:uid="{00000000-0005-0000-0000-000062710000}"/>
    <cellStyle name="Normal 2 2 2 2 7 5 2" xfId="29028" xr:uid="{00000000-0005-0000-0000-000063710000}"/>
    <cellStyle name="Normal 2 2 2 2 7 5 2 2" xfId="29029" xr:uid="{00000000-0005-0000-0000-000064710000}"/>
    <cellStyle name="Normal 2 2 2 2 7 5 2 2 2" xfId="29030" xr:uid="{00000000-0005-0000-0000-000065710000}"/>
    <cellStyle name="Normal 2 2 2 2 7 5 2 2 2 2" xfId="29031" xr:uid="{00000000-0005-0000-0000-000066710000}"/>
    <cellStyle name="Normal 2 2 2 2 7 5 2 2 3" xfId="29032" xr:uid="{00000000-0005-0000-0000-000067710000}"/>
    <cellStyle name="Normal 2 2 2 2 7 5 2 3" xfId="29033" xr:uid="{00000000-0005-0000-0000-000068710000}"/>
    <cellStyle name="Normal 2 2 2 2 7 5 2 3 2" xfId="29034" xr:uid="{00000000-0005-0000-0000-000069710000}"/>
    <cellStyle name="Normal 2 2 2 2 7 5 2 4" xfId="29035" xr:uid="{00000000-0005-0000-0000-00006A710000}"/>
    <cellStyle name="Normal 2 2 2 2 7 5 3" xfId="29036" xr:uid="{00000000-0005-0000-0000-00006B710000}"/>
    <cellStyle name="Normal 2 2 2 2 7 5 3 2" xfId="29037" xr:uid="{00000000-0005-0000-0000-00006C710000}"/>
    <cellStyle name="Normal 2 2 2 2 7 5 3 2 2" xfId="29038" xr:uid="{00000000-0005-0000-0000-00006D710000}"/>
    <cellStyle name="Normal 2 2 2 2 7 5 3 3" xfId="29039" xr:uid="{00000000-0005-0000-0000-00006E710000}"/>
    <cellStyle name="Normal 2 2 2 2 7 5 4" xfId="29040" xr:uid="{00000000-0005-0000-0000-00006F710000}"/>
    <cellStyle name="Normal 2 2 2 2 7 5 4 2" xfId="29041" xr:uid="{00000000-0005-0000-0000-000070710000}"/>
    <cellStyle name="Normal 2 2 2 2 7 5 5" xfId="29042" xr:uid="{00000000-0005-0000-0000-000071710000}"/>
    <cellStyle name="Normal 2 2 2 2 7 6" xfId="29043" xr:uid="{00000000-0005-0000-0000-000072710000}"/>
    <cellStyle name="Normal 2 2 2 2 7 6 2" xfId="29044" xr:uid="{00000000-0005-0000-0000-000073710000}"/>
    <cellStyle name="Normal 2 2 2 2 7 6 2 2" xfId="29045" xr:uid="{00000000-0005-0000-0000-000074710000}"/>
    <cellStyle name="Normal 2 2 2 2 7 6 2 2 2" xfId="29046" xr:uid="{00000000-0005-0000-0000-000075710000}"/>
    <cellStyle name="Normal 2 2 2 2 7 6 2 2 2 2" xfId="29047" xr:uid="{00000000-0005-0000-0000-000076710000}"/>
    <cellStyle name="Normal 2 2 2 2 7 6 2 2 3" xfId="29048" xr:uid="{00000000-0005-0000-0000-000077710000}"/>
    <cellStyle name="Normal 2 2 2 2 7 6 2 3" xfId="29049" xr:uid="{00000000-0005-0000-0000-000078710000}"/>
    <cellStyle name="Normal 2 2 2 2 7 6 2 3 2" xfId="29050" xr:uid="{00000000-0005-0000-0000-000079710000}"/>
    <cellStyle name="Normal 2 2 2 2 7 6 2 4" xfId="29051" xr:uid="{00000000-0005-0000-0000-00007A710000}"/>
    <cellStyle name="Normal 2 2 2 2 7 6 3" xfId="29052" xr:uid="{00000000-0005-0000-0000-00007B710000}"/>
    <cellStyle name="Normal 2 2 2 2 7 6 3 2" xfId="29053" xr:uid="{00000000-0005-0000-0000-00007C710000}"/>
    <cellStyle name="Normal 2 2 2 2 7 6 3 2 2" xfId="29054" xr:uid="{00000000-0005-0000-0000-00007D710000}"/>
    <cellStyle name="Normal 2 2 2 2 7 6 3 3" xfId="29055" xr:uid="{00000000-0005-0000-0000-00007E710000}"/>
    <cellStyle name="Normal 2 2 2 2 7 6 4" xfId="29056" xr:uid="{00000000-0005-0000-0000-00007F710000}"/>
    <cellStyle name="Normal 2 2 2 2 7 6 4 2" xfId="29057" xr:uid="{00000000-0005-0000-0000-000080710000}"/>
    <cellStyle name="Normal 2 2 2 2 7 6 5" xfId="29058" xr:uid="{00000000-0005-0000-0000-000081710000}"/>
    <cellStyle name="Normal 2 2 2 2 7 7" xfId="29059" xr:uid="{00000000-0005-0000-0000-000082710000}"/>
    <cellStyle name="Normal 2 2 2 2 7 7 2" xfId="29060" xr:uid="{00000000-0005-0000-0000-000083710000}"/>
    <cellStyle name="Normal 2 2 2 2 7 7 2 2" xfId="29061" xr:uid="{00000000-0005-0000-0000-000084710000}"/>
    <cellStyle name="Normal 2 2 2 2 7 7 2 2 2" xfId="29062" xr:uid="{00000000-0005-0000-0000-000085710000}"/>
    <cellStyle name="Normal 2 2 2 2 7 7 2 3" xfId="29063" xr:uid="{00000000-0005-0000-0000-000086710000}"/>
    <cellStyle name="Normal 2 2 2 2 7 7 3" xfId="29064" xr:uid="{00000000-0005-0000-0000-000087710000}"/>
    <cellStyle name="Normal 2 2 2 2 7 7 3 2" xfId="29065" xr:uid="{00000000-0005-0000-0000-000088710000}"/>
    <cellStyle name="Normal 2 2 2 2 7 7 4" xfId="29066" xr:uid="{00000000-0005-0000-0000-000089710000}"/>
    <cellStyle name="Normal 2 2 2 2 7 8" xfId="29067" xr:uid="{00000000-0005-0000-0000-00008A710000}"/>
    <cellStyle name="Normal 2 2 2 2 7 8 2" xfId="29068" xr:uid="{00000000-0005-0000-0000-00008B710000}"/>
    <cellStyle name="Normal 2 2 2 2 7 8 2 2" xfId="29069" xr:uid="{00000000-0005-0000-0000-00008C710000}"/>
    <cellStyle name="Normal 2 2 2 2 7 8 2 2 2" xfId="29070" xr:uid="{00000000-0005-0000-0000-00008D710000}"/>
    <cellStyle name="Normal 2 2 2 2 7 8 2 3" xfId="29071" xr:uid="{00000000-0005-0000-0000-00008E710000}"/>
    <cellStyle name="Normal 2 2 2 2 7 8 3" xfId="29072" xr:uid="{00000000-0005-0000-0000-00008F710000}"/>
    <cellStyle name="Normal 2 2 2 2 7 8 3 2" xfId="29073" xr:uid="{00000000-0005-0000-0000-000090710000}"/>
    <cellStyle name="Normal 2 2 2 2 7 8 4" xfId="29074" xr:uid="{00000000-0005-0000-0000-000091710000}"/>
    <cellStyle name="Normal 2 2 2 2 7 9" xfId="29075" xr:uid="{00000000-0005-0000-0000-000092710000}"/>
    <cellStyle name="Normal 2 2 2 2 7 9 2" xfId="29076" xr:uid="{00000000-0005-0000-0000-000093710000}"/>
    <cellStyle name="Normal 2 2 2 2 7 9 2 2" xfId="29077" xr:uid="{00000000-0005-0000-0000-000094710000}"/>
    <cellStyle name="Normal 2 2 2 2 7 9 3" xfId="29078" xr:uid="{00000000-0005-0000-0000-000095710000}"/>
    <cellStyle name="Normal 2 2 2 2 8" xfId="29079" xr:uid="{00000000-0005-0000-0000-000096710000}"/>
    <cellStyle name="Normal 2 2 2 2 8 10" xfId="29080" xr:uid="{00000000-0005-0000-0000-000097710000}"/>
    <cellStyle name="Normal 2 2 2 2 8 10 2" xfId="29081" xr:uid="{00000000-0005-0000-0000-000098710000}"/>
    <cellStyle name="Normal 2 2 2 2 8 10 2 2" xfId="29082" xr:uid="{00000000-0005-0000-0000-000099710000}"/>
    <cellStyle name="Normal 2 2 2 2 8 10 3" xfId="29083" xr:uid="{00000000-0005-0000-0000-00009A710000}"/>
    <cellStyle name="Normal 2 2 2 2 8 11" xfId="29084" xr:uid="{00000000-0005-0000-0000-00009B710000}"/>
    <cellStyle name="Normal 2 2 2 2 8 11 2" xfId="29085" xr:uid="{00000000-0005-0000-0000-00009C710000}"/>
    <cellStyle name="Normal 2 2 2 2 8 11 2 2" xfId="29086" xr:uid="{00000000-0005-0000-0000-00009D710000}"/>
    <cellStyle name="Normal 2 2 2 2 8 11 3" xfId="29087" xr:uid="{00000000-0005-0000-0000-00009E710000}"/>
    <cellStyle name="Normal 2 2 2 2 8 12" xfId="29088" xr:uid="{00000000-0005-0000-0000-00009F710000}"/>
    <cellStyle name="Normal 2 2 2 2 8 12 2" xfId="29089" xr:uid="{00000000-0005-0000-0000-0000A0710000}"/>
    <cellStyle name="Normal 2 2 2 2 8 12 2 2" xfId="29090" xr:uid="{00000000-0005-0000-0000-0000A1710000}"/>
    <cellStyle name="Normal 2 2 2 2 8 12 3" xfId="29091" xr:uid="{00000000-0005-0000-0000-0000A2710000}"/>
    <cellStyle name="Normal 2 2 2 2 8 13" xfId="29092" xr:uid="{00000000-0005-0000-0000-0000A3710000}"/>
    <cellStyle name="Normal 2 2 2 2 8 13 2" xfId="29093" xr:uid="{00000000-0005-0000-0000-0000A4710000}"/>
    <cellStyle name="Normal 2 2 2 2 8 14" xfId="29094" xr:uid="{00000000-0005-0000-0000-0000A5710000}"/>
    <cellStyle name="Normal 2 2 2 2 8 2" xfId="29095" xr:uid="{00000000-0005-0000-0000-0000A6710000}"/>
    <cellStyle name="Normal 2 2 2 2 8 2 2" xfId="29096" xr:uid="{00000000-0005-0000-0000-0000A7710000}"/>
    <cellStyle name="Normal 2 2 2 2 8 2 2 2" xfId="29097" xr:uid="{00000000-0005-0000-0000-0000A8710000}"/>
    <cellStyle name="Normal 2 2 2 2 8 2 2 2 2" xfId="29098" xr:uid="{00000000-0005-0000-0000-0000A9710000}"/>
    <cellStyle name="Normal 2 2 2 2 8 2 2 2 2 2" xfId="29099" xr:uid="{00000000-0005-0000-0000-0000AA710000}"/>
    <cellStyle name="Normal 2 2 2 2 8 2 2 2 3" xfId="29100" xr:uid="{00000000-0005-0000-0000-0000AB710000}"/>
    <cellStyle name="Normal 2 2 2 2 8 2 2 3" xfId="29101" xr:uid="{00000000-0005-0000-0000-0000AC710000}"/>
    <cellStyle name="Normal 2 2 2 2 8 2 2 3 2" xfId="29102" xr:uid="{00000000-0005-0000-0000-0000AD710000}"/>
    <cellStyle name="Normal 2 2 2 2 8 2 2 4" xfId="29103" xr:uid="{00000000-0005-0000-0000-0000AE710000}"/>
    <cellStyle name="Normal 2 2 2 2 8 2 3" xfId="29104" xr:uid="{00000000-0005-0000-0000-0000AF710000}"/>
    <cellStyle name="Normal 2 2 2 2 8 2 3 2" xfId="29105" xr:uid="{00000000-0005-0000-0000-0000B0710000}"/>
    <cellStyle name="Normal 2 2 2 2 8 2 3 2 2" xfId="29106" xr:uid="{00000000-0005-0000-0000-0000B1710000}"/>
    <cellStyle name="Normal 2 2 2 2 8 2 3 3" xfId="29107" xr:uid="{00000000-0005-0000-0000-0000B2710000}"/>
    <cellStyle name="Normal 2 2 2 2 8 2 4" xfId="29108" xr:uid="{00000000-0005-0000-0000-0000B3710000}"/>
    <cellStyle name="Normal 2 2 2 2 8 2 4 2" xfId="29109" xr:uid="{00000000-0005-0000-0000-0000B4710000}"/>
    <cellStyle name="Normal 2 2 2 2 8 2 4 2 2" xfId="29110" xr:uid="{00000000-0005-0000-0000-0000B5710000}"/>
    <cellStyle name="Normal 2 2 2 2 8 2 4 3" xfId="29111" xr:uid="{00000000-0005-0000-0000-0000B6710000}"/>
    <cellStyle name="Normal 2 2 2 2 8 2 5" xfId="29112" xr:uid="{00000000-0005-0000-0000-0000B7710000}"/>
    <cellStyle name="Normal 2 2 2 2 8 2 5 2" xfId="29113" xr:uid="{00000000-0005-0000-0000-0000B8710000}"/>
    <cellStyle name="Normal 2 2 2 2 8 2 5 2 2" xfId="29114" xr:uid="{00000000-0005-0000-0000-0000B9710000}"/>
    <cellStyle name="Normal 2 2 2 2 8 2 5 3" xfId="29115" xr:uid="{00000000-0005-0000-0000-0000BA710000}"/>
    <cellStyle name="Normal 2 2 2 2 8 2 6" xfId="29116" xr:uid="{00000000-0005-0000-0000-0000BB710000}"/>
    <cellStyle name="Normal 2 2 2 2 8 2 6 2" xfId="29117" xr:uid="{00000000-0005-0000-0000-0000BC710000}"/>
    <cellStyle name="Normal 2 2 2 2 8 2 6 2 2" xfId="29118" xr:uid="{00000000-0005-0000-0000-0000BD710000}"/>
    <cellStyle name="Normal 2 2 2 2 8 2 6 3" xfId="29119" xr:uid="{00000000-0005-0000-0000-0000BE710000}"/>
    <cellStyle name="Normal 2 2 2 2 8 2 7" xfId="29120" xr:uid="{00000000-0005-0000-0000-0000BF710000}"/>
    <cellStyle name="Normal 2 2 2 2 8 2 7 2" xfId="29121" xr:uid="{00000000-0005-0000-0000-0000C0710000}"/>
    <cellStyle name="Normal 2 2 2 2 8 2 8" xfId="29122" xr:uid="{00000000-0005-0000-0000-0000C1710000}"/>
    <cellStyle name="Normal 2 2 2 2 8 3" xfId="29123" xr:uid="{00000000-0005-0000-0000-0000C2710000}"/>
    <cellStyle name="Normal 2 2 2 2 8 3 2" xfId="29124" xr:uid="{00000000-0005-0000-0000-0000C3710000}"/>
    <cellStyle name="Normal 2 2 2 2 8 3 2 2" xfId="29125" xr:uid="{00000000-0005-0000-0000-0000C4710000}"/>
    <cellStyle name="Normal 2 2 2 2 8 3 2 2 2" xfId="29126" xr:uid="{00000000-0005-0000-0000-0000C5710000}"/>
    <cellStyle name="Normal 2 2 2 2 8 3 2 2 2 2" xfId="29127" xr:uid="{00000000-0005-0000-0000-0000C6710000}"/>
    <cellStyle name="Normal 2 2 2 2 8 3 2 2 3" xfId="29128" xr:uid="{00000000-0005-0000-0000-0000C7710000}"/>
    <cellStyle name="Normal 2 2 2 2 8 3 2 3" xfId="29129" xr:uid="{00000000-0005-0000-0000-0000C8710000}"/>
    <cellStyle name="Normal 2 2 2 2 8 3 2 3 2" xfId="29130" xr:uid="{00000000-0005-0000-0000-0000C9710000}"/>
    <cellStyle name="Normal 2 2 2 2 8 3 2 4" xfId="29131" xr:uid="{00000000-0005-0000-0000-0000CA710000}"/>
    <cellStyle name="Normal 2 2 2 2 8 3 3" xfId="29132" xr:uid="{00000000-0005-0000-0000-0000CB710000}"/>
    <cellStyle name="Normal 2 2 2 2 8 3 3 2" xfId="29133" xr:uid="{00000000-0005-0000-0000-0000CC710000}"/>
    <cellStyle name="Normal 2 2 2 2 8 3 3 2 2" xfId="29134" xr:uid="{00000000-0005-0000-0000-0000CD710000}"/>
    <cellStyle name="Normal 2 2 2 2 8 3 3 3" xfId="29135" xr:uid="{00000000-0005-0000-0000-0000CE710000}"/>
    <cellStyle name="Normal 2 2 2 2 8 3 4" xfId="29136" xr:uid="{00000000-0005-0000-0000-0000CF710000}"/>
    <cellStyle name="Normal 2 2 2 2 8 3 4 2" xfId="29137" xr:uid="{00000000-0005-0000-0000-0000D0710000}"/>
    <cellStyle name="Normal 2 2 2 2 8 3 4 2 2" xfId="29138" xr:uid="{00000000-0005-0000-0000-0000D1710000}"/>
    <cellStyle name="Normal 2 2 2 2 8 3 4 3" xfId="29139" xr:uid="{00000000-0005-0000-0000-0000D2710000}"/>
    <cellStyle name="Normal 2 2 2 2 8 3 5" xfId="29140" xr:uid="{00000000-0005-0000-0000-0000D3710000}"/>
    <cellStyle name="Normal 2 2 2 2 8 3 5 2" xfId="29141" xr:uid="{00000000-0005-0000-0000-0000D4710000}"/>
    <cellStyle name="Normal 2 2 2 2 8 3 5 2 2" xfId="29142" xr:uid="{00000000-0005-0000-0000-0000D5710000}"/>
    <cellStyle name="Normal 2 2 2 2 8 3 5 3" xfId="29143" xr:uid="{00000000-0005-0000-0000-0000D6710000}"/>
    <cellStyle name="Normal 2 2 2 2 8 3 6" xfId="29144" xr:uid="{00000000-0005-0000-0000-0000D7710000}"/>
    <cellStyle name="Normal 2 2 2 2 8 3 6 2" xfId="29145" xr:uid="{00000000-0005-0000-0000-0000D8710000}"/>
    <cellStyle name="Normal 2 2 2 2 8 3 6 2 2" xfId="29146" xr:uid="{00000000-0005-0000-0000-0000D9710000}"/>
    <cellStyle name="Normal 2 2 2 2 8 3 6 3" xfId="29147" xr:uid="{00000000-0005-0000-0000-0000DA710000}"/>
    <cellStyle name="Normal 2 2 2 2 8 3 7" xfId="29148" xr:uid="{00000000-0005-0000-0000-0000DB710000}"/>
    <cellStyle name="Normal 2 2 2 2 8 3 7 2" xfId="29149" xr:uid="{00000000-0005-0000-0000-0000DC710000}"/>
    <cellStyle name="Normal 2 2 2 2 8 3 8" xfId="29150" xr:uid="{00000000-0005-0000-0000-0000DD710000}"/>
    <cellStyle name="Normal 2 2 2 2 8 4" xfId="29151" xr:uid="{00000000-0005-0000-0000-0000DE710000}"/>
    <cellStyle name="Normal 2 2 2 2 8 4 2" xfId="29152" xr:uid="{00000000-0005-0000-0000-0000DF710000}"/>
    <cellStyle name="Normal 2 2 2 2 8 4 2 2" xfId="29153" xr:uid="{00000000-0005-0000-0000-0000E0710000}"/>
    <cellStyle name="Normal 2 2 2 2 8 4 2 2 2" xfId="29154" xr:uid="{00000000-0005-0000-0000-0000E1710000}"/>
    <cellStyle name="Normal 2 2 2 2 8 4 2 2 2 2" xfId="29155" xr:uid="{00000000-0005-0000-0000-0000E2710000}"/>
    <cellStyle name="Normal 2 2 2 2 8 4 2 2 3" xfId="29156" xr:uid="{00000000-0005-0000-0000-0000E3710000}"/>
    <cellStyle name="Normal 2 2 2 2 8 4 2 3" xfId="29157" xr:uid="{00000000-0005-0000-0000-0000E4710000}"/>
    <cellStyle name="Normal 2 2 2 2 8 4 2 3 2" xfId="29158" xr:uid="{00000000-0005-0000-0000-0000E5710000}"/>
    <cellStyle name="Normal 2 2 2 2 8 4 2 4" xfId="29159" xr:uid="{00000000-0005-0000-0000-0000E6710000}"/>
    <cellStyle name="Normal 2 2 2 2 8 4 3" xfId="29160" xr:uid="{00000000-0005-0000-0000-0000E7710000}"/>
    <cellStyle name="Normal 2 2 2 2 8 4 3 2" xfId="29161" xr:uid="{00000000-0005-0000-0000-0000E8710000}"/>
    <cellStyle name="Normal 2 2 2 2 8 4 3 2 2" xfId="29162" xr:uid="{00000000-0005-0000-0000-0000E9710000}"/>
    <cellStyle name="Normal 2 2 2 2 8 4 3 3" xfId="29163" xr:uid="{00000000-0005-0000-0000-0000EA710000}"/>
    <cellStyle name="Normal 2 2 2 2 8 4 4" xfId="29164" xr:uid="{00000000-0005-0000-0000-0000EB710000}"/>
    <cellStyle name="Normal 2 2 2 2 8 4 4 2" xfId="29165" xr:uid="{00000000-0005-0000-0000-0000EC710000}"/>
    <cellStyle name="Normal 2 2 2 2 8 4 4 2 2" xfId="29166" xr:uid="{00000000-0005-0000-0000-0000ED710000}"/>
    <cellStyle name="Normal 2 2 2 2 8 4 4 3" xfId="29167" xr:uid="{00000000-0005-0000-0000-0000EE710000}"/>
    <cellStyle name="Normal 2 2 2 2 8 4 5" xfId="29168" xr:uid="{00000000-0005-0000-0000-0000EF710000}"/>
    <cellStyle name="Normal 2 2 2 2 8 4 5 2" xfId="29169" xr:uid="{00000000-0005-0000-0000-0000F0710000}"/>
    <cellStyle name="Normal 2 2 2 2 8 4 5 2 2" xfId="29170" xr:uid="{00000000-0005-0000-0000-0000F1710000}"/>
    <cellStyle name="Normal 2 2 2 2 8 4 5 3" xfId="29171" xr:uid="{00000000-0005-0000-0000-0000F2710000}"/>
    <cellStyle name="Normal 2 2 2 2 8 4 6" xfId="29172" xr:uid="{00000000-0005-0000-0000-0000F3710000}"/>
    <cellStyle name="Normal 2 2 2 2 8 4 6 2" xfId="29173" xr:uid="{00000000-0005-0000-0000-0000F4710000}"/>
    <cellStyle name="Normal 2 2 2 2 8 4 6 2 2" xfId="29174" xr:uid="{00000000-0005-0000-0000-0000F5710000}"/>
    <cellStyle name="Normal 2 2 2 2 8 4 6 3" xfId="29175" xr:uid="{00000000-0005-0000-0000-0000F6710000}"/>
    <cellStyle name="Normal 2 2 2 2 8 4 7" xfId="29176" xr:uid="{00000000-0005-0000-0000-0000F7710000}"/>
    <cellStyle name="Normal 2 2 2 2 8 4 7 2" xfId="29177" xr:uid="{00000000-0005-0000-0000-0000F8710000}"/>
    <cellStyle name="Normal 2 2 2 2 8 4 8" xfId="29178" xr:uid="{00000000-0005-0000-0000-0000F9710000}"/>
    <cellStyle name="Normal 2 2 2 2 8 5" xfId="29179" xr:uid="{00000000-0005-0000-0000-0000FA710000}"/>
    <cellStyle name="Normal 2 2 2 2 8 5 2" xfId="29180" xr:uid="{00000000-0005-0000-0000-0000FB710000}"/>
    <cellStyle name="Normal 2 2 2 2 8 5 2 2" xfId="29181" xr:uid="{00000000-0005-0000-0000-0000FC710000}"/>
    <cellStyle name="Normal 2 2 2 2 8 5 2 2 2" xfId="29182" xr:uid="{00000000-0005-0000-0000-0000FD710000}"/>
    <cellStyle name="Normal 2 2 2 2 8 5 2 2 2 2" xfId="29183" xr:uid="{00000000-0005-0000-0000-0000FE710000}"/>
    <cellStyle name="Normal 2 2 2 2 8 5 2 2 3" xfId="29184" xr:uid="{00000000-0005-0000-0000-0000FF710000}"/>
    <cellStyle name="Normal 2 2 2 2 8 5 2 3" xfId="29185" xr:uid="{00000000-0005-0000-0000-000000720000}"/>
    <cellStyle name="Normal 2 2 2 2 8 5 2 3 2" xfId="29186" xr:uid="{00000000-0005-0000-0000-000001720000}"/>
    <cellStyle name="Normal 2 2 2 2 8 5 2 4" xfId="29187" xr:uid="{00000000-0005-0000-0000-000002720000}"/>
    <cellStyle name="Normal 2 2 2 2 8 5 3" xfId="29188" xr:uid="{00000000-0005-0000-0000-000003720000}"/>
    <cellStyle name="Normal 2 2 2 2 8 5 3 2" xfId="29189" xr:uid="{00000000-0005-0000-0000-000004720000}"/>
    <cellStyle name="Normal 2 2 2 2 8 5 3 2 2" xfId="29190" xr:uid="{00000000-0005-0000-0000-000005720000}"/>
    <cellStyle name="Normal 2 2 2 2 8 5 3 3" xfId="29191" xr:uid="{00000000-0005-0000-0000-000006720000}"/>
    <cellStyle name="Normal 2 2 2 2 8 5 4" xfId="29192" xr:uid="{00000000-0005-0000-0000-000007720000}"/>
    <cellStyle name="Normal 2 2 2 2 8 5 4 2" xfId="29193" xr:uid="{00000000-0005-0000-0000-000008720000}"/>
    <cellStyle name="Normal 2 2 2 2 8 5 5" xfId="29194" xr:uid="{00000000-0005-0000-0000-000009720000}"/>
    <cellStyle name="Normal 2 2 2 2 8 6" xfId="29195" xr:uid="{00000000-0005-0000-0000-00000A720000}"/>
    <cellStyle name="Normal 2 2 2 2 8 6 2" xfId="29196" xr:uid="{00000000-0005-0000-0000-00000B720000}"/>
    <cellStyle name="Normal 2 2 2 2 8 6 2 2" xfId="29197" xr:uid="{00000000-0005-0000-0000-00000C720000}"/>
    <cellStyle name="Normal 2 2 2 2 8 6 2 2 2" xfId="29198" xr:uid="{00000000-0005-0000-0000-00000D720000}"/>
    <cellStyle name="Normal 2 2 2 2 8 6 2 2 2 2" xfId="29199" xr:uid="{00000000-0005-0000-0000-00000E720000}"/>
    <cellStyle name="Normal 2 2 2 2 8 6 2 2 3" xfId="29200" xr:uid="{00000000-0005-0000-0000-00000F720000}"/>
    <cellStyle name="Normal 2 2 2 2 8 6 2 3" xfId="29201" xr:uid="{00000000-0005-0000-0000-000010720000}"/>
    <cellStyle name="Normal 2 2 2 2 8 6 2 3 2" xfId="29202" xr:uid="{00000000-0005-0000-0000-000011720000}"/>
    <cellStyle name="Normal 2 2 2 2 8 6 2 4" xfId="29203" xr:uid="{00000000-0005-0000-0000-000012720000}"/>
    <cellStyle name="Normal 2 2 2 2 8 6 3" xfId="29204" xr:uid="{00000000-0005-0000-0000-000013720000}"/>
    <cellStyle name="Normal 2 2 2 2 8 6 3 2" xfId="29205" xr:uid="{00000000-0005-0000-0000-000014720000}"/>
    <cellStyle name="Normal 2 2 2 2 8 6 3 2 2" xfId="29206" xr:uid="{00000000-0005-0000-0000-000015720000}"/>
    <cellStyle name="Normal 2 2 2 2 8 6 3 3" xfId="29207" xr:uid="{00000000-0005-0000-0000-000016720000}"/>
    <cellStyle name="Normal 2 2 2 2 8 6 4" xfId="29208" xr:uid="{00000000-0005-0000-0000-000017720000}"/>
    <cellStyle name="Normal 2 2 2 2 8 6 4 2" xfId="29209" xr:uid="{00000000-0005-0000-0000-000018720000}"/>
    <cellStyle name="Normal 2 2 2 2 8 6 5" xfId="29210" xr:uid="{00000000-0005-0000-0000-000019720000}"/>
    <cellStyle name="Normal 2 2 2 2 8 7" xfId="29211" xr:uid="{00000000-0005-0000-0000-00001A720000}"/>
    <cellStyle name="Normal 2 2 2 2 8 7 2" xfId="29212" xr:uid="{00000000-0005-0000-0000-00001B720000}"/>
    <cellStyle name="Normal 2 2 2 2 8 7 2 2" xfId="29213" xr:uid="{00000000-0005-0000-0000-00001C720000}"/>
    <cellStyle name="Normal 2 2 2 2 8 7 2 2 2" xfId="29214" xr:uid="{00000000-0005-0000-0000-00001D720000}"/>
    <cellStyle name="Normal 2 2 2 2 8 7 2 3" xfId="29215" xr:uid="{00000000-0005-0000-0000-00001E720000}"/>
    <cellStyle name="Normal 2 2 2 2 8 7 3" xfId="29216" xr:uid="{00000000-0005-0000-0000-00001F720000}"/>
    <cellStyle name="Normal 2 2 2 2 8 7 3 2" xfId="29217" xr:uid="{00000000-0005-0000-0000-000020720000}"/>
    <cellStyle name="Normal 2 2 2 2 8 7 4" xfId="29218" xr:uid="{00000000-0005-0000-0000-000021720000}"/>
    <cellStyle name="Normal 2 2 2 2 8 8" xfId="29219" xr:uid="{00000000-0005-0000-0000-000022720000}"/>
    <cellStyle name="Normal 2 2 2 2 8 8 2" xfId="29220" xr:uid="{00000000-0005-0000-0000-000023720000}"/>
    <cellStyle name="Normal 2 2 2 2 8 8 2 2" xfId="29221" xr:uid="{00000000-0005-0000-0000-000024720000}"/>
    <cellStyle name="Normal 2 2 2 2 8 8 2 2 2" xfId="29222" xr:uid="{00000000-0005-0000-0000-000025720000}"/>
    <cellStyle name="Normal 2 2 2 2 8 8 2 3" xfId="29223" xr:uid="{00000000-0005-0000-0000-000026720000}"/>
    <cellStyle name="Normal 2 2 2 2 8 8 3" xfId="29224" xr:uid="{00000000-0005-0000-0000-000027720000}"/>
    <cellStyle name="Normal 2 2 2 2 8 8 3 2" xfId="29225" xr:uid="{00000000-0005-0000-0000-000028720000}"/>
    <cellStyle name="Normal 2 2 2 2 8 8 4" xfId="29226" xr:uid="{00000000-0005-0000-0000-000029720000}"/>
    <cellStyle name="Normal 2 2 2 2 8 9" xfId="29227" xr:uid="{00000000-0005-0000-0000-00002A720000}"/>
    <cellStyle name="Normal 2 2 2 2 8 9 2" xfId="29228" xr:uid="{00000000-0005-0000-0000-00002B720000}"/>
    <cellStyle name="Normal 2 2 2 2 8 9 2 2" xfId="29229" xr:uid="{00000000-0005-0000-0000-00002C720000}"/>
    <cellStyle name="Normal 2 2 2 2 8 9 3" xfId="29230" xr:uid="{00000000-0005-0000-0000-00002D720000}"/>
    <cellStyle name="Normal 2 2 2 2 9" xfId="29231" xr:uid="{00000000-0005-0000-0000-00002E720000}"/>
    <cellStyle name="Normal 2 2 2 2 9 2" xfId="29232" xr:uid="{00000000-0005-0000-0000-00002F720000}"/>
    <cellStyle name="Normal 2 2 2 2 9 2 2" xfId="29233" xr:uid="{00000000-0005-0000-0000-000030720000}"/>
    <cellStyle name="Normal 2 2 2 2 9 2 2 2" xfId="29234" xr:uid="{00000000-0005-0000-0000-000031720000}"/>
    <cellStyle name="Normal 2 2 2 2 9 2 2 2 2" xfId="29235" xr:uid="{00000000-0005-0000-0000-000032720000}"/>
    <cellStyle name="Normal 2 2 2 2 9 2 2 3" xfId="29236" xr:uid="{00000000-0005-0000-0000-000033720000}"/>
    <cellStyle name="Normal 2 2 2 2 9 2 3" xfId="29237" xr:uid="{00000000-0005-0000-0000-000034720000}"/>
    <cellStyle name="Normal 2 2 2 2 9 2 3 2" xfId="29238" xr:uid="{00000000-0005-0000-0000-000035720000}"/>
    <cellStyle name="Normal 2 2 2 2 9 2 4" xfId="29239" xr:uid="{00000000-0005-0000-0000-000036720000}"/>
    <cellStyle name="Normal 2 2 2 2 9 3" xfId="29240" xr:uid="{00000000-0005-0000-0000-000037720000}"/>
    <cellStyle name="Normal 2 2 2 2 9 3 2" xfId="29241" xr:uid="{00000000-0005-0000-0000-000038720000}"/>
    <cellStyle name="Normal 2 2 2 2 9 3 2 2" xfId="29242" xr:uid="{00000000-0005-0000-0000-000039720000}"/>
    <cellStyle name="Normal 2 2 2 2 9 3 3" xfId="29243" xr:uid="{00000000-0005-0000-0000-00003A720000}"/>
    <cellStyle name="Normal 2 2 2 2 9 4" xfId="29244" xr:uid="{00000000-0005-0000-0000-00003B720000}"/>
    <cellStyle name="Normal 2 2 2 2 9 4 2" xfId="29245" xr:uid="{00000000-0005-0000-0000-00003C720000}"/>
    <cellStyle name="Normal 2 2 2 2 9 4 2 2" xfId="29246" xr:uid="{00000000-0005-0000-0000-00003D720000}"/>
    <cellStyle name="Normal 2 2 2 2 9 4 3" xfId="29247" xr:uid="{00000000-0005-0000-0000-00003E720000}"/>
    <cellStyle name="Normal 2 2 2 2 9 5" xfId="29248" xr:uid="{00000000-0005-0000-0000-00003F720000}"/>
    <cellStyle name="Normal 2 2 2 2 9 5 2" xfId="29249" xr:uid="{00000000-0005-0000-0000-000040720000}"/>
    <cellStyle name="Normal 2 2 2 2 9 5 2 2" xfId="29250" xr:uid="{00000000-0005-0000-0000-000041720000}"/>
    <cellStyle name="Normal 2 2 2 2 9 5 3" xfId="29251" xr:uid="{00000000-0005-0000-0000-000042720000}"/>
    <cellStyle name="Normal 2 2 2 2 9 6" xfId="29252" xr:uid="{00000000-0005-0000-0000-000043720000}"/>
    <cellStyle name="Normal 2 2 2 2 9 6 2" xfId="29253" xr:uid="{00000000-0005-0000-0000-000044720000}"/>
    <cellStyle name="Normal 2 2 2 2 9 6 2 2" xfId="29254" xr:uid="{00000000-0005-0000-0000-000045720000}"/>
    <cellStyle name="Normal 2 2 2 2 9 6 3" xfId="29255" xr:uid="{00000000-0005-0000-0000-000046720000}"/>
    <cellStyle name="Normal 2 2 2 2 9 7" xfId="29256" xr:uid="{00000000-0005-0000-0000-000047720000}"/>
    <cellStyle name="Normal 2 2 2 2 9 7 2" xfId="29257" xr:uid="{00000000-0005-0000-0000-000048720000}"/>
    <cellStyle name="Normal 2 2 2 2 9 8" xfId="29258" xr:uid="{00000000-0005-0000-0000-000049720000}"/>
    <cellStyle name="Normal 2 2 2 20" xfId="29259" xr:uid="{00000000-0005-0000-0000-00004A720000}"/>
    <cellStyle name="Normal 2 2 2 20 2" xfId="29260" xr:uid="{00000000-0005-0000-0000-00004B720000}"/>
    <cellStyle name="Normal 2 2 2 20 2 2" xfId="29261" xr:uid="{00000000-0005-0000-0000-00004C720000}"/>
    <cellStyle name="Normal 2 2 2 20 3" xfId="29262" xr:uid="{00000000-0005-0000-0000-00004D720000}"/>
    <cellStyle name="Normal 2 2 2 21" xfId="29263" xr:uid="{00000000-0005-0000-0000-00004E720000}"/>
    <cellStyle name="Normal 2 2 2 21 2" xfId="29264" xr:uid="{00000000-0005-0000-0000-00004F720000}"/>
    <cellStyle name="Normal 2 2 2 21 2 2" xfId="29265" xr:uid="{00000000-0005-0000-0000-000050720000}"/>
    <cellStyle name="Normal 2 2 2 21 3" xfId="29266" xr:uid="{00000000-0005-0000-0000-000051720000}"/>
    <cellStyle name="Normal 2 2 2 22" xfId="29267" xr:uid="{00000000-0005-0000-0000-000052720000}"/>
    <cellStyle name="Normal 2 2 2 22 2" xfId="29268" xr:uid="{00000000-0005-0000-0000-000053720000}"/>
    <cellStyle name="Normal 2 2 2 23" xfId="29269" xr:uid="{00000000-0005-0000-0000-000054720000}"/>
    <cellStyle name="Normal 2 2 2 24" xfId="29270" xr:uid="{00000000-0005-0000-0000-000055720000}"/>
    <cellStyle name="Normal 2 2 2 3" xfId="29271" xr:uid="{00000000-0005-0000-0000-000056720000}"/>
    <cellStyle name="Normal 2 2 2 3 10" xfId="29272" xr:uid="{00000000-0005-0000-0000-000057720000}"/>
    <cellStyle name="Normal 2 2 2 3 10 2" xfId="29273" xr:uid="{00000000-0005-0000-0000-000058720000}"/>
    <cellStyle name="Normal 2 2 2 3 10 2 2" xfId="29274" xr:uid="{00000000-0005-0000-0000-000059720000}"/>
    <cellStyle name="Normal 2 2 2 3 10 2 2 2" xfId="29275" xr:uid="{00000000-0005-0000-0000-00005A720000}"/>
    <cellStyle name="Normal 2 2 2 3 10 2 2 2 2" xfId="29276" xr:uid="{00000000-0005-0000-0000-00005B720000}"/>
    <cellStyle name="Normal 2 2 2 3 10 2 2 3" xfId="29277" xr:uid="{00000000-0005-0000-0000-00005C720000}"/>
    <cellStyle name="Normal 2 2 2 3 10 2 3" xfId="29278" xr:uid="{00000000-0005-0000-0000-00005D720000}"/>
    <cellStyle name="Normal 2 2 2 3 10 2 3 2" xfId="29279" xr:uid="{00000000-0005-0000-0000-00005E720000}"/>
    <cellStyle name="Normal 2 2 2 3 10 2 4" xfId="29280" xr:uid="{00000000-0005-0000-0000-00005F720000}"/>
    <cellStyle name="Normal 2 2 2 3 10 3" xfId="29281" xr:uid="{00000000-0005-0000-0000-000060720000}"/>
    <cellStyle name="Normal 2 2 2 3 10 3 2" xfId="29282" xr:uid="{00000000-0005-0000-0000-000061720000}"/>
    <cellStyle name="Normal 2 2 2 3 10 3 2 2" xfId="29283" xr:uid="{00000000-0005-0000-0000-000062720000}"/>
    <cellStyle name="Normal 2 2 2 3 10 3 3" xfId="29284" xr:uid="{00000000-0005-0000-0000-000063720000}"/>
    <cellStyle name="Normal 2 2 2 3 10 4" xfId="29285" xr:uid="{00000000-0005-0000-0000-000064720000}"/>
    <cellStyle name="Normal 2 2 2 3 10 4 2" xfId="29286" xr:uid="{00000000-0005-0000-0000-000065720000}"/>
    <cellStyle name="Normal 2 2 2 3 10 4 2 2" xfId="29287" xr:uid="{00000000-0005-0000-0000-000066720000}"/>
    <cellStyle name="Normal 2 2 2 3 10 4 3" xfId="29288" xr:uid="{00000000-0005-0000-0000-000067720000}"/>
    <cellStyle name="Normal 2 2 2 3 10 5" xfId="29289" xr:uid="{00000000-0005-0000-0000-000068720000}"/>
    <cellStyle name="Normal 2 2 2 3 10 5 2" xfId="29290" xr:uid="{00000000-0005-0000-0000-000069720000}"/>
    <cellStyle name="Normal 2 2 2 3 10 5 2 2" xfId="29291" xr:uid="{00000000-0005-0000-0000-00006A720000}"/>
    <cellStyle name="Normal 2 2 2 3 10 5 3" xfId="29292" xr:uid="{00000000-0005-0000-0000-00006B720000}"/>
    <cellStyle name="Normal 2 2 2 3 10 6" xfId="29293" xr:uid="{00000000-0005-0000-0000-00006C720000}"/>
    <cellStyle name="Normal 2 2 2 3 10 6 2" xfId="29294" xr:uid="{00000000-0005-0000-0000-00006D720000}"/>
    <cellStyle name="Normal 2 2 2 3 10 6 2 2" xfId="29295" xr:uid="{00000000-0005-0000-0000-00006E720000}"/>
    <cellStyle name="Normal 2 2 2 3 10 6 3" xfId="29296" xr:uid="{00000000-0005-0000-0000-00006F720000}"/>
    <cellStyle name="Normal 2 2 2 3 10 7" xfId="29297" xr:uid="{00000000-0005-0000-0000-000070720000}"/>
    <cellStyle name="Normal 2 2 2 3 10 7 2" xfId="29298" xr:uid="{00000000-0005-0000-0000-000071720000}"/>
    <cellStyle name="Normal 2 2 2 3 10 8" xfId="29299" xr:uid="{00000000-0005-0000-0000-000072720000}"/>
    <cellStyle name="Normal 2 2 2 3 11" xfId="29300" xr:uid="{00000000-0005-0000-0000-000073720000}"/>
    <cellStyle name="Normal 2 2 2 3 11 2" xfId="29301" xr:uid="{00000000-0005-0000-0000-000074720000}"/>
    <cellStyle name="Normal 2 2 2 3 11 2 2" xfId="29302" xr:uid="{00000000-0005-0000-0000-000075720000}"/>
    <cellStyle name="Normal 2 2 2 3 11 2 2 2" xfId="29303" xr:uid="{00000000-0005-0000-0000-000076720000}"/>
    <cellStyle name="Normal 2 2 2 3 11 2 2 2 2" xfId="29304" xr:uid="{00000000-0005-0000-0000-000077720000}"/>
    <cellStyle name="Normal 2 2 2 3 11 2 2 3" xfId="29305" xr:uid="{00000000-0005-0000-0000-000078720000}"/>
    <cellStyle name="Normal 2 2 2 3 11 2 3" xfId="29306" xr:uid="{00000000-0005-0000-0000-000079720000}"/>
    <cellStyle name="Normal 2 2 2 3 11 2 3 2" xfId="29307" xr:uid="{00000000-0005-0000-0000-00007A720000}"/>
    <cellStyle name="Normal 2 2 2 3 11 2 4" xfId="29308" xr:uid="{00000000-0005-0000-0000-00007B720000}"/>
    <cellStyle name="Normal 2 2 2 3 11 3" xfId="29309" xr:uid="{00000000-0005-0000-0000-00007C720000}"/>
    <cellStyle name="Normal 2 2 2 3 11 3 2" xfId="29310" xr:uid="{00000000-0005-0000-0000-00007D720000}"/>
    <cellStyle name="Normal 2 2 2 3 11 3 2 2" xfId="29311" xr:uid="{00000000-0005-0000-0000-00007E720000}"/>
    <cellStyle name="Normal 2 2 2 3 11 3 3" xfId="29312" xr:uid="{00000000-0005-0000-0000-00007F720000}"/>
    <cellStyle name="Normal 2 2 2 3 11 4" xfId="29313" xr:uid="{00000000-0005-0000-0000-000080720000}"/>
    <cellStyle name="Normal 2 2 2 3 11 4 2" xfId="29314" xr:uid="{00000000-0005-0000-0000-000081720000}"/>
    <cellStyle name="Normal 2 2 2 3 11 5" xfId="29315" xr:uid="{00000000-0005-0000-0000-000082720000}"/>
    <cellStyle name="Normal 2 2 2 3 12" xfId="29316" xr:uid="{00000000-0005-0000-0000-000083720000}"/>
    <cellStyle name="Normal 2 2 2 3 12 2" xfId="29317" xr:uid="{00000000-0005-0000-0000-000084720000}"/>
    <cellStyle name="Normal 2 2 2 3 12 2 2" xfId="29318" xr:uid="{00000000-0005-0000-0000-000085720000}"/>
    <cellStyle name="Normal 2 2 2 3 12 2 2 2" xfId="29319" xr:uid="{00000000-0005-0000-0000-000086720000}"/>
    <cellStyle name="Normal 2 2 2 3 12 2 2 2 2" xfId="29320" xr:uid="{00000000-0005-0000-0000-000087720000}"/>
    <cellStyle name="Normal 2 2 2 3 12 2 2 3" xfId="29321" xr:uid="{00000000-0005-0000-0000-000088720000}"/>
    <cellStyle name="Normal 2 2 2 3 12 2 3" xfId="29322" xr:uid="{00000000-0005-0000-0000-000089720000}"/>
    <cellStyle name="Normal 2 2 2 3 12 2 3 2" xfId="29323" xr:uid="{00000000-0005-0000-0000-00008A720000}"/>
    <cellStyle name="Normal 2 2 2 3 12 2 4" xfId="29324" xr:uid="{00000000-0005-0000-0000-00008B720000}"/>
    <cellStyle name="Normal 2 2 2 3 12 3" xfId="29325" xr:uid="{00000000-0005-0000-0000-00008C720000}"/>
    <cellStyle name="Normal 2 2 2 3 12 3 2" xfId="29326" xr:uid="{00000000-0005-0000-0000-00008D720000}"/>
    <cellStyle name="Normal 2 2 2 3 12 3 2 2" xfId="29327" xr:uid="{00000000-0005-0000-0000-00008E720000}"/>
    <cellStyle name="Normal 2 2 2 3 12 3 3" xfId="29328" xr:uid="{00000000-0005-0000-0000-00008F720000}"/>
    <cellStyle name="Normal 2 2 2 3 12 4" xfId="29329" xr:uid="{00000000-0005-0000-0000-000090720000}"/>
    <cellStyle name="Normal 2 2 2 3 12 4 2" xfId="29330" xr:uid="{00000000-0005-0000-0000-000091720000}"/>
    <cellStyle name="Normal 2 2 2 3 12 5" xfId="29331" xr:uid="{00000000-0005-0000-0000-000092720000}"/>
    <cellStyle name="Normal 2 2 2 3 13" xfId="29332" xr:uid="{00000000-0005-0000-0000-000093720000}"/>
    <cellStyle name="Normal 2 2 2 3 13 2" xfId="29333" xr:uid="{00000000-0005-0000-0000-000094720000}"/>
    <cellStyle name="Normal 2 2 2 3 13 2 2" xfId="29334" xr:uid="{00000000-0005-0000-0000-000095720000}"/>
    <cellStyle name="Normal 2 2 2 3 13 2 2 2" xfId="29335" xr:uid="{00000000-0005-0000-0000-000096720000}"/>
    <cellStyle name="Normal 2 2 2 3 13 2 2 2 2" xfId="29336" xr:uid="{00000000-0005-0000-0000-000097720000}"/>
    <cellStyle name="Normal 2 2 2 3 13 2 2 3" xfId="29337" xr:uid="{00000000-0005-0000-0000-000098720000}"/>
    <cellStyle name="Normal 2 2 2 3 13 2 3" xfId="29338" xr:uid="{00000000-0005-0000-0000-000099720000}"/>
    <cellStyle name="Normal 2 2 2 3 13 2 3 2" xfId="29339" xr:uid="{00000000-0005-0000-0000-00009A720000}"/>
    <cellStyle name="Normal 2 2 2 3 13 2 4" xfId="29340" xr:uid="{00000000-0005-0000-0000-00009B720000}"/>
    <cellStyle name="Normal 2 2 2 3 13 3" xfId="29341" xr:uid="{00000000-0005-0000-0000-00009C720000}"/>
    <cellStyle name="Normal 2 2 2 3 13 3 2" xfId="29342" xr:uid="{00000000-0005-0000-0000-00009D720000}"/>
    <cellStyle name="Normal 2 2 2 3 13 3 2 2" xfId="29343" xr:uid="{00000000-0005-0000-0000-00009E720000}"/>
    <cellStyle name="Normal 2 2 2 3 13 3 3" xfId="29344" xr:uid="{00000000-0005-0000-0000-00009F720000}"/>
    <cellStyle name="Normal 2 2 2 3 13 4" xfId="29345" xr:uid="{00000000-0005-0000-0000-0000A0720000}"/>
    <cellStyle name="Normal 2 2 2 3 13 4 2" xfId="29346" xr:uid="{00000000-0005-0000-0000-0000A1720000}"/>
    <cellStyle name="Normal 2 2 2 3 13 5" xfId="29347" xr:uid="{00000000-0005-0000-0000-0000A2720000}"/>
    <cellStyle name="Normal 2 2 2 3 14" xfId="29348" xr:uid="{00000000-0005-0000-0000-0000A3720000}"/>
    <cellStyle name="Normal 2 2 2 3 14 2" xfId="29349" xr:uid="{00000000-0005-0000-0000-0000A4720000}"/>
    <cellStyle name="Normal 2 2 2 3 14 2 2" xfId="29350" xr:uid="{00000000-0005-0000-0000-0000A5720000}"/>
    <cellStyle name="Normal 2 2 2 3 14 2 2 2" xfId="29351" xr:uid="{00000000-0005-0000-0000-0000A6720000}"/>
    <cellStyle name="Normal 2 2 2 3 14 2 3" xfId="29352" xr:uid="{00000000-0005-0000-0000-0000A7720000}"/>
    <cellStyle name="Normal 2 2 2 3 14 3" xfId="29353" xr:uid="{00000000-0005-0000-0000-0000A8720000}"/>
    <cellStyle name="Normal 2 2 2 3 14 3 2" xfId="29354" xr:uid="{00000000-0005-0000-0000-0000A9720000}"/>
    <cellStyle name="Normal 2 2 2 3 14 4" xfId="29355" xr:uid="{00000000-0005-0000-0000-0000AA720000}"/>
    <cellStyle name="Normal 2 2 2 3 15" xfId="29356" xr:uid="{00000000-0005-0000-0000-0000AB720000}"/>
    <cellStyle name="Normal 2 2 2 3 15 2" xfId="29357" xr:uid="{00000000-0005-0000-0000-0000AC720000}"/>
    <cellStyle name="Normal 2 2 2 3 15 2 2" xfId="29358" xr:uid="{00000000-0005-0000-0000-0000AD720000}"/>
    <cellStyle name="Normal 2 2 2 3 15 2 2 2" xfId="29359" xr:uid="{00000000-0005-0000-0000-0000AE720000}"/>
    <cellStyle name="Normal 2 2 2 3 15 2 3" xfId="29360" xr:uid="{00000000-0005-0000-0000-0000AF720000}"/>
    <cellStyle name="Normal 2 2 2 3 15 3" xfId="29361" xr:uid="{00000000-0005-0000-0000-0000B0720000}"/>
    <cellStyle name="Normal 2 2 2 3 15 3 2" xfId="29362" xr:uid="{00000000-0005-0000-0000-0000B1720000}"/>
    <cellStyle name="Normal 2 2 2 3 15 4" xfId="29363" xr:uid="{00000000-0005-0000-0000-0000B2720000}"/>
    <cellStyle name="Normal 2 2 2 3 16" xfId="29364" xr:uid="{00000000-0005-0000-0000-0000B3720000}"/>
    <cellStyle name="Normal 2 2 2 3 16 2" xfId="29365" xr:uid="{00000000-0005-0000-0000-0000B4720000}"/>
    <cellStyle name="Normal 2 2 2 3 16 2 2" xfId="29366" xr:uid="{00000000-0005-0000-0000-0000B5720000}"/>
    <cellStyle name="Normal 2 2 2 3 16 3" xfId="29367" xr:uid="{00000000-0005-0000-0000-0000B6720000}"/>
    <cellStyle name="Normal 2 2 2 3 17" xfId="29368" xr:uid="{00000000-0005-0000-0000-0000B7720000}"/>
    <cellStyle name="Normal 2 2 2 3 17 2" xfId="29369" xr:uid="{00000000-0005-0000-0000-0000B8720000}"/>
    <cellStyle name="Normal 2 2 2 3 17 2 2" xfId="29370" xr:uid="{00000000-0005-0000-0000-0000B9720000}"/>
    <cellStyle name="Normal 2 2 2 3 17 3" xfId="29371" xr:uid="{00000000-0005-0000-0000-0000BA720000}"/>
    <cellStyle name="Normal 2 2 2 3 18" xfId="29372" xr:uid="{00000000-0005-0000-0000-0000BB720000}"/>
    <cellStyle name="Normal 2 2 2 3 18 2" xfId="29373" xr:uid="{00000000-0005-0000-0000-0000BC720000}"/>
    <cellStyle name="Normal 2 2 2 3 18 2 2" xfId="29374" xr:uid="{00000000-0005-0000-0000-0000BD720000}"/>
    <cellStyle name="Normal 2 2 2 3 18 3" xfId="29375" xr:uid="{00000000-0005-0000-0000-0000BE720000}"/>
    <cellStyle name="Normal 2 2 2 3 19" xfId="29376" xr:uid="{00000000-0005-0000-0000-0000BF720000}"/>
    <cellStyle name="Normal 2 2 2 3 19 2" xfId="29377" xr:uid="{00000000-0005-0000-0000-0000C0720000}"/>
    <cellStyle name="Normal 2 2 2 3 19 2 2" xfId="29378" xr:uid="{00000000-0005-0000-0000-0000C1720000}"/>
    <cellStyle name="Normal 2 2 2 3 19 3" xfId="29379" xr:uid="{00000000-0005-0000-0000-0000C2720000}"/>
    <cellStyle name="Normal 2 2 2 3 2" xfId="29380" xr:uid="{00000000-0005-0000-0000-0000C3720000}"/>
    <cellStyle name="Normal 2 2 2 3 2 10" xfId="29381" xr:uid="{00000000-0005-0000-0000-0000C4720000}"/>
    <cellStyle name="Normal 2 2 2 3 2 10 2" xfId="29382" xr:uid="{00000000-0005-0000-0000-0000C5720000}"/>
    <cellStyle name="Normal 2 2 2 3 2 10 2 2" xfId="29383" xr:uid="{00000000-0005-0000-0000-0000C6720000}"/>
    <cellStyle name="Normal 2 2 2 3 2 10 2 2 2" xfId="29384" xr:uid="{00000000-0005-0000-0000-0000C7720000}"/>
    <cellStyle name="Normal 2 2 2 3 2 10 2 2 2 2" xfId="29385" xr:uid="{00000000-0005-0000-0000-0000C8720000}"/>
    <cellStyle name="Normal 2 2 2 3 2 10 2 2 3" xfId="29386" xr:uid="{00000000-0005-0000-0000-0000C9720000}"/>
    <cellStyle name="Normal 2 2 2 3 2 10 2 3" xfId="29387" xr:uid="{00000000-0005-0000-0000-0000CA720000}"/>
    <cellStyle name="Normal 2 2 2 3 2 10 2 3 2" xfId="29388" xr:uid="{00000000-0005-0000-0000-0000CB720000}"/>
    <cellStyle name="Normal 2 2 2 3 2 10 2 4" xfId="29389" xr:uid="{00000000-0005-0000-0000-0000CC720000}"/>
    <cellStyle name="Normal 2 2 2 3 2 10 3" xfId="29390" xr:uid="{00000000-0005-0000-0000-0000CD720000}"/>
    <cellStyle name="Normal 2 2 2 3 2 10 3 2" xfId="29391" xr:uid="{00000000-0005-0000-0000-0000CE720000}"/>
    <cellStyle name="Normal 2 2 2 3 2 10 3 2 2" xfId="29392" xr:uid="{00000000-0005-0000-0000-0000CF720000}"/>
    <cellStyle name="Normal 2 2 2 3 2 10 3 3" xfId="29393" xr:uid="{00000000-0005-0000-0000-0000D0720000}"/>
    <cellStyle name="Normal 2 2 2 3 2 10 4" xfId="29394" xr:uid="{00000000-0005-0000-0000-0000D1720000}"/>
    <cellStyle name="Normal 2 2 2 3 2 10 4 2" xfId="29395" xr:uid="{00000000-0005-0000-0000-0000D2720000}"/>
    <cellStyle name="Normal 2 2 2 3 2 10 5" xfId="29396" xr:uid="{00000000-0005-0000-0000-0000D3720000}"/>
    <cellStyle name="Normal 2 2 2 3 2 11" xfId="29397" xr:uid="{00000000-0005-0000-0000-0000D4720000}"/>
    <cellStyle name="Normal 2 2 2 3 2 11 2" xfId="29398" xr:uid="{00000000-0005-0000-0000-0000D5720000}"/>
    <cellStyle name="Normal 2 2 2 3 2 11 2 2" xfId="29399" xr:uid="{00000000-0005-0000-0000-0000D6720000}"/>
    <cellStyle name="Normal 2 2 2 3 2 11 2 2 2" xfId="29400" xr:uid="{00000000-0005-0000-0000-0000D7720000}"/>
    <cellStyle name="Normal 2 2 2 3 2 11 2 2 2 2" xfId="29401" xr:uid="{00000000-0005-0000-0000-0000D8720000}"/>
    <cellStyle name="Normal 2 2 2 3 2 11 2 2 3" xfId="29402" xr:uid="{00000000-0005-0000-0000-0000D9720000}"/>
    <cellStyle name="Normal 2 2 2 3 2 11 2 3" xfId="29403" xr:uid="{00000000-0005-0000-0000-0000DA720000}"/>
    <cellStyle name="Normal 2 2 2 3 2 11 2 3 2" xfId="29404" xr:uid="{00000000-0005-0000-0000-0000DB720000}"/>
    <cellStyle name="Normal 2 2 2 3 2 11 2 4" xfId="29405" xr:uid="{00000000-0005-0000-0000-0000DC720000}"/>
    <cellStyle name="Normal 2 2 2 3 2 11 3" xfId="29406" xr:uid="{00000000-0005-0000-0000-0000DD720000}"/>
    <cellStyle name="Normal 2 2 2 3 2 11 3 2" xfId="29407" xr:uid="{00000000-0005-0000-0000-0000DE720000}"/>
    <cellStyle name="Normal 2 2 2 3 2 11 3 2 2" xfId="29408" xr:uid="{00000000-0005-0000-0000-0000DF720000}"/>
    <cellStyle name="Normal 2 2 2 3 2 11 3 3" xfId="29409" xr:uid="{00000000-0005-0000-0000-0000E0720000}"/>
    <cellStyle name="Normal 2 2 2 3 2 11 4" xfId="29410" xr:uid="{00000000-0005-0000-0000-0000E1720000}"/>
    <cellStyle name="Normal 2 2 2 3 2 11 4 2" xfId="29411" xr:uid="{00000000-0005-0000-0000-0000E2720000}"/>
    <cellStyle name="Normal 2 2 2 3 2 11 5" xfId="29412" xr:uid="{00000000-0005-0000-0000-0000E3720000}"/>
    <cellStyle name="Normal 2 2 2 3 2 12" xfId="29413" xr:uid="{00000000-0005-0000-0000-0000E4720000}"/>
    <cellStyle name="Normal 2 2 2 3 2 12 2" xfId="29414" xr:uid="{00000000-0005-0000-0000-0000E5720000}"/>
    <cellStyle name="Normal 2 2 2 3 2 12 2 2" xfId="29415" xr:uid="{00000000-0005-0000-0000-0000E6720000}"/>
    <cellStyle name="Normal 2 2 2 3 2 12 2 2 2" xfId="29416" xr:uid="{00000000-0005-0000-0000-0000E7720000}"/>
    <cellStyle name="Normal 2 2 2 3 2 12 2 2 2 2" xfId="29417" xr:uid="{00000000-0005-0000-0000-0000E8720000}"/>
    <cellStyle name="Normal 2 2 2 3 2 12 2 2 3" xfId="29418" xr:uid="{00000000-0005-0000-0000-0000E9720000}"/>
    <cellStyle name="Normal 2 2 2 3 2 12 2 3" xfId="29419" xr:uid="{00000000-0005-0000-0000-0000EA720000}"/>
    <cellStyle name="Normal 2 2 2 3 2 12 2 3 2" xfId="29420" xr:uid="{00000000-0005-0000-0000-0000EB720000}"/>
    <cellStyle name="Normal 2 2 2 3 2 12 2 4" xfId="29421" xr:uid="{00000000-0005-0000-0000-0000EC720000}"/>
    <cellStyle name="Normal 2 2 2 3 2 12 3" xfId="29422" xr:uid="{00000000-0005-0000-0000-0000ED720000}"/>
    <cellStyle name="Normal 2 2 2 3 2 12 3 2" xfId="29423" xr:uid="{00000000-0005-0000-0000-0000EE720000}"/>
    <cellStyle name="Normal 2 2 2 3 2 12 3 2 2" xfId="29424" xr:uid="{00000000-0005-0000-0000-0000EF720000}"/>
    <cellStyle name="Normal 2 2 2 3 2 12 3 3" xfId="29425" xr:uid="{00000000-0005-0000-0000-0000F0720000}"/>
    <cellStyle name="Normal 2 2 2 3 2 12 4" xfId="29426" xr:uid="{00000000-0005-0000-0000-0000F1720000}"/>
    <cellStyle name="Normal 2 2 2 3 2 12 4 2" xfId="29427" xr:uid="{00000000-0005-0000-0000-0000F2720000}"/>
    <cellStyle name="Normal 2 2 2 3 2 12 5" xfId="29428" xr:uid="{00000000-0005-0000-0000-0000F3720000}"/>
    <cellStyle name="Normal 2 2 2 3 2 13" xfId="29429" xr:uid="{00000000-0005-0000-0000-0000F4720000}"/>
    <cellStyle name="Normal 2 2 2 3 2 13 2" xfId="29430" xr:uid="{00000000-0005-0000-0000-0000F5720000}"/>
    <cellStyle name="Normal 2 2 2 3 2 13 2 2" xfId="29431" xr:uid="{00000000-0005-0000-0000-0000F6720000}"/>
    <cellStyle name="Normal 2 2 2 3 2 13 2 2 2" xfId="29432" xr:uid="{00000000-0005-0000-0000-0000F7720000}"/>
    <cellStyle name="Normal 2 2 2 3 2 13 2 3" xfId="29433" xr:uid="{00000000-0005-0000-0000-0000F8720000}"/>
    <cellStyle name="Normal 2 2 2 3 2 13 3" xfId="29434" xr:uid="{00000000-0005-0000-0000-0000F9720000}"/>
    <cellStyle name="Normal 2 2 2 3 2 13 3 2" xfId="29435" xr:uid="{00000000-0005-0000-0000-0000FA720000}"/>
    <cellStyle name="Normal 2 2 2 3 2 13 4" xfId="29436" xr:uid="{00000000-0005-0000-0000-0000FB720000}"/>
    <cellStyle name="Normal 2 2 2 3 2 14" xfId="29437" xr:uid="{00000000-0005-0000-0000-0000FC720000}"/>
    <cellStyle name="Normal 2 2 2 3 2 14 2" xfId="29438" xr:uid="{00000000-0005-0000-0000-0000FD720000}"/>
    <cellStyle name="Normal 2 2 2 3 2 14 2 2" xfId="29439" xr:uid="{00000000-0005-0000-0000-0000FE720000}"/>
    <cellStyle name="Normal 2 2 2 3 2 14 2 2 2" xfId="29440" xr:uid="{00000000-0005-0000-0000-0000FF720000}"/>
    <cellStyle name="Normal 2 2 2 3 2 14 2 3" xfId="29441" xr:uid="{00000000-0005-0000-0000-000000730000}"/>
    <cellStyle name="Normal 2 2 2 3 2 14 3" xfId="29442" xr:uid="{00000000-0005-0000-0000-000001730000}"/>
    <cellStyle name="Normal 2 2 2 3 2 14 3 2" xfId="29443" xr:uid="{00000000-0005-0000-0000-000002730000}"/>
    <cellStyle name="Normal 2 2 2 3 2 14 4" xfId="29444" xr:uid="{00000000-0005-0000-0000-000003730000}"/>
    <cellStyle name="Normal 2 2 2 3 2 15" xfId="29445" xr:uid="{00000000-0005-0000-0000-000004730000}"/>
    <cellStyle name="Normal 2 2 2 3 2 15 2" xfId="29446" xr:uid="{00000000-0005-0000-0000-000005730000}"/>
    <cellStyle name="Normal 2 2 2 3 2 15 2 2" xfId="29447" xr:uid="{00000000-0005-0000-0000-000006730000}"/>
    <cellStyle name="Normal 2 2 2 3 2 15 3" xfId="29448" xr:uid="{00000000-0005-0000-0000-000007730000}"/>
    <cellStyle name="Normal 2 2 2 3 2 16" xfId="29449" xr:uid="{00000000-0005-0000-0000-000008730000}"/>
    <cellStyle name="Normal 2 2 2 3 2 16 2" xfId="29450" xr:uid="{00000000-0005-0000-0000-000009730000}"/>
    <cellStyle name="Normal 2 2 2 3 2 16 2 2" xfId="29451" xr:uid="{00000000-0005-0000-0000-00000A730000}"/>
    <cellStyle name="Normal 2 2 2 3 2 16 3" xfId="29452" xr:uid="{00000000-0005-0000-0000-00000B730000}"/>
    <cellStyle name="Normal 2 2 2 3 2 17" xfId="29453" xr:uid="{00000000-0005-0000-0000-00000C730000}"/>
    <cellStyle name="Normal 2 2 2 3 2 17 2" xfId="29454" xr:uid="{00000000-0005-0000-0000-00000D730000}"/>
    <cellStyle name="Normal 2 2 2 3 2 17 2 2" xfId="29455" xr:uid="{00000000-0005-0000-0000-00000E730000}"/>
    <cellStyle name="Normal 2 2 2 3 2 17 3" xfId="29456" xr:uid="{00000000-0005-0000-0000-00000F730000}"/>
    <cellStyle name="Normal 2 2 2 3 2 18" xfId="29457" xr:uid="{00000000-0005-0000-0000-000010730000}"/>
    <cellStyle name="Normal 2 2 2 3 2 18 2" xfId="29458" xr:uid="{00000000-0005-0000-0000-000011730000}"/>
    <cellStyle name="Normal 2 2 2 3 2 18 2 2" xfId="29459" xr:uid="{00000000-0005-0000-0000-000012730000}"/>
    <cellStyle name="Normal 2 2 2 3 2 18 3" xfId="29460" xr:uid="{00000000-0005-0000-0000-000013730000}"/>
    <cellStyle name="Normal 2 2 2 3 2 19" xfId="29461" xr:uid="{00000000-0005-0000-0000-000014730000}"/>
    <cellStyle name="Normal 2 2 2 3 2 19 2" xfId="29462" xr:uid="{00000000-0005-0000-0000-000015730000}"/>
    <cellStyle name="Normal 2 2 2 3 2 2" xfId="29463" xr:uid="{00000000-0005-0000-0000-000016730000}"/>
    <cellStyle name="Normal 2 2 2 3 2 2 10" xfId="29464" xr:uid="{00000000-0005-0000-0000-000017730000}"/>
    <cellStyle name="Normal 2 2 2 3 2 2 10 2" xfId="29465" xr:uid="{00000000-0005-0000-0000-000018730000}"/>
    <cellStyle name="Normal 2 2 2 3 2 2 10 2 2" xfId="29466" xr:uid="{00000000-0005-0000-0000-000019730000}"/>
    <cellStyle name="Normal 2 2 2 3 2 2 10 3" xfId="29467" xr:uid="{00000000-0005-0000-0000-00001A730000}"/>
    <cellStyle name="Normal 2 2 2 3 2 2 11" xfId="29468" xr:uid="{00000000-0005-0000-0000-00001B730000}"/>
    <cellStyle name="Normal 2 2 2 3 2 2 11 2" xfId="29469" xr:uid="{00000000-0005-0000-0000-00001C730000}"/>
    <cellStyle name="Normal 2 2 2 3 2 2 11 2 2" xfId="29470" xr:uid="{00000000-0005-0000-0000-00001D730000}"/>
    <cellStyle name="Normal 2 2 2 3 2 2 11 3" xfId="29471" xr:uid="{00000000-0005-0000-0000-00001E730000}"/>
    <cellStyle name="Normal 2 2 2 3 2 2 12" xfId="29472" xr:uid="{00000000-0005-0000-0000-00001F730000}"/>
    <cellStyle name="Normal 2 2 2 3 2 2 12 2" xfId="29473" xr:uid="{00000000-0005-0000-0000-000020730000}"/>
    <cellStyle name="Normal 2 2 2 3 2 2 12 2 2" xfId="29474" xr:uid="{00000000-0005-0000-0000-000021730000}"/>
    <cellStyle name="Normal 2 2 2 3 2 2 12 3" xfId="29475" xr:uid="{00000000-0005-0000-0000-000022730000}"/>
    <cellStyle name="Normal 2 2 2 3 2 2 13" xfId="29476" xr:uid="{00000000-0005-0000-0000-000023730000}"/>
    <cellStyle name="Normal 2 2 2 3 2 2 13 2" xfId="29477" xr:uid="{00000000-0005-0000-0000-000024730000}"/>
    <cellStyle name="Normal 2 2 2 3 2 2 14" xfId="29478" xr:uid="{00000000-0005-0000-0000-000025730000}"/>
    <cellStyle name="Normal 2 2 2 3 2 2 2" xfId="29479" xr:uid="{00000000-0005-0000-0000-000026730000}"/>
    <cellStyle name="Normal 2 2 2 3 2 2 2 2" xfId="29480" xr:uid="{00000000-0005-0000-0000-000027730000}"/>
    <cellStyle name="Normal 2 2 2 3 2 2 2 2 2" xfId="29481" xr:uid="{00000000-0005-0000-0000-000028730000}"/>
    <cellStyle name="Normal 2 2 2 3 2 2 2 2 2 2" xfId="29482" xr:uid="{00000000-0005-0000-0000-000029730000}"/>
    <cellStyle name="Normal 2 2 2 3 2 2 2 2 2 2 2" xfId="29483" xr:uid="{00000000-0005-0000-0000-00002A730000}"/>
    <cellStyle name="Normal 2 2 2 3 2 2 2 2 2 3" xfId="29484" xr:uid="{00000000-0005-0000-0000-00002B730000}"/>
    <cellStyle name="Normal 2 2 2 3 2 2 2 2 3" xfId="29485" xr:uid="{00000000-0005-0000-0000-00002C730000}"/>
    <cellStyle name="Normal 2 2 2 3 2 2 2 2 3 2" xfId="29486" xr:uid="{00000000-0005-0000-0000-00002D730000}"/>
    <cellStyle name="Normal 2 2 2 3 2 2 2 2 4" xfId="29487" xr:uid="{00000000-0005-0000-0000-00002E730000}"/>
    <cellStyle name="Normal 2 2 2 3 2 2 2 3" xfId="29488" xr:uid="{00000000-0005-0000-0000-00002F730000}"/>
    <cellStyle name="Normal 2 2 2 3 2 2 2 3 2" xfId="29489" xr:uid="{00000000-0005-0000-0000-000030730000}"/>
    <cellStyle name="Normal 2 2 2 3 2 2 2 3 2 2" xfId="29490" xr:uid="{00000000-0005-0000-0000-000031730000}"/>
    <cellStyle name="Normal 2 2 2 3 2 2 2 3 3" xfId="29491" xr:uid="{00000000-0005-0000-0000-000032730000}"/>
    <cellStyle name="Normal 2 2 2 3 2 2 2 4" xfId="29492" xr:uid="{00000000-0005-0000-0000-000033730000}"/>
    <cellStyle name="Normal 2 2 2 3 2 2 2 4 2" xfId="29493" xr:uid="{00000000-0005-0000-0000-000034730000}"/>
    <cellStyle name="Normal 2 2 2 3 2 2 2 4 2 2" xfId="29494" xr:uid="{00000000-0005-0000-0000-000035730000}"/>
    <cellStyle name="Normal 2 2 2 3 2 2 2 4 3" xfId="29495" xr:uid="{00000000-0005-0000-0000-000036730000}"/>
    <cellStyle name="Normal 2 2 2 3 2 2 2 5" xfId="29496" xr:uid="{00000000-0005-0000-0000-000037730000}"/>
    <cellStyle name="Normal 2 2 2 3 2 2 2 5 2" xfId="29497" xr:uid="{00000000-0005-0000-0000-000038730000}"/>
    <cellStyle name="Normal 2 2 2 3 2 2 2 5 2 2" xfId="29498" xr:uid="{00000000-0005-0000-0000-000039730000}"/>
    <cellStyle name="Normal 2 2 2 3 2 2 2 5 3" xfId="29499" xr:uid="{00000000-0005-0000-0000-00003A730000}"/>
    <cellStyle name="Normal 2 2 2 3 2 2 2 6" xfId="29500" xr:uid="{00000000-0005-0000-0000-00003B730000}"/>
    <cellStyle name="Normal 2 2 2 3 2 2 2 6 2" xfId="29501" xr:uid="{00000000-0005-0000-0000-00003C730000}"/>
    <cellStyle name="Normal 2 2 2 3 2 2 2 6 2 2" xfId="29502" xr:uid="{00000000-0005-0000-0000-00003D730000}"/>
    <cellStyle name="Normal 2 2 2 3 2 2 2 6 3" xfId="29503" xr:uid="{00000000-0005-0000-0000-00003E730000}"/>
    <cellStyle name="Normal 2 2 2 3 2 2 2 7" xfId="29504" xr:uid="{00000000-0005-0000-0000-00003F730000}"/>
    <cellStyle name="Normal 2 2 2 3 2 2 2 7 2" xfId="29505" xr:uid="{00000000-0005-0000-0000-000040730000}"/>
    <cellStyle name="Normal 2 2 2 3 2 2 2 8" xfId="29506" xr:uid="{00000000-0005-0000-0000-000041730000}"/>
    <cellStyle name="Normal 2 2 2 3 2 2 3" xfId="29507" xr:uid="{00000000-0005-0000-0000-000042730000}"/>
    <cellStyle name="Normal 2 2 2 3 2 2 3 2" xfId="29508" xr:uid="{00000000-0005-0000-0000-000043730000}"/>
    <cellStyle name="Normal 2 2 2 3 2 2 3 2 2" xfId="29509" xr:uid="{00000000-0005-0000-0000-000044730000}"/>
    <cellStyle name="Normal 2 2 2 3 2 2 3 2 2 2" xfId="29510" xr:uid="{00000000-0005-0000-0000-000045730000}"/>
    <cellStyle name="Normal 2 2 2 3 2 2 3 2 2 2 2" xfId="29511" xr:uid="{00000000-0005-0000-0000-000046730000}"/>
    <cellStyle name="Normal 2 2 2 3 2 2 3 2 2 3" xfId="29512" xr:uid="{00000000-0005-0000-0000-000047730000}"/>
    <cellStyle name="Normal 2 2 2 3 2 2 3 2 3" xfId="29513" xr:uid="{00000000-0005-0000-0000-000048730000}"/>
    <cellStyle name="Normal 2 2 2 3 2 2 3 2 3 2" xfId="29514" xr:uid="{00000000-0005-0000-0000-000049730000}"/>
    <cellStyle name="Normal 2 2 2 3 2 2 3 2 4" xfId="29515" xr:uid="{00000000-0005-0000-0000-00004A730000}"/>
    <cellStyle name="Normal 2 2 2 3 2 2 3 3" xfId="29516" xr:uid="{00000000-0005-0000-0000-00004B730000}"/>
    <cellStyle name="Normal 2 2 2 3 2 2 3 3 2" xfId="29517" xr:uid="{00000000-0005-0000-0000-00004C730000}"/>
    <cellStyle name="Normal 2 2 2 3 2 2 3 3 2 2" xfId="29518" xr:uid="{00000000-0005-0000-0000-00004D730000}"/>
    <cellStyle name="Normal 2 2 2 3 2 2 3 3 3" xfId="29519" xr:uid="{00000000-0005-0000-0000-00004E730000}"/>
    <cellStyle name="Normal 2 2 2 3 2 2 3 4" xfId="29520" xr:uid="{00000000-0005-0000-0000-00004F730000}"/>
    <cellStyle name="Normal 2 2 2 3 2 2 3 4 2" xfId="29521" xr:uid="{00000000-0005-0000-0000-000050730000}"/>
    <cellStyle name="Normal 2 2 2 3 2 2 3 4 2 2" xfId="29522" xr:uid="{00000000-0005-0000-0000-000051730000}"/>
    <cellStyle name="Normal 2 2 2 3 2 2 3 4 3" xfId="29523" xr:uid="{00000000-0005-0000-0000-000052730000}"/>
    <cellStyle name="Normal 2 2 2 3 2 2 3 5" xfId="29524" xr:uid="{00000000-0005-0000-0000-000053730000}"/>
    <cellStyle name="Normal 2 2 2 3 2 2 3 5 2" xfId="29525" xr:uid="{00000000-0005-0000-0000-000054730000}"/>
    <cellStyle name="Normal 2 2 2 3 2 2 3 5 2 2" xfId="29526" xr:uid="{00000000-0005-0000-0000-000055730000}"/>
    <cellStyle name="Normal 2 2 2 3 2 2 3 5 3" xfId="29527" xr:uid="{00000000-0005-0000-0000-000056730000}"/>
    <cellStyle name="Normal 2 2 2 3 2 2 3 6" xfId="29528" xr:uid="{00000000-0005-0000-0000-000057730000}"/>
    <cellStyle name="Normal 2 2 2 3 2 2 3 6 2" xfId="29529" xr:uid="{00000000-0005-0000-0000-000058730000}"/>
    <cellStyle name="Normal 2 2 2 3 2 2 3 6 2 2" xfId="29530" xr:uid="{00000000-0005-0000-0000-000059730000}"/>
    <cellStyle name="Normal 2 2 2 3 2 2 3 6 3" xfId="29531" xr:uid="{00000000-0005-0000-0000-00005A730000}"/>
    <cellStyle name="Normal 2 2 2 3 2 2 3 7" xfId="29532" xr:uid="{00000000-0005-0000-0000-00005B730000}"/>
    <cellStyle name="Normal 2 2 2 3 2 2 3 7 2" xfId="29533" xr:uid="{00000000-0005-0000-0000-00005C730000}"/>
    <cellStyle name="Normal 2 2 2 3 2 2 3 8" xfId="29534" xr:uid="{00000000-0005-0000-0000-00005D730000}"/>
    <cellStyle name="Normal 2 2 2 3 2 2 4" xfId="29535" xr:uid="{00000000-0005-0000-0000-00005E730000}"/>
    <cellStyle name="Normal 2 2 2 3 2 2 4 2" xfId="29536" xr:uid="{00000000-0005-0000-0000-00005F730000}"/>
    <cellStyle name="Normal 2 2 2 3 2 2 4 2 2" xfId="29537" xr:uid="{00000000-0005-0000-0000-000060730000}"/>
    <cellStyle name="Normal 2 2 2 3 2 2 4 2 2 2" xfId="29538" xr:uid="{00000000-0005-0000-0000-000061730000}"/>
    <cellStyle name="Normal 2 2 2 3 2 2 4 2 2 2 2" xfId="29539" xr:uid="{00000000-0005-0000-0000-000062730000}"/>
    <cellStyle name="Normal 2 2 2 3 2 2 4 2 2 3" xfId="29540" xr:uid="{00000000-0005-0000-0000-000063730000}"/>
    <cellStyle name="Normal 2 2 2 3 2 2 4 2 3" xfId="29541" xr:uid="{00000000-0005-0000-0000-000064730000}"/>
    <cellStyle name="Normal 2 2 2 3 2 2 4 2 3 2" xfId="29542" xr:uid="{00000000-0005-0000-0000-000065730000}"/>
    <cellStyle name="Normal 2 2 2 3 2 2 4 2 4" xfId="29543" xr:uid="{00000000-0005-0000-0000-000066730000}"/>
    <cellStyle name="Normal 2 2 2 3 2 2 4 3" xfId="29544" xr:uid="{00000000-0005-0000-0000-000067730000}"/>
    <cellStyle name="Normal 2 2 2 3 2 2 4 3 2" xfId="29545" xr:uid="{00000000-0005-0000-0000-000068730000}"/>
    <cellStyle name="Normal 2 2 2 3 2 2 4 3 2 2" xfId="29546" xr:uid="{00000000-0005-0000-0000-000069730000}"/>
    <cellStyle name="Normal 2 2 2 3 2 2 4 3 3" xfId="29547" xr:uid="{00000000-0005-0000-0000-00006A730000}"/>
    <cellStyle name="Normal 2 2 2 3 2 2 4 4" xfId="29548" xr:uid="{00000000-0005-0000-0000-00006B730000}"/>
    <cellStyle name="Normal 2 2 2 3 2 2 4 4 2" xfId="29549" xr:uid="{00000000-0005-0000-0000-00006C730000}"/>
    <cellStyle name="Normal 2 2 2 3 2 2 4 4 2 2" xfId="29550" xr:uid="{00000000-0005-0000-0000-00006D730000}"/>
    <cellStyle name="Normal 2 2 2 3 2 2 4 4 3" xfId="29551" xr:uid="{00000000-0005-0000-0000-00006E730000}"/>
    <cellStyle name="Normal 2 2 2 3 2 2 4 5" xfId="29552" xr:uid="{00000000-0005-0000-0000-00006F730000}"/>
    <cellStyle name="Normal 2 2 2 3 2 2 4 5 2" xfId="29553" xr:uid="{00000000-0005-0000-0000-000070730000}"/>
    <cellStyle name="Normal 2 2 2 3 2 2 4 5 2 2" xfId="29554" xr:uid="{00000000-0005-0000-0000-000071730000}"/>
    <cellStyle name="Normal 2 2 2 3 2 2 4 5 3" xfId="29555" xr:uid="{00000000-0005-0000-0000-000072730000}"/>
    <cellStyle name="Normal 2 2 2 3 2 2 4 6" xfId="29556" xr:uid="{00000000-0005-0000-0000-000073730000}"/>
    <cellStyle name="Normal 2 2 2 3 2 2 4 6 2" xfId="29557" xr:uid="{00000000-0005-0000-0000-000074730000}"/>
    <cellStyle name="Normal 2 2 2 3 2 2 4 6 2 2" xfId="29558" xr:uid="{00000000-0005-0000-0000-000075730000}"/>
    <cellStyle name="Normal 2 2 2 3 2 2 4 6 3" xfId="29559" xr:uid="{00000000-0005-0000-0000-000076730000}"/>
    <cellStyle name="Normal 2 2 2 3 2 2 4 7" xfId="29560" xr:uid="{00000000-0005-0000-0000-000077730000}"/>
    <cellStyle name="Normal 2 2 2 3 2 2 4 7 2" xfId="29561" xr:uid="{00000000-0005-0000-0000-000078730000}"/>
    <cellStyle name="Normal 2 2 2 3 2 2 4 8" xfId="29562" xr:uid="{00000000-0005-0000-0000-000079730000}"/>
    <cellStyle name="Normal 2 2 2 3 2 2 5" xfId="29563" xr:uid="{00000000-0005-0000-0000-00007A730000}"/>
    <cellStyle name="Normal 2 2 2 3 2 2 5 2" xfId="29564" xr:uid="{00000000-0005-0000-0000-00007B730000}"/>
    <cellStyle name="Normal 2 2 2 3 2 2 5 2 2" xfId="29565" xr:uid="{00000000-0005-0000-0000-00007C730000}"/>
    <cellStyle name="Normal 2 2 2 3 2 2 5 2 2 2" xfId="29566" xr:uid="{00000000-0005-0000-0000-00007D730000}"/>
    <cellStyle name="Normal 2 2 2 3 2 2 5 2 2 2 2" xfId="29567" xr:uid="{00000000-0005-0000-0000-00007E730000}"/>
    <cellStyle name="Normal 2 2 2 3 2 2 5 2 2 3" xfId="29568" xr:uid="{00000000-0005-0000-0000-00007F730000}"/>
    <cellStyle name="Normal 2 2 2 3 2 2 5 2 3" xfId="29569" xr:uid="{00000000-0005-0000-0000-000080730000}"/>
    <cellStyle name="Normal 2 2 2 3 2 2 5 2 3 2" xfId="29570" xr:uid="{00000000-0005-0000-0000-000081730000}"/>
    <cellStyle name="Normal 2 2 2 3 2 2 5 2 4" xfId="29571" xr:uid="{00000000-0005-0000-0000-000082730000}"/>
    <cellStyle name="Normal 2 2 2 3 2 2 5 3" xfId="29572" xr:uid="{00000000-0005-0000-0000-000083730000}"/>
    <cellStyle name="Normal 2 2 2 3 2 2 5 3 2" xfId="29573" xr:uid="{00000000-0005-0000-0000-000084730000}"/>
    <cellStyle name="Normal 2 2 2 3 2 2 5 3 2 2" xfId="29574" xr:uid="{00000000-0005-0000-0000-000085730000}"/>
    <cellStyle name="Normal 2 2 2 3 2 2 5 3 3" xfId="29575" xr:uid="{00000000-0005-0000-0000-000086730000}"/>
    <cellStyle name="Normal 2 2 2 3 2 2 5 4" xfId="29576" xr:uid="{00000000-0005-0000-0000-000087730000}"/>
    <cellStyle name="Normal 2 2 2 3 2 2 5 4 2" xfId="29577" xr:uid="{00000000-0005-0000-0000-000088730000}"/>
    <cellStyle name="Normal 2 2 2 3 2 2 5 5" xfId="29578" xr:uid="{00000000-0005-0000-0000-000089730000}"/>
    <cellStyle name="Normal 2 2 2 3 2 2 6" xfId="29579" xr:uid="{00000000-0005-0000-0000-00008A730000}"/>
    <cellStyle name="Normal 2 2 2 3 2 2 6 2" xfId="29580" xr:uid="{00000000-0005-0000-0000-00008B730000}"/>
    <cellStyle name="Normal 2 2 2 3 2 2 6 2 2" xfId="29581" xr:uid="{00000000-0005-0000-0000-00008C730000}"/>
    <cellStyle name="Normal 2 2 2 3 2 2 6 2 2 2" xfId="29582" xr:uid="{00000000-0005-0000-0000-00008D730000}"/>
    <cellStyle name="Normal 2 2 2 3 2 2 6 2 2 2 2" xfId="29583" xr:uid="{00000000-0005-0000-0000-00008E730000}"/>
    <cellStyle name="Normal 2 2 2 3 2 2 6 2 2 3" xfId="29584" xr:uid="{00000000-0005-0000-0000-00008F730000}"/>
    <cellStyle name="Normal 2 2 2 3 2 2 6 2 3" xfId="29585" xr:uid="{00000000-0005-0000-0000-000090730000}"/>
    <cellStyle name="Normal 2 2 2 3 2 2 6 2 3 2" xfId="29586" xr:uid="{00000000-0005-0000-0000-000091730000}"/>
    <cellStyle name="Normal 2 2 2 3 2 2 6 2 4" xfId="29587" xr:uid="{00000000-0005-0000-0000-000092730000}"/>
    <cellStyle name="Normal 2 2 2 3 2 2 6 3" xfId="29588" xr:uid="{00000000-0005-0000-0000-000093730000}"/>
    <cellStyle name="Normal 2 2 2 3 2 2 6 3 2" xfId="29589" xr:uid="{00000000-0005-0000-0000-000094730000}"/>
    <cellStyle name="Normal 2 2 2 3 2 2 6 3 2 2" xfId="29590" xr:uid="{00000000-0005-0000-0000-000095730000}"/>
    <cellStyle name="Normal 2 2 2 3 2 2 6 3 3" xfId="29591" xr:uid="{00000000-0005-0000-0000-000096730000}"/>
    <cellStyle name="Normal 2 2 2 3 2 2 6 4" xfId="29592" xr:uid="{00000000-0005-0000-0000-000097730000}"/>
    <cellStyle name="Normal 2 2 2 3 2 2 6 4 2" xfId="29593" xr:uid="{00000000-0005-0000-0000-000098730000}"/>
    <cellStyle name="Normal 2 2 2 3 2 2 6 5" xfId="29594" xr:uid="{00000000-0005-0000-0000-000099730000}"/>
    <cellStyle name="Normal 2 2 2 3 2 2 7" xfId="29595" xr:uid="{00000000-0005-0000-0000-00009A730000}"/>
    <cellStyle name="Normal 2 2 2 3 2 2 7 2" xfId="29596" xr:uid="{00000000-0005-0000-0000-00009B730000}"/>
    <cellStyle name="Normal 2 2 2 3 2 2 7 2 2" xfId="29597" xr:uid="{00000000-0005-0000-0000-00009C730000}"/>
    <cellStyle name="Normal 2 2 2 3 2 2 7 2 2 2" xfId="29598" xr:uid="{00000000-0005-0000-0000-00009D730000}"/>
    <cellStyle name="Normal 2 2 2 3 2 2 7 2 3" xfId="29599" xr:uid="{00000000-0005-0000-0000-00009E730000}"/>
    <cellStyle name="Normal 2 2 2 3 2 2 7 3" xfId="29600" xr:uid="{00000000-0005-0000-0000-00009F730000}"/>
    <cellStyle name="Normal 2 2 2 3 2 2 7 3 2" xfId="29601" xr:uid="{00000000-0005-0000-0000-0000A0730000}"/>
    <cellStyle name="Normal 2 2 2 3 2 2 7 4" xfId="29602" xr:uid="{00000000-0005-0000-0000-0000A1730000}"/>
    <cellStyle name="Normal 2 2 2 3 2 2 8" xfId="29603" xr:uid="{00000000-0005-0000-0000-0000A2730000}"/>
    <cellStyle name="Normal 2 2 2 3 2 2 8 2" xfId="29604" xr:uid="{00000000-0005-0000-0000-0000A3730000}"/>
    <cellStyle name="Normal 2 2 2 3 2 2 8 2 2" xfId="29605" xr:uid="{00000000-0005-0000-0000-0000A4730000}"/>
    <cellStyle name="Normal 2 2 2 3 2 2 8 2 2 2" xfId="29606" xr:uid="{00000000-0005-0000-0000-0000A5730000}"/>
    <cellStyle name="Normal 2 2 2 3 2 2 8 2 3" xfId="29607" xr:uid="{00000000-0005-0000-0000-0000A6730000}"/>
    <cellStyle name="Normal 2 2 2 3 2 2 8 3" xfId="29608" xr:uid="{00000000-0005-0000-0000-0000A7730000}"/>
    <cellStyle name="Normal 2 2 2 3 2 2 8 3 2" xfId="29609" xr:uid="{00000000-0005-0000-0000-0000A8730000}"/>
    <cellStyle name="Normal 2 2 2 3 2 2 8 4" xfId="29610" xr:uid="{00000000-0005-0000-0000-0000A9730000}"/>
    <cellStyle name="Normal 2 2 2 3 2 2 9" xfId="29611" xr:uid="{00000000-0005-0000-0000-0000AA730000}"/>
    <cellStyle name="Normal 2 2 2 3 2 2 9 2" xfId="29612" xr:uid="{00000000-0005-0000-0000-0000AB730000}"/>
    <cellStyle name="Normal 2 2 2 3 2 2 9 2 2" xfId="29613" xr:uid="{00000000-0005-0000-0000-0000AC730000}"/>
    <cellStyle name="Normal 2 2 2 3 2 2 9 3" xfId="29614" xr:uid="{00000000-0005-0000-0000-0000AD730000}"/>
    <cellStyle name="Normal 2 2 2 3 2 20" xfId="29615" xr:uid="{00000000-0005-0000-0000-0000AE730000}"/>
    <cellStyle name="Normal 2 2 2 3 2 3" xfId="29616" xr:uid="{00000000-0005-0000-0000-0000AF730000}"/>
    <cellStyle name="Normal 2 2 2 3 2 3 10" xfId="29617" xr:uid="{00000000-0005-0000-0000-0000B0730000}"/>
    <cellStyle name="Normal 2 2 2 3 2 3 10 2" xfId="29618" xr:uid="{00000000-0005-0000-0000-0000B1730000}"/>
    <cellStyle name="Normal 2 2 2 3 2 3 10 2 2" xfId="29619" xr:uid="{00000000-0005-0000-0000-0000B2730000}"/>
    <cellStyle name="Normal 2 2 2 3 2 3 10 3" xfId="29620" xr:uid="{00000000-0005-0000-0000-0000B3730000}"/>
    <cellStyle name="Normal 2 2 2 3 2 3 11" xfId="29621" xr:uid="{00000000-0005-0000-0000-0000B4730000}"/>
    <cellStyle name="Normal 2 2 2 3 2 3 11 2" xfId="29622" xr:uid="{00000000-0005-0000-0000-0000B5730000}"/>
    <cellStyle name="Normal 2 2 2 3 2 3 11 2 2" xfId="29623" xr:uid="{00000000-0005-0000-0000-0000B6730000}"/>
    <cellStyle name="Normal 2 2 2 3 2 3 11 3" xfId="29624" xr:uid="{00000000-0005-0000-0000-0000B7730000}"/>
    <cellStyle name="Normal 2 2 2 3 2 3 12" xfId="29625" xr:uid="{00000000-0005-0000-0000-0000B8730000}"/>
    <cellStyle name="Normal 2 2 2 3 2 3 12 2" xfId="29626" xr:uid="{00000000-0005-0000-0000-0000B9730000}"/>
    <cellStyle name="Normal 2 2 2 3 2 3 12 2 2" xfId="29627" xr:uid="{00000000-0005-0000-0000-0000BA730000}"/>
    <cellStyle name="Normal 2 2 2 3 2 3 12 3" xfId="29628" xr:uid="{00000000-0005-0000-0000-0000BB730000}"/>
    <cellStyle name="Normal 2 2 2 3 2 3 13" xfId="29629" xr:uid="{00000000-0005-0000-0000-0000BC730000}"/>
    <cellStyle name="Normal 2 2 2 3 2 3 13 2" xfId="29630" xr:uid="{00000000-0005-0000-0000-0000BD730000}"/>
    <cellStyle name="Normal 2 2 2 3 2 3 14" xfId="29631" xr:uid="{00000000-0005-0000-0000-0000BE730000}"/>
    <cellStyle name="Normal 2 2 2 3 2 3 2" xfId="29632" xr:uid="{00000000-0005-0000-0000-0000BF730000}"/>
    <cellStyle name="Normal 2 2 2 3 2 3 2 2" xfId="29633" xr:uid="{00000000-0005-0000-0000-0000C0730000}"/>
    <cellStyle name="Normal 2 2 2 3 2 3 2 2 2" xfId="29634" xr:uid="{00000000-0005-0000-0000-0000C1730000}"/>
    <cellStyle name="Normal 2 2 2 3 2 3 2 2 2 2" xfId="29635" xr:uid="{00000000-0005-0000-0000-0000C2730000}"/>
    <cellStyle name="Normal 2 2 2 3 2 3 2 2 2 2 2" xfId="29636" xr:uid="{00000000-0005-0000-0000-0000C3730000}"/>
    <cellStyle name="Normal 2 2 2 3 2 3 2 2 2 3" xfId="29637" xr:uid="{00000000-0005-0000-0000-0000C4730000}"/>
    <cellStyle name="Normal 2 2 2 3 2 3 2 2 3" xfId="29638" xr:uid="{00000000-0005-0000-0000-0000C5730000}"/>
    <cellStyle name="Normal 2 2 2 3 2 3 2 2 3 2" xfId="29639" xr:uid="{00000000-0005-0000-0000-0000C6730000}"/>
    <cellStyle name="Normal 2 2 2 3 2 3 2 2 4" xfId="29640" xr:uid="{00000000-0005-0000-0000-0000C7730000}"/>
    <cellStyle name="Normal 2 2 2 3 2 3 2 3" xfId="29641" xr:uid="{00000000-0005-0000-0000-0000C8730000}"/>
    <cellStyle name="Normal 2 2 2 3 2 3 2 3 2" xfId="29642" xr:uid="{00000000-0005-0000-0000-0000C9730000}"/>
    <cellStyle name="Normal 2 2 2 3 2 3 2 3 2 2" xfId="29643" xr:uid="{00000000-0005-0000-0000-0000CA730000}"/>
    <cellStyle name="Normal 2 2 2 3 2 3 2 3 3" xfId="29644" xr:uid="{00000000-0005-0000-0000-0000CB730000}"/>
    <cellStyle name="Normal 2 2 2 3 2 3 2 4" xfId="29645" xr:uid="{00000000-0005-0000-0000-0000CC730000}"/>
    <cellStyle name="Normal 2 2 2 3 2 3 2 4 2" xfId="29646" xr:uid="{00000000-0005-0000-0000-0000CD730000}"/>
    <cellStyle name="Normal 2 2 2 3 2 3 2 4 2 2" xfId="29647" xr:uid="{00000000-0005-0000-0000-0000CE730000}"/>
    <cellStyle name="Normal 2 2 2 3 2 3 2 4 3" xfId="29648" xr:uid="{00000000-0005-0000-0000-0000CF730000}"/>
    <cellStyle name="Normal 2 2 2 3 2 3 2 5" xfId="29649" xr:uid="{00000000-0005-0000-0000-0000D0730000}"/>
    <cellStyle name="Normal 2 2 2 3 2 3 2 5 2" xfId="29650" xr:uid="{00000000-0005-0000-0000-0000D1730000}"/>
    <cellStyle name="Normal 2 2 2 3 2 3 2 5 2 2" xfId="29651" xr:uid="{00000000-0005-0000-0000-0000D2730000}"/>
    <cellStyle name="Normal 2 2 2 3 2 3 2 5 3" xfId="29652" xr:uid="{00000000-0005-0000-0000-0000D3730000}"/>
    <cellStyle name="Normal 2 2 2 3 2 3 2 6" xfId="29653" xr:uid="{00000000-0005-0000-0000-0000D4730000}"/>
    <cellStyle name="Normal 2 2 2 3 2 3 2 6 2" xfId="29654" xr:uid="{00000000-0005-0000-0000-0000D5730000}"/>
    <cellStyle name="Normal 2 2 2 3 2 3 2 6 2 2" xfId="29655" xr:uid="{00000000-0005-0000-0000-0000D6730000}"/>
    <cellStyle name="Normal 2 2 2 3 2 3 2 6 3" xfId="29656" xr:uid="{00000000-0005-0000-0000-0000D7730000}"/>
    <cellStyle name="Normal 2 2 2 3 2 3 2 7" xfId="29657" xr:uid="{00000000-0005-0000-0000-0000D8730000}"/>
    <cellStyle name="Normal 2 2 2 3 2 3 2 7 2" xfId="29658" xr:uid="{00000000-0005-0000-0000-0000D9730000}"/>
    <cellStyle name="Normal 2 2 2 3 2 3 2 8" xfId="29659" xr:uid="{00000000-0005-0000-0000-0000DA730000}"/>
    <cellStyle name="Normal 2 2 2 3 2 3 3" xfId="29660" xr:uid="{00000000-0005-0000-0000-0000DB730000}"/>
    <cellStyle name="Normal 2 2 2 3 2 3 3 2" xfId="29661" xr:uid="{00000000-0005-0000-0000-0000DC730000}"/>
    <cellStyle name="Normal 2 2 2 3 2 3 3 2 2" xfId="29662" xr:uid="{00000000-0005-0000-0000-0000DD730000}"/>
    <cellStyle name="Normal 2 2 2 3 2 3 3 2 2 2" xfId="29663" xr:uid="{00000000-0005-0000-0000-0000DE730000}"/>
    <cellStyle name="Normal 2 2 2 3 2 3 3 2 2 2 2" xfId="29664" xr:uid="{00000000-0005-0000-0000-0000DF730000}"/>
    <cellStyle name="Normal 2 2 2 3 2 3 3 2 2 3" xfId="29665" xr:uid="{00000000-0005-0000-0000-0000E0730000}"/>
    <cellStyle name="Normal 2 2 2 3 2 3 3 2 3" xfId="29666" xr:uid="{00000000-0005-0000-0000-0000E1730000}"/>
    <cellStyle name="Normal 2 2 2 3 2 3 3 2 3 2" xfId="29667" xr:uid="{00000000-0005-0000-0000-0000E2730000}"/>
    <cellStyle name="Normal 2 2 2 3 2 3 3 2 4" xfId="29668" xr:uid="{00000000-0005-0000-0000-0000E3730000}"/>
    <cellStyle name="Normal 2 2 2 3 2 3 3 3" xfId="29669" xr:uid="{00000000-0005-0000-0000-0000E4730000}"/>
    <cellStyle name="Normal 2 2 2 3 2 3 3 3 2" xfId="29670" xr:uid="{00000000-0005-0000-0000-0000E5730000}"/>
    <cellStyle name="Normal 2 2 2 3 2 3 3 3 2 2" xfId="29671" xr:uid="{00000000-0005-0000-0000-0000E6730000}"/>
    <cellStyle name="Normal 2 2 2 3 2 3 3 3 3" xfId="29672" xr:uid="{00000000-0005-0000-0000-0000E7730000}"/>
    <cellStyle name="Normal 2 2 2 3 2 3 3 4" xfId="29673" xr:uid="{00000000-0005-0000-0000-0000E8730000}"/>
    <cellStyle name="Normal 2 2 2 3 2 3 3 4 2" xfId="29674" xr:uid="{00000000-0005-0000-0000-0000E9730000}"/>
    <cellStyle name="Normal 2 2 2 3 2 3 3 4 2 2" xfId="29675" xr:uid="{00000000-0005-0000-0000-0000EA730000}"/>
    <cellStyle name="Normal 2 2 2 3 2 3 3 4 3" xfId="29676" xr:uid="{00000000-0005-0000-0000-0000EB730000}"/>
    <cellStyle name="Normal 2 2 2 3 2 3 3 5" xfId="29677" xr:uid="{00000000-0005-0000-0000-0000EC730000}"/>
    <cellStyle name="Normal 2 2 2 3 2 3 3 5 2" xfId="29678" xr:uid="{00000000-0005-0000-0000-0000ED730000}"/>
    <cellStyle name="Normal 2 2 2 3 2 3 3 5 2 2" xfId="29679" xr:uid="{00000000-0005-0000-0000-0000EE730000}"/>
    <cellStyle name="Normal 2 2 2 3 2 3 3 5 3" xfId="29680" xr:uid="{00000000-0005-0000-0000-0000EF730000}"/>
    <cellStyle name="Normal 2 2 2 3 2 3 3 6" xfId="29681" xr:uid="{00000000-0005-0000-0000-0000F0730000}"/>
    <cellStyle name="Normal 2 2 2 3 2 3 3 6 2" xfId="29682" xr:uid="{00000000-0005-0000-0000-0000F1730000}"/>
    <cellStyle name="Normal 2 2 2 3 2 3 3 6 2 2" xfId="29683" xr:uid="{00000000-0005-0000-0000-0000F2730000}"/>
    <cellStyle name="Normal 2 2 2 3 2 3 3 6 3" xfId="29684" xr:uid="{00000000-0005-0000-0000-0000F3730000}"/>
    <cellStyle name="Normal 2 2 2 3 2 3 3 7" xfId="29685" xr:uid="{00000000-0005-0000-0000-0000F4730000}"/>
    <cellStyle name="Normal 2 2 2 3 2 3 3 7 2" xfId="29686" xr:uid="{00000000-0005-0000-0000-0000F5730000}"/>
    <cellStyle name="Normal 2 2 2 3 2 3 3 8" xfId="29687" xr:uid="{00000000-0005-0000-0000-0000F6730000}"/>
    <cellStyle name="Normal 2 2 2 3 2 3 4" xfId="29688" xr:uid="{00000000-0005-0000-0000-0000F7730000}"/>
    <cellStyle name="Normal 2 2 2 3 2 3 4 2" xfId="29689" xr:uid="{00000000-0005-0000-0000-0000F8730000}"/>
    <cellStyle name="Normal 2 2 2 3 2 3 4 2 2" xfId="29690" xr:uid="{00000000-0005-0000-0000-0000F9730000}"/>
    <cellStyle name="Normal 2 2 2 3 2 3 4 2 2 2" xfId="29691" xr:uid="{00000000-0005-0000-0000-0000FA730000}"/>
    <cellStyle name="Normal 2 2 2 3 2 3 4 2 2 2 2" xfId="29692" xr:uid="{00000000-0005-0000-0000-0000FB730000}"/>
    <cellStyle name="Normal 2 2 2 3 2 3 4 2 2 3" xfId="29693" xr:uid="{00000000-0005-0000-0000-0000FC730000}"/>
    <cellStyle name="Normal 2 2 2 3 2 3 4 2 3" xfId="29694" xr:uid="{00000000-0005-0000-0000-0000FD730000}"/>
    <cellStyle name="Normal 2 2 2 3 2 3 4 2 3 2" xfId="29695" xr:uid="{00000000-0005-0000-0000-0000FE730000}"/>
    <cellStyle name="Normal 2 2 2 3 2 3 4 2 4" xfId="29696" xr:uid="{00000000-0005-0000-0000-0000FF730000}"/>
    <cellStyle name="Normal 2 2 2 3 2 3 4 3" xfId="29697" xr:uid="{00000000-0005-0000-0000-000000740000}"/>
    <cellStyle name="Normal 2 2 2 3 2 3 4 3 2" xfId="29698" xr:uid="{00000000-0005-0000-0000-000001740000}"/>
    <cellStyle name="Normal 2 2 2 3 2 3 4 3 2 2" xfId="29699" xr:uid="{00000000-0005-0000-0000-000002740000}"/>
    <cellStyle name="Normal 2 2 2 3 2 3 4 3 3" xfId="29700" xr:uid="{00000000-0005-0000-0000-000003740000}"/>
    <cellStyle name="Normal 2 2 2 3 2 3 4 4" xfId="29701" xr:uid="{00000000-0005-0000-0000-000004740000}"/>
    <cellStyle name="Normal 2 2 2 3 2 3 4 4 2" xfId="29702" xr:uid="{00000000-0005-0000-0000-000005740000}"/>
    <cellStyle name="Normal 2 2 2 3 2 3 4 4 2 2" xfId="29703" xr:uid="{00000000-0005-0000-0000-000006740000}"/>
    <cellStyle name="Normal 2 2 2 3 2 3 4 4 3" xfId="29704" xr:uid="{00000000-0005-0000-0000-000007740000}"/>
    <cellStyle name="Normal 2 2 2 3 2 3 4 5" xfId="29705" xr:uid="{00000000-0005-0000-0000-000008740000}"/>
    <cellStyle name="Normal 2 2 2 3 2 3 4 5 2" xfId="29706" xr:uid="{00000000-0005-0000-0000-000009740000}"/>
    <cellStyle name="Normal 2 2 2 3 2 3 4 5 2 2" xfId="29707" xr:uid="{00000000-0005-0000-0000-00000A740000}"/>
    <cellStyle name="Normal 2 2 2 3 2 3 4 5 3" xfId="29708" xr:uid="{00000000-0005-0000-0000-00000B740000}"/>
    <cellStyle name="Normal 2 2 2 3 2 3 4 6" xfId="29709" xr:uid="{00000000-0005-0000-0000-00000C740000}"/>
    <cellStyle name="Normal 2 2 2 3 2 3 4 6 2" xfId="29710" xr:uid="{00000000-0005-0000-0000-00000D740000}"/>
    <cellStyle name="Normal 2 2 2 3 2 3 4 6 2 2" xfId="29711" xr:uid="{00000000-0005-0000-0000-00000E740000}"/>
    <cellStyle name="Normal 2 2 2 3 2 3 4 6 3" xfId="29712" xr:uid="{00000000-0005-0000-0000-00000F740000}"/>
    <cellStyle name="Normal 2 2 2 3 2 3 4 7" xfId="29713" xr:uid="{00000000-0005-0000-0000-000010740000}"/>
    <cellStyle name="Normal 2 2 2 3 2 3 4 7 2" xfId="29714" xr:uid="{00000000-0005-0000-0000-000011740000}"/>
    <cellStyle name="Normal 2 2 2 3 2 3 4 8" xfId="29715" xr:uid="{00000000-0005-0000-0000-000012740000}"/>
    <cellStyle name="Normal 2 2 2 3 2 3 5" xfId="29716" xr:uid="{00000000-0005-0000-0000-000013740000}"/>
    <cellStyle name="Normal 2 2 2 3 2 3 5 2" xfId="29717" xr:uid="{00000000-0005-0000-0000-000014740000}"/>
    <cellStyle name="Normal 2 2 2 3 2 3 5 2 2" xfId="29718" xr:uid="{00000000-0005-0000-0000-000015740000}"/>
    <cellStyle name="Normal 2 2 2 3 2 3 5 2 2 2" xfId="29719" xr:uid="{00000000-0005-0000-0000-000016740000}"/>
    <cellStyle name="Normal 2 2 2 3 2 3 5 2 2 2 2" xfId="29720" xr:uid="{00000000-0005-0000-0000-000017740000}"/>
    <cellStyle name="Normal 2 2 2 3 2 3 5 2 2 3" xfId="29721" xr:uid="{00000000-0005-0000-0000-000018740000}"/>
    <cellStyle name="Normal 2 2 2 3 2 3 5 2 3" xfId="29722" xr:uid="{00000000-0005-0000-0000-000019740000}"/>
    <cellStyle name="Normal 2 2 2 3 2 3 5 2 3 2" xfId="29723" xr:uid="{00000000-0005-0000-0000-00001A740000}"/>
    <cellStyle name="Normal 2 2 2 3 2 3 5 2 4" xfId="29724" xr:uid="{00000000-0005-0000-0000-00001B740000}"/>
    <cellStyle name="Normal 2 2 2 3 2 3 5 3" xfId="29725" xr:uid="{00000000-0005-0000-0000-00001C740000}"/>
    <cellStyle name="Normal 2 2 2 3 2 3 5 3 2" xfId="29726" xr:uid="{00000000-0005-0000-0000-00001D740000}"/>
    <cellStyle name="Normal 2 2 2 3 2 3 5 3 2 2" xfId="29727" xr:uid="{00000000-0005-0000-0000-00001E740000}"/>
    <cellStyle name="Normal 2 2 2 3 2 3 5 3 3" xfId="29728" xr:uid="{00000000-0005-0000-0000-00001F740000}"/>
    <cellStyle name="Normal 2 2 2 3 2 3 5 4" xfId="29729" xr:uid="{00000000-0005-0000-0000-000020740000}"/>
    <cellStyle name="Normal 2 2 2 3 2 3 5 4 2" xfId="29730" xr:uid="{00000000-0005-0000-0000-000021740000}"/>
    <cellStyle name="Normal 2 2 2 3 2 3 5 5" xfId="29731" xr:uid="{00000000-0005-0000-0000-000022740000}"/>
    <cellStyle name="Normal 2 2 2 3 2 3 6" xfId="29732" xr:uid="{00000000-0005-0000-0000-000023740000}"/>
    <cellStyle name="Normal 2 2 2 3 2 3 6 2" xfId="29733" xr:uid="{00000000-0005-0000-0000-000024740000}"/>
    <cellStyle name="Normal 2 2 2 3 2 3 6 2 2" xfId="29734" xr:uid="{00000000-0005-0000-0000-000025740000}"/>
    <cellStyle name="Normal 2 2 2 3 2 3 6 2 2 2" xfId="29735" xr:uid="{00000000-0005-0000-0000-000026740000}"/>
    <cellStyle name="Normal 2 2 2 3 2 3 6 2 2 2 2" xfId="29736" xr:uid="{00000000-0005-0000-0000-000027740000}"/>
    <cellStyle name="Normal 2 2 2 3 2 3 6 2 2 3" xfId="29737" xr:uid="{00000000-0005-0000-0000-000028740000}"/>
    <cellStyle name="Normal 2 2 2 3 2 3 6 2 3" xfId="29738" xr:uid="{00000000-0005-0000-0000-000029740000}"/>
    <cellStyle name="Normal 2 2 2 3 2 3 6 2 3 2" xfId="29739" xr:uid="{00000000-0005-0000-0000-00002A740000}"/>
    <cellStyle name="Normal 2 2 2 3 2 3 6 2 4" xfId="29740" xr:uid="{00000000-0005-0000-0000-00002B740000}"/>
    <cellStyle name="Normal 2 2 2 3 2 3 6 3" xfId="29741" xr:uid="{00000000-0005-0000-0000-00002C740000}"/>
    <cellStyle name="Normal 2 2 2 3 2 3 6 3 2" xfId="29742" xr:uid="{00000000-0005-0000-0000-00002D740000}"/>
    <cellStyle name="Normal 2 2 2 3 2 3 6 3 2 2" xfId="29743" xr:uid="{00000000-0005-0000-0000-00002E740000}"/>
    <cellStyle name="Normal 2 2 2 3 2 3 6 3 3" xfId="29744" xr:uid="{00000000-0005-0000-0000-00002F740000}"/>
    <cellStyle name="Normal 2 2 2 3 2 3 6 4" xfId="29745" xr:uid="{00000000-0005-0000-0000-000030740000}"/>
    <cellStyle name="Normal 2 2 2 3 2 3 6 4 2" xfId="29746" xr:uid="{00000000-0005-0000-0000-000031740000}"/>
    <cellStyle name="Normal 2 2 2 3 2 3 6 5" xfId="29747" xr:uid="{00000000-0005-0000-0000-000032740000}"/>
    <cellStyle name="Normal 2 2 2 3 2 3 7" xfId="29748" xr:uid="{00000000-0005-0000-0000-000033740000}"/>
    <cellStyle name="Normal 2 2 2 3 2 3 7 2" xfId="29749" xr:uid="{00000000-0005-0000-0000-000034740000}"/>
    <cellStyle name="Normal 2 2 2 3 2 3 7 2 2" xfId="29750" xr:uid="{00000000-0005-0000-0000-000035740000}"/>
    <cellStyle name="Normal 2 2 2 3 2 3 7 2 2 2" xfId="29751" xr:uid="{00000000-0005-0000-0000-000036740000}"/>
    <cellStyle name="Normal 2 2 2 3 2 3 7 2 3" xfId="29752" xr:uid="{00000000-0005-0000-0000-000037740000}"/>
    <cellStyle name="Normal 2 2 2 3 2 3 7 3" xfId="29753" xr:uid="{00000000-0005-0000-0000-000038740000}"/>
    <cellStyle name="Normal 2 2 2 3 2 3 7 3 2" xfId="29754" xr:uid="{00000000-0005-0000-0000-000039740000}"/>
    <cellStyle name="Normal 2 2 2 3 2 3 7 4" xfId="29755" xr:uid="{00000000-0005-0000-0000-00003A740000}"/>
    <cellStyle name="Normal 2 2 2 3 2 3 8" xfId="29756" xr:uid="{00000000-0005-0000-0000-00003B740000}"/>
    <cellStyle name="Normal 2 2 2 3 2 3 8 2" xfId="29757" xr:uid="{00000000-0005-0000-0000-00003C740000}"/>
    <cellStyle name="Normal 2 2 2 3 2 3 8 2 2" xfId="29758" xr:uid="{00000000-0005-0000-0000-00003D740000}"/>
    <cellStyle name="Normal 2 2 2 3 2 3 8 2 2 2" xfId="29759" xr:uid="{00000000-0005-0000-0000-00003E740000}"/>
    <cellStyle name="Normal 2 2 2 3 2 3 8 2 3" xfId="29760" xr:uid="{00000000-0005-0000-0000-00003F740000}"/>
    <cellStyle name="Normal 2 2 2 3 2 3 8 3" xfId="29761" xr:uid="{00000000-0005-0000-0000-000040740000}"/>
    <cellStyle name="Normal 2 2 2 3 2 3 8 3 2" xfId="29762" xr:uid="{00000000-0005-0000-0000-000041740000}"/>
    <cellStyle name="Normal 2 2 2 3 2 3 8 4" xfId="29763" xr:uid="{00000000-0005-0000-0000-000042740000}"/>
    <cellStyle name="Normal 2 2 2 3 2 3 9" xfId="29764" xr:uid="{00000000-0005-0000-0000-000043740000}"/>
    <cellStyle name="Normal 2 2 2 3 2 3 9 2" xfId="29765" xr:uid="{00000000-0005-0000-0000-000044740000}"/>
    <cellStyle name="Normal 2 2 2 3 2 3 9 2 2" xfId="29766" xr:uid="{00000000-0005-0000-0000-000045740000}"/>
    <cellStyle name="Normal 2 2 2 3 2 3 9 3" xfId="29767" xr:uid="{00000000-0005-0000-0000-000046740000}"/>
    <cellStyle name="Normal 2 2 2 3 2 4" xfId="29768" xr:uid="{00000000-0005-0000-0000-000047740000}"/>
    <cellStyle name="Normal 2 2 2 3 2 4 10" xfId="29769" xr:uid="{00000000-0005-0000-0000-000048740000}"/>
    <cellStyle name="Normal 2 2 2 3 2 4 10 2" xfId="29770" xr:uid="{00000000-0005-0000-0000-000049740000}"/>
    <cellStyle name="Normal 2 2 2 3 2 4 10 2 2" xfId="29771" xr:uid="{00000000-0005-0000-0000-00004A740000}"/>
    <cellStyle name="Normal 2 2 2 3 2 4 10 3" xfId="29772" xr:uid="{00000000-0005-0000-0000-00004B740000}"/>
    <cellStyle name="Normal 2 2 2 3 2 4 11" xfId="29773" xr:uid="{00000000-0005-0000-0000-00004C740000}"/>
    <cellStyle name="Normal 2 2 2 3 2 4 11 2" xfId="29774" xr:uid="{00000000-0005-0000-0000-00004D740000}"/>
    <cellStyle name="Normal 2 2 2 3 2 4 11 2 2" xfId="29775" xr:uid="{00000000-0005-0000-0000-00004E740000}"/>
    <cellStyle name="Normal 2 2 2 3 2 4 11 3" xfId="29776" xr:uid="{00000000-0005-0000-0000-00004F740000}"/>
    <cellStyle name="Normal 2 2 2 3 2 4 12" xfId="29777" xr:uid="{00000000-0005-0000-0000-000050740000}"/>
    <cellStyle name="Normal 2 2 2 3 2 4 12 2" xfId="29778" xr:uid="{00000000-0005-0000-0000-000051740000}"/>
    <cellStyle name="Normal 2 2 2 3 2 4 12 2 2" xfId="29779" xr:uid="{00000000-0005-0000-0000-000052740000}"/>
    <cellStyle name="Normal 2 2 2 3 2 4 12 3" xfId="29780" xr:uid="{00000000-0005-0000-0000-000053740000}"/>
    <cellStyle name="Normal 2 2 2 3 2 4 13" xfId="29781" xr:uid="{00000000-0005-0000-0000-000054740000}"/>
    <cellStyle name="Normal 2 2 2 3 2 4 13 2" xfId="29782" xr:uid="{00000000-0005-0000-0000-000055740000}"/>
    <cellStyle name="Normal 2 2 2 3 2 4 14" xfId="29783" xr:uid="{00000000-0005-0000-0000-000056740000}"/>
    <cellStyle name="Normal 2 2 2 3 2 4 2" xfId="29784" xr:uid="{00000000-0005-0000-0000-000057740000}"/>
    <cellStyle name="Normal 2 2 2 3 2 4 2 2" xfId="29785" xr:uid="{00000000-0005-0000-0000-000058740000}"/>
    <cellStyle name="Normal 2 2 2 3 2 4 2 2 2" xfId="29786" xr:uid="{00000000-0005-0000-0000-000059740000}"/>
    <cellStyle name="Normal 2 2 2 3 2 4 2 2 2 2" xfId="29787" xr:uid="{00000000-0005-0000-0000-00005A740000}"/>
    <cellStyle name="Normal 2 2 2 3 2 4 2 2 2 2 2" xfId="29788" xr:uid="{00000000-0005-0000-0000-00005B740000}"/>
    <cellStyle name="Normal 2 2 2 3 2 4 2 2 2 3" xfId="29789" xr:uid="{00000000-0005-0000-0000-00005C740000}"/>
    <cellStyle name="Normal 2 2 2 3 2 4 2 2 3" xfId="29790" xr:uid="{00000000-0005-0000-0000-00005D740000}"/>
    <cellStyle name="Normal 2 2 2 3 2 4 2 2 3 2" xfId="29791" xr:uid="{00000000-0005-0000-0000-00005E740000}"/>
    <cellStyle name="Normal 2 2 2 3 2 4 2 2 4" xfId="29792" xr:uid="{00000000-0005-0000-0000-00005F740000}"/>
    <cellStyle name="Normal 2 2 2 3 2 4 2 3" xfId="29793" xr:uid="{00000000-0005-0000-0000-000060740000}"/>
    <cellStyle name="Normal 2 2 2 3 2 4 2 3 2" xfId="29794" xr:uid="{00000000-0005-0000-0000-000061740000}"/>
    <cellStyle name="Normal 2 2 2 3 2 4 2 3 2 2" xfId="29795" xr:uid="{00000000-0005-0000-0000-000062740000}"/>
    <cellStyle name="Normal 2 2 2 3 2 4 2 3 3" xfId="29796" xr:uid="{00000000-0005-0000-0000-000063740000}"/>
    <cellStyle name="Normal 2 2 2 3 2 4 2 4" xfId="29797" xr:uid="{00000000-0005-0000-0000-000064740000}"/>
    <cellStyle name="Normal 2 2 2 3 2 4 2 4 2" xfId="29798" xr:uid="{00000000-0005-0000-0000-000065740000}"/>
    <cellStyle name="Normal 2 2 2 3 2 4 2 4 2 2" xfId="29799" xr:uid="{00000000-0005-0000-0000-000066740000}"/>
    <cellStyle name="Normal 2 2 2 3 2 4 2 4 3" xfId="29800" xr:uid="{00000000-0005-0000-0000-000067740000}"/>
    <cellStyle name="Normal 2 2 2 3 2 4 2 5" xfId="29801" xr:uid="{00000000-0005-0000-0000-000068740000}"/>
    <cellStyle name="Normal 2 2 2 3 2 4 2 5 2" xfId="29802" xr:uid="{00000000-0005-0000-0000-000069740000}"/>
    <cellStyle name="Normal 2 2 2 3 2 4 2 5 2 2" xfId="29803" xr:uid="{00000000-0005-0000-0000-00006A740000}"/>
    <cellStyle name="Normal 2 2 2 3 2 4 2 5 3" xfId="29804" xr:uid="{00000000-0005-0000-0000-00006B740000}"/>
    <cellStyle name="Normal 2 2 2 3 2 4 2 6" xfId="29805" xr:uid="{00000000-0005-0000-0000-00006C740000}"/>
    <cellStyle name="Normal 2 2 2 3 2 4 2 6 2" xfId="29806" xr:uid="{00000000-0005-0000-0000-00006D740000}"/>
    <cellStyle name="Normal 2 2 2 3 2 4 2 6 2 2" xfId="29807" xr:uid="{00000000-0005-0000-0000-00006E740000}"/>
    <cellStyle name="Normal 2 2 2 3 2 4 2 6 3" xfId="29808" xr:uid="{00000000-0005-0000-0000-00006F740000}"/>
    <cellStyle name="Normal 2 2 2 3 2 4 2 7" xfId="29809" xr:uid="{00000000-0005-0000-0000-000070740000}"/>
    <cellStyle name="Normal 2 2 2 3 2 4 2 7 2" xfId="29810" xr:uid="{00000000-0005-0000-0000-000071740000}"/>
    <cellStyle name="Normal 2 2 2 3 2 4 2 8" xfId="29811" xr:uid="{00000000-0005-0000-0000-000072740000}"/>
    <cellStyle name="Normal 2 2 2 3 2 4 3" xfId="29812" xr:uid="{00000000-0005-0000-0000-000073740000}"/>
    <cellStyle name="Normal 2 2 2 3 2 4 3 2" xfId="29813" xr:uid="{00000000-0005-0000-0000-000074740000}"/>
    <cellStyle name="Normal 2 2 2 3 2 4 3 2 2" xfId="29814" xr:uid="{00000000-0005-0000-0000-000075740000}"/>
    <cellStyle name="Normal 2 2 2 3 2 4 3 2 2 2" xfId="29815" xr:uid="{00000000-0005-0000-0000-000076740000}"/>
    <cellStyle name="Normal 2 2 2 3 2 4 3 2 2 2 2" xfId="29816" xr:uid="{00000000-0005-0000-0000-000077740000}"/>
    <cellStyle name="Normal 2 2 2 3 2 4 3 2 2 3" xfId="29817" xr:uid="{00000000-0005-0000-0000-000078740000}"/>
    <cellStyle name="Normal 2 2 2 3 2 4 3 2 3" xfId="29818" xr:uid="{00000000-0005-0000-0000-000079740000}"/>
    <cellStyle name="Normal 2 2 2 3 2 4 3 2 3 2" xfId="29819" xr:uid="{00000000-0005-0000-0000-00007A740000}"/>
    <cellStyle name="Normal 2 2 2 3 2 4 3 2 4" xfId="29820" xr:uid="{00000000-0005-0000-0000-00007B740000}"/>
    <cellStyle name="Normal 2 2 2 3 2 4 3 3" xfId="29821" xr:uid="{00000000-0005-0000-0000-00007C740000}"/>
    <cellStyle name="Normal 2 2 2 3 2 4 3 3 2" xfId="29822" xr:uid="{00000000-0005-0000-0000-00007D740000}"/>
    <cellStyle name="Normal 2 2 2 3 2 4 3 3 2 2" xfId="29823" xr:uid="{00000000-0005-0000-0000-00007E740000}"/>
    <cellStyle name="Normal 2 2 2 3 2 4 3 3 3" xfId="29824" xr:uid="{00000000-0005-0000-0000-00007F740000}"/>
    <cellStyle name="Normal 2 2 2 3 2 4 3 4" xfId="29825" xr:uid="{00000000-0005-0000-0000-000080740000}"/>
    <cellStyle name="Normal 2 2 2 3 2 4 3 4 2" xfId="29826" xr:uid="{00000000-0005-0000-0000-000081740000}"/>
    <cellStyle name="Normal 2 2 2 3 2 4 3 4 2 2" xfId="29827" xr:uid="{00000000-0005-0000-0000-000082740000}"/>
    <cellStyle name="Normal 2 2 2 3 2 4 3 4 3" xfId="29828" xr:uid="{00000000-0005-0000-0000-000083740000}"/>
    <cellStyle name="Normal 2 2 2 3 2 4 3 5" xfId="29829" xr:uid="{00000000-0005-0000-0000-000084740000}"/>
    <cellStyle name="Normal 2 2 2 3 2 4 3 5 2" xfId="29830" xr:uid="{00000000-0005-0000-0000-000085740000}"/>
    <cellStyle name="Normal 2 2 2 3 2 4 3 5 2 2" xfId="29831" xr:uid="{00000000-0005-0000-0000-000086740000}"/>
    <cellStyle name="Normal 2 2 2 3 2 4 3 5 3" xfId="29832" xr:uid="{00000000-0005-0000-0000-000087740000}"/>
    <cellStyle name="Normal 2 2 2 3 2 4 3 6" xfId="29833" xr:uid="{00000000-0005-0000-0000-000088740000}"/>
    <cellStyle name="Normal 2 2 2 3 2 4 3 6 2" xfId="29834" xr:uid="{00000000-0005-0000-0000-000089740000}"/>
    <cellStyle name="Normal 2 2 2 3 2 4 3 6 2 2" xfId="29835" xr:uid="{00000000-0005-0000-0000-00008A740000}"/>
    <cellStyle name="Normal 2 2 2 3 2 4 3 6 3" xfId="29836" xr:uid="{00000000-0005-0000-0000-00008B740000}"/>
    <cellStyle name="Normal 2 2 2 3 2 4 3 7" xfId="29837" xr:uid="{00000000-0005-0000-0000-00008C740000}"/>
    <cellStyle name="Normal 2 2 2 3 2 4 3 7 2" xfId="29838" xr:uid="{00000000-0005-0000-0000-00008D740000}"/>
    <cellStyle name="Normal 2 2 2 3 2 4 3 8" xfId="29839" xr:uid="{00000000-0005-0000-0000-00008E740000}"/>
    <cellStyle name="Normal 2 2 2 3 2 4 4" xfId="29840" xr:uid="{00000000-0005-0000-0000-00008F740000}"/>
    <cellStyle name="Normal 2 2 2 3 2 4 4 2" xfId="29841" xr:uid="{00000000-0005-0000-0000-000090740000}"/>
    <cellStyle name="Normal 2 2 2 3 2 4 4 2 2" xfId="29842" xr:uid="{00000000-0005-0000-0000-000091740000}"/>
    <cellStyle name="Normal 2 2 2 3 2 4 4 2 2 2" xfId="29843" xr:uid="{00000000-0005-0000-0000-000092740000}"/>
    <cellStyle name="Normal 2 2 2 3 2 4 4 2 2 2 2" xfId="29844" xr:uid="{00000000-0005-0000-0000-000093740000}"/>
    <cellStyle name="Normal 2 2 2 3 2 4 4 2 2 3" xfId="29845" xr:uid="{00000000-0005-0000-0000-000094740000}"/>
    <cellStyle name="Normal 2 2 2 3 2 4 4 2 3" xfId="29846" xr:uid="{00000000-0005-0000-0000-000095740000}"/>
    <cellStyle name="Normal 2 2 2 3 2 4 4 2 3 2" xfId="29847" xr:uid="{00000000-0005-0000-0000-000096740000}"/>
    <cellStyle name="Normal 2 2 2 3 2 4 4 2 4" xfId="29848" xr:uid="{00000000-0005-0000-0000-000097740000}"/>
    <cellStyle name="Normal 2 2 2 3 2 4 4 3" xfId="29849" xr:uid="{00000000-0005-0000-0000-000098740000}"/>
    <cellStyle name="Normal 2 2 2 3 2 4 4 3 2" xfId="29850" xr:uid="{00000000-0005-0000-0000-000099740000}"/>
    <cellStyle name="Normal 2 2 2 3 2 4 4 3 2 2" xfId="29851" xr:uid="{00000000-0005-0000-0000-00009A740000}"/>
    <cellStyle name="Normal 2 2 2 3 2 4 4 3 3" xfId="29852" xr:uid="{00000000-0005-0000-0000-00009B740000}"/>
    <cellStyle name="Normal 2 2 2 3 2 4 4 4" xfId="29853" xr:uid="{00000000-0005-0000-0000-00009C740000}"/>
    <cellStyle name="Normal 2 2 2 3 2 4 4 4 2" xfId="29854" xr:uid="{00000000-0005-0000-0000-00009D740000}"/>
    <cellStyle name="Normal 2 2 2 3 2 4 4 4 2 2" xfId="29855" xr:uid="{00000000-0005-0000-0000-00009E740000}"/>
    <cellStyle name="Normal 2 2 2 3 2 4 4 4 3" xfId="29856" xr:uid="{00000000-0005-0000-0000-00009F740000}"/>
    <cellStyle name="Normal 2 2 2 3 2 4 4 5" xfId="29857" xr:uid="{00000000-0005-0000-0000-0000A0740000}"/>
    <cellStyle name="Normal 2 2 2 3 2 4 4 5 2" xfId="29858" xr:uid="{00000000-0005-0000-0000-0000A1740000}"/>
    <cellStyle name="Normal 2 2 2 3 2 4 4 5 2 2" xfId="29859" xr:uid="{00000000-0005-0000-0000-0000A2740000}"/>
    <cellStyle name="Normal 2 2 2 3 2 4 4 5 3" xfId="29860" xr:uid="{00000000-0005-0000-0000-0000A3740000}"/>
    <cellStyle name="Normal 2 2 2 3 2 4 4 6" xfId="29861" xr:uid="{00000000-0005-0000-0000-0000A4740000}"/>
    <cellStyle name="Normal 2 2 2 3 2 4 4 6 2" xfId="29862" xr:uid="{00000000-0005-0000-0000-0000A5740000}"/>
    <cellStyle name="Normal 2 2 2 3 2 4 4 6 2 2" xfId="29863" xr:uid="{00000000-0005-0000-0000-0000A6740000}"/>
    <cellStyle name="Normal 2 2 2 3 2 4 4 6 3" xfId="29864" xr:uid="{00000000-0005-0000-0000-0000A7740000}"/>
    <cellStyle name="Normal 2 2 2 3 2 4 4 7" xfId="29865" xr:uid="{00000000-0005-0000-0000-0000A8740000}"/>
    <cellStyle name="Normal 2 2 2 3 2 4 4 7 2" xfId="29866" xr:uid="{00000000-0005-0000-0000-0000A9740000}"/>
    <cellStyle name="Normal 2 2 2 3 2 4 4 8" xfId="29867" xr:uid="{00000000-0005-0000-0000-0000AA740000}"/>
    <cellStyle name="Normal 2 2 2 3 2 4 5" xfId="29868" xr:uid="{00000000-0005-0000-0000-0000AB740000}"/>
    <cellStyle name="Normal 2 2 2 3 2 4 5 2" xfId="29869" xr:uid="{00000000-0005-0000-0000-0000AC740000}"/>
    <cellStyle name="Normal 2 2 2 3 2 4 5 2 2" xfId="29870" xr:uid="{00000000-0005-0000-0000-0000AD740000}"/>
    <cellStyle name="Normal 2 2 2 3 2 4 5 2 2 2" xfId="29871" xr:uid="{00000000-0005-0000-0000-0000AE740000}"/>
    <cellStyle name="Normal 2 2 2 3 2 4 5 2 2 2 2" xfId="29872" xr:uid="{00000000-0005-0000-0000-0000AF740000}"/>
    <cellStyle name="Normal 2 2 2 3 2 4 5 2 2 3" xfId="29873" xr:uid="{00000000-0005-0000-0000-0000B0740000}"/>
    <cellStyle name="Normal 2 2 2 3 2 4 5 2 3" xfId="29874" xr:uid="{00000000-0005-0000-0000-0000B1740000}"/>
    <cellStyle name="Normal 2 2 2 3 2 4 5 2 3 2" xfId="29875" xr:uid="{00000000-0005-0000-0000-0000B2740000}"/>
    <cellStyle name="Normal 2 2 2 3 2 4 5 2 4" xfId="29876" xr:uid="{00000000-0005-0000-0000-0000B3740000}"/>
    <cellStyle name="Normal 2 2 2 3 2 4 5 3" xfId="29877" xr:uid="{00000000-0005-0000-0000-0000B4740000}"/>
    <cellStyle name="Normal 2 2 2 3 2 4 5 3 2" xfId="29878" xr:uid="{00000000-0005-0000-0000-0000B5740000}"/>
    <cellStyle name="Normal 2 2 2 3 2 4 5 3 2 2" xfId="29879" xr:uid="{00000000-0005-0000-0000-0000B6740000}"/>
    <cellStyle name="Normal 2 2 2 3 2 4 5 3 3" xfId="29880" xr:uid="{00000000-0005-0000-0000-0000B7740000}"/>
    <cellStyle name="Normal 2 2 2 3 2 4 5 4" xfId="29881" xr:uid="{00000000-0005-0000-0000-0000B8740000}"/>
    <cellStyle name="Normal 2 2 2 3 2 4 5 4 2" xfId="29882" xr:uid="{00000000-0005-0000-0000-0000B9740000}"/>
    <cellStyle name="Normal 2 2 2 3 2 4 5 5" xfId="29883" xr:uid="{00000000-0005-0000-0000-0000BA740000}"/>
    <cellStyle name="Normal 2 2 2 3 2 4 6" xfId="29884" xr:uid="{00000000-0005-0000-0000-0000BB740000}"/>
    <cellStyle name="Normal 2 2 2 3 2 4 6 2" xfId="29885" xr:uid="{00000000-0005-0000-0000-0000BC740000}"/>
    <cellStyle name="Normal 2 2 2 3 2 4 6 2 2" xfId="29886" xr:uid="{00000000-0005-0000-0000-0000BD740000}"/>
    <cellStyle name="Normal 2 2 2 3 2 4 6 2 2 2" xfId="29887" xr:uid="{00000000-0005-0000-0000-0000BE740000}"/>
    <cellStyle name="Normal 2 2 2 3 2 4 6 2 2 2 2" xfId="29888" xr:uid="{00000000-0005-0000-0000-0000BF740000}"/>
    <cellStyle name="Normal 2 2 2 3 2 4 6 2 2 3" xfId="29889" xr:uid="{00000000-0005-0000-0000-0000C0740000}"/>
    <cellStyle name="Normal 2 2 2 3 2 4 6 2 3" xfId="29890" xr:uid="{00000000-0005-0000-0000-0000C1740000}"/>
    <cellStyle name="Normal 2 2 2 3 2 4 6 2 3 2" xfId="29891" xr:uid="{00000000-0005-0000-0000-0000C2740000}"/>
    <cellStyle name="Normal 2 2 2 3 2 4 6 2 4" xfId="29892" xr:uid="{00000000-0005-0000-0000-0000C3740000}"/>
    <cellStyle name="Normal 2 2 2 3 2 4 6 3" xfId="29893" xr:uid="{00000000-0005-0000-0000-0000C4740000}"/>
    <cellStyle name="Normal 2 2 2 3 2 4 6 3 2" xfId="29894" xr:uid="{00000000-0005-0000-0000-0000C5740000}"/>
    <cellStyle name="Normal 2 2 2 3 2 4 6 3 2 2" xfId="29895" xr:uid="{00000000-0005-0000-0000-0000C6740000}"/>
    <cellStyle name="Normal 2 2 2 3 2 4 6 3 3" xfId="29896" xr:uid="{00000000-0005-0000-0000-0000C7740000}"/>
    <cellStyle name="Normal 2 2 2 3 2 4 6 4" xfId="29897" xr:uid="{00000000-0005-0000-0000-0000C8740000}"/>
    <cellStyle name="Normal 2 2 2 3 2 4 6 4 2" xfId="29898" xr:uid="{00000000-0005-0000-0000-0000C9740000}"/>
    <cellStyle name="Normal 2 2 2 3 2 4 6 5" xfId="29899" xr:uid="{00000000-0005-0000-0000-0000CA740000}"/>
    <cellStyle name="Normal 2 2 2 3 2 4 7" xfId="29900" xr:uid="{00000000-0005-0000-0000-0000CB740000}"/>
    <cellStyle name="Normal 2 2 2 3 2 4 7 2" xfId="29901" xr:uid="{00000000-0005-0000-0000-0000CC740000}"/>
    <cellStyle name="Normal 2 2 2 3 2 4 7 2 2" xfId="29902" xr:uid="{00000000-0005-0000-0000-0000CD740000}"/>
    <cellStyle name="Normal 2 2 2 3 2 4 7 2 2 2" xfId="29903" xr:uid="{00000000-0005-0000-0000-0000CE740000}"/>
    <cellStyle name="Normal 2 2 2 3 2 4 7 2 3" xfId="29904" xr:uid="{00000000-0005-0000-0000-0000CF740000}"/>
    <cellStyle name="Normal 2 2 2 3 2 4 7 3" xfId="29905" xr:uid="{00000000-0005-0000-0000-0000D0740000}"/>
    <cellStyle name="Normal 2 2 2 3 2 4 7 3 2" xfId="29906" xr:uid="{00000000-0005-0000-0000-0000D1740000}"/>
    <cellStyle name="Normal 2 2 2 3 2 4 7 4" xfId="29907" xr:uid="{00000000-0005-0000-0000-0000D2740000}"/>
    <cellStyle name="Normal 2 2 2 3 2 4 8" xfId="29908" xr:uid="{00000000-0005-0000-0000-0000D3740000}"/>
    <cellStyle name="Normal 2 2 2 3 2 4 8 2" xfId="29909" xr:uid="{00000000-0005-0000-0000-0000D4740000}"/>
    <cellStyle name="Normal 2 2 2 3 2 4 8 2 2" xfId="29910" xr:uid="{00000000-0005-0000-0000-0000D5740000}"/>
    <cellStyle name="Normal 2 2 2 3 2 4 8 2 2 2" xfId="29911" xr:uid="{00000000-0005-0000-0000-0000D6740000}"/>
    <cellStyle name="Normal 2 2 2 3 2 4 8 2 3" xfId="29912" xr:uid="{00000000-0005-0000-0000-0000D7740000}"/>
    <cellStyle name="Normal 2 2 2 3 2 4 8 3" xfId="29913" xr:uid="{00000000-0005-0000-0000-0000D8740000}"/>
    <cellStyle name="Normal 2 2 2 3 2 4 8 3 2" xfId="29914" xr:uid="{00000000-0005-0000-0000-0000D9740000}"/>
    <cellStyle name="Normal 2 2 2 3 2 4 8 4" xfId="29915" xr:uid="{00000000-0005-0000-0000-0000DA740000}"/>
    <cellStyle name="Normal 2 2 2 3 2 4 9" xfId="29916" xr:uid="{00000000-0005-0000-0000-0000DB740000}"/>
    <cellStyle name="Normal 2 2 2 3 2 4 9 2" xfId="29917" xr:uid="{00000000-0005-0000-0000-0000DC740000}"/>
    <cellStyle name="Normal 2 2 2 3 2 4 9 2 2" xfId="29918" xr:uid="{00000000-0005-0000-0000-0000DD740000}"/>
    <cellStyle name="Normal 2 2 2 3 2 4 9 3" xfId="29919" xr:uid="{00000000-0005-0000-0000-0000DE740000}"/>
    <cellStyle name="Normal 2 2 2 3 2 5" xfId="29920" xr:uid="{00000000-0005-0000-0000-0000DF740000}"/>
    <cellStyle name="Normal 2 2 2 3 2 5 10" xfId="29921" xr:uid="{00000000-0005-0000-0000-0000E0740000}"/>
    <cellStyle name="Normal 2 2 2 3 2 5 10 2" xfId="29922" xr:uid="{00000000-0005-0000-0000-0000E1740000}"/>
    <cellStyle name="Normal 2 2 2 3 2 5 10 2 2" xfId="29923" xr:uid="{00000000-0005-0000-0000-0000E2740000}"/>
    <cellStyle name="Normal 2 2 2 3 2 5 10 3" xfId="29924" xr:uid="{00000000-0005-0000-0000-0000E3740000}"/>
    <cellStyle name="Normal 2 2 2 3 2 5 11" xfId="29925" xr:uid="{00000000-0005-0000-0000-0000E4740000}"/>
    <cellStyle name="Normal 2 2 2 3 2 5 11 2" xfId="29926" xr:uid="{00000000-0005-0000-0000-0000E5740000}"/>
    <cellStyle name="Normal 2 2 2 3 2 5 11 2 2" xfId="29927" xr:uid="{00000000-0005-0000-0000-0000E6740000}"/>
    <cellStyle name="Normal 2 2 2 3 2 5 11 3" xfId="29928" xr:uid="{00000000-0005-0000-0000-0000E7740000}"/>
    <cellStyle name="Normal 2 2 2 3 2 5 12" xfId="29929" xr:uid="{00000000-0005-0000-0000-0000E8740000}"/>
    <cellStyle name="Normal 2 2 2 3 2 5 12 2" xfId="29930" xr:uid="{00000000-0005-0000-0000-0000E9740000}"/>
    <cellStyle name="Normal 2 2 2 3 2 5 12 2 2" xfId="29931" xr:uid="{00000000-0005-0000-0000-0000EA740000}"/>
    <cellStyle name="Normal 2 2 2 3 2 5 12 3" xfId="29932" xr:uid="{00000000-0005-0000-0000-0000EB740000}"/>
    <cellStyle name="Normal 2 2 2 3 2 5 13" xfId="29933" xr:uid="{00000000-0005-0000-0000-0000EC740000}"/>
    <cellStyle name="Normal 2 2 2 3 2 5 13 2" xfId="29934" xr:uid="{00000000-0005-0000-0000-0000ED740000}"/>
    <cellStyle name="Normal 2 2 2 3 2 5 14" xfId="29935" xr:uid="{00000000-0005-0000-0000-0000EE740000}"/>
    <cellStyle name="Normal 2 2 2 3 2 5 2" xfId="29936" xr:uid="{00000000-0005-0000-0000-0000EF740000}"/>
    <cellStyle name="Normal 2 2 2 3 2 5 2 2" xfId="29937" xr:uid="{00000000-0005-0000-0000-0000F0740000}"/>
    <cellStyle name="Normal 2 2 2 3 2 5 2 2 2" xfId="29938" xr:uid="{00000000-0005-0000-0000-0000F1740000}"/>
    <cellStyle name="Normal 2 2 2 3 2 5 2 2 2 2" xfId="29939" xr:uid="{00000000-0005-0000-0000-0000F2740000}"/>
    <cellStyle name="Normal 2 2 2 3 2 5 2 2 2 2 2" xfId="29940" xr:uid="{00000000-0005-0000-0000-0000F3740000}"/>
    <cellStyle name="Normal 2 2 2 3 2 5 2 2 2 3" xfId="29941" xr:uid="{00000000-0005-0000-0000-0000F4740000}"/>
    <cellStyle name="Normal 2 2 2 3 2 5 2 2 3" xfId="29942" xr:uid="{00000000-0005-0000-0000-0000F5740000}"/>
    <cellStyle name="Normal 2 2 2 3 2 5 2 2 3 2" xfId="29943" xr:uid="{00000000-0005-0000-0000-0000F6740000}"/>
    <cellStyle name="Normal 2 2 2 3 2 5 2 2 4" xfId="29944" xr:uid="{00000000-0005-0000-0000-0000F7740000}"/>
    <cellStyle name="Normal 2 2 2 3 2 5 2 3" xfId="29945" xr:uid="{00000000-0005-0000-0000-0000F8740000}"/>
    <cellStyle name="Normal 2 2 2 3 2 5 2 3 2" xfId="29946" xr:uid="{00000000-0005-0000-0000-0000F9740000}"/>
    <cellStyle name="Normal 2 2 2 3 2 5 2 3 2 2" xfId="29947" xr:uid="{00000000-0005-0000-0000-0000FA740000}"/>
    <cellStyle name="Normal 2 2 2 3 2 5 2 3 3" xfId="29948" xr:uid="{00000000-0005-0000-0000-0000FB740000}"/>
    <cellStyle name="Normal 2 2 2 3 2 5 2 4" xfId="29949" xr:uid="{00000000-0005-0000-0000-0000FC740000}"/>
    <cellStyle name="Normal 2 2 2 3 2 5 2 4 2" xfId="29950" xr:uid="{00000000-0005-0000-0000-0000FD740000}"/>
    <cellStyle name="Normal 2 2 2 3 2 5 2 4 2 2" xfId="29951" xr:uid="{00000000-0005-0000-0000-0000FE740000}"/>
    <cellStyle name="Normal 2 2 2 3 2 5 2 4 3" xfId="29952" xr:uid="{00000000-0005-0000-0000-0000FF740000}"/>
    <cellStyle name="Normal 2 2 2 3 2 5 2 5" xfId="29953" xr:uid="{00000000-0005-0000-0000-000000750000}"/>
    <cellStyle name="Normal 2 2 2 3 2 5 2 5 2" xfId="29954" xr:uid="{00000000-0005-0000-0000-000001750000}"/>
    <cellStyle name="Normal 2 2 2 3 2 5 2 5 2 2" xfId="29955" xr:uid="{00000000-0005-0000-0000-000002750000}"/>
    <cellStyle name="Normal 2 2 2 3 2 5 2 5 3" xfId="29956" xr:uid="{00000000-0005-0000-0000-000003750000}"/>
    <cellStyle name="Normal 2 2 2 3 2 5 2 6" xfId="29957" xr:uid="{00000000-0005-0000-0000-000004750000}"/>
    <cellStyle name="Normal 2 2 2 3 2 5 2 6 2" xfId="29958" xr:uid="{00000000-0005-0000-0000-000005750000}"/>
    <cellStyle name="Normal 2 2 2 3 2 5 2 6 2 2" xfId="29959" xr:uid="{00000000-0005-0000-0000-000006750000}"/>
    <cellStyle name="Normal 2 2 2 3 2 5 2 6 3" xfId="29960" xr:uid="{00000000-0005-0000-0000-000007750000}"/>
    <cellStyle name="Normal 2 2 2 3 2 5 2 7" xfId="29961" xr:uid="{00000000-0005-0000-0000-000008750000}"/>
    <cellStyle name="Normal 2 2 2 3 2 5 2 7 2" xfId="29962" xr:uid="{00000000-0005-0000-0000-000009750000}"/>
    <cellStyle name="Normal 2 2 2 3 2 5 2 8" xfId="29963" xr:uid="{00000000-0005-0000-0000-00000A750000}"/>
    <cellStyle name="Normal 2 2 2 3 2 5 3" xfId="29964" xr:uid="{00000000-0005-0000-0000-00000B750000}"/>
    <cellStyle name="Normal 2 2 2 3 2 5 3 2" xfId="29965" xr:uid="{00000000-0005-0000-0000-00000C750000}"/>
    <cellStyle name="Normal 2 2 2 3 2 5 3 2 2" xfId="29966" xr:uid="{00000000-0005-0000-0000-00000D750000}"/>
    <cellStyle name="Normal 2 2 2 3 2 5 3 2 2 2" xfId="29967" xr:uid="{00000000-0005-0000-0000-00000E750000}"/>
    <cellStyle name="Normal 2 2 2 3 2 5 3 2 2 2 2" xfId="29968" xr:uid="{00000000-0005-0000-0000-00000F750000}"/>
    <cellStyle name="Normal 2 2 2 3 2 5 3 2 2 3" xfId="29969" xr:uid="{00000000-0005-0000-0000-000010750000}"/>
    <cellStyle name="Normal 2 2 2 3 2 5 3 2 3" xfId="29970" xr:uid="{00000000-0005-0000-0000-000011750000}"/>
    <cellStyle name="Normal 2 2 2 3 2 5 3 2 3 2" xfId="29971" xr:uid="{00000000-0005-0000-0000-000012750000}"/>
    <cellStyle name="Normal 2 2 2 3 2 5 3 2 4" xfId="29972" xr:uid="{00000000-0005-0000-0000-000013750000}"/>
    <cellStyle name="Normal 2 2 2 3 2 5 3 3" xfId="29973" xr:uid="{00000000-0005-0000-0000-000014750000}"/>
    <cellStyle name="Normal 2 2 2 3 2 5 3 3 2" xfId="29974" xr:uid="{00000000-0005-0000-0000-000015750000}"/>
    <cellStyle name="Normal 2 2 2 3 2 5 3 3 2 2" xfId="29975" xr:uid="{00000000-0005-0000-0000-000016750000}"/>
    <cellStyle name="Normal 2 2 2 3 2 5 3 3 3" xfId="29976" xr:uid="{00000000-0005-0000-0000-000017750000}"/>
    <cellStyle name="Normal 2 2 2 3 2 5 3 4" xfId="29977" xr:uid="{00000000-0005-0000-0000-000018750000}"/>
    <cellStyle name="Normal 2 2 2 3 2 5 3 4 2" xfId="29978" xr:uid="{00000000-0005-0000-0000-000019750000}"/>
    <cellStyle name="Normal 2 2 2 3 2 5 3 4 2 2" xfId="29979" xr:uid="{00000000-0005-0000-0000-00001A750000}"/>
    <cellStyle name="Normal 2 2 2 3 2 5 3 4 3" xfId="29980" xr:uid="{00000000-0005-0000-0000-00001B750000}"/>
    <cellStyle name="Normal 2 2 2 3 2 5 3 5" xfId="29981" xr:uid="{00000000-0005-0000-0000-00001C750000}"/>
    <cellStyle name="Normal 2 2 2 3 2 5 3 5 2" xfId="29982" xr:uid="{00000000-0005-0000-0000-00001D750000}"/>
    <cellStyle name="Normal 2 2 2 3 2 5 3 5 2 2" xfId="29983" xr:uid="{00000000-0005-0000-0000-00001E750000}"/>
    <cellStyle name="Normal 2 2 2 3 2 5 3 5 3" xfId="29984" xr:uid="{00000000-0005-0000-0000-00001F750000}"/>
    <cellStyle name="Normal 2 2 2 3 2 5 3 6" xfId="29985" xr:uid="{00000000-0005-0000-0000-000020750000}"/>
    <cellStyle name="Normal 2 2 2 3 2 5 3 6 2" xfId="29986" xr:uid="{00000000-0005-0000-0000-000021750000}"/>
    <cellStyle name="Normal 2 2 2 3 2 5 3 6 2 2" xfId="29987" xr:uid="{00000000-0005-0000-0000-000022750000}"/>
    <cellStyle name="Normal 2 2 2 3 2 5 3 6 3" xfId="29988" xr:uid="{00000000-0005-0000-0000-000023750000}"/>
    <cellStyle name="Normal 2 2 2 3 2 5 3 7" xfId="29989" xr:uid="{00000000-0005-0000-0000-000024750000}"/>
    <cellStyle name="Normal 2 2 2 3 2 5 3 7 2" xfId="29990" xr:uid="{00000000-0005-0000-0000-000025750000}"/>
    <cellStyle name="Normal 2 2 2 3 2 5 3 8" xfId="29991" xr:uid="{00000000-0005-0000-0000-000026750000}"/>
    <cellStyle name="Normal 2 2 2 3 2 5 4" xfId="29992" xr:uid="{00000000-0005-0000-0000-000027750000}"/>
    <cellStyle name="Normal 2 2 2 3 2 5 4 2" xfId="29993" xr:uid="{00000000-0005-0000-0000-000028750000}"/>
    <cellStyle name="Normal 2 2 2 3 2 5 4 2 2" xfId="29994" xr:uid="{00000000-0005-0000-0000-000029750000}"/>
    <cellStyle name="Normal 2 2 2 3 2 5 4 2 2 2" xfId="29995" xr:uid="{00000000-0005-0000-0000-00002A750000}"/>
    <cellStyle name="Normal 2 2 2 3 2 5 4 2 2 2 2" xfId="29996" xr:uid="{00000000-0005-0000-0000-00002B750000}"/>
    <cellStyle name="Normal 2 2 2 3 2 5 4 2 2 3" xfId="29997" xr:uid="{00000000-0005-0000-0000-00002C750000}"/>
    <cellStyle name="Normal 2 2 2 3 2 5 4 2 3" xfId="29998" xr:uid="{00000000-0005-0000-0000-00002D750000}"/>
    <cellStyle name="Normal 2 2 2 3 2 5 4 2 3 2" xfId="29999" xr:uid="{00000000-0005-0000-0000-00002E750000}"/>
    <cellStyle name="Normal 2 2 2 3 2 5 4 2 4" xfId="30000" xr:uid="{00000000-0005-0000-0000-00002F750000}"/>
    <cellStyle name="Normal 2 2 2 3 2 5 4 3" xfId="30001" xr:uid="{00000000-0005-0000-0000-000030750000}"/>
    <cellStyle name="Normal 2 2 2 3 2 5 4 3 2" xfId="30002" xr:uid="{00000000-0005-0000-0000-000031750000}"/>
    <cellStyle name="Normal 2 2 2 3 2 5 4 3 2 2" xfId="30003" xr:uid="{00000000-0005-0000-0000-000032750000}"/>
    <cellStyle name="Normal 2 2 2 3 2 5 4 3 3" xfId="30004" xr:uid="{00000000-0005-0000-0000-000033750000}"/>
    <cellStyle name="Normal 2 2 2 3 2 5 4 4" xfId="30005" xr:uid="{00000000-0005-0000-0000-000034750000}"/>
    <cellStyle name="Normal 2 2 2 3 2 5 4 4 2" xfId="30006" xr:uid="{00000000-0005-0000-0000-000035750000}"/>
    <cellStyle name="Normal 2 2 2 3 2 5 4 4 2 2" xfId="30007" xr:uid="{00000000-0005-0000-0000-000036750000}"/>
    <cellStyle name="Normal 2 2 2 3 2 5 4 4 3" xfId="30008" xr:uid="{00000000-0005-0000-0000-000037750000}"/>
    <cellStyle name="Normal 2 2 2 3 2 5 4 5" xfId="30009" xr:uid="{00000000-0005-0000-0000-000038750000}"/>
    <cellStyle name="Normal 2 2 2 3 2 5 4 5 2" xfId="30010" xr:uid="{00000000-0005-0000-0000-000039750000}"/>
    <cellStyle name="Normal 2 2 2 3 2 5 4 5 2 2" xfId="30011" xr:uid="{00000000-0005-0000-0000-00003A750000}"/>
    <cellStyle name="Normal 2 2 2 3 2 5 4 5 3" xfId="30012" xr:uid="{00000000-0005-0000-0000-00003B750000}"/>
    <cellStyle name="Normal 2 2 2 3 2 5 4 6" xfId="30013" xr:uid="{00000000-0005-0000-0000-00003C750000}"/>
    <cellStyle name="Normal 2 2 2 3 2 5 4 6 2" xfId="30014" xr:uid="{00000000-0005-0000-0000-00003D750000}"/>
    <cellStyle name="Normal 2 2 2 3 2 5 4 6 2 2" xfId="30015" xr:uid="{00000000-0005-0000-0000-00003E750000}"/>
    <cellStyle name="Normal 2 2 2 3 2 5 4 6 3" xfId="30016" xr:uid="{00000000-0005-0000-0000-00003F750000}"/>
    <cellStyle name="Normal 2 2 2 3 2 5 4 7" xfId="30017" xr:uid="{00000000-0005-0000-0000-000040750000}"/>
    <cellStyle name="Normal 2 2 2 3 2 5 4 7 2" xfId="30018" xr:uid="{00000000-0005-0000-0000-000041750000}"/>
    <cellStyle name="Normal 2 2 2 3 2 5 4 8" xfId="30019" xr:uid="{00000000-0005-0000-0000-000042750000}"/>
    <cellStyle name="Normal 2 2 2 3 2 5 5" xfId="30020" xr:uid="{00000000-0005-0000-0000-000043750000}"/>
    <cellStyle name="Normal 2 2 2 3 2 5 5 2" xfId="30021" xr:uid="{00000000-0005-0000-0000-000044750000}"/>
    <cellStyle name="Normal 2 2 2 3 2 5 5 2 2" xfId="30022" xr:uid="{00000000-0005-0000-0000-000045750000}"/>
    <cellStyle name="Normal 2 2 2 3 2 5 5 2 2 2" xfId="30023" xr:uid="{00000000-0005-0000-0000-000046750000}"/>
    <cellStyle name="Normal 2 2 2 3 2 5 5 2 2 2 2" xfId="30024" xr:uid="{00000000-0005-0000-0000-000047750000}"/>
    <cellStyle name="Normal 2 2 2 3 2 5 5 2 2 3" xfId="30025" xr:uid="{00000000-0005-0000-0000-000048750000}"/>
    <cellStyle name="Normal 2 2 2 3 2 5 5 2 3" xfId="30026" xr:uid="{00000000-0005-0000-0000-000049750000}"/>
    <cellStyle name="Normal 2 2 2 3 2 5 5 2 3 2" xfId="30027" xr:uid="{00000000-0005-0000-0000-00004A750000}"/>
    <cellStyle name="Normal 2 2 2 3 2 5 5 2 4" xfId="30028" xr:uid="{00000000-0005-0000-0000-00004B750000}"/>
    <cellStyle name="Normal 2 2 2 3 2 5 5 3" xfId="30029" xr:uid="{00000000-0005-0000-0000-00004C750000}"/>
    <cellStyle name="Normal 2 2 2 3 2 5 5 3 2" xfId="30030" xr:uid="{00000000-0005-0000-0000-00004D750000}"/>
    <cellStyle name="Normal 2 2 2 3 2 5 5 3 2 2" xfId="30031" xr:uid="{00000000-0005-0000-0000-00004E750000}"/>
    <cellStyle name="Normal 2 2 2 3 2 5 5 3 3" xfId="30032" xr:uid="{00000000-0005-0000-0000-00004F750000}"/>
    <cellStyle name="Normal 2 2 2 3 2 5 5 4" xfId="30033" xr:uid="{00000000-0005-0000-0000-000050750000}"/>
    <cellStyle name="Normal 2 2 2 3 2 5 5 4 2" xfId="30034" xr:uid="{00000000-0005-0000-0000-000051750000}"/>
    <cellStyle name="Normal 2 2 2 3 2 5 5 5" xfId="30035" xr:uid="{00000000-0005-0000-0000-000052750000}"/>
    <cellStyle name="Normal 2 2 2 3 2 5 6" xfId="30036" xr:uid="{00000000-0005-0000-0000-000053750000}"/>
    <cellStyle name="Normal 2 2 2 3 2 5 6 2" xfId="30037" xr:uid="{00000000-0005-0000-0000-000054750000}"/>
    <cellStyle name="Normal 2 2 2 3 2 5 6 2 2" xfId="30038" xr:uid="{00000000-0005-0000-0000-000055750000}"/>
    <cellStyle name="Normal 2 2 2 3 2 5 6 2 2 2" xfId="30039" xr:uid="{00000000-0005-0000-0000-000056750000}"/>
    <cellStyle name="Normal 2 2 2 3 2 5 6 2 2 2 2" xfId="30040" xr:uid="{00000000-0005-0000-0000-000057750000}"/>
    <cellStyle name="Normal 2 2 2 3 2 5 6 2 2 3" xfId="30041" xr:uid="{00000000-0005-0000-0000-000058750000}"/>
    <cellStyle name="Normal 2 2 2 3 2 5 6 2 3" xfId="30042" xr:uid="{00000000-0005-0000-0000-000059750000}"/>
    <cellStyle name="Normal 2 2 2 3 2 5 6 2 3 2" xfId="30043" xr:uid="{00000000-0005-0000-0000-00005A750000}"/>
    <cellStyle name="Normal 2 2 2 3 2 5 6 2 4" xfId="30044" xr:uid="{00000000-0005-0000-0000-00005B750000}"/>
    <cellStyle name="Normal 2 2 2 3 2 5 6 3" xfId="30045" xr:uid="{00000000-0005-0000-0000-00005C750000}"/>
    <cellStyle name="Normal 2 2 2 3 2 5 6 3 2" xfId="30046" xr:uid="{00000000-0005-0000-0000-00005D750000}"/>
    <cellStyle name="Normal 2 2 2 3 2 5 6 3 2 2" xfId="30047" xr:uid="{00000000-0005-0000-0000-00005E750000}"/>
    <cellStyle name="Normal 2 2 2 3 2 5 6 3 3" xfId="30048" xr:uid="{00000000-0005-0000-0000-00005F750000}"/>
    <cellStyle name="Normal 2 2 2 3 2 5 6 4" xfId="30049" xr:uid="{00000000-0005-0000-0000-000060750000}"/>
    <cellStyle name="Normal 2 2 2 3 2 5 6 4 2" xfId="30050" xr:uid="{00000000-0005-0000-0000-000061750000}"/>
    <cellStyle name="Normal 2 2 2 3 2 5 6 5" xfId="30051" xr:uid="{00000000-0005-0000-0000-000062750000}"/>
    <cellStyle name="Normal 2 2 2 3 2 5 7" xfId="30052" xr:uid="{00000000-0005-0000-0000-000063750000}"/>
    <cellStyle name="Normal 2 2 2 3 2 5 7 2" xfId="30053" xr:uid="{00000000-0005-0000-0000-000064750000}"/>
    <cellStyle name="Normal 2 2 2 3 2 5 7 2 2" xfId="30054" xr:uid="{00000000-0005-0000-0000-000065750000}"/>
    <cellStyle name="Normal 2 2 2 3 2 5 7 2 2 2" xfId="30055" xr:uid="{00000000-0005-0000-0000-000066750000}"/>
    <cellStyle name="Normal 2 2 2 3 2 5 7 2 3" xfId="30056" xr:uid="{00000000-0005-0000-0000-000067750000}"/>
    <cellStyle name="Normal 2 2 2 3 2 5 7 3" xfId="30057" xr:uid="{00000000-0005-0000-0000-000068750000}"/>
    <cellStyle name="Normal 2 2 2 3 2 5 7 3 2" xfId="30058" xr:uid="{00000000-0005-0000-0000-000069750000}"/>
    <cellStyle name="Normal 2 2 2 3 2 5 7 4" xfId="30059" xr:uid="{00000000-0005-0000-0000-00006A750000}"/>
    <cellStyle name="Normal 2 2 2 3 2 5 8" xfId="30060" xr:uid="{00000000-0005-0000-0000-00006B750000}"/>
    <cellStyle name="Normal 2 2 2 3 2 5 8 2" xfId="30061" xr:uid="{00000000-0005-0000-0000-00006C750000}"/>
    <cellStyle name="Normal 2 2 2 3 2 5 8 2 2" xfId="30062" xr:uid="{00000000-0005-0000-0000-00006D750000}"/>
    <cellStyle name="Normal 2 2 2 3 2 5 8 2 2 2" xfId="30063" xr:uid="{00000000-0005-0000-0000-00006E750000}"/>
    <cellStyle name="Normal 2 2 2 3 2 5 8 2 3" xfId="30064" xr:uid="{00000000-0005-0000-0000-00006F750000}"/>
    <cellStyle name="Normal 2 2 2 3 2 5 8 3" xfId="30065" xr:uid="{00000000-0005-0000-0000-000070750000}"/>
    <cellStyle name="Normal 2 2 2 3 2 5 8 3 2" xfId="30066" xr:uid="{00000000-0005-0000-0000-000071750000}"/>
    <cellStyle name="Normal 2 2 2 3 2 5 8 4" xfId="30067" xr:uid="{00000000-0005-0000-0000-000072750000}"/>
    <cellStyle name="Normal 2 2 2 3 2 5 9" xfId="30068" xr:uid="{00000000-0005-0000-0000-000073750000}"/>
    <cellStyle name="Normal 2 2 2 3 2 5 9 2" xfId="30069" xr:uid="{00000000-0005-0000-0000-000074750000}"/>
    <cellStyle name="Normal 2 2 2 3 2 5 9 2 2" xfId="30070" xr:uid="{00000000-0005-0000-0000-000075750000}"/>
    <cellStyle name="Normal 2 2 2 3 2 5 9 3" xfId="30071" xr:uid="{00000000-0005-0000-0000-000076750000}"/>
    <cellStyle name="Normal 2 2 2 3 2 6" xfId="30072" xr:uid="{00000000-0005-0000-0000-000077750000}"/>
    <cellStyle name="Normal 2 2 2 3 2 6 10" xfId="30073" xr:uid="{00000000-0005-0000-0000-000078750000}"/>
    <cellStyle name="Normal 2 2 2 3 2 6 10 2" xfId="30074" xr:uid="{00000000-0005-0000-0000-000079750000}"/>
    <cellStyle name="Normal 2 2 2 3 2 6 10 2 2" xfId="30075" xr:uid="{00000000-0005-0000-0000-00007A750000}"/>
    <cellStyle name="Normal 2 2 2 3 2 6 10 3" xfId="30076" xr:uid="{00000000-0005-0000-0000-00007B750000}"/>
    <cellStyle name="Normal 2 2 2 3 2 6 11" xfId="30077" xr:uid="{00000000-0005-0000-0000-00007C750000}"/>
    <cellStyle name="Normal 2 2 2 3 2 6 11 2" xfId="30078" xr:uid="{00000000-0005-0000-0000-00007D750000}"/>
    <cellStyle name="Normal 2 2 2 3 2 6 11 2 2" xfId="30079" xr:uid="{00000000-0005-0000-0000-00007E750000}"/>
    <cellStyle name="Normal 2 2 2 3 2 6 11 3" xfId="30080" xr:uid="{00000000-0005-0000-0000-00007F750000}"/>
    <cellStyle name="Normal 2 2 2 3 2 6 12" xfId="30081" xr:uid="{00000000-0005-0000-0000-000080750000}"/>
    <cellStyle name="Normal 2 2 2 3 2 6 12 2" xfId="30082" xr:uid="{00000000-0005-0000-0000-000081750000}"/>
    <cellStyle name="Normal 2 2 2 3 2 6 12 2 2" xfId="30083" xr:uid="{00000000-0005-0000-0000-000082750000}"/>
    <cellStyle name="Normal 2 2 2 3 2 6 12 3" xfId="30084" xr:uid="{00000000-0005-0000-0000-000083750000}"/>
    <cellStyle name="Normal 2 2 2 3 2 6 13" xfId="30085" xr:uid="{00000000-0005-0000-0000-000084750000}"/>
    <cellStyle name="Normal 2 2 2 3 2 6 13 2" xfId="30086" xr:uid="{00000000-0005-0000-0000-000085750000}"/>
    <cellStyle name="Normal 2 2 2 3 2 6 14" xfId="30087" xr:uid="{00000000-0005-0000-0000-000086750000}"/>
    <cellStyle name="Normal 2 2 2 3 2 6 2" xfId="30088" xr:uid="{00000000-0005-0000-0000-000087750000}"/>
    <cellStyle name="Normal 2 2 2 3 2 6 2 2" xfId="30089" xr:uid="{00000000-0005-0000-0000-000088750000}"/>
    <cellStyle name="Normal 2 2 2 3 2 6 2 2 2" xfId="30090" xr:uid="{00000000-0005-0000-0000-000089750000}"/>
    <cellStyle name="Normal 2 2 2 3 2 6 2 2 2 2" xfId="30091" xr:uid="{00000000-0005-0000-0000-00008A750000}"/>
    <cellStyle name="Normal 2 2 2 3 2 6 2 2 2 2 2" xfId="30092" xr:uid="{00000000-0005-0000-0000-00008B750000}"/>
    <cellStyle name="Normal 2 2 2 3 2 6 2 2 2 3" xfId="30093" xr:uid="{00000000-0005-0000-0000-00008C750000}"/>
    <cellStyle name="Normal 2 2 2 3 2 6 2 2 3" xfId="30094" xr:uid="{00000000-0005-0000-0000-00008D750000}"/>
    <cellStyle name="Normal 2 2 2 3 2 6 2 2 3 2" xfId="30095" xr:uid="{00000000-0005-0000-0000-00008E750000}"/>
    <cellStyle name="Normal 2 2 2 3 2 6 2 2 4" xfId="30096" xr:uid="{00000000-0005-0000-0000-00008F750000}"/>
    <cellStyle name="Normal 2 2 2 3 2 6 2 3" xfId="30097" xr:uid="{00000000-0005-0000-0000-000090750000}"/>
    <cellStyle name="Normal 2 2 2 3 2 6 2 3 2" xfId="30098" xr:uid="{00000000-0005-0000-0000-000091750000}"/>
    <cellStyle name="Normal 2 2 2 3 2 6 2 3 2 2" xfId="30099" xr:uid="{00000000-0005-0000-0000-000092750000}"/>
    <cellStyle name="Normal 2 2 2 3 2 6 2 3 3" xfId="30100" xr:uid="{00000000-0005-0000-0000-000093750000}"/>
    <cellStyle name="Normal 2 2 2 3 2 6 2 4" xfId="30101" xr:uid="{00000000-0005-0000-0000-000094750000}"/>
    <cellStyle name="Normal 2 2 2 3 2 6 2 4 2" xfId="30102" xr:uid="{00000000-0005-0000-0000-000095750000}"/>
    <cellStyle name="Normal 2 2 2 3 2 6 2 4 2 2" xfId="30103" xr:uid="{00000000-0005-0000-0000-000096750000}"/>
    <cellStyle name="Normal 2 2 2 3 2 6 2 4 3" xfId="30104" xr:uid="{00000000-0005-0000-0000-000097750000}"/>
    <cellStyle name="Normal 2 2 2 3 2 6 2 5" xfId="30105" xr:uid="{00000000-0005-0000-0000-000098750000}"/>
    <cellStyle name="Normal 2 2 2 3 2 6 2 5 2" xfId="30106" xr:uid="{00000000-0005-0000-0000-000099750000}"/>
    <cellStyle name="Normal 2 2 2 3 2 6 2 5 2 2" xfId="30107" xr:uid="{00000000-0005-0000-0000-00009A750000}"/>
    <cellStyle name="Normal 2 2 2 3 2 6 2 5 3" xfId="30108" xr:uid="{00000000-0005-0000-0000-00009B750000}"/>
    <cellStyle name="Normal 2 2 2 3 2 6 2 6" xfId="30109" xr:uid="{00000000-0005-0000-0000-00009C750000}"/>
    <cellStyle name="Normal 2 2 2 3 2 6 2 6 2" xfId="30110" xr:uid="{00000000-0005-0000-0000-00009D750000}"/>
    <cellStyle name="Normal 2 2 2 3 2 6 2 6 2 2" xfId="30111" xr:uid="{00000000-0005-0000-0000-00009E750000}"/>
    <cellStyle name="Normal 2 2 2 3 2 6 2 6 3" xfId="30112" xr:uid="{00000000-0005-0000-0000-00009F750000}"/>
    <cellStyle name="Normal 2 2 2 3 2 6 2 7" xfId="30113" xr:uid="{00000000-0005-0000-0000-0000A0750000}"/>
    <cellStyle name="Normal 2 2 2 3 2 6 2 7 2" xfId="30114" xr:uid="{00000000-0005-0000-0000-0000A1750000}"/>
    <cellStyle name="Normal 2 2 2 3 2 6 2 8" xfId="30115" xr:uid="{00000000-0005-0000-0000-0000A2750000}"/>
    <cellStyle name="Normal 2 2 2 3 2 6 3" xfId="30116" xr:uid="{00000000-0005-0000-0000-0000A3750000}"/>
    <cellStyle name="Normal 2 2 2 3 2 6 3 2" xfId="30117" xr:uid="{00000000-0005-0000-0000-0000A4750000}"/>
    <cellStyle name="Normal 2 2 2 3 2 6 3 2 2" xfId="30118" xr:uid="{00000000-0005-0000-0000-0000A5750000}"/>
    <cellStyle name="Normal 2 2 2 3 2 6 3 2 2 2" xfId="30119" xr:uid="{00000000-0005-0000-0000-0000A6750000}"/>
    <cellStyle name="Normal 2 2 2 3 2 6 3 2 2 2 2" xfId="30120" xr:uid="{00000000-0005-0000-0000-0000A7750000}"/>
    <cellStyle name="Normal 2 2 2 3 2 6 3 2 2 3" xfId="30121" xr:uid="{00000000-0005-0000-0000-0000A8750000}"/>
    <cellStyle name="Normal 2 2 2 3 2 6 3 2 3" xfId="30122" xr:uid="{00000000-0005-0000-0000-0000A9750000}"/>
    <cellStyle name="Normal 2 2 2 3 2 6 3 2 3 2" xfId="30123" xr:uid="{00000000-0005-0000-0000-0000AA750000}"/>
    <cellStyle name="Normal 2 2 2 3 2 6 3 2 4" xfId="30124" xr:uid="{00000000-0005-0000-0000-0000AB750000}"/>
    <cellStyle name="Normal 2 2 2 3 2 6 3 3" xfId="30125" xr:uid="{00000000-0005-0000-0000-0000AC750000}"/>
    <cellStyle name="Normal 2 2 2 3 2 6 3 3 2" xfId="30126" xr:uid="{00000000-0005-0000-0000-0000AD750000}"/>
    <cellStyle name="Normal 2 2 2 3 2 6 3 3 2 2" xfId="30127" xr:uid="{00000000-0005-0000-0000-0000AE750000}"/>
    <cellStyle name="Normal 2 2 2 3 2 6 3 3 3" xfId="30128" xr:uid="{00000000-0005-0000-0000-0000AF750000}"/>
    <cellStyle name="Normal 2 2 2 3 2 6 3 4" xfId="30129" xr:uid="{00000000-0005-0000-0000-0000B0750000}"/>
    <cellStyle name="Normal 2 2 2 3 2 6 3 4 2" xfId="30130" xr:uid="{00000000-0005-0000-0000-0000B1750000}"/>
    <cellStyle name="Normal 2 2 2 3 2 6 3 4 2 2" xfId="30131" xr:uid="{00000000-0005-0000-0000-0000B2750000}"/>
    <cellStyle name="Normal 2 2 2 3 2 6 3 4 3" xfId="30132" xr:uid="{00000000-0005-0000-0000-0000B3750000}"/>
    <cellStyle name="Normal 2 2 2 3 2 6 3 5" xfId="30133" xr:uid="{00000000-0005-0000-0000-0000B4750000}"/>
    <cellStyle name="Normal 2 2 2 3 2 6 3 5 2" xfId="30134" xr:uid="{00000000-0005-0000-0000-0000B5750000}"/>
    <cellStyle name="Normal 2 2 2 3 2 6 3 5 2 2" xfId="30135" xr:uid="{00000000-0005-0000-0000-0000B6750000}"/>
    <cellStyle name="Normal 2 2 2 3 2 6 3 5 3" xfId="30136" xr:uid="{00000000-0005-0000-0000-0000B7750000}"/>
    <cellStyle name="Normal 2 2 2 3 2 6 3 6" xfId="30137" xr:uid="{00000000-0005-0000-0000-0000B8750000}"/>
    <cellStyle name="Normal 2 2 2 3 2 6 3 6 2" xfId="30138" xr:uid="{00000000-0005-0000-0000-0000B9750000}"/>
    <cellStyle name="Normal 2 2 2 3 2 6 3 6 2 2" xfId="30139" xr:uid="{00000000-0005-0000-0000-0000BA750000}"/>
    <cellStyle name="Normal 2 2 2 3 2 6 3 6 3" xfId="30140" xr:uid="{00000000-0005-0000-0000-0000BB750000}"/>
    <cellStyle name="Normal 2 2 2 3 2 6 3 7" xfId="30141" xr:uid="{00000000-0005-0000-0000-0000BC750000}"/>
    <cellStyle name="Normal 2 2 2 3 2 6 3 7 2" xfId="30142" xr:uid="{00000000-0005-0000-0000-0000BD750000}"/>
    <cellStyle name="Normal 2 2 2 3 2 6 3 8" xfId="30143" xr:uid="{00000000-0005-0000-0000-0000BE750000}"/>
    <cellStyle name="Normal 2 2 2 3 2 6 4" xfId="30144" xr:uid="{00000000-0005-0000-0000-0000BF750000}"/>
    <cellStyle name="Normal 2 2 2 3 2 6 4 2" xfId="30145" xr:uid="{00000000-0005-0000-0000-0000C0750000}"/>
    <cellStyle name="Normal 2 2 2 3 2 6 4 2 2" xfId="30146" xr:uid="{00000000-0005-0000-0000-0000C1750000}"/>
    <cellStyle name="Normal 2 2 2 3 2 6 4 2 2 2" xfId="30147" xr:uid="{00000000-0005-0000-0000-0000C2750000}"/>
    <cellStyle name="Normal 2 2 2 3 2 6 4 2 2 2 2" xfId="30148" xr:uid="{00000000-0005-0000-0000-0000C3750000}"/>
    <cellStyle name="Normal 2 2 2 3 2 6 4 2 2 3" xfId="30149" xr:uid="{00000000-0005-0000-0000-0000C4750000}"/>
    <cellStyle name="Normal 2 2 2 3 2 6 4 2 3" xfId="30150" xr:uid="{00000000-0005-0000-0000-0000C5750000}"/>
    <cellStyle name="Normal 2 2 2 3 2 6 4 2 3 2" xfId="30151" xr:uid="{00000000-0005-0000-0000-0000C6750000}"/>
    <cellStyle name="Normal 2 2 2 3 2 6 4 2 4" xfId="30152" xr:uid="{00000000-0005-0000-0000-0000C7750000}"/>
    <cellStyle name="Normal 2 2 2 3 2 6 4 3" xfId="30153" xr:uid="{00000000-0005-0000-0000-0000C8750000}"/>
    <cellStyle name="Normal 2 2 2 3 2 6 4 3 2" xfId="30154" xr:uid="{00000000-0005-0000-0000-0000C9750000}"/>
    <cellStyle name="Normal 2 2 2 3 2 6 4 3 2 2" xfId="30155" xr:uid="{00000000-0005-0000-0000-0000CA750000}"/>
    <cellStyle name="Normal 2 2 2 3 2 6 4 3 3" xfId="30156" xr:uid="{00000000-0005-0000-0000-0000CB750000}"/>
    <cellStyle name="Normal 2 2 2 3 2 6 4 4" xfId="30157" xr:uid="{00000000-0005-0000-0000-0000CC750000}"/>
    <cellStyle name="Normal 2 2 2 3 2 6 4 4 2" xfId="30158" xr:uid="{00000000-0005-0000-0000-0000CD750000}"/>
    <cellStyle name="Normal 2 2 2 3 2 6 4 4 2 2" xfId="30159" xr:uid="{00000000-0005-0000-0000-0000CE750000}"/>
    <cellStyle name="Normal 2 2 2 3 2 6 4 4 3" xfId="30160" xr:uid="{00000000-0005-0000-0000-0000CF750000}"/>
    <cellStyle name="Normal 2 2 2 3 2 6 4 5" xfId="30161" xr:uid="{00000000-0005-0000-0000-0000D0750000}"/>
    <cellStyle name="Normal 2 2 2 3 2 6 4 5 2" xfId="30162" xr:uid="{00000000-0005-0000-0000-0000D1750000}"/>
    <cellStyle name="Normal 2 2 2 3 2 6 4 5 2 2" xfId="30163" xr:uid="{00000000-0005-0000-0000-0000D2750000}"/>
    <cellStyle name="Normal 2 2 2 3 2 6 4 5 3" xfId="30164" xr:uid="{00000000-0005-0000-0000-0000D3750000}"/>
    <cellStyle name="Normal 2 2 2 3 2 6 4 6" xfId="30165" xr:uid="{00000000-0005-0000-0000-0000D4750000}"/>
    <cellStyle name="Normal 2 2 2 3 2 6 4 6 2" xfId="30166" xr:uid="{00000000-0005-0000-0000-0000D5750000}"/>
    <cellStyle name="Normal 2 2 2 3 2 6 4 6 2 2" xfId="30167" xr:uid="{00000000-0005-0000-0000-0000D6750000}"/>
    <cellStyle name="Normal 2 2 2 3 2 6 4 6 3" xfId="30168" xr:uid="{00000000-0005-0000-0000-0000D7750000}"/>
    <cellStyle name="Normal 2 2 2 3 2 6 4 7" xfId="30169" xr:uid="{00000000-0005-0000-0000-0000D8750000}"/>
    <cellStyle name="Normal 2 2 2 3 2 6 4 7 2" xfId="30170" xr:uid="{00000000-0005-0000-0000-0000D9750000}"/>
    <cellStyle name="Normal 2 2 2 3 2 6 4 8" xfId="30171" xr:uid="{00000000-0005-0000-0000-0000DA750000}"/>
    <cellStyle name="Normal 2 2 2 3 2 6 5" xfId="30172" xr:uid="{00000000-0005-0000-0000-0000DB750000}"/>
    <cellStyle name="Normal 2 2 2 3 2 6 5 2" xfId="30173" xr:uid="{00000000-0005-0000-0000-0000DC750000}"/>
    <cellStyle name="Normal 2 2 2 3 2 6 5 2 2" xfId="30174" xr:uid="{00000000-0005-0000-0000-0000DD750000}"/>
    <cellStyle name="Normal 2 2 2 3 2 6 5 2 2 2" xfId="30175" xr:uid="{00000000-0005-0000-0000-0000DE750000}"/>
    <cellStyle name="Normal 2 2 2 3 2 6 5 2 2 2 2" xfId="30176" xr:uid="{00000000-0005-0000-0000-0000DF750000}"/>
    <cellStyle name="Normal 2 2 2 3 2 6 5 2 2 3" xfId="30177" xr:uid="{00000000-0005-0000-0000-0000E0750000}"/>
    <cellStyle name="Normal 2 2 2 3 2 6 5 2 3" xfId="30178" xr:uid="{00000000-0005-0000-0000-0000E1750000}"/>
    <cellStyle name="Normal 2 2 2 3 2 6 5 2 3 2" xfId="30179" xr:uid="{00000000-0005-0000-0000-0000E2750000}"/>
    <cellStyle name="Normal 2 2 2 3 2 6 5 2 4" xfId="30180" xr:uid="{00000000-0005-0000-0000-0000E3750000}"/>
    <cellStyle name="Normal 2 2 2 3 2 6 5 3" xfId="30181" xr:uid="{00000000-0005-0000-0000-0000E4750000}"/>
    <cellStyle name="Normal 2 2 2 3 2 6 5 3 2" xfId="30182" xr:uid="{00000000-0005-0000-0000-0000E5750000}"/>
    <cellStyle name="Normal 2 2 2 3 2 6 5 3 2 2" xfId="30183" xr:uid="{00000000-0005-0000-0000-0000E6750000}"/>
    <cellStyle name="Normal 2 2 2 3 2 6 5 3 3" xfId="30184" xr:uid="{00000000-0005-0000-0000-0000E7750000}"/>
    <cellStyle name="Normal 2 2 2 3 2 6 5 4" xfId="30185" xr:uid="{00000000-0005-0000-0000-0000E8750000}"/>
    <cellStyle name="Normal 2 2 2 3 2 6 5 4 2" xfId="30186" xr:uid="{00000000-0005-0000-0000-0000E9750000}"/>
    <cellStyle name="Normal 2 2 2 3 2 6 5 5" xfId="30187" xr:uid="{00000000-0005-0000-0000-0000EA750000}"/>
    <cellStyle name="Normal 2 2 2 3 2 6 6" xfId="30188" xr:uid="{00000000-0005-0000-0000-0000EB750000}"/>
    <cellStyle name="Normal 2 2 2 3 2 6 6 2" xfId="30189" xr:uid="{00000000-0005-0000-0000-0000EC750000}"/>
    <cellStyle name="Normal 2 2 2 3 2 6 6 2 2" xfId="30190" xr:uid="{00000000-0005-0000-0000-0000ED750000}"/>
    <cellStyle name="Normal 2 2 2 3 2 6 6 2 2 2" xfId="30191" xr:uid="{00000000-0005-0000-0000-0000EE750000}"/>
    <cellStyle name="Normal 2 2 2 3 2 6 6 2 2 2 2" xfId="30192" xr:uid="{00000000-0005-0000-0000-0000EF750000}"/>
    <cellStyle name="Normal 2 2 2 3 2 6 6 2 2 3" xfId="30193" xr:uid="{00000000-0005-0000-0000-0000F0750000}"/>
    <cellStyle name="Normal 2 2 2 3 2 6 6 2 3" xfId="30194" xr:uid="{00000000-0005-0000-0000-0000F1750000}"/>
    <cellStyle name="Normal 2 2 2 3 2 6 6 2 3 2" xfId="30195" xr:uid="{00000000-0005-0000-0000-0000F2750000}"/>
    <cellStyle name="Normal 2 2 2 3 2 6 6 2 4" xfId="30196" xr:uid="{00000000-0005-0000-0000-0000F3750000}"/>
    <cellStyle name="Normal 2 2 2 3 2 6 6 3" xfId="30197" xr:uid="{00000000-0005-0000-0000-0000F4750000}"/>
    <cellStyle name="Normal 2 2 2 3 2 6 6 3 2" xfId="30198" xr:uid="{00000000-0005-0000-0000-0000F5750000}"/>
    <cellStyle name="Normal 2 2 2 3 2 6 6 3 2 2" xfId="30199" xr:uid="{00000000-0005-0000-0000-0000F6750000}"/>
    <cellStyle name="Normal 2 2 2 3 2 6 6 3 3" xfId="30200" xr:uid="{00000000-0005-0000-0000-0000F7750000}"/>
    <cellStyle name="Normal 2 2 2 3 2 6 6 4" xfId="30201" xr:uid="{00000000-0005-0000-0000-0000F8750000}"/>
    <cellStyle name="Normal 2 2 2 3 2 6 6 4 2" xfId="30202" xr:uid="{00000000-0005-0000-0000-0000F9750000}"/>
    <cellStyle name="Normal 2 2 2 3 2 6 6 5" xfId="30203" xr:uid="{00000000-0005-0000-0000-0000FA750000}"/>
    <cellStyle name="Normal 2 2 2 3 2 6 7" xfId="30204" xr:uid="{00000000-0005-0000-0000-0000FB750000}"/>
    <cellStyle name="Normal 2 2 2 3 2 6 7 2" xfId="30205" xr:uid="{00000000-0005-0000-0000-0000FC750000}"/>
    <cellStyle name="Normal 2 2 2 3 2 6 7 2 2" xfId="30206" xr:uid="{00000000-0005-0000-0000-0000FD750000}"/>
    <cellStyle name="Normal 2 2 2 3 2 6 7 2 2 2" xfId="30207" xr:uid="{00000000-0005-0000-0000-0000FE750000}"/>
    <cellStyle name="Normal 2 2 2 3 2 6 7 2 3" xfId="30208" xr:uid="{00000000-0005-0000-0000-0000FF750000}"/>
    <cellStyle name="Normal 2 2 2 3 2 6 7 3" xfId="30209" xr:uid="{00000000-0005-0000-0000-000000760000}"/>
    <cellStyle name="Normal 2 2 2 3 2 6 7 3 2" xfId="30210" xr:uid="{00000000-0005-0000-0000-000001760000}"/>
    <cellStyle name="Normal 2 2 2 3 2 6 7 4" xfId="30211" xr:uid="{00000000-0005-0000-0000-000002760000}"/>
    <cellStyle name="Normal 2 2 2 3 2 6 8" xfId="30212" xr:uid="{00000000-0005-0000-0000-000003760000}"/>
    <cellStyle name="Normal 2 2 2 3 2 6 8 2" xfId="30213" xr:uid="{00000000-0005-0000-0000-000004760000}"/>
    <cellStyle name="Normal 2 2 2 3 2 6 8 2 2" xfId="30214" xr:uid="{00000000-0005-0000-0000-000005760000}"/>
    <cellStyle name="Normal 2 2 2 3 2 6 8 2 2 2" xfId="30215" xr:uid="{00000000-0005-0000-0000-000006760000}"/>
    <cellStyle name="Normal 2 2 2 3 2 6 8 2 3" xfId="30216" xr:uid="{00000000-0005-0000-0000-000007760000}"/>
    <cellStyle name="Normal 2 2 2 3 2 6 8 3" xfId="30217" xr:uid="{00000000-0005-0000-0000-000008760000}"/>
    <cellStyle name="Normal 2 2 2 3 2 6 8 3 2" xfId="30218" xr:uid="{00000000-0005-0000-0000-000009760000}"/>
    <cellStyle name="Normal 2 2 2 3 2 6 8 4" xfId="30219" xr:uid="{00000000-0005-0000-0000-00000A760000}"/>
    <cellStyle name="Normal 2 2 2 3 2 6 9" xfId="30220" xr:uid="{00000000-0005-0000-0000-00000B760000}"/>
    <cellStyle name="Normal 2 2 2 3 2 6 9 2" xfId="30221" xr:uid="{00000000-0005-0000-0000-00000C760000}"/>
    <cellStyle name="Normal 2 2 2 3 2 6 9 2 2" xfId="30222" xr:uid="{00000000-0005-0000-0000-00000D760000}"/>
    <cellStyle name="Normal 2 2 2 3 2 6 9 3" xfId="30223" xr:uid="{00000000-0005-0000-0000-00000E760000}"/>
    <cellStyle name="Normal 2 2 2 3 2 7" xfId="30224" xr:uid="{00000000-0005-0000-0000-00000F760000}"/>
    <cellStyle name="Normal 2 2 2 3 2 7 2" xfId="30225" xr:uid="{00000000-0005-0000-0000-000010760000}"/>
    <cellStyle name="Normal 2 2 2 3 2 7 2 2" xfId="30226" xr:uid="{00000000-0005-0000-0000-000011760000}"/>
    <cellStyle name="Normal 2 2 2 3 2 7 2 2 2" xfId="30227" xr:uid="{00000000-0005-0000-0000-000012760000}"/>
    <cellStyle name="Normal 2 2 2 3 2 7 2 2 2 2" xfId="30228" xr:uid="{00000000-0005-0000-0000-000013760000}"/>
    <cellStyle name="Normal 2 2 2 3 2 7 2 2 3" xfId="30229" xr:uid="{00000000-0005-0000-0000-000014760000}"/>
    <cellStyle name="Normal 2 2 2 3 2 7 2 3" xfId="30230" xr:uid="{00000000-0005-0000-0000-000015760000}"/>
    <cellStyle name="Normal 2 2 2 3 2 7 2 3 2" xfId="30231" xr:uid="{00000000-0005-0000-0000-000016760000}"/>
    <cellStyle name="Normal 2 2 2 3 2 7 2 4" xfId="30232" xr:uid="{00000000-0005-0000-0000-000017760000}"/>
    <cellStyle name="Normal 2 2 2 3 2 7 3" xfId="30233" xr:uid="{00000000-0005-0000-0000-000018760000}"/>
    <cellStyle name="Normal 2 2 2 3 2 7 3 2" xfId="30234" xr:uid="{00000000-0005-0000-0000-000019760000}"/>
    <cellStyle name="Normal 2 2 2 3 2 7 3 2 2" xfId="30235" xr:uid="{00000000-0005-0000-0000-00001A760000}"/>
    <cellStyle name="Normal 2 2 2 3 2 7 3 3" xfId="30236" xr:uid="{00000000-0005-0000-0000-00001B760000}"/>
    <cellStyle name="Normal 2 2 2 3 2 7 4" xfId="30237" xr:uid="{00000000-0005-0000-0000-00001C760000}"/>
    <cellStyle name="Normal 2 2 2 3 2 7 4 2" xfId="30238" xr:uid="{00000000-0005-0000-0000-00001D760000}"/>
    <cellStyle name="Normal 2 2 2 3 2 7 4 2 2" xfId="30239" xr:uid="{00000000-0005-0000-0000-00001E760000}"/>
    <cellStyle name="Normal 2 2 2 3 2 7 4 3" xfId="30240" xr:uid="{00000000-0005-0000-0000-00001F760000}"/>
    <cellStyle name="Normal 2 2 2 3 2 7 5" xfId="30241" xr:uid="{00000000-0005-0000-0000-000020760000}"/>
    <cellStyle name="Normal 2 2 2 3 2 7 5 2" xfId="30242" xr:uid="{00000000-0005-0000-0000-000021760000}"/>
    <cellStyle name="Normal 2 2 2 3 2 7 5 2 2" xfId="30243" xr:uid="{00000000-0005-0000-0000-000022760000}"/>
    <cellStyle name="Normal 2 2 2 3 2 7 5 3" xfId="30244" xr:uid="{00000000-0005-0000-0000-000023760000}"/>
    <cellStyle name="Normal 2 2 2 3 2 7 6" xfId="30245" xr:uid="{00000000-0005-0000-0000-000024760000}"/>
    <cellStyle name="Normal 2 2 2 3 2 7 6 2" xfId="30246" xr:uid="{00000000-0005-0000-0000-000025760000}"/>
    <cellStyle name="Normal 2 2 2 3 2 7 6 2 2" xfId="30247" xr:uid="{00000000-0005-0000-0000-000026760000}"/>
    <cellStyle name="Normal 2 2 2 3 2 7 6 3" xfId="30248" xr:uid="{00000000-0005-0000-0000-000027760000}"/>
    <cellStyle name="Normal 2 2 2 3 2 7 7" xfId="30249" xr:uid="{00000000-0005-0000-0000-000028760000}"/>
    <cellStyle name="Normal 2 2 2 3 2 7 7 2" xfId="30250" xr:uid="{00000000-0005-0000-0000-000029760000}"/>
    <cellStyle name="Normal 2 2 2 3 2 7 8" xfId="30251" xr:uid="{00000000-0005-0000-0000-00002A760000}"/>
    <cellStyle name="Normal 2 2 2 3 2 8" xfId="30252" xr:uid="{00000000-0005-0000-0000-00002B760000}"/>
    <cellStyle name="Normal 2 2 2 3 2 8 2" xfId="30253" xr:uid="{00000000-0005-0000-0000-00002C760000}"/>
    <cellStyle name="Normal 2 2 2 3 2 8 2 2" xfId="30254" xr:uid="{00000000-0005-0000-0000-00002D760000}"/>
    <cellStyle name="Normal 2 2 2 3 2 8 2 2 2" xfId="30255" xr:uid="{00000000-0005-0000-0000-00002E760000}"/>
    <cellStyle name="Normal 2 2 2 3 2 8 2 2 2 2" xfId="30256" xr:uid="{00000000-0005-0000-0000-00002F760000}"/>
    <cellStyle name="Normal 2 2 2 3 2 8 2 2 3" xfId="30257" xr:uid="{00000000-0005-0000-0000-000030760000}"/>
    <cellStyle name="Normal 2 2 2 3 2 8 2 3" xfId="30258" xr:uid="{00000000-0005-0000-0000-000031760000}"/>
    <cellStyle name="Normal 2 2 2 3 2 8 2 3 2" xfId="30259" xr:uid="{00000000-0005-0000-0000-000032760000}"/>
    <cellStyle name="Normal 2 2 2 3 2 8 2 4" xfId="30260" xr:uid="{00000000-0005-0000-0000-000033760000}"/>
    <cellStyle name="Normal 2 2 2 3 2 8 3" xfId="30261" xr:uid="{00000000-0005-0000-0000-000034760000}"/>
    <cellStyle name="Normal 2 2 2 3 2 8 3 2" xfId="30262" xr:uid="{00000000-0005-0000-0000-000035760000}"/>
    <cellStyle name="Normal 2 2 2 3 2 8 3 2 2" xfId="30263" xr:uid="{00000000-0005-0000-0000-000036760000}"/>
    <cellStyle name="Normal 2 2 2 3 2 8 3 3" xfId="30264" xr:uid="{00000000-0005-0000-0000-000037760000}"/>
    <cellStyle name="Normal 2 2 2 3 2 8 4" xfId="30265" xr:uid="{00000000-0005-0000-0000-000038760000}"/>
    <cellStyle name="Normal 2 2 2 3 2 8 4 2" xfId="30266" xr:uid="{00000000-0005-0000-0000-000039760000}"/>
    <cellStyle name="Normal 2 2 2 3 2 8 4 2 2" xfId="30267" xr:uid="{00000000-0005-0000-0000-00003A760000}"/>
    <cellStyle name="Normal 2 2 2 3 2 8 4 3" xfId="30268" xr:uid="{00000000-0005-0000-0000-00003B760000}"/>
    <cellStyle name="Normal 2 2 2 3 2 8 5" xfId="30269" xr:uid="{00000000-0005-0000-0000-00003C760000}"/>
    <cellStyle name="Normal 2 2 2 3 2 8 5 2" xfId="30270" xr:uid="{00000000-0005-0000-0000-00003D760000}"/>
    <cellStyle name="Normal 2 2 2 3 2 8 5 2 2" xfId="30271" xr:uid="{00000000-0005-0000-0000-00003E760000}"/>
    <cellStyle name="Normal 2 2 2 3 2 8 5 3" xfId="30272" xr:uid="{00000000-0005-0000-0000-00003F760000}"/>
    <cellStyle name="Normal 2 2 2 3 2 8 6" xfId="30273" xr:uid="{00000000-0005-0000-0000-000040760000}"/>
    <cellStyle name="Normal 2 2 2 3 2 8 6 2" xfId="30274" xr:uid="{00000000-0005-0000-0000-000041760000}"/>
    <cellStyle name="Normal 2 2 2 3 2 8 6 2 2" xfId="30275" xr:uid="{00000000-0005-0000-0000-000042760000}"/>
    <cellStyle name="Normal 2 2 2 3 2 8 6 3" xfId="30276" xr:uid="{00000000-0005-0000-0000-000043760000}"/>
    <cellStyle name="Normal 2 2 2 3 2 8 7" xfId="30277" xr:uid="{00000000-0005-0000-0000-000044760000}"/>
    <cellStyle name="Normal 2 2 2 3 2 8 7 2" xfId="30278" xr:uid="{00000000-0005-0000-0000-000045760000}"/>
    <cellStyle name="Normal 2 2 2 3 2 8 8" xfId="30279" xr:uid="{00000000-0005-0000-0000-000046760000}"/>
    <cellStyle name="Normal 2 2 2 3 2 9" xfId="30280" xr:uid="{00000000-0005-0000-0000-000047760000}"/>
    <cellStyle name="Normal 2 2 2 3 2 9 2" xfId="30281" xr:uid="{00000000-0005-0000-0000-000048760000}"/>
    <cellStyle name="Normal 2 2 2 3 2 9 2 2" xfId="30282" xr:uid="{00000000-0005-0000-0000-000049760000}"/>
    <cellStyle name="Normal 2 2 2 3 2 9 2 2 2" xfId="30283" xr:uid="{00000000-0005-0000-0000-00004A760000}"/>
    <cellStyle name="Normal 2 2 2 3 2 9 2 2 2 2" xfId="30284" xr:uid="{00000000-0005-0000-0000-00004B760000}"/>
    <cellStyle name="Normal 2 2 2 3 2 9 2 2 3" xfId="30285" xr:uid="{00000000-0005-0000-0000-00004C760000}"/>
    <cellStyle name="Normal 2 2 2 3 2 9 2 3" xfId="30286" xr:uid="{00000000-0005-0000-0000-00004D760000}"/>
    <cellStyle name="Normal 2 2 2 3 2 9 2 3 2" xfId="30287" xr:uid="{00000000-0005-0000-0000-00004E760000}"/>
    <cellStyle name="Normal 2 2 2 3 2 9 2 4" xfId="30288" xr:uid="{00000000-0005-0000-0000-00004F760000}"/>
    <cellStyle name="Normal 2 2 2 3 2 9 3" xfId="30289" xr:uid="{00000000-0005-0000-0000-000050760000}"/>
    <cellStyle name="Normal 2 2 2 3 2 9 3 2" xfId="30290" xr:uid="{00000000-0005-0000-0000-000051760000}"/>
    <cellStyle name="Normal 2 2 2 3 2 9 3 2 2" xfId="30291" xr:uid="{00000000-0005-0000-0000-000052760000}"/>
    <cellStyle name="Normal 2 2 2 3 2 9 3 3" xfId="30292" xr:uid="{00000000-0005-0000-0000-000053760000}"/>
    <cellStyle name="Normal 2 2 2 3 2 9 4" xfId="30293" xr:uid="{00000000-0005-0000-0000-000054760000}"/>
    <cellStyle name="Normal 2 2 2 3 2 9 4 2" xfId="30294" xr:uid="{00000000-0005-0000-0000-000055760000}"/>
    <cellStyle name="Normal 2 2 2 3 2 9 4 2 2" xfId="30295" xr:uid="{00000000-0005-0000-0000-000056760000}"/>
    <cellStyle name="Normal 2 2 2 3 2 9 4 3" xfId="30296" xr:uid="{00000000-0005-0000-0000-000057760000}"/>
    <cellStyle name="Normal 2 2 2 3 2 9 5" xfId="30297" xr:uid="{00000000-0005-0000-0000-000058760000}"/>
    <cellStyle name="Normal 2 2 2 3 2 9 5 2" xfId="30298" xr:uid="{00000000-0005-0000-0000-000059760000}"/>
    <cellStyle name="Normal 2 2 2 3 2 9 5 2 2" xfId="30299" xr:uid="{00000000-0005-0000-0000-00005A760000}"/>
    <cellStyle name="Normal 2 2 2 3 2 9 5 3" xfId="30300" xr:uid="{00000000-0005-0000-0000-00005B760000}"/>
    <cellStyle name="Normal 2 2 2 3 2 9 6" xfId="30301" xr:uid="{00000000-0005-0000-0000-00005C760000}"/>
    <cellStyle name="Normal 2 2 2 3 2 9 6 2" xfId="30302" xr:uid="{00000000-0005-0000-0000-00005D760000}"/>
    <cellStyle name="Normal 2 2 2 3 2 9 6 2 2" xfId="30303" xr:uid="{00000000-0005-0000-0000-00005E760000}"/>
    <cellStyle name="Normal 2 2 2 3 2 9 6 3" xfId="30304" xr:uid="{00000000-0005-0000-0000-00005F760000}"/>
    <cellStyle name="Normal 2 2 2 3 2 9 7" xfId="30305" xr:uid="{00000000-0005-0000-0000-000060760000}"/>
    <cellStyle name="Normal 2 2 2 3 2 9 7 2" xfId="30306" xr:uid="{00000000-0005-0000-0000-000061760000}"/>
    <cellStyle name="Normal 2 2 2 3 2 9 8" xfId="30307" xr:uid="{00000000-0005-0000-0000-000062760000}"/>
    <cellStyle name="Normal 2 2 2 3 20" xfId="30308" xr:uid="{00000000-0005-0000-0000-000063760000}"/>
    <cellStyle name="Normal 2 2 2 3 20 2" xfId="30309" xr:uid="{00000000-0005-0000-0000-000064760000}"/>
    <cellStyle name="Normal 2 2 2 3 21" xfId="30310" xr:uid="{00000000-0005-0000-0000-000065760000}"/>
    <cellStyle name="Normal 2 2 2 3 3" xfId="30311" xr:uid="{00000000-0005-0000-0000-000066760000}"/>
    <cellStyle name="Normal 2 2 2 3 3 10" xfId="30312" xr:uid="{00000000-0005-0000-0000-000067760000}"/>
    <cellStyle name="Normal 2 2 2 3 3 10 2" xfId="30313" xr:uid="{00000000-0005-0000-0000-000068760000}"/>
    <cellStyle name="Normal 2 2 2 3 3 10 2 2" xfId="30314" xr:uid="{00000000-0005-0000-0000-000069760000}"/>
    <cellStyle name="Normal 2 2 2 3 3 10 3" xfId="30315" xr:uid="{00000000-0005-0000-0000-00006A760000}"/>
    <cellStyle name="Normal 2 2 2 3 3 11" xfId="30316" xr:uid="{00000000-0005-0000-0000-00006B760000}"/>
    <cellStyle name="Normal 2 2 2 3 3 11 2" xfId="30317" xr:uid="{00000000-0005-0000-0000-00006C760000}"/>
    <cellStyle name="Normal 2 2 2 3 3 11 2 2" xfId="30318" xr:uid="{00000000-0005-0000-0000-00006D760000}"/>
    <cellStyle name="Normal 2 2 2 3 3 11 3" xfId="30319" xr:uid="{00000000-0005-0000-0000-00006E760000}"/>
    <cellStyle name="Normal 2 2 2 3 3 12" xfId="30320" xr:uid="{00000000-0005-0000-0000-00006F760000}"/>
    <cellStyle name="Normal 2 2 2 3 3 12 2" xfId="30321" xr:uid="{00000000-0005-0000-0000-000070760000}"/>
    <cellStyle name="Normal 2 2 2 3 3 12 2 2" xfId="30322" xr:uid="{00000000-0005-0000-0000-000071760000}"/>
    <cellStyle name="Normal 2 2 2 3 3 12 3" xfId="30323" xr:uid="{00000000-0005-0000-0000-000072760000}"/>
    <cellStyle name="Normal 2 2 2 3 3 13" xfId="30324" xr:uid="{00000000-0005-0000-0000-000073760000}"/>
    <cellStyle name="Normal 2 2 2 3 3 13 2" xfId="30325" xr:uid="{00000000-0005-0000-0000-000074760000}"/>
    <cellStyle name="Normal 2 2 2 3 3 14" xfId="30326" xr:uid="{00000000-0005-0000-0000-000075760000}"/>
    <cellStyle name="Normal 2 2 2 3 3 2" xfId="30327" xr:uid="{00000000-0005-0000-0000-000076760000}"/>
    <cellStyle name="Normal 2 2 2 3 3 2 2" xfId="30328" xr:uid="{00000000-0005-0000-0000-000077760000}"/>
    <cellStyle name="Normal 2 2 2 3 3 2 2 2" xfId="30329" xr:uid="{00000000-0005-0000-0000-000078760000}"/>
    <cellStyle name="Normal 2 2 2 3 3 2 2 2 2" xfId="30330" xr:uid="{00000000-0005-0000-0000-000079760000}"/>
    <cellStyle name="Normal 2 2 2 3 3 2 2 2 2 2" xfId="30331" xr:uid="{00000000-0005-0000-0000-00007A760000}"/>
    <cellStyle name="Normal 2 2 2 3 3 2 2 2 3" xfId="30332" xr:uid="{00000000-0005-0000-0000-00007B760000}"/>
    <cellStyle name="Normal 2 2 2 3 3 2 2 3" xfId="30333" xr:uid="{00000000-0005-0000-0000-00007C760000}"/>
    <cellStyle name="Normal 2 2 2 3 3 2 2 3 2" xfId="30334" xr:uid="{00000000-0005-0000-0000-00007D760000}"/>
    <cellStyle name="Normal 2 2 2 3 3 2 2 4" xfId="30335" xr:uid="{00000000-0005-0000-0000-00007E760000}"/>
    <cellStyle name="Normal 2 2 2 3 3 2 3" xfId="30336" xr:uid="{00000000-0005-0000-0000-00007F760000}"/>
    <cellStyle name="Normal 2 2 2 3 3 2 3 2" xfId="30337" xr:uid="{00000000-0005-0000-0000-000080760000}"/>
    <cellStyle name="Normal 2 2 2 3 3 2 3 2 2" xfId="30338" xr:uid="{00000000-0005-0000-0000-000081760000}"/>
    <cellStyle name="Normal 2 2 2 3 3 2 3 3" xfId="30339" xr:uid="{00000000-0005-0000-0000-000082760000}"/>
    <cellStyle name="Normal 2 2 2 3 3 2 4" xfId="30340" xr:uid="{00000000-0005-0000-0000-000083760000}"/>
    <cellStyle name="Normal 2 2 2 3 3 2 4 2" xfId="30341" xr:uid="{00000000-0005-0000-0000-000084760000}"/>
    <cellStyle name="Normal 2 2 2 3 3 2 4 2 2" xfId="30342" xr:uid="{00000000-0005-0000-0000-000085760000}"/>
    <cellStyle name="Normal 2 2 2 3 3 2 4 3" xfId="30343" xr:uid="{00000000-0005-0000-0000-000086760000}"/>
    <cellStyle name="Normal 2 2 2 3 3 2 5" xfId="30344" xr:uid="{00000000-0005-0000-0000-000087760000}"/>
    <cellStyle name="Normal 2 2 2 3 3 2 5 2" xfId="30345" xr:uid="{00000000-0005-0000-0000-000088760000}"/>
    <cellStyle name="Normal 2 2 2 3 3 2 5 2 2" xfId="30346" xr:uid="{00000000-0005-0000-0000-000089760000}"/>
    <cellStyle name="Normal 2 2 2 3 3 2 5 3" xfId="30347" xr:uid="{00000000-0005-0000-0000-00008A760000}"/>
    <cellStyle name="Normal 2 2 2 3 3 2 6" xfId="30348" xr:uid="{00000000-0005-0000-0000-00008B760000}"/>
    <cellStyle name="Normal 2 2 2 3 3 2 6 2" xfId="30349" xr:uid="{00000000-0005-0000-0000-00008C760000}"/>
    <cellStyle name="Normal 2 2 2 3 3 2 6 2 2" xfId="30350" xr:uid="{00000000-0005-0000-0000-00008D760000}"/>
    <cellStyle name="Normal 2 2 2 3 3 2 6 3" xfId="30351" xr:uid="{00000000-0005-0000-0000-00008E760000}"/>
    <cellStyle name="Normal 2 2 2 3 3 2 7" xfId="30352" xr:uid="{00000000-0005-0000-0000-00008F760000}"/>
    <cellStyle name="Normal 2 2 2 3 3 2 7 2" xfId="30353" xr:uid="{00000000-0005-0000-0000-000090760000}"/>
    <cellStyle name="Normal 2 2 2 3 3 2 8" xfId="30354" xr:uid="{00000000-0005-0000-0000-000091760000}"/>
    <cellStyle name="Normal 2 2 2 3 3 3" xfId="30355" xr:uid="{00000000-0005-0000-0000-000092760000}"/>
    <cellStyle name="Normal 2 2 2 3 3 3 2" xfId="30356" xr:uid="{00000000-0005-0000-0000-000093760000}"/>
    <cellStyle name="Normal 2 2 2 3 3 3 2 2" xfId="30357" xr:uid="{00000000-0005-0000-0000-000094760000}"/>
    <cellStyle name="Normal 2 2 2 3 3 3 2 2 2" xfId="30358" xr:uid="{00000000-0005-0000-0000-000095760000}"/>
    <cellStyle name="Normal 2 2 2 3 3 3 2 2 2 2" xfId="30359" xr:uid="{00000000-0005-0000-0000-000096760000}"/>
    <cellStyle name="Normal 2 2 2 3 3 3 2 2 3" xfId="30360" xr:uid="{00000000-0005-0000-0000-000097760000}"/>
    <cellStyle name="Normal 2 2 2 3 3 3 2 3" xfId="30361" xr:uid="{00000000-0005-0000-0000-000098760000}"/>
    <cellStyle name="Normal 2 2 2 3 3 3 2 3 2" xfId="30362" xr:uid="{00000000-0005-0000-0000-000099760000}"/>
    <cellStyle name="Normal 2 2 2 3 3 3 2 4" xfId="30363" xr:uid="{00000000-0005-0000-0000-00009A760000}"/>
    <cellStyle name="Normal 2 2 2 3 3 3 3" xfId="30364" xr:uid="{00000000-0005-0000-0000-00009B760000}"/>
    <cellStyle name="Normal 2 2 2 3 3 3 3 2" xfId="30365" xr:uid="{00000000-0005-0000-0000-00009C760000}"/>
    <cellStyle name="Normal 2 2 2 3 3 3 3 2 2" xfId="30366" xr:uid="{00000000-0005-0000-0000-00009D760000}"/>
    <cellStyle name="Normal 2 2 2 3 3 3 3 3" xfId="30367" xr:uid="{00000000-0005-0000-0000-00009E760000}"/>
    <cellStyle name="Normal 2 2 2 3 3 3 4" xfId="30368" xr:uid="{00000000-0005-0000-0000-00009F760000}"/>
    <cellStyle name="Normal 2 2 2 3 3 3 4 2" xfId="30369" xr:uid="{00000000-0005-0000-0000-0000A0760000}"/>
    <cellStyle name="Normal 2 2 2 3 3 3 4 2 2" xfId="30370" xr:uid="{00000000-0005-0000-0000-0000A1760000}"/>
    <cellStyle name="Normal 2 2 2 3 3 3 4 3" xfId="30371" xr:uid="{00000000-0005-0000-0000-0000A2760000}"/>
    <cellStyle name="Normal 2 2 2 3 3 3 5" xfId="30372" xr:uid="{00000000-0005-0000-0000-0000A3760000}"/>
    <cellStyle name="Normal 2 2 2 3 3 3 5 2" xfId="30373" xr:uid="{00000000-0005-0000-0000-0000A4760000}"/>
    <cellStyle name="Normal 2 2 2 3 3 3 5 2 2" xfId="30374" xr:uid="{00000000-0005-0000-0000-0000A5760000}"/>
    <cellStyle name="Normal 2 2 2 3 3 3 5 3" xfId="30375" xr:uid="{00000000-0005-0000-0000-0000A6760000}"/>
    <cellStyle name="Normal 2 2 2 3 3 3 6" xfId="30376" xr:uid="{00000000-0005-0000-0000-0000A7760000}"/>
    <cellStyle name="Normal 2 2 2 3 3 3 6 2" xfId="30377" xr:uid="{00000000-0005-0000-0000-0000A8760000}"/>
    <cellStyle name="Normal 2 2 2 3 3 3 6 2 2" xfId="30378" xr:uid="{00000000-0005-0000-0000-0000A9760000}"/>
    <cellStyle name="Normal 2 2 2 3 3 3 6 3" xfId="30379" xr:uid="{00000000-0005-0000-0000-0000AA760000}"/>
    <cellStyle name="Normal 2 2 2 3 3 3 7" xfId="30380" xr:uid="{00000000-0005-0000-0000-0000AB760000}"/>
    <cellStyle name="Normal 2 2 2 3 3 3 7 2" xfId="30381" xr:uid="{00000000-0005-0000-0000-0000AC760000}"/>
    <cellStyle name="Normal 2 2 2 3 3 3 8" xfId="30382" xr:uid="{00000000-0005-0000-0000-0000AD760000}"/>
    <cellStyle name="Normal 2 2 2 3 3 4" xfId="30383" xr:uid="{00000000-0005-0000-0000-0000AE760000}"/>
    <cellStyle name="Normal 2 2 2 3 3 4 2" xfId="30384" xr:uid="{00000000-0005-0000-0000-0000AF760000}"/>
    <cellStyle name="Normal 2 2 2 3 3 4 2 2" xfId="30385" xr:uid="{00000000-0005-0000-0000-0000B0760000}"/>
    <cellStyle name="Normal 2 2 2 3 3 4 2 2 2" xfId="30386" xr:uid="{00000000-0005-0000-0000-0000B1760000}"/>
    <cellStyle name="Normal 2 2 2 3 3 4 2 2 2 2" xfId="30387" xr:uid="{00000000-0005-0000-0000-0000B2760000}"/>
    <cellStyle name="Normal 2 2 2 3 3 4 2 2 3" xfId="30388" xr:uid="{00000000-0005-0000-0000-0000B3760000}"/>
    <cellStyle name="Normal 2 2 2 3 3 4 2 3" xfId="30389" xr:uid="{00000000-0005-0000-0000-0000B4760000}"/>
    <cellStyle name="Normal 2 2 2 3 3 4 2 3 2" xfId="30390" xr:uid="{00000000-0005-0000-0000-0000B5760000}"/>
    <cellStyle name="Normal 2 2 2 3 3 4 2 4" xfId="30391" xr:uid="{00000000-0005-0000-0000-0000B6760000}"/>
    <cellStyle name="Normal 2 2 2 3 3 4 3" xfId="30392" xr:uid="{00000000-0005-0000-0000-0000B7760000}"/>
    <cellStyle name="Normal 2 2 2 3 3 4 3 2" xfId="30393" xr:uid="{00000000-0005-0000-0000-0000B8760000}"/>
    <cellStyle name="Normal 2 2 2 3 3 4 3 2 2" xfId="30394" xr:uid="{00000000-0005-0000-0000-0000B9760000}"/>
    <cellStyle name="Normal 2 2 2 3 3 4 3 3" xfId="30395" xr:uid="{00000000-0005-0000-0000-0000BA760000}"/>
    <cellStyle name="Normal 2 2 2 3 3 4 4" xfId="30396" xr:uid="{00000000-0005-0000-0000-0000BB760000}"/>
    <cellStyle name="Normal 2 2 2 3 3 4 4 2" xfId="30397" xr:uid="{00000000-0005-0000-0000-0000BC760000}"/>
    <cellStyle name="Normal 2 2 2 3 3 4 4 2 2" xfId="30398" xr:uid="{00000000-0005-0000-0000-0000BD760000}"/>
    <cellStyle name="Normal 2 2 2 3 3 4 4 3" xfId="30399" xr:uid="{00000000-0005-0000-0000-0000BE760000}"/>
    <cellStyle name="Normal 2 2 2 3 3 4 5" xfId="30400" xr:uid="{00000000-0005-0000-0000-0000BF760000}"/>
    <cellStyle name="Normal 2 2 2 3 3 4 5 2" xfId="30401" xr:uid="{00000000-0005-0000-0000-0000C0760000}"/>
    <cellStyle name="Normal 2 2 2 3 3 4 5 2 2" xfId="30402" xr:uid="{00000000-0005-0000-0000-0000C1760000}"/>
    <cellStyle name="Normal 2 2 2 3 3 4 5 3" xfId="30403" xr:uid="{00000000-0005-0000-0000-0000C2760000}"/>
    <cellStyle name="Normal 2 2 2 3 3 4 6" xfId="30404" xr:uid="{00000000-0005-0000-0000-0000C3760000}"/>
    <cellStyle name="Normal 2 2 2 3 3 4 6 2" xfId="30405" xr:uid="{00000000-0005-0000-0000-0000C4760000}"/>
    <cellStyle name="Normal 2 2 2 3 3 4 6 2 2" xfId="30406" xr:uid="{00000000-0005-0000-0000-0000C5760000}"/>
    <cellStyle name="Normal 2 2 2 3 3 4 6 3" xfId="30407" xr:uid="{00000000-0005-0000-0000-0000C6760000}"/>
    <cellStyle name="Normal 2 2 2 3 3 4 7" xfId="30408" xr:uid="{00000000-0005-0000-0000-0000C7760000}"/>
    <cellStyle name="Normal 2 2 2 3 3 4 7 2" xfId="30409" xr:uid="{00000000-0005-0000-0000-0000C8760000}"/>
    <cellStyle name="Normal 2 2 2 3 3 4 8" xfId="30410" xr:uid="{00000000-0005-0000-0000-0000C9760000}"/>
    <cellStyle name="Normal 2 2 2 3 3 5" xfId="30411" xr:uid="{00000000-0005-0000-0000-0000CA760000}"/>
    <cellStyle name="Normal 2 2 2 3 3 5 2" xfId="30412" xr:uid="{00000000-0005-0000-0000-0000CB760000}"/>
    <cellStyle name="Normal 2 2 2 3 3 5 2 2" xfId="30413" xr:uid="{00000000-0005-0000-0000-0000CC760000}"/>
    <cellStyle name="Normal 2 2 2 3 3 5 2 2 2" xfId="30414" xr:uid="{00000000-0005-0000-0000-0000CD760000}"/>
    <cellStyle name="Normal 2 2 2 3 3 5 2 2 2 2" xfId="30415" xr:uid="{00000000-0005-0000-0000-0000CE760000}"/>
    <cellStyle name="Normal 2 2 2 3 3 5 2 2 3" xfId="30416" xr:uid="{00000000-0005-0000-0000-0000CF760000}"/>
    <cellStyle name="Normal 2 2 2 3 3 5 2 3" xfId="30417" xr:uid="{00000000-0005-0000-0000-0000D0760000}"/>
    <cellStyle name="Normal 2 2 2 3 3 5 2 3 2" xfId="30418" xr:uid="{00000000-0005-0000-0000-0000D1760000}"/>
    <cellStyle name="Normal 2 2 2 3 3 5 2 4" xfId="30419" xr:uid="{00000000-0005-0000-0000-0000D2760000}"/>
    <cellStyle name="Normal 2 2 2 3 3 5 3" xfId="30420" xr:uid="{00000000-0005-0000-0000-0000D3760000}"/>
    <cellStyle name="Normal 2 2 2 3 3 5 3 2" xfId="30421" xr:uid="{00000000-0005-0000-0000-0000D4760000}"/>
    <cellStyle name="Normal 2 2 2 3 3 5 3 2 2" xfId="30422" xr:uid="{00000000-0005-0000-0000-0000D5760000}"/>
    <cellStyle name="Normal 2 2 2 3 3 5 3 3" xfId="30423" xr:uid="{00000000-0005-0000-0000-0000D6760000}"/>
    <cellStyle name="Normal 2 2 2 3 3 5 4" xfId="30424" xr:uid="{00000000-0005-0000-0000-0000D7760000}"/>
    <cellStyle name="Normal 2 2 2 3 3 5 4 2" xfId="30425" xr:uid="{00000000-0005-0000-0000-0000D8760000}"/>
    <cellStyle name="Normal 2 2 2 3 3 5 5" xfId="30426" xr:uid="{00000000-0005-0000-0000-0000D9760000}"/>
    <cellStyle name="Normal 2 2 2 3 3 6" xfId="30427" xr:uid="{00000000-0005-0000-0000-0000DA760000}"/>
    <cellStyle name="Normal 2 2 2 3 3 6 2" xfId="30428" xr:uid="{00000000-0005-0000-0000-0000DB760000}"/>
    <cellStyle name="Normal 2 2 2 3 3 6 2 2" xfId="30429" xr:uid="{00000000-0005-0000-0000-0000DC760000}"/>
    <cellStyle name="Normal 2 2 2 3 3 6 2 2 2" xfId="30430" xr:uid="{00000000-0005-0000-0000-0000DD760000}"/>
    <cellStyle name="Normal 2 2 2 3 3 6 2 2 2 2" xfId="30431" xr:uid="{00000000-0005-0000-0000-0000DE760000}"/>
    <cellStyle name="Normal 2 2 2 3 3 6 2 2 3" xfId="30432" xr:uid="{00000000-0005-0000-0000-0000DF760000}"/>
    <cellStyle name="Normal 2 2 2 3 3 6 2 3" xfId="30433" xr:uid="{00000000-0005-0000-0000-0000E0760000}"/>
    <cellStyle name="Normal 2 2 2 3 3 6 2 3 2" xfId="30434" xr:uid="{00000000-0005-0000-0000-0000E1760000}"/>
    <cellStyle name="Normal 2 2 2 3 3 6 2 4" xfId="30435" xr:uid="{00000000-0005-0000-0000-0000E2760000}"/>
    <cellStyle name="Normal 2 2 2 3 3 6 3" xfId="30436" xr:uid="{00000000-0005-0000-0000-0000E3760000}"/>
    <cellStyle name="Normal 2 2 2 3 3 6 3 2" xfId="30437" xr:uid="{00000000-0005-0000-0000-0000E4760000}"/>
    <cellStyle name="Normal 2 2 2 3 3 6 3 2 2" xfId="30438" xr:uid="{00000000-0005-0000-0000-0000E5760000}"/>
    <cellStyle name="Normal 2 2 2 3 3 6 3 3" xfId="30439" xr:uid="{00000000-0005-0000-0000-0000E6760000}"/>
    <cellStyle name="Normal 2 2 2 3 3 6 4" xfId="30440" xr:uid="{00000000-0005-0000-0000-0000E7760000}"/>
    <cellStyle name="Normal 2 2 2 3 3 6 4 2" xfId="30441" xr:uid="{00000000-0005-0000-0000-0000E8760000}"/>
    <cellStyle name="Normal 2 2 2 3 3 6 5" xfId="30442" xr:uid="{00000000-0005-0000-0000-0000E9760000}"/>
    <cellStyle name="Normal 2 2 2 3 3 7" xfId="30443" xr:uid="{00000000-0005-0000-0000-0000EA760000}"/>
    <cellStyle name="Normal 2 2 2 3 3 7 2" xfId="30444" xr:uid="{00000000-0005-0000-0000-0000EB760000}"/>
    <cellStyle name="Normal 2 2 2 3 3 7 2 2" xfId="30445" xr:uid="{00000000-0005-0000-0000-0000EC760000}"/>
    <cellStyle name="Normal 2 2 2 3 3 7 2 2 2" xfId="30446" xr:uid="{00000000-0005-0000-0000-0000ED760000}"/>
    <cellStyle name="Normal 2 2 2 3 3 7 2 3" xfId="30447" xr:uid="{00000000-0005-0000-0000-0000EE760000}"/>
    <cellStyle name="Normal 2 2 2 3 3 7 3" xfId="30448" xr:uid="{00000000-0005-0000-0000-0000EF760000}"/>
    <cellStyle name="Normal 2 2 2 3 3 7 3 2" xfId="30449" xr:uid="{00000000-0005-0000-0000-0000F0760000}"/>
    <cellStyle name="Normal 2 2 2 3 3 7 4" xfId="30450" xr:uid="{00000000-0005-0000-0000-0000F1760000}"/>
    <cellStyle name="Normal 2 2 2 3 3 8" xfId="30451" xr:uid="{00000000-0005-0000-0000-0000F2760000}"/>
    <cellStyle name="Normal 2 2 2 3 3 8 2" xfId="30452" xr:uid="{00000000-0005-0000-0000-0000F3760000}"/>
    <cellStyle name="Normal 2 2 2 3 3 8 2 2" xfId="30453" xr:uid="{00000000-0005-0000-0000-0000F4760000}"/>
    <cellStyle name="Normal 2 2 2 3 3 8 2 2 2" xfId="30454" xr:uid="{00000000-0005-0000-0000-0000F5760000}"/>
    <cellStyle name="Normal 2 2 2 3 3 8 2 3" xfId="30455" xr:uid="{00000000-0005-0000-0000-0000F6760000}"/>
    <cellStyle name="Normal 2 2 2 3 3 8 3" xfId="30456" xr:uid="{00000000-0005-0000-0000-0000F7760000}"/>
    <cellStyle name="Normal 2 2 2 3 3 8 3 2" xfId="30457" xr:uid="{00000000-0005-0000-0000-0000F8760000}"/>
    <cellStyle name="Normal 2 2 2 3 3 8 4" xfId="30458" xr:uid="{00000000-0005-0000-0000-0000F9760000}"/>
    <cellStyle name="Normal 2 2 2 3 3 9" xfId="30459" xr:uid="{00000000-0005-0000-0000-0000FA760000}"/>
    <cellStyle name="Normal 2 2 2 3 3 9 2" xfId="30460" xr:uid="{00000000-0005-0000-0000-0000FB760000}"/>
    <cellStyle name="Normal 2 2 2 3 3 9 2 2" xfId="30461" xr:uid="{00000000-0005-0000-0000-0000FC760000}"/>
    <cellStyle name="Normal 2 2 2 3 3 9 3" xfId="30462" xr:uid="{00000000-0005-0000-0000-0000FD760000}"/>
    <cellStyle name="Normal 2 2 2 3 4" xfId="30463" xr:uid="{00000000-0005-0000-0000-0000FE760000}"/>
    <cellStyle name="Normal 2 2 2 3 4 10" xfId="30464" xr:uid="{00000000-0005-0000-0000-0000FF760000}"/>
    <cellStyle name="Normal 2 2 2 3 4 10 2" xfId="30465" xr:uid="{00000000-0005-0000-0000-000000770000}"/>
    <cellStyle name="Normal 2 2 2 3 4 10 2 2" xfId="30466" xr:uid="{00000000-0005-0000-0000-000001770000}"/>
    <cellStyle name="Normal 2 2 2 3 4 10 3" xfId="30467" xr:uid="{00000000-0005-0000-0000-000002770000}"/>
    <cellStyle name="Normal 2 2 2 3 4 11" xfId="30468" xr:uid="{00000000-0005-0000-0000-000003770000}"/>
    <cellStyle name="Normal 2 2 2 3 4 11 2" xfId="30469" xr:uid="{00000000-0005-0000-0000-000004770000}"/>
    <cellStyle name="Normal 2 2 2 3 4 11 2 2" xfId="30470" xr:uid="{00000000-0005-0000-0000-000005770000}"/>
    <cellStyle name="Normal 2 2 2 3 4 11 3" xfId="30471" xr:uid="{00000000-0005-0000-0000-000006770000}"/>
    <cellStyle name="Normal 2 2 2 3 4 12" xfId="30472" xr:uid="{00000000-0005-0000-0000-000007770000}"/>
    <cellStyle name="Normal 2 2 2 3 4 12 2" xfId="30473" xr:uid="{00000000-0005-0000-0000-000008770000}"/>
    <cellStyle name="Normal 2 2 2 3 4 12 2 2" xfId="30474" xr:uid="{00000000-0005-0000-0000-000009770000}"/>
    <cellStyle name="Normal 2 2 2 3 4 12 3" xfId="30475" xr:uid="{00000000-0005-0000-0000-00000A770000}"/>
    <cellStyle name="Normal 2 2 2 3 4 13" xfId="30476" xr:uid="{00000000-0005-0000-0000-00000B770000}"/>
    <cellStyle name="Normal 2 2 2 3 4 13 2" xfId="30477" xr:uid="{00000000-0005-0000-0000-00000C770000}"/>
    <cellStyle name="Normal 2 2 2 3 4 14" xfId="30478" xr:uid="{00000000-0005-0000-0000-00000D770000}"/>
    <cellStyle name="Normal 2 2 2 3 4 2" xfId="30479" xr:uid="{00000000-0005-0000-0000-00000E770000}"/>
    <cellStyle name="Normal 2 2 2 3 4 2 2" xfId="30480" xr:uid="{00000000-0005-0000-0000-00000F770000}"/>
    <cellStyle name="Normal 2 2 2 3 4 2 2 2" xfId="30481" xr:uid="{00000000-0005-0000-0000-000010770000}"/>
    <cellStyle name="Normal 2 2 2 3 4 2 2 2 2" xfId="30482" xr:uid="{00000000-0005-0000-0000-000011770000}"/>
    <cellStyle name="Normal 2 2 2 3 4 2 2 2 2 2" xfId="30483" xr:uid="{00000000-0005-0000-0000-000012770000}"/>
    <cellStyle name="Normal 2 2 2 3 4 2 2 2 3" xfId="30484" xr:uid="{00000000-0005-0000-0000-000013770000}"/>
    <cellStyle name="Normal 2 2 2 3 4 2 2 3" xfId="30485" xr:uid="{00000000-0005-0000-0000-000014770000}"/>
    <cellStyle name="Normal 2 2 2 3 4 2 2 3 2" xfId="30486" xr:uid="{00000000-0005-0000-0000-000015770000}"/>
    <cellStyle name="Normal 2 2 2 3 4 2 2 4" xfId="30487" xr:uid="{00000000-0005-0000-0000-000016770000}"/>
    <cellStyle name="Normal 2 2 2 3 4 2 3" xfId="30488" xr:uid="{00000000-0005-0000-0000-000017770000}"/>
    <cellStyle name="Normal 2 2 2 3 4 2 3 2" xfId="30489" xr:uid="{00000000-0005-0000-0000-000018770000}"/>
    <cellStyle name="Normal 2 2 2 3 4 2 3 2 2" xfId="30490" xr:uid="{00000000-0005-0000-0000-000019770000}"/>
    <cellStyle name="Normal 2 2 2 3 4 2 3 3" xfId="30491" xr:uid="{00000000-0005-0000-0000-00001A770000}"/>
    <cellStyle name="Normal 2 2 2 3 4 2 4" xfId="30492" xr:uid="{00000000-0005-0000-0000-00001B770000}"/>
    <cellStyle name="Normal 2 2 2 3 4 2 4 2" xfId="30493" xr:uid="{00000000-0005-0000-0000-00001C770000}"/>
    <cellStyle name="Normal 2 2 2 3 4 2 4 2 2" xfId="30494" xr:uid="{00000000-0005-0000-0000-00001D770000}"/>
    <cellStyle name="Normal 2 2 2 3 4 2 4 3" xfId="30495" xr:uid="{00000000-0005-0000-0000-00001E770000}"/>
    <cellStyle name="Normal 2 2 2 3 4 2 5" xfId="30496" xr:uid="{00000000-0005-0000-0000-00001F770000}"/>
    <cellStyle name="Normal 2 2 2 3 4 2 5 2" xfId="30497" xr:uid="{00000000-0005-0000-0000-000020770000}"/>
    <cellStyle name="Normal 2 2 2 3 4 2 5 2 2" xfId="30498" xr:uid="{00000000-0005-0000-0000-000021770000}"/>
    <cellStyle name="Normal 2 2 2 3 4 2 5 3" xfId="30499" xr:uid="{00000000-0005-0000-0000-000022770000}"/>
    <cellStyle name="Normal 2 2 2 3 4 2 6" xfId="30500" xr:uid="{00000000-0005-0000-0000-000023770000}"/>
    <cellStyle name="Normal 2 2 2 3 4 2 6 2" xfId="30501" xr:uid="{00000000-0005-0000-0000-000024770000}"/>
    <cellStyle name="Normal 2 2 2 3 4 2 6 2 2" xfId="30502" xr:uid="{00000000-0005-0000-0000-000025770000}"/>
    <cellStyle name="Normal 2 2 2 3 4 2 6 3" xfId="30503" xr:uid="{00000000-0005-0000-0000-000026770000}"/>
    <cellStyle name="Normal 2 2 2 3 4 2 7" xfId="30504" xr:uid="{00000000-0005-0000-0000-000027770000}"/>
    <cellStyle name="Normal 2 2 2 3 4 2 7 2" xfId="30505" xr:uid="{00000000-0005-0000-0000-000028770000}"/>
    <cellStyle name="Normal 2 2 2 3 4 2 8" xfId="30506" xr:uid="{00000000-0005-0000-0000-000029770000}"/>
    <cellStyle name="Normal 2 2 2 3 4 3" xfId="30507" xr:uid="{00000000-0005-0000-0000-00002A770000}"/>
    <cellStyle name="Normal 2 2 2 3 4 3 2" xfId="30508" xr:uid="{00000000-0005-0000-0000-00002B770000}"/>
    <cellStyle name="Normal 2 2 2 3 4 3 2 2" xfId="30509" xr:uid="{00000000-0005-0000-0000-00002C770000}"/>
    <cellStyle name="Normal 2 2 2 3 4 3 2 2 2" xfId="30510" xr:uid="{00000000-0005-0000-0000-00002D770000}"/>
    <cellStyle name="Normal 2 2 2 3 4 3 2 2 2 2" xfId="30511" xr:uid="{00000000-0005-0000-0000-00002E770000}"/>
    <cellStyle name="Normal 2 2 2 3 4 3 2 2 3" xfId="30512" xr:uid="{00000000-0005-0000-0000-00002F770000}"/>
    <cellStyle name="Normal 2 2 2 3 4 3 2 3" xfId="30513" xr:uid="{00000000-0005-0000-0000-000030770000}"/>
    <cellStyle name="Normal 2 2 2 3 4 3 2 3 2" xfId="30514" xr:uid="{00000000-0005-0000-0000-000031770000}"/>
    <cellStyle name="Normal 2 2 2 3 4 3 2 4" xfId="30515" xr:uid="{00000000-0005-0000-0000-000032770000}"/>
    <cellStyle name="Normal 2 2 2 3 4 3 3" xfId="30516" xr:uid="{00000000-0005-0000-0000-000033770000}"/>
    <cellStyle name="Normal 2 2 2 3 4 3 3 2" xfId="30517" xr:uid="{00000000-0005-0000-0000-000034770000}"/>
    <cellStyle name="Normal 2 2 2 3 4 3 3 2 2" xfId="30518" xr:uid="{00000000-0005-0000-0000-000035770000}"/>
    <cellStyle name="Normal 2 2 2 3 4 3 3 3" xfId="30519" xr:uid="{00000000-0005-0000-0000-000036770000}"/>
    <cellStyle name="Normal 2 2 2 3 4 3 4" xfId="30520" xr:uid="{00000000-0005-0000-0000-000037770000}"/>
    <cellStyle name="Normal 2 2 2 3 4 3 4 2" xfId="30521" xr:uid="{00000000-0005-0000-0000-000038770000}"/>
    <cellStyle name="Normal 2 2 2 3 4 3 4 2 2" xfId="30522" xr:uid="{00000000-0005-0000-0000-000039770000}"/>
    <cellStyle name="Normal 2 2 2 3 4 3 4 3" xfId="30523" xr:uid="{00000000-0005-0000-0000-00003A770000}"/>
    <cellStyle name="Normal 2 2 2 3 4 3 5" xfId="30524" xr:uid="{00000000-0005-0000-0000-00003B770000}"/>
    <cellStyle name="Normal 2 2 2 3 4 3 5 2" xfId="30525" xr:uid="{00000000-0005-0000-0000-00003C770000}"/>
    <cellStyle name="Normal 2 2 2 3 4 3 5 2 2" xfId="30526" xr:uid="{00000000-0005-0000-0000-00003D770000}"/>
    <cellStyle name="Normal 2 2 2 3 4 3 5 3" xfId="30527" xr:uid="{00000000-0005-0000-0000-00003E770000}"/>
    <cellStyle name="Normal 2 2 2 3 4 3 6" xfId="30528" xr:uid="{00000000-0005-0000-0000-00003F770000}"/>
    <cellStyle name="Normal 2 2 2 3 4 3 6 2" xfId="30529" xr:uid="{00000000-0005-0000-0000-000040770000}"/>
    <cellStyle name="Normal 2 2 2 3 4 3 6 2 2" xfId="30530" xr:uid="{00000000-0005-0000-0000-000041770000}"/>
    <cellStyle name="Normal 2 2 2 3 4 3 6 3" xfId="30531" xr:uid="{00000000-0005-0000-0000-000042770000}"/>
    <cellStyle name="Normal 2 2 2 3 4 3 7" xfId="30532" xr:uid="{00000000-0005-0000-0000-000043770000}"/>
    <cellStyle name="Normal 2 2 2 3 4 3 7 2" xfId="30533" xr:uid="{00000000-0005-0000-0000-000044770000}"/>
    <cellStyle name="Normal 2 2 2 3 4 3 8" xfId="30534" xr:uid="{00000000-0005-0000-0000-000045770000}"/>
    <cellStyle name="Normal 2 2 2 3 4 4" xfId="30535" xr:uid="{00000000-0005-0000-0000-000046770000}"/>
    <cellStyle name="Normal 2 2 2 3 4 4 2" xfId="30536" xr:uid="{00000000-0005-0000-0000-000047770000}"/>
    <cellStyle name="Normal 2 2 2 3 4 4 2 2" xfId="30537" xr:uid="{00000000-0005-0000-0000-000048770000}"/>
    <cellStyle name="Normal 2 2 2 3 4 4 2 2 2" xfId="30538" xr:uid="{00000000-0005-0000-0000-000049770000}"/>
    <cellStyle name="Normal 2 2 2 3 4 4 2 2 2 2" xfId="30539" xr:uid="{00000000-0005-0000-0000-00004A770000}"/>
    <cellStyle name="Normal 2 2 2 3 4 4 2 2 3" xfId="30540" xr:uid="{00000000-0005-0000-0000-00004B770000}"/>
    <cellStyle name="Normal 2 2 2 3 4 4 2 3" xfId="30541" xr:uid="{00000000-0005-0000-0000-00004C770000}"/>
    <cellStyle name="Normal 2 2 2 3 4 4 2 3 2" xfId="30542" xr:uid="{00000000-0005-0000-0000-00004D770000}"/>
    <cellStyle name="Normal 2 2 2 3 4 4 2 4" xfId="30543" xr:uid="{00000000-0005-0000-0000-00004E770000}"/>
    <cellStyle name="Normal 2 2 2 3 4 4 3" xfId="30544" xr:uid="{00000000-0005-0000-0000-00004F770000}"/>
    <cellStyle name="Normal 2 2 2 3 4 4 3 2" xfId="30545" xr:uid="{00000000-0005-0000-0000-000050770000}"/>
    <cellStyle name="Normal 2 2 2 3 4 4 3 2 2" xfId="30546" xr:uid="{00000000-0005-0000-0000-000051770000}"/>
    <cellStyle name="Normal 2 2 2 3 4 4 3 3" xfId="30547" xr:uid="{00000000-0005-0000-0000-000052770000}"/>
    <cellStyle name="Normal 2 2 2 3 4 4 4" xfId="30548" xr:uid="{00000000-0005-0000-0000-000053770000}"/>
    <cellStyle name="Normal 2 2 2 3 4 4 4 2" xfId="30549" xr:uid="{00000000-0005-0000-0000-000054770000}"/>
    <cellStyle name="Normal 2 2 2 3 4 4 4 2 2" xfId="30550" xr:uid="{00000000-0005-0000-0000-000055770000}"/>
    <cellStyle name="Normal 2 2 2 3 4 4 4 3" xfId="30551" xr:uid="{00000000-0005-0000-0000-000056770000}"/>
    <cellStyle name="Normal 2 2 2 3 4 4 5" xfId="30552" xr:uid="{00000000-0005-0000-0000-000057770000}"/>
    <cellStyle name="Normal 2 2 2 3 4 4 5 2" xfId="30553" xr:uid="{00000000-0005-0000-0000-000058770000}"/>
    <cellStyle name="Normal 2 2 2 3 4 4 5 2 2" xfId="30554" xr:uid="{00000000-0005-0000-0000-000059770000}"/>
    <cellStyle name="Normal 2 2 2 3 4 4 5 3" xfId="30555" xr:uid="{00000000-0005-0000-0000-00005A770000}"/>
    <cellStyle name="Normal 2 2 2 3 4 4 6" xfId="30556" xr:uid="{00000000-0005-0000-0000-00005B770000}"/>
    <cellStyle name="Normal 2 2 2 3 4 4 6 2" xfId="30557" xr:uid="{00000000-0005-0000-0000-00005C770000}"/>
    <cellStyle name="Normal 2 2 2 3 4 4 6 2 2" xfId="30558" xr:uid="{00000000-0005-0000-0000-00005D770000}"/>
    <cellStyle name="Normal 2 2 2 3 4 4 6 3" xfId="30559" xr:uid="{00000000-0005-0000-0000-00005E770000}"/>
    <cellStyle name="Normal 2 2 2 3 4 4 7" xfId="30560" xr:uid="{00000000-0005-0000-0000-00005F770000}"/>
    <cellStyle name="Normal 2 2 2 3 4 4 7 2" xfId="30561" xr:uid="{00000000-0005-0000-0000-000060770000}"/>
    <cellStyle name="Normal 2 2 2 3 4 4 8" xfId="30562" xr:uid="{00000000-0005-0000-0000-000061770000}"/>
    <cellStyle name="Normal 2 2 2 3 4 5" xfId="30563" xr:uid="{00000000-0005-0000-0000-000062770000}"/>
    <cellStyle name="Normal 2 2 2 3 4 5 2" xfId="30564" xr:uid="{00000000-0005-0000-0000-000063770000}"/>
    <cellStyle name="Normal 2 2 2 3 4 5 2 2" xfId="30565" xr:uid="{00000000-0005-0000-0000-000064770000}"/>
    <cellStyle name="Normal 2 2 2 3 4 5 2 2 2" xfId="30566" xr:uid="{00000000-0005-0000-0000-000065770000}"/>
    <cellStyle name="Normal 2 2 2 3 4 5 2 2 2 2" xfId="30567" xr:uid="{00000000-0005-0000-0000-000066770000}"/>
    <cellStyle name="Normal 2 2 2 3 4 5 2 2 3" xfId="30568" xr:uid="{00000000-0005-0000-0000-000067770000}"/>
    <cellStyle name="Normal 2 2 2 3 4 5 2 3" xfId="30569" xr:uid="{00000000-0005-0000-0000-000068770000}"/>
    <cellStyle name="Normal 2 2 2 3 4 5 2 3 2" xfId="30570" xr:uid="{00000000-0005-0000-0000-000069770000}"/>
    <cellStyle name="Normal 2 2 2 3 4 5 2 4" xfId="30571" xr:uid="{00000000-0005-0000-0000-00006A770000}"/>
    <cellStyle name="Normal 2 2 2 3 4 5 3" xfId="30572" xr:uid="{00000000-0005-0000-0000-00006B770000}"/>
    <cellStyle name="Normal 2 2 2 3 4 5 3 2" xfId="30573" xr:uid="{00000000-0005-0000-0000-00006C770000}"/>
    <cellStyle name="Normal 2 2 2 3 4 5 3 2 2" xfId="30574" xr:uid="{00000000-0005-0000-0000-00006D770000}"/>
    <cellStyle name="Normal 2 2 2 3 4 5 3 3" xfId="30575" xr:uid="{00000000-0005-0000-0000-00006E770000}"/>
    <cellStyle name="Normal 2 2 2 3 4 5 4" xfId="30576" xr:uid="{00000000-0005-0000-0000-00006F770000}"/>
    <cellStyle name="Normal 2 2 2 3 4 5 4 2" xfId="30577" xr:uid="{00000000-0005-0000-0000-000070770000}"/>
    <cellStyle name="Normal 2 2 2 3 4 5 5" xfId="30578" xr:uid="{00000000-0005-0000-0000-000071770000}"/>
    <cellStyle name="Normal 2 2 2 3 4 6" xfId="30579" xr:uid="{00000000-0005-0000-0000-000072770000}"/>
    <cellStyle name="Normal 2 2 2 3 4 6 2" xfId="30580" xr:uid="{00000000-0005-0000-0000-000073770000}"/>
    <cellStyle name="Normal 2 2 2 3 4 6 2 2" xfId="30581" xr:uid="{00000000-0005-0000-0000-000074770000}"/>
    <cellStyle name="Normal 2 2 2 3 4 6 2 2 2" xfId="30582" xr:uid="{00000000-0005-0000-0000-000075770000}"/>
    <cellStyle name="Normal 2 2 2 3 4 6 2 2 2 2" xfId="30583" xr:uid="{00000000-0005-0000-0000-000076770000}"/>
    <cellStyle name="Normal 2 2 2 3 4 6 2 2 3" xfId="30584" xr:uid="{00000000-0005-0000-0000-000077770000}"/>
    <cellStyle name="Normal 2 2 2 3 4 6 2 3" xfId="30585" xr:uid="{00000000-0005-0000-0000-000078770000}"/>
    <cellStyle name="Normal 2 2 2 3 4 6 2 3 2" xfId="30586" xr:uid="{00000000-0005-0000-0000-000079770000}"/>
    <cellStyle name="Normal 2 2 2 3 4 6 2 4" xfId="30587" xr:uid="{00000000-0005-0000-0000-00007A770000}"/>
    <cellStyle name="Normal 2 2 2 3 4 6 3" xfId="30588" xr:uid="{00000000-0005-0000-0000-00007B770000}"/>
    <cellStyle name="Normal 2 2 2 3 4 6 3 2" xfId="30589" xr:uid="{00000000-0005-0000-0000-00007C770000}"/>
    <cellStyle name="Normal 2 2 2 3 4 6 3 2 2" xfId="30590" xr:uid="{00000000-0005-0000-0000-00007D770000}"/>
    <cellStyle name="Normal 2 2 2 3 4 6 3 3" xfId="30591" xr:uid="{00000000-0005-0000-0000-00007E770000}"/>
    <cellStyle name="Normal 2 2 2 3 4 6 4" xfId="30592" xr:uid="{00000000-0005-0000-0000-00007F770000}"/>
    <cellStyle name="Normal 2 2 2 3 4 6 4 2" xfId="30593" xr:uid="{00000000-0005-0000-0000-000080770000}"/>
    <cellStyle name="Normal 2 2 2 3 4 6 5" xfId="30594" xr:uid="{00000000-0005-0000-0000-000081770000}"/>
    <cellStyle name="Normal 2 2 2 3 4 7" xfId="30595" xr:uid="{00000000-0005-0000-0000-000082770000}"/>
    <cellStyle name="Normal 2 2 2 3 4 7 2" xfId="30596" xr:uid="{00000000-0005-0000-0000-000083770000}"/>
    <cellStyle name="Normal 2 2 2 3 4 7 2 2" xfId="30597" xr:uid="{00000000-0005-0000-0000-000084770000}"/>
    <cellStyle name="Normal 2 2 2 3 4 7 2 2 2" xfId="30598" xr:uid="{00000000-0005-0000-0000-000085770000}"/>
    <cellStyle name="Normal 2 2 2 3 4 7 2 3" xfId="30599" xr:uid="{00000000-0005-0000-0000-000086770000}"/>
    <cellStyle name="Normal 2 2 2 3 4 7 3" xfId="30600" xr:uid="{00000000-0005-0000-0000-000087770000}"/>
    <cellStyle name="Normal 2 2 2 3 4 7 3 2" xfId="30601" xr:uid="{00000000-0005-0000-0000-000088770000}"/>
    <cellStyle name="Normal 2 2 2 3 4 7 4" xfId="30602" xr:uid="{00000000-0005-0000-0000-000089770000}"/>
    <cellStyle name="Normal 2 2 2 3 4 8" xfId="30603" xr:uid="{00000000-0005-0000-0000-00008A770000}"/>
    <cellStyle name="Normal 2 2 2 3 4 8 2" xfId="30604" xr:uid="{00000000-0005-0000-0000-00008B770000}"/>
    <cellStyle name="Normal 2 2 2 3 4 8 2 2" xfId="30605" xr:uid="{00000000-0005-0000-0000-00008C770000}"/>
    <cellStyle name="Normal 2 2 2 3 4 8 2 2 2" xfId="30606" xr:uid="{00000000-0005-0000-0000-00008D770000}"/>
    <cellStyle name="Normal 2 2 2 3 4 8 2 3" xfId="30607" xr:uid="{00000000-0005-0000-0000-00008E770000}"/>
    <cellStyle name="Normal 2 2 2 3 4 8 3" xfId="30608" xr:uid="{00000000-0005-0000-0000-00008F770000}"/>
    <cellStyle name="Normal 2 2 2 3 4 8 3 2" xfId="30609" xr:uid="{00000000-0005-0000-0000-000090770000}"/>
    <cellStyle name="Normal 2 2 2 3 4 8 4" xfId="30610" xr:uid="{00000000-0005-0000-0000-000091770000}"/>
    <cellStyle name="Normal 2 2 2 3 4 9" xfId="30611" xr:uid="{00000000-0005-0000-0000-000092770000}"/>
    <cellStyle name="Normal 2 2 2 3 4 9 2" xfId="30612" xr:uid="{00000000-0005-0000-0000-000093770000}"/>
    <cellStyle name="Normal 2 2 2 3 4 9 2 2" xfId="30613" xr:uid="{00000000-0005-0000-0000-000094770000}"/>
    <cellStyle name="Normal 2 2 2 3 4 9 3" xfId="30614" xr:uid="{00000000-0005-0000-0000-000095770000}"/>
    <cellStyle name="Normal 2 2 2 3 5" xfId="30615" xr:uid="{00000000-0005-0000-0000-000096770000}"/>
    <cellStyle name="Normal 2 2 2 3 5 10" xfId="30616" xr:uid="{00000000-0005-0000-0000-000097770000}"/>
    <cellStyle name="Normal 2 2 2 3 5 10 2" xfId="30617" xr:uid="{00000000-0005-0000-0000-000098770000}"/>
    <cellStyle name="Normal 2 2 2 3 5 10 2 2" xfId="30618" xr:uid="{00000000-0005-0000-0000-000099770000}"/>
    <cellStyle name="Normal 2 2 2 3 5 10 3" xfId="30619" xr:uid="{00000000-0005-0000-0000-00009A770000}"/>
    <cellStyle name="Normal 2 2 2 3 5 11" xfId="30620" xr:uid="{00000000-0005-0000-0000-00009B770000}"/>
    <cellStyle name="Normal 2 2 2 3 5 11 2" xfId="30621" xr:uid="{00000000-0005-0000-0000-00009C770000}"/>
    <cellStyle name="Normal 2 2 2 3 5 11 2 2" xfId="30622" xr:uid="{00000000-0005-0000-0000-00009D770000}"/>
    <cellStyle name="Normal 2 2 2 3 5 11 3" xfId="30623" xr:uid="{00000000-0005-0000-0000-00009E770000}"/>
    <cellStyle name="Normal 2 2 2 3 5 12" xfId="30624" xr:uid="{00000000-0005-0000-0000-00009F770000}"/>
    <cellStyle name="Normal 2 2 2 3 5 12 2" xfId="30625" xr:uid="{00000000-0005-0000-0000-0000A0770000}"/>
    <cellStyle name="Normal 2 2 2 3 5 12 2 2" xfId="30626" xr:uid="{00000000-0005-0000-0000-0000A1770000}"/>
    <cellStyle name="Normal 2 2 2 3 5 12 3" xfId="30627" xr:uid="{00000000-0005-0000-0000-0000A2770000}"/>
    <cellStyle name="Normal 2 2 2 3 5 13" xfId="30628" xr:uid="{00000000-0005-0000-0000-0000A3770000}"/>
    <cellStyle name="Normal 2 2 2 3 5 13 2" xfId="30629" xr:uid="{00000000-0005-0000-0000-0000A4770000}"/>
    <cellStyle name="Normal 2 2 2 3 5 14" xfId="30630" xr:uid="{00000000-0005-0000-0000-0000A5770000}"/>
    <cellStyle name="Normal 2 2 2 3 5 2" xfId="30631" xr:uid="{00000000-0005-0000-0000-0000A6770000}"/>
    <cellStyle name="Normal 2 2 2 3 5 2 2" xfId="30632" xr:uid="{00000000-0005-0000-0000-0000A7770000}"/>
    <cellStyle name="Normal 2 2 2 3 5 2 2 2" xfId="30633" xr:uid="{00000000-0005-0000-0000-0000A8770000}"/>
    <cellStyle name="Normal 2 2 2 3 5 2 2 2 2" xfId="30634" xr:uid="{00000000-0005-0000-0000-0000A9770000}"/>
    <cellStyle name="Normal 2 2 2 3 5 2 2 2 2 2" xfId="30635" xr:uid="{00000000-0005-0000-0000-0000AA770000}"/>
    <cellStyle name="Normal 2 2 2 3 5 2 2 2 3" xfId="30636" xr:uid="{00000000-0005-0000-0000-0000AB770000}"/>
    <cellStyle name="Normal 2 2 2 3 5 2 2 3" xfId="30637" xr:uid="{00000000-0005-0000-0000-0000AC770000}"/>
    <cellStyle name="Normal 2 2 2 3 5 2 2 3 2" xfId="30638" xr:uid="{00000000-0005-0000-0000-0000AD770000}"/>
    <cellStyle name="Normal 2 2 2 3 5 2 2 4" xfId="30639" xr:uid="{00000000-0005-0000-0000-0000AE770000}"/>
    <cellStyle name="Normal 2 2 2 3 5 2 3" xfId="30640" xr:uid="{00000000-0005-0000-0000-0000AF770000}"/>
    <cellStyle name="Normal 2 2 2 3 5 2 3 2" xfId="30641" xr:uid="{00000000-0005-0000-0000-0000B0770000}"/>
    <cellStyle name="Normal 2 2 2 3 5 2 3 2 2" xfId="30642" xr:uid="{00000000-0005-0000-0000-0000B1770000}"/>
    <cellStyle name="Normal 2 2 2 3 5 2 3 3" xfId="30643" xr:uid="{00000000-0005-0000-0000-0000B2770000}"/>
    <cellStyle name="Normal 2 2 2 3 5 2 4" xfId="30644" xr:uid="{00000000-0005-0000-0000-0000B3770000}"/>
    <cellStyle name="Normal 2 2 2 3 5 2 4 2" xfId="30645" xr:uid="{00000000-0005-0000-0000-0000B4770000}"/>
    <cellStyle name="Normal 2 2 2 3 5 2 4 2 2" xfId="30646" xr:uid="{00000000-0005-0000-0000-0000B5770000}"/>
    <cellStyle name="Normal 2 2 2 3 5 2 4 3" xfId="30647" xr:uid="{00000000-0005-0000-0000-0000B6770000}"/>
    <cellStyle name="Normal 2 2 2 3 5 2 5" xfId="30648" xr:uid="{00000000-0005-0000-0000-0000B7770000}"/>
    <cellStyle name="Normal 2 2 2 3 5 2 5 2" xfId="30649" xr:uid="{00000000-0005-0000-0000-0000B8770000}"/>
    <cellStyle name="Normal 2 2 2 3 5 2 5 2 2" xfId="30650" xr:uid="{00000000-0005-0000-0000-0000B9770000}"/>
    <cellStyle name="Normal 2 2 2 3 5 2 5 3" xfId="30651" xr:uid="{00000000-0005-0000-0000-0000BA770000}"/>
    <cellStyle name="Normal 2 2 2 3 5 2 6" xfId="30652" xr:uid="{00000000-0005-0000-0000-0000BB770000}"/>
    <cellStyle name="Normal 2 2 2 3 5 2 6 2" xfId="30653" xr:uid="{00000000-0005-0000-0000-0000BC770000}"/>
    <cellStyle name="Normal 2 2 2 3 5 2 6 2 2" xfId="30654" xr:uid="{00000000-0005-0000-0000-0000BD770000}"/>
    <cellStyle name="Normal 2 2 2 3 5 2 6 3" xfId="30655" xr:uid="{00000000-0005-0000-0000-0000BE770000}"/>
    <cellStyle name="Normal 2 2 2 3 5 2 7" xfId="30656" xr:uid="{00000000-0005-0000-0000-0000BF770000}"/>
    <cellStyle name="Normal 2 2 2 3 5 2 7 2" xfId="30657" xr:uid="{00000000-0005-0000-0000-0000C0770000}"/>
    <cellStyle name="Normal 2 2 2 3 5 2 8" xfId="30658" xr:uid="{00000000-0005-0000-0000-0000C1770000}"/>
    <cellStyle name="Normal 2 2 2 3 5 3" xfId="30659" xr:uid="{00000000-0005-0000-0000-0000C2770000}"/>
    <cellStyle name="Normal 2 2 2 3 5 3 2" xfId="30660" xr:uid="{00000000-0005-0000-0000-0000C3770000}"/>
    <cellStyle name="Normal 2 2 2 3 5 3 2 2" xfId="30661" xr:uid="{00000000-0005-0000-0000-0000C4770000}"/>
    <cellStyle name="Normal 2 2 2 3 5 3 2 2 2" xfId="30662" xr:uid="{00000000-0005-0000-0000-0000C5770000}"/>
    <cellStyle name="Normal 2 2 2 3 5 3 2 2 2 2" xfId="30663" xr:uid="{00000000-0005-0000-0000-0000C6770000}"/>
    <cellStyle name="Normal 2 2 2 3 5 3 2 2 3" xfId="30664" xr:uid="{00000000-0005-0000-0000-0000C7770000}"/>
    <cellStyle name="Normal 2 2 2 3 5 3 2 3" xfId="30665" xr:uid="{00000000-0005-0000-0000-0000C8770000}"/>
    <cellStyle name="Normal 2 2 2 3 5 3 2 3 2" xfId="30666" xr:uid="{00000000-0005-0000-0000-0000C9770000}"/>
    <cellStyle name="Normal 2 2 2 3 5 3 2 4" xfId="30667" xr:uid="{00000000-0005-0000-0000-0000CA770000}"/>
    <cellStyle name="Normal 2 2 2 3 5 3 3" xfId="30668" xr:uid="{00000000-0005-0000-0000-0000CB770000}"/>
    <cellStyle name="Normal 2 2 2 3 5 3 3 2" xfId="30669" xr:uid="{00000000-0005-0000-0000-0000CC770000}"/>
    <cellStyle name="Normal 2 2 2 3 5 3 3 2 2" xfId="30670" xr:uid="{00000000-0005-0000-0000-0000CD770000}"/>
    <cellStyle name="Normal 2 2 2 3 5 3 3 3" xfId="30671" xr:uid="{00000000-0005-0000-0000-0000CE770000}"/>
    <cellStyle name="Normal 2 2 2 3 5 3 4" xfId="30672" xr:uid="{00000000-0005-0000-0000-0000CF770000}"/>
    <cellStyle name="Normal 2 2 2 3 5 3 4 2" xfId="30673" xr:uid="{00000000-0005-0000-0000-0000D0770000}"/>
    <cellStyle name="Normal 2 2 2 3 5 3 4 2 2" xfId="30674" xr:uid="{00000000-0005-0000-0000-0000D1770000}"/>
    <cellStyle name="Normal 2 2 2 3 5 3 4 3" xfId="30675" xr:uid="{00000000-0005-0000-0000-0000D2770000}"/>
    <cellStyle name="Normal 2 2 2 3 5 3 5" xfId="30676" xr:uid="{00000000-0005-0000-0000-0000D3770000}"/>
    <cellStyle name="Normal 2 2 2 3 5 3 5 2" xfId="30677" xr:uid="{00000000-0005-0000-0000-0000D4770000}"/>
    <cellStyle name="Normal 2 2 2 3 5 3 5 2 2" xfId="30678" xr:uid="{00000000-0005-0000-0000-0000D5770000}"/>
    <cellStyle name="Normal 2 2 2 3 5 3 5 3" xfId="30679" xr:uid="{00000000-0005-0000-0000-0000D6770000}"/>
    <cellStyle name="Normal 2 2 2 3 5 3 6" xfId="30680" xr:uid="{00000000-0005-0000-0000-0000D7770000}"/>
    <cellStyle name="Normal 2 2 2 3 5 3 6 2" xfId="30681" xr:uid="{00000000-0005-0000-0000-0000D8770000}"/>
    <cellStyle name="Normal 2 2 2 3 5 3 6 2 2" xfId="30682" xr:uid="{00000000-0005-0000-0000-0000D9770000}"/>
    <cellStyle name="Normal 2 2 2 3 5 3 6 3" xfId="30683" xr:uid="{00000000-0005-0000-0000-0000DA770000}"/>
    <cellStyle name="Normal 2 2 2 3 5 3 7" xfId="30684" xr:uid="{00000000-0005-0000-0000-0000DB770000}"/>
    <cellStyle name="Normal 2 2 2 3 5 3 7 2" xfId="30685" xr:uid="{00000000-0005-0000-0000-0000DC770000}"/>
    <cellStyle name="Normal 2 2 2 3 5 3 8" xfId="30686" xr:uid="{00000000-0005-0000-0000-0000DD770000}"/>
    <cellStyle name="Normal 2 2 2 3 5 4" xfId="30687" xr:uid="{00000000-0005-0000-0000-0000DE770000}"/>
    <cellStyle name="Normal 2 2 2 3 5 4 2" xfId="30688" xr:uid="{00000000-0005-0000-0000-0000DF770000}"/>
    <cellStyle name="Normal 2 2 2 3 5 4 2 2" xfId="30689" xr:uid="{00000000-0005-0000-0000-0000E0770000}"/>
    <cellStyle name="Normal 2 2 2 3 5 4 2 2 2" xfId="30690" xr:uid="{00000000-0005-0000-0000-0000E1770000}"/>
    <cellStyle name="Normal 2 2 2 3 5 4 2 2 2 2" xfId="30691" xr:uid="{00000000-0005-0000-0000-0000E2770000}"/>
    <cellStyle name="Normal 2 2 2 3 5 4 2 2 3" xfId="30692" xr:uid="{00000000-0005-0000-0000-0000E3770000}"/>
    <cellStyle name="Normal 2 2 2 3 5 4 2 3" xfId="30693" xr:uid="{00000000-0005-0000-0000-0000E4770000}"/>
    <cellStyle name="Normal 2 2 2 3 5 4 2 3 2" xfId="30694" xr:uid="{00000000-0005-0000-0000-0000E5770000}"/>
    <cellStyle name="Normal 2 2 2 3 5 4 2 4" xfId="30695" xr:uid="{00000000-0005-0000-0000-0000E6770000}"/>
    <cellStyle name="Normal 2 2 2 3 5 4 3" xfId="30696" xr:uid="{00000000-0005-0000-0000-0000E7770000}"/>
    <cellStyle name="Normal 2 2 2 3 5 4 3 2" xfId="30697" xr:uid="{00000000-0005-0000-0000-0000E8770000}"/>
    <cellStyle name="Normal 2 2 2 3 5 4 3 2 2" xfId="30698" xr:uid="{00000000-0005-0000-0000-0000E9770000}"/>
    <cellStyle name="Normal 2 2 2 3 5 4 3 3" xfId="30699" xr:uid="{00000000-0005-0000-0000-0000EA770000}"/>
    <cellStyle name="Normal 2 2 2 3 5 4 4" xfId="30700" xr:uid="{00000000-0005-0000-0000-0000EB770000}"/>
    <cellStyle name="Normal 2 2 2 3 5 4 4 2" xfId="30701" xr:uid="{00000000-0005-0000-0000-0000EC770000}"/>
    <cellStyle name="Normal 2 2 2 3 5 4 4 2 2" xfId="30702" xr:uid="{00000000-0005-0000-0000-0000ED770000}"/>
    <cellStyle name="Normal 2 2 2 3 5 4 4 3" xfId="30703" xr:uid="{00000000-0005-0000-0000-0000EE770000}"/>
    <cellStyle name="Normal 2 2 2 3 5 4 5" xfId="30704" xr:uid="{00000000-0005-0000-0000-0000EF770000}"/>
    <cellStyle name="Normal 2 2 2 3 5 4 5 2" xfId="30705" xr:uid="{00000000-0005-0000-0000-0000F0770000}"/>
    <cellStyle name="Normal 2 2 2 3 5 4 5 2 2" xfId="30706" xr:uid="{00000000-0005-0000-0000-0000F1770000}"/>
    <cellStyle name="Normal 2 2 2 3 5 4 5 3" xfId="30707" xr:uid="{00000000-0005-0000-0000-0000F2770000}"/>
    <cellStyle name="Normal 2 2 2 3 5 4 6" xfId="30708" xr:uid="{00000000-0005-0000-0000-0000F3770000}"/>
    <cellStyle name="Normal 2 2 2 3 5 4 6 2" xfId="30709" xr:uid="{00000000-0005-0000-0000-0000F4770000}"/>
    <cellStyle name="Normal 2 2 2 3 5 4 6 2 2" xfId="30710" xr:uid="{00000000-0005-0000-0000-0000F5770000}"/>
    <cellStyle name="Normal 2 2 2 3 5 4 6 3" xfId="30711" xr:uid="{00000000-0005-0000-0000-0000F6770000}"/>
    <cellStyle name="Normal 2 2 2 3 5 4 7" xfId="30712" xr:uid="{00000000-0005-0000-0000-0000F7770000}"/>
    <cellStyle name="Normal 2 2 2 3 5 4 7 2" xfId="30713" xr:uid="{00000000-0005-0000-0000-0000F8770000}"/>
    <cellStyle name="Normal 2 2 2 3 5 4 8" xfId="30714" xr:uid="{00000000-0005-0000-0000-0000F9770000}"/>
    <cellStyle name="Normal 2 2 2 3 5 5" xfId="30715" xr:uid="{00000000-0005-0000-0000-0000FA770000}"/>
    <cellStyle name="Normal 2 2 2 3 5 5 2" xfId="30716" xr:uid="{00000000-0005-0000-0000-0000FB770000}"/>
    <cellStyle name="Normal 2 2 2 3 5 5 2 2" xfId="30717" xr:uid="{00000000-0005-0000-0000-0000FC770000}"/>
    <cellStyle name="Normal 2 2 2 3 5 5 2 2 2" xfId="30718" xr:uid="{00000000-0005-0000-0000-0000FD770000}"/>
    <cellStyle name="Normal 2 2 2 3 5 5 2 2 2 2" xfId="30719" xr:uid="{00000000-0005-0000-0000-0000FE770000}"/>
    <cellStyle name="Normal 2 2 2 3 5 5 2 2 3" xfId="30720" xr:uid="{00000000-0005-0000-0000-0000FF770000}"/>
    <cellStyle name="Normal 2 2 2 3 5 5 2 3" xfId="30721" xr:uid="{00000000-0005-0000-0000-000000780000}"/>
    <cellStyle name="Normal 2 2 2 3 5 5 2 3 2" xfId="30722" xr:uid="{00000000-0005-0000-0000-000001780000}"/>
    <cellStyle name="Normal 2 2 2 3 5 5 2 4" xfId="30723" xr:uid="{00000000-0005-0000-0000-000002780000}"/>
    <cellStyle name="Normal 2 2 2 3 5 5 3" xfId="30724" xr:uid="{00000000-0005-0000-0000-000003780000}"/>
    <cellStyle name="Normal 2 2 2 3 5 5 3 2" xfId="30725" xr:uid="{00000000-0005-0000-0000-000004780000}"/>
    <cellStyle name="Normal 2 2 2 3 5 5 3 2 2" xfId="30726" xr:uid="{00000000-0005-0000-0000-000005780000}"/>
    <cellStyle name="Normal 2 2 2 3 5 5 3 3" xfId="30727" xr:uid="{00000000-0005-0000-0000-000006780000}"/>
    <cellStyle name="Normal 2 2 2 3 5 5 4" xfId="30728" xr:uid="{00000000-0005-0000-0000-000007780000}"/>
    <cellStyle name="Normal 2 2 2 3 5 5 4 2" xfId="30729" xr:uid="{00000000-0005-0000-0000-000008780000}"/>
    <cellStyle name="Normal 2 2 2 3 5 5 5" xfId="30730" xr:uid="{00000000-0005-0000-0000-000009780000}"/>
    <cellStyle name="Normal 2 2 2 3 5 6" xfId="30731" xr:uid="{00000000-0005-0000-0000-00000A780000}"/>
    <cellStyle name="Normal 2 2 2 3 5 6 2" xfId="30732" xr:uid="{00000000-0005-0000-0000-00000B780000}"/>
    <cellStyle name="Normal 2 2 2 3 5 6 2 2" xfId="30733" xr:uid="{00000000-0005-0000-0000-00000C780000}"/>
    <cellStyle name="Normal 2 2 2 3 5 6 2 2 2" xfId="30734" xr:uid="{00000000-0005-0000-0000-00000D780000}"/>
    <cellStyle name="Normal 2 2 2 3 5 6 2 2 2 2" xfId="30735" xr:uid="{00000000-0005-0000-0000-00000E780000}"/>
    <cellStyle name="Normal 2 2 2 3 5 6 2 2 3" xfId="30736" xr:uid="{00000000-0005-0000-0000-00000F780000}"/>
    <cellStyle name="Normal 2 2 2 3 5 6 2 3" xfId="30737" xr:uid="{00000000-0005-0000-0000-000010780000}"/>
    <cellStyle name="Normal 2 2 2 3 5 6 2 3 2" xfId="30738" xr:uid="{00000000-0005-0000-0000-000011780000}"/>
    <cellStyle name="Normal 2 2 2 3 5 6 2 4" xfId="30739" xr:uid="{00000000-0005-0000-0000-000012780000}"/>
    <cellStyle name="Normal 2 2 2 3 5 6 3" xfId="30740" xr:uid="{00000000-0005-0000-0000-000013780000}"/>
    <cellStyle name="Normal 2 2 2 3 5 6 3 2" xfId="30741" xr:uid="{00000000-0005-0000-0000-000014780000}"/>
    <cellStyle name="Normal 2 2 2 3 5 6 3 2 2" xfId="30742" xr:uid="{00000000-0005-0000-0000-000015780000}"/>
    <cellStyle name="Normal 2 2 2 3 5 6 3 3" xfId="30743" xr:uid="{00000000-0005-0000-0000-000016780000}"/>
    <cellStyle name="Normal 2 2 2 3 5 6 4" xfId="30744" xr:uid="{00000000-0005-0000-0000-000017780000}"/>
    <cellStyle name="Normal 2 2 2 3 5 6 4 2" xfId="30745" xr:uid="{00000000-0005-0000-0000-000018780000}"/>
    <cellStyle name="Normal 2 2 2 3 5 6 5" xfId="30746" xr:uid="{00000000-0005-0000-0000-000019780000}"/>
    <cellStyle name="Normal 2 2 2 3 5 7" xfId="30747" xr:uid="{00000000-0005-0000-0000-00001A780000}"/>
    <cellStyle name="Normal 2 2 2 3 5 7 2" xfId="30748" xr:uid="{00000000-0005-0000-0000-00001B780000}"/>
    <cellStyle name="Normal 2 2 2 3 5 7 2 2" xfId="30749" xr:uid="{00000000-0005-0000-0000-00001C780000}"/>
    <cellStyle name="Normal 2 2 2 3 5 7 2 2 2" xfId="30750" xr:uid="{00000000-0005-0000-0000-00001D780000}"/>
    <cellStyle name="Normal 2 2 2 3 5 7 2 3" xfId="30751" xr:uid="{00000000-0005-0000-0000-00001E780000}"/>
    <cellStyle name="Normal 2 2 2 3 5 7 3" xfId="30752" xr:uid="{00000000-0005-0000-0000-00001F780000}"/>
    <cellStyle name="Normal 2 2 2 3 5 7 3 2" xfId="30753" xr:uid="{00000000-0005-0000-0000-000020780000}"/>
    <cellStyle name="Normal 2 2 2 3 5 7 4" xfId="30754" xr:uid="{00000000-0005-0000-0000-000021780000}"/>
    <cellStyle name="Normal 2 2 2 3 5 8" xfId="30755" xr:uid="{00000000-0005-0000-0000-000022780000}"/>
    <cellStyle name="Normal 2 2 2 3 5 8 2" xfId="30756" xr:uid="{00000000-0005-0000-0000-000023780000}"/>
    <cellStyle name="Normal 2 2 2 3 5 8 2 2" xfId="30757" xr:uid="{00000000-0005-0000-0000-000024780000}"/>
    <cellStyle name="Normal 2 2 2 3 5 8 2 2 2" xfId="30758" xr:uid="{00000000-0005-0000-0000-000025780000}"/>
    <cellStyle name="Normal 2 2 2 3 5 8 2 3" xfId="30759" xr:uid="{00000000-0005-0000-0000-000026780000}"/>
    <cellStyle name="Normal 2 2 2 3 5 8 3" xfId="30760" xr:uid="{00000000-0005-0000-0000-000027780000}"/>
    <cellStyle name="Normal 2 2 2 3 5 8 3 2" xfId="30761" xr:uid="{00000000-0005-0000-0000-000028780000}"/>
    <cellStyle name="Normal 2 2 2 3 5 8 4" xfId="30762" xr:uid="{00000000-0005-0000-0000-000029780000}"/>
    <cellStyle name="Normal 2 2 2 3 5 9" xfId="30763" xr:uid="{00000000-0005-0000-0000-00002A780000}"/>
    <cellStyle name="Normal 2 2 2 3 5 9 2" xfId="30764" xr:uid="{00000000-0005-0000-0000-00002B780000}"/>
    <cellStyle name="Normal 2 2 2 3 5 9 2 2" xfId="30765" xr:uid="{00000000-0005-0000-0000-00002C780000}"/>
    <cellStyle name="Normal 2 2 2 3 5 9 3" xfId="30766" xr:uid="{00000000-0005-0000-0000-00002D780000}"/>
    <cellStyle name="Normal 2 2 2 3 6" xfId="30767" xr:uid="{00000000-0005-0000-0000-00002E780000}"/>
    <cellStyle name="Normal 2 2 2 3 6 10" xfId="30768" xr:uid="{00000000-0005-0000-0000-00002F780000}"/>
    <cellStyle name="Normal 2 2 2 3 6 10 2" xfId="30769" xr:uid="{00000000-0005-0000-0000-000030780000}"/>
    <cellStyle name="Normal 2 2 2 3 6 10 2 2" xfId="30770" xr:uid="{00000000-0005-0000-0000-000031780000}"/>
    <cellStyle name="Normal 2 2 2 3 6 10 3" xfId="30771" xr:uid="{00000000-0005-0000-0000-000032780000}"/>
    <cellStyle name="Normal 2 2 2 3 6 11" xfId="30772" xr:uid="{00000000-0005-0000-0000-000033780000}"/>
    <cellStyle name="Normal 2 2 2 3 6 11 2" xfId="30773" xr:uid="{00000000-0005-0000-0000-000034780000}"/>
    <cellStyle name="Normal 2 2 2 3 6 11 2 2" xfId="30774" xr:uid="{00000000-0005-0000-0000-000035780000}"/>
    <cellStyle name="Normal 2 2 2 3 6 11 3" xfId="30775" xr:uid="{00000000-0005-0000-0000-000036780000}"/>
    <cellStyle name="Normal 2 2 2 3 6 12" xfId="30776" xr:uid="{00000000-0005-0000-0000-000037780000}"/>
    <cellStyle name="Normal 2 2 2 3 6 12 2" xfId="30777" xr:uid="{00000000-0005-0000-0000-000038780000}"/>
    <cellStyle name="Normal 2 2 2 3 6 12 2 2" xfId="30778" xr:uid="{00000000-0005-0000-0000-000039780000}"/>
    <cellStyle name="Normal 2 2 2 3 6 12 3" xfId="30779" xr:uid="{00000000-0005-0000-0000-00003A780000}"/>
    <cellStyle name="Normal 2 2 2 3 6 13" xfId="30780" xr:uid="{00000000-0005-0000-0000-00003B780000}"/>
    <cellStyle name="Normal 2 2 2 3 6 13 2" xfId="30781" xr:uid="{00000000-0005-0000-0000-00003C780000}"/>
    <cellStyle name="Normal 2 2 2 3 6 14" xfId="30782" xr:uid="{00000000-0005-0000-0000-00003D780000}"/>
    <cellStyle name="Normal 2 2 2 3 6 2" xfId="30783" xr:uid="{00000000-0005-0000-0000-00003E780000}"/>
    <cellStyle name="Normal 2 2 2 3 6 2 2" xfId="30784" xr:uid="{00000000-0005-0000-0000-00003F780000}"/>
    <cellStyle name="Normal 2 2 2 3 6 2 2 2" xfId="30785" xr:uid="{00000000-0005-0000-0000-000040780000}"/>
    <cellStyle name="Normal 2 2 2 3 6 2 2 2 2" xfId="30786" xr:uid="{00000000-0005-0000-0000-000041780000}"/>
    <cellStyle name="Normal 2 2 2 3 6 2 2 2 2 2" xfId="30787" xr:uid="{00000000-0005-0000-0000-000042780000}"/>
    <cellStyle name="Normal 2 2 2 3 6 2 2 2 3" xfId="30788" xr:uid="{00000000-0005-0000-0000-000043780000}"/>
    <cellStyle name="Normal 2 2 2 3 6 2 2 3" xfId="30789" xr:uid="{00000000-0005-0000-0000-000044780000}"/>
    <cellStyle name="Normal 2 2 2 3 6 2 2 3 2" xfId="30790" xr:uid="{00000000-0005-0000-0000-000045780000}"/>
    <cellStyle name="Normal 2 2 2 3 6 2 2 4" xfId="30791" xr:uid="{00000000-0005-0000-0000-000046780000}"/>
    <cellStyle name="Normal 2 2 2 3 6 2 3" xfId="30792" xr:uid="{00000000-0005-0000-0000-000047780000}"/>
    <cellStyle name="Normal 2 2 2 3 6 2 3 2" xfId="30793" xr:uid="{00000000-0005-0000-0000-000048780000}"/>
    <cellStyle name="Normal 2 2 2 3 6 2 3 2 2" xfId="30794" xr:uid="{00000000-0005-0000-0000-000049780000}"/>
    <cellStyle name="Normal 2 2 2 3 6 2 3 3" xfId="30795" xr:uid="{00000000-0005-0000-0000-00004A780000}"/>
    <cellStyle name="Normal 2 2 2 3 6 2 4" xfId="30796" xr:uid="{00000000-0005-0000-0000-00004B780000}"/>
    <cellStyle name="Normal 2 2 2 3 6 2 4 2" xfId="30797" xr:uid="{00000000-0005-0000-0000-00004C780000}"/>
    <cellStyle name="Normal 2 2 2 3 6 2 4 2 2" xfId="30798" xr:uid="{00000000-0005-0000-0000-00004D780000}"/>
    <cellStyle name="Normal 2 2 2 3 6 2 4 3" xfId="30799" xr:uid="{00000000-0005-0000-0000-00004E780000}"/>
    <cellStyle name="Normal 2 2 2 3 6 2 5" xfId="30800" xr:uid="{00000000-0005-0000-0000-00004F780000}"/>
    <cellStyle name="Normal 2 2 2 3 6 2 5 2" xfId="30801" xr:uid="{00000000-0005-0000-0000-000050780000}"/>
    <cellStyle name="Normal 2 2 2 3 6 2 5 2 2" xfId="30802" xr:uid="{00000000-0005-0000-0000-000051780000}"/>
    <cellStyle name="Normal 2 2 2 3 6 2 5 3" xfId="30803" xr:uid="{00000000-0005-0000-0000-000052780000}"/>
    <cellStyle name="Normal 2 2 2 3 6 2 6" xfId="30804" xr:uid="{00000000-0005-0000-0000-000053780000}"/>
    <cellStyle name="Normal 2 2 2 3 6 2 6 2" xfId="30805" xr:uid="{00000000-0005-0000-0000-000054780000}"/>
    <cellStyle name="Normal 2 2 2 3 6 2 6 2 2" xfId="30806" xr:uid="{00000000-0005-0000-0000-000055780000}"/>
    <cellStyle name="Normal 2 2 2 3 6 2 6 3" xfId="30807" xr:uid="{00000000-0005-0000-0000-000056780000}"/>
    <cellStyle name="Normal 2 2 2 3 6 2 7" xfId="30808" xr:uid="{00000000-0005-0000-0000-000057780000}"/>
    <cellStyle name="Normal 2 2 2 3 6 2 7 2" xfId="30809" xr:uid="{00000000-0005-0000-0000-000058780000}"/>
    <cellStyle name="Normal 2 2 2 3 6 2 8" xfId="30810" xr:uid="{00000000-0005-0000-0000-000059780000}"/>
    <cellStyle name="Normal 2 2 2 3 6 3" xfId="30811" xr:uid="{00000000-0005-0000-0000-00005A780000}"/>
    <cellStyle name="Normal 2 2 2 3 6 3 2" xfId="30812" xr:uid="{00000000-0005-0000-0000-00005B780000}"/>
    <cellStyle name="Normal 2 2 2 3 6 3 2 2" xfId="30813" xr:uid="{00000000-0005-0000-0000-00005C780000}"/>
    <cellStyle name="Normal 2 2 2 3 6 3 2 2 2" xfId="30814" xr:uid="{00000000-0005-0000-0000-00005D780000}"/>
    <cellStyle name="Normal 2 2 2 3 6 3 2 2 2 2" xfId="30815" xr:uid="{00000000-0005-0000-0000-00005E780000}"/>
    <cellStyle name="Normal 2 2 2 3 6 3 2 2 3" xfId="30816" xr:uid="{00000000-0005-0000-0000-00005F780000}"/>
    <cellStyle name="Normal 2 2 2 3 6 3 2 3" xfId="30817" xr:uid="{00000000-0005-0000-0000-000060780000}"/>
    <cellStyle name="Normal 2 2 2 3 6 3 2 3 2" xfId="30818" xr:uid="{00000000-0005-0000-0000-000061780000}"/>
    <cellStyle name="Normal 2 2 2 3 6 3 2 4" xfId="30819" xr:uid="{00000000-0005-0000-0000-000062780000}"/>
    <cellStyle name="Normal 2 2 2 3 6 3 3" xfId="30820" xr:uid="{00000000-0005-0000-0000-000063780000}"/>
    <cellStyle name="Normal 2 2 2 3 6 3 3 2" xfId="30821" xr:uid="{00000000-0005-0000-0000-000064780000}"/>
    <cellStyle name="Normal 2 2 2 3 6 3 3 2 2" xfId="30822" xr:uid="{00000000-0005-0000-0000-000065780000}"/>
    <cellStyle name="Normal 2 2 2 3 6 3 3 3" xfId="30823" xr:uid="{00000000-0005-0000-0000-000066780000}"/>
    <cellStyle name="Normal 2 2 2 3 6 3 4" xfId="30824" xr:uid="{00000000-0005-0000-0000-000067780000}"/>
    <cellStyle name="Normal 2 2 2 3 6 3 4 2" xfId="30825" xr:uid="{00000000-0005-0000-0000-000068780000}"/>
    <cellStyle name="Normal 2 2 2 3 6 3 4 2 2" xfId="30826" xr:uid="{00000000-0005-0000-0000-000069780000}"/>
    <cellStyle name="Normal 2 2 2 3 6 3 4 3" xfId="30827" xr:uid="{00000000-0005-0000-0000-00006A780000}"/>
    <cellStyle name="Normal 2 2 2 3 6 3 5" xfId="30828" xr:uid="{00000000-0005-0000-0000-00006B780000}"/>
    <cellStyle name="Normal 2 2 2 3 6 3 5 2" xfId="30829" xr:uid="{00000000-0005-0000-0000-00006C780000}"/>
    <cellStyle name="Normal 2 2 2 3 6 3 5 2 2" xfId="30830" xr:uid="{00000000-0005-0000-0000-00006D780000}"/>
    <cellStyle name="Normal 2 2 2 3 6 3 5 3" xfId="30831" xr:uid="{00000000-0005-0000-0000-00006E780000}"/>
    <cellStyle name="Normal 2 2 2 3 6 3 6" xfId="30832" xr:uid="{00000000-0005-0000-0000-00006F780000}"/>
    <cellStyle name="Normal 2 2 2 3 6 3 6 2" xfId="30833" xr:uid="{00000000-0005-0000-0000-000070780000}"/>
    <cellStyle name="Normal 2 2 2 3 6 3 6 2 2" xfId="30834" xr:uid="{00000000-0005-0000-0000-000071780000}"/>
    <cellStyle name="Normal 2 2 2 3 6 3 6 3" xfId="30835" xr:uid="{00000000-0005-0000-0000-000072780000}"/>
    <cellStyle name="Normal 2 2 2 3 6 3 7" xfId="30836" xr:uid="{00000000-0005-0000-0000-000073780000}"/>
    <cellStyle name="Normal 2 2 2 3 6 3 7 2" xfId="30837" xr:uid="{00000000-0005-0000-0000-000074780000}"/>
    <cellStyle name="Normal 2 2 2 3 6 3 8" xfId="30838" xr:uid="{00000000-0005-0000-0000-000075780000}"/>
    <cellStyle name="Normal 2 2 2 3 6 4" xfId="30839" xr:uid="{00000000-0005-0000-0000-000076780000}"/>
    <cellStyle name="Normal 2 2 2 3 6 4 2" xfId="30840" xr:uid="{00000000-0005-0000-0000-000077780000}"/>
    <cellStyle name="Normal 2 2 2 3 6 4 2 2" xfId="30841" xr:uid="{00000000-0005-0000-0000-000078780000}"/>
    <cellStyle name="Normal 2 2 2 3 6 4 2 2 2" xfId="30842" xr:uid="{00000000-0005-0000-0000-000079780000}"/>
    <cellStyle name="Normal 2 2 2 3 6 4 2 2 2 2" xfId="30843" xr:uid="{00000000-0005-0000-0000-00007A780000}"/>
    <cellStyle name="Normal 2 2 2 3 6 4 2 2 3" xfId="30844" xr:uid="{00000000-0005-0000-0000-00007B780000}"/>
    <cellStyle name="Normal 2 2 2 3 6 4 2 3" xfId="30845" xr:uid="{00000000-0005-0000-0000-00007C780000}"/>
    <cellStyle name="Normal 2 2 2 3 6 4 2 3 2" xfId="30846" xr:uid="{00000000-0005-0000-0000-00007D780000}"/>
    <cellStyle name="Normal 2 2 2 3 6 4 2 4" xfId="30847" xr:uid="{00000000-0005-0000-0000-00007E780000}"/>
    <cellStyle name="Normal 2 2 2 3 6 4 3" xfId="30848" xr:uid="{00000000-0005-0000-0000-00007F780000}"/>
    <cellStyle name="Normal 2 2 2 3 6 4 3 2" xfId="30849" xr:uid="{00000000-0005-0000-0000-000080780000}"/>
    <cellStyle name="Normal 2 2 2 3 6 4 3 2 2" xfId="30850" xr:uid="{00000000-0005-0000-0000-000081780000}"/>
    <cellStyle name="Normal 2 2 2 3 6 4 3 3" xfId="30851" xr:uid="{00000000-0005-0000-0000-000082780000}"/>
    <cellStyle name="Normal 2 2 2 3 6 4 4" xfId="30852" xr:uid="{00000000-0005-0000-0000-000083780000}"/>
    <cellStyle name="Normal 2 2 2 3 6 4 4 2" xfId="30853" xr:uid="{00000000-0005-0000-0000-000084780000}"/>
    <cellStyle name="Normal 2 2 2 3 6 4 4 2 2" xfId="30854" xr:uid="{00000000-0005-0000-0000-000085780000}"/>
    <cellStyle name="Normal 2 2 2 3 6 4 4 3" xfId="30855" xr:uid="{00000000-0005-0000-0000-000086780000}"/>
    <cellStyle name="Normal 2 2 2 3 6 4 5" xfId="30856" xr:uid="{00000000-0005-0000-0000-000087780000}"/>
    <cellStyle name="Normal 2 2 2 3 6 4 5 2" xfId="30857" xr:uid="{00000000-0005-0000-0000-000088780000}"/>
    <cellStyle name="Normal 2 2 2 3 6 4 5 2 2" xfId="30858" xr:uid="{00000000-0005-0000-0000-000089780000}"/>
    <cellStyle name="Normal 2 2 2 3 6 4 5 3" xfId="30859" xr:uid="{00000000-0005-0000-0000-00008A780000}"/>
    <cellStyle name="Normal 2 2 2 3 6 4 6" xfId="30860" xr:uid="{00000000-0005-0000-0000-00008B780000}"/>
    <cellStyle name="Normal 2 2 2 3 6 4 6 2" xfId="30861" xr:uid="{00000000-0005-0000-0000-00008C780000}"/>
    <cellStyle name="Normal 2 2 2 3 6 4 6 2 2" xfId="30862" xr:uid="{00000000-0005-0000-0000-00008D780000}"/>
    <cellStyle name="Normal 2 2 2 3 6 4 6 3" xfId="30863" xr:uid="{00000000-0005-0000-0000-00008E780000}"/>
    <cellStyle name="Normal 2 2 2 3 6 4 7" xfId="30864" xr:uid="{00000000-0005-0000-0000-00008F780000}"/>
    <cellStyle name="Normal 2 2 2 3 6 4 7 2" xfId="30865" xr:uid="{00000000-0005-0000-0000-000090780000}"/>
    <cellStyle name="Normal 2 2 2 3 6 4 8" xfId="30866" xr:uid="{00000000-0005-0000-0000-000091780000}"/>
    <cellStyle name="Normal 2 2 2 3 6 5" xfId="30867" xr:uid="{00000000-0005-0000-0000-000092780000}"/>
    <cellStyle name="Normal 2 2 2 3 6 5 2" xfId="30868" xr:uid="{00000000-0005-0000-0000-000093780000}"/>
    <cellStyle name="Normal 2 2 2 3 6 5 2 2" xfId="30869" xr:uid="{00000000-0005-0000-0000-000094780000}"/>
    <cellStyle name="Normal 2 2 2 3 6 5 2 2 2" xfId="30870" xr:uid="{00000000-0005-0000-0000-000095780000}"/>
    <cellStyle name="Normal 2 2 2 3 6 5 2 2 2 2" xfId="30871" xr:uid="{00000000-0005-0000-0000-000096780000}"/>
    <cellStyle name="Normal 2 2 2 3 6 5 2 2 3" xfId="30872" xr:uid="{00000000-0005-0000-0000-000097780000}"/>
    <cellStyle name="Normal 2 2 2 3 6 5 2 3" xfId="30873" xr:uid="{00000000-0005-0000-0000-000098780000}"/>
    <cellStyle name="Normal 2 2 2 3 6 5 2 3 2" xfId="30874" xr:uid="{00000000-0005-0000-0000-000099780000}"/>
    <cellStyle name="Normal 2 2 2 3 6 5 2 4" xfId="30875" xr:uid="{00000000-0005-0000-0000-00009A780000}"/>
    <cellStyle name="Normal 2 2 2 3 6 5 3" xfId="30876" xr:uid="{00000000-0005-0000-0000-00009B780000}"/>
    <cellStyle name="Normal 2 2 2 3 6 5 3 2" xfId="30877" xr:uid="{00000000-0005-0000-0000-00009C780000}"/>
    <cellStyle name="Normal 2 2 2 3 6 5 3 2 2" xfId="30878" xr:uid="{00000000-0005-0000-0000-00009D780000}"/>
    <cellStyle name="Normal 2 2 2 3 6 5 3 3" xfId="30879" xr:uid="{00000000-0005-0000-0000-00009E780000}"/>
    <cellStyle name="Normal 2 2 2 3 6 5 4" xfId="30880" xr:uid="{00000000-0005-0000-0000-00009F780000}"/>
    <cellStyle name="Normal 2 2 2 3 6 5 4 2" xfId="30881" xr:uid="{00000000-0005-0000-0000-0000A0780000}"/>
    <cellStyle name="Normal 2 2 2 3 6 5 5" xfId="30882" xr:uid="{00000000-0005-0000-0000-0000A1780000}"/>
    <cellStyle name="Normal 2 2 2 3 6 6" xfId="30883" xr:uid="{00000000-0005-0000-0000-0000A2780000}"/>
    <cellStyle name="Normal 2 2 2 3 6 6 2" xfId="30884" xr:uid="{00000000-0005-0000-0000-0000A3780000}"/>
    <cellStyle name="Normal 2 2 2 3 6 6 2 2" xfId="30885" xr:uid="{00000000-0005-0000-0000-0000A4780000}"/>
    <cellStyle name="Normal 2 2 2 3 6 6 2 2 2" xfId="30886" xr:uid="{00000000-0005-0000-0000-0000A5780000}"/>
    <cellStyle name="Normal 2 2 2 3 6 6 2 2 2 2" xfId="30887" xr:uid="{00000000-0005-0000-0000-0000A6780000}"/>
    <cellStyle name="Normal 2 2 2 3 6 6 2 2 3" xfId="30888" xr:uid="{00000000-0005-0000-0000-0000A7780000}"/>
    <cellStyle name="Normal 2 2 2 3 6 6 2 3" xfId="30889" xr:uid="{00000000-0005-0000-0000-0000A8780000}"/>
    <cellStyle name="Normal 2 2 2 3 6 6 2 3 2" xfId="30890" xr:uid="{00000000-0005-0000-0000-0000A9780000}"/>
    <cellStyle name="Normal 2 2 2 3 6 6 2 4" xfId="30891" xr:uid="{00000000-0005-0000-0000-0000AA780000}"/>
    <cellStyle name="Normal 2 2 2 3 6 6 3" xfId="30892" xr:uid="{00000000-0005-0000-0000-0000AB780000}"/>
    <cellStyle name="Normal 2 2 2 3 6 6 3 2" xfId="30893" xr:uid="{00000000-0005-0000-0000-0000AC780000}"/>
    <cellStyle name="Normal 2 2 2 3 6 6 3 2 2" xfId="30894" xr:uid="{00000000-0005-0000-0000-0000AD780000}"/>
    <cellStyle name="Normal 2 2 2 3 6 6 3 3" xfId="30895" xr:uid="{00000000-0005-0000-0000-0000AE780000}"/>
    <cellStyle name="Normal 2 2 2 3 6 6 4" xfId="30896" xr:uid="{00000000-0005-0000-0000-0000AF780000}"/>
    <cellStyle name="Normal 2 2 2 3 6 6 4 2" xfId="30897" xr:uid="{00000000-0005-0000-0000-0000B0780000}"/>
    <cellStyle name="Normal 2 2 2 3 6 6 5" xfId="30898" xr:uid="{00000000-0005-0000-0000-0000B1780000}"/>
    <cellStyle name="Normal 2 2 2 3 6 7" xfId="30899" xr:uid="{00000000-0005-0000-0000-0000B2780000}"/>
    <cellStyle name="Normal 2 2 2 3 6 7 2" xfId="30900" xr:uid="{00000000-0005-0000-0000-0000B3780000}"/>
    <cellStyle name="Normal 2 2 2 3 6 7 2 2" xfId="30901" xr:uid="{00000000-0005-0000-0000-0000B4780000}"/>
    <cellStyle name="Normal 2 2 2 3 6 7 2 2 2" xfId="30902" xr:uid="{00000000-0005-0000-0000-0000B5780000}"/>
    <cellStyle name="Normal 2 2 2 3 6 7 2 3" xfId="30903" xr:uid="{00000000-0005-0000-0000-0000B6780000}"/>
    <cellStyle name="Normal 2 2 2 3 6 7 3" xfId="30904" xr:uid="{00000000-0005-0000-0000-0000B7780000}"/>
    <cellStyle name="Normal 2 2 2 3 6 7 3 2" xfId="30905" xr:uid="{00000000-0005-0000-0000-0000B8780000}"/>
    <cellStyle name="Normal 2 2 2 3 6 7 4" xfId="30906" xr:uid="{00000000-0005-0000-0000-0000B9780000}"/>
    <cellStyle name="Normal 2 2 2 3 6 8" xfId="30907" xr:uid="{00000000-0005-0000-0000-0000BA780000}"/>
    <cellStyle name="Normal 2 2 2 3 6 8 2" xfId="30908" xr:uid="{00000000-0005-0000-0000-0000BB780000}"/>
    <cellStyle name="Normal 2 2 2 3 6 8 2 2" xfId="30909" xr:uid="{00000000-0005-0000-0000-0000BC780000}"/>
    <cellStyle name="Normal 2 2 2 3 6 8 2 2 2" xfId="30910" xr:uid="{00000000-0005-0000-0000-0000BD780000}"/>
    <cellStyle name="Normal 2 2 2 3 6 8 2 3" xfId="30911" xr:uid="{00000000-0005-0000-0000-0000BE780000}"/>
    <cellStyle name="Normal 2 2 2 3 6 8 3" xfId="30912" xr:uid="{00000000-0005-0000-0000-0000BF780000}"/>
    <cellStyle name="Normal 2 2 2 3 6 8 3 2" xfId="30913" xr:uid="{00000000-0005-0000-0000-0000C0780000}"/>
    <cellStyle name="Normal 2 2 2 3 6 8 4" xfId="30914" xr:uid="{00000000-0005-0000-0000-0000C1780000}"/>
    <cellStyle name="Normal 2 2 2 3 6 9" xfId="30915" xr:uid="{00000000-0005-0000-0000-0000C2780000}"/>
    <cellStyle name="Normal 2 2 2 3 6 9 2" xfId="30916" xr:uid="{00000000-0005-0000-0000-0000C3780000}"/>
    <cellStyle name="Normal 2 2 2 3 6 9 2 2" xfId="30917" xr:uid="{00000000-0005-0000-0000-0000C4780000}"/>
    <cellStyle name="Normal 2 2 2 3 6 9 3" xfId="30918" xr:uid="{00000000-0005-0000-0000-0000C5780000}"/>
    <cellStyle name="Normal 2 2 2 3 7" xfId="30919" xr:uid="{00000000-0005-0000-0000-0000C6780000}"/>
    <cellStyle name="Normal 2 2 2 3 7 10" xfId="30920" xr:uid="{00000000-0005-0000-0000-0000C7780000}"/>
    <cellStyle name="Normal 2 2 2 3 7 10 2" xfId="30921" xr:uid="{00000000-0005-0000-0000-0000C8780000}"/>
    <cellStyle name="Normal 2 2 2 3 7 10 2 2" xfId="30922" xr:uid="{00000000-0005-0000-0000-0000C9780000}"/>
    <cellStyle name="Normal 2 2 2 3 7 10 3" xfId="30923" xr:uid="{00000000-0005-0000-0000-0000CA780000}"/>
    <cellStyle name="Normal 2 2 2 3 7 11" xfId="30924" xr:uid="{00000000-0005-0000-0000-0000CB780000}"/>
    <cellStyle name="Normal 2 2 2 3 7 11 2" xfId="30925" xr:uid="{00000000-0005-0000-0000-0000CC780000}"/>
    <cellStyle name="Normal 2 2 2 3 7 11 2 2" xfId="30926" xr:uid="{00000000-0005-0000-0000-0000CD780000}"/>
    <cellStyle name="Normal 2 2 2 3 7 11 3" xfId="30927" xr:uid="{00000000-0005-0000-0000-0000CE780000}"/>
    <cellStyle name="Normal 2 2 2 3 7 12" xfId="30928" xr:uid="{00000000-0005-0000-0000-0000CF780000}"/>
    <cellStyle name="Normal 2 2 2 3 7 12 2" xfId="30929" xr:uid="{00000000-0005-0000-0000-0000D0780000}"/>
    <cellStyle name="Normal 2 2 2 3 7 12 2 2" xfId="30930" xr:uid="{00000000-0005-0000-0000-0000D1780000}"/>
    <cellStyle name="Normal 2 2 2 3 7 12 3" xfId="30931" xr:uid="{00000000-0005-0000-0000-0000D2780000}"/>
    <cellStyle name="Normal 2 2 2 3 7 13" xfId="30932" xr:uid="{00000000-0005-0000-0000-0000D3780000}"/>
    <cellStyle name="Normal 2 2 2 3 7 13 2" xfId="30933" xr:uid="{00000000-0005-0000-0000-0000D4780000}"/>
    <cellStyle name="Normal 2 2 2 3 7 14" xfId="30934" xr:uid="{00000000-0005-0000-0000-0000D5780000}"/>
    <cellStyle name="Normal 2 2 2 3 7 2" xfId="30935" xr:uid="{00000000-0005-0000-0000-0000D6780000}"/>
    <cellStyle name="Normal 2 2 2 3 7 2 2" xfId="30936" xr:uid="{00000000-0005-0000-0000-0000D7780000}"/>
    <cellStyle name="Normal 2 2 2 3 7 2 2 2" xfId="30937" xr:uid="{00000000-0005-0000-0000-0000D8780000}"/>
    <cellStyle name="Normal 2 2 2 3 7 2 2 2 2" xfId="30938" xr:uid="{00000000-0005-0000-0000-0000D9780000}"/>
    <cellStyle name="Normal 2 2 2 3 7 2 2 2 2 2" xfId="30939" xr:uid="{00000000-0005-0000-0000-0000DA780000}"/>
    <cellStyle name="Normal 2 2 2 3 7 2 2 2 3" xfId="30940" xr:uid="{00000000-0005-0000-0000-0000DB780000}"/>
    <cellStyle name="Normal 2 2 2 3 7 2 2 3" xfId="30941" xr:uid="{00000000-0005-0000-0000-0000DC780000}"/>
    <cellStyle name="Normal 2 2 2 3 7 2 2 3 2" xfId="30942" xr:uid="{00000000-0005-0000-0000-0000DD780000}"/>
    <cellStyle name="Normal 2 2 2 3 7 2 2 4" xfId="30943" xr:uid="{00000000-0005-0000-0000-0000DE780000}"/>
    <cellStyle name="Normal 2 2 2 3 7 2 3" xfId="30944" xr:uid="{00000000-0005-0000-0000-0000DF780000}"/>
    <cellStyle name="Normal 2 2 2 3 7 2 3 2" xfId="30945" xr:uid="{00000000-0005-0000-0000-0000E0780000}"/>
    <cellStyle name="Normal 2 2 2 3 7 2 3 2 2" xfId="30946" xr:uid="{00000000-0005-0000-0000-0000E1780000}"/>
    <cellStyle name="Normal 2 2 2 3 7 2 3 3" xfId="30947" xr:uid="{00000000-0005-0000-0000-0000E2780000}"/>
    <cellStyle name="Normal 2 2 2 3 7 2 4" xfId="30948" xr:uid="{00000000-0005-0000-0000-0000E3780000}"/>
    <cellStyle name="Normal 2 2 2 3 7 2 4 2" xfId="30949" xr:uid="{00000000-0005-0000-0000-0000E4780000}"/>
    <cellStyle name="Normal 2 2 2 3 7 2 4 2 2" xfId="30950" xr:uid="{00000000-0005-0000-0000-0000E5780000}"/>
    <cellStyle name="Normal 2 2 2 3 7 2 4 3" xfId="30951" xr:uid="{00000000-0005-0000-0000-0000E6780000}"/>
    <cellStyle name="Normal 2 2 2 3 7 2 5" xfId="30952" xr:uid="{00000000-0005-0000-0000-0000E7780000}"/>
    <cellStyle name="Normal 2 2 2 3 7 2 5 2" xfId="30953" xr:uid="{00000000-0005-0000-0000-0000E8780000}"/>
    <cellStyle name="Normal 2 2 2 3 7 2 5 2 2" xfId="30954" xr:uid="{00000000-0005-0000-0000-0000E9780000}"/>
    <cellStyle name="Normal 2 2 2 3 7 2 5 3" xfId="30955" xr:uid="{00000000-0005-0000-0000-0000EA780000}"/>
    <cellStyle name="Normal 2 2 2 3 7 2 6" xfId="30956" xr:uid="{00000000-0005-0000-0000-0000EB780000}"/>
    <cellStyle name="Normal 2 2 2 3 7 2 6 2" xfId="30957" xr:uid="{00000000-0005-0000-0000-0000EC780000}"/>
    <cellStyle name="Normal 2 2 2 3 7 2 6 2 2" xfId="30958" xr:uid="{00000000-0005-0000-0000-0000ED780000}"/>
    <cellStyle name="Normal 2 2 2 3 7 2 6 3" xfId="30959" xr:uid="{00000000-0005-0000-0000-0000EE780000}"/>
    <cellStyle name="Normal 2 2 2 3 7 2 7" xfId="30960" xr:uid="{00000000-0005-0000-0000-0000EF780000}"/>
    <cellStyle name="Normal 2 2 2 3 7 2 7 2" xfId="30961" xr:uid="{00000000-0005-0000-0000-0000F0780000}"/>
    <cellStyle name="Normal 2 2 2 3 7 2 8" xfId="30962" xr:uid="{00000000-0005-0000-0000-0000F1780000}"/>
    <cellStyle name="Normal 2 2 2 3 7 3" xfId="30963" xr:uid="{00000000-0005-0000-0000-0000F2780000}"/>
    <cellStyle name="Normal 2 2 2 3 7 3 2" xfId="30964" xr:uid="{00000000-0005-0000-0000-0000F3780000}"/>
    <cellStyle name="Normal 2 2 2 3 7 3 2 2" xfId="30965" xr:uid="{00000000-0005-0000-0000-0000F4780000}"/>
    <cellStyle name="Normal 2 2 2 3 7 3 2 2 2" xfId="30966" xr:uid="{00000000-0005-0000-0000-0000F5780000}"/>
    <cellStyle name="Normal 2 2 2 3 7 3 2 2 2 2" xfId="30967" xr:uid="{00000000-0005-0000-0000-0000F6780000}"/>
    <cellStyle name="Normal 2 2 2 3 7 3 2 2 3" xfId="30968" xr:uid="{00000000-0005-0000-0000-0000F7780000}"/>
    <cellStyle name="Normal 2 2 2 3 7 3 2 3" xfId="30969" xr:uid="{00000000-0005-0000-0000-0000F8780000}"/>
    <cellStyle name="Normal 2 2 2 3 7 3 2 3 2" xfId="30970" xr:uid="{00000000-0005-0000-0000-0000F9780000}"/>
    <cellStyle name="Normal 2 2 2 3 7 3 2 4" xfId="30971" xr:uid="{00000000-0005-0000-0000-0000FA780000}"/>
    <cellStyle name="Normal 2 2 2 3 7 3 3" xfId="30972" xr:uid="{00000000-0005-0000-0000-0000FB780000}"/>
    <cellStyle name="Normal 2 2 2 3 7 3 3 2" xfId="30973" xr:uid="{00000000-0005-0000-0000-0000FC780000}"/>
    <cellStyle name="Normal 2 2 2 3 7 3 3 2 2" xfId="30974" xr:uid="{00000000-0005-0000-0000-0000FD780000}"/>
    <cellStyle name="Normal 2 2 2 3 7 3 3 3" xfId="30975" xr:uid="{00000000-0005-0000-0000-0000FE780000}"/>
    <cellStyle name="Normal 2 2 2 3 7 3 4" xfId="30976" xr:uid="{00000000-0005-0000-0000-0000FF780000}"/>
    <cellStyle name="Normal 2 2 2 3 7 3 4 2" xfId="30977" xr:uid="{00000000-0005-0000-0000-000000790000}"/>
    <cellStyle name="Normal 2 2 2 3 7 3 4 2 2" xfId="30978" xr:uid="{00000000-0005-0000-0000-000001790000}"/>
    <cellStyle name="Normal 2 2 2 3 7 3 4 3" xfId="30979" xr:uid="{00000000-0005-0000-0000-000002790000}"/>
    <cellStyle name="Normal 2 2 2 3 7 3 5" xfId="30980" xr:uid="{00000000-0005-0000-0000-000003790000}"/>
    <cellStyle name="Normal 2 2 2 3 7 3 5 2" xfId="30981" xr:uid="{00000000-0005-0000-0000-000004790000}"/>
    <cellStyle name="Normal 2 2 2 3 7 3 5 2 2" xfId="30982" xr:uid="{00000000-0005-0000-0000-000005790000}"/>
    <cellStyle name="Normal 2 2 2 3 7 3 5 3" xfId="30983" xr:uid="{00000000-0005-0000-0000-000006790000}"/>
    <cellStyle name="Normal 2 2 2 3 7 3 6" xfId="30984" xr:uid="{00000000-0005-0000-0000-000007790000}"/>
    <cellStyle name="Normal 2 2 2 3 7 3 6 2" xfId="30985" xr:uid="{00000000-0005-0000-0000-000008790000}"/>
    <cellStyle name="Normal 2 2 2 3 7 3 6 2 2" xfId="30986" xr:uid="{00000000-0005-0000-0000-000009790000}"/>
    <cellStyle name="Normal 2 2 2 3 7 3 6 3" xfId="30987" xr:uid="{00000000-0005-0000-0000-00000A790000}"/>
    <cellStyle name="Normal 2 2 2 3 7 3 7" xfId="30988" xr:uid="{00000000-0005-0000-0000-00000B790000}"/>
    <cellStyle name="Normal 2 2 2 3 7 3 7 2" xfId="30989" xr:uid="{00000000-0005-0000-0000-00000C790000}"/>
    <cellStyle name="Normal 2 2 2 3 7 3 8" xfId="30990" xr:uid="{00000000-0005-0000-0000-00000D790000}"/>
    <cellStyle name="Normal 2 2 2 3 7 4" xfId="30991" xr:uid="{00000000-0005-0000-0000-00000E790000}"/>
    <cellStyle name="Normal 2 2 2 3 7 4 2" xfId="30992" xr:uid="{00000000-0005-0000-0000-00000F790000}"/>
    <cellStyle name="Normal 2 2 2 3 7 4 2 2" xfId="30993" xr:uid="{00000000-0005-0000-0000-000010790000}"/>
    <cellStyle name="Normal 2 2 2 3 7 4 2 2 2" xfId="30994" xr:uid="{00000000-0005-0000-0000-000011790000}"/>
    <cellStyle name="Normal 2 2 2 3 7 4 2 2 2 2" xfId="30995" xr:uid="{00000000-0005-0000-0000-000012790000}"/>
    <cellStyle name="Normal 2 2 2 3 7 4 2 2 3" xfId="30996" xr:uid="{00000000-0005-0000-0000-000013790000}"/>
    <cellStyle name="Normal 2 2 2 3 7 4 2 3" xfId="30997" xr:uid="{00000000-0005-0000-0000-000014790000}"/>
    <cellStyle name="Normal 2 2 2 3 7 4 2 3 2" xfId="30998" xr:uid="{00000000-0005-0000-0000-000015790000}"/>
    <cellStyle name="Normal 2 2 2 3 7 4 2 4" xfId="30999" xr:uid="{00000000-0005-0000-0000-000016790000}"/>
    <cellStyle name="Normal 2 2 2 3 7 4 3" xfId="31000" xr:uid="{00000000-0005-0000-0000-000017790000}"/>
    <cellStyle name="Normal 2 2 2 3 7 4 3 2" xfId="31001" xr:uid="{00000000-0005-0000-0000-000018790000}"/>
    <cellStyle name="Normal 2 2 2 3 7 4 3 2 2" xfId="31002" xr:uid="{00000000-0005-0000-0000-000019790000}"/>
    <cellStyle name="Normal 2 2 2 3 7 4 3 3" xfId="31003" xr:uid="{00000000-0005-0000-0000-00001A790000}"/>
    <cellStyle name="Normal 2 2 2 3 7 4 4" xfId="31004" xr:uid="{00000000-0005-0000-0000-00001B790000}"/>
    <cellStyle name="Normal 2 2 2 3 7 4 4 2" xfId="31005" xr:uid="{00000000-0005-0000-0000-00001C790000}"/>
    <cellStyle name="Normal 2 2 2 3 7 4 4 2 2" xfId="31006" xr:uid="{00000000-0005-0000-0000-00001D790000}"/>
    <cellStyle name="Normal 2 2 2 3 7 4 4 3" xfId="31007" xr:uid="{00000000-0005-0000-0000-00001E790000}"/>
    <cellStyle name="Normal 2 2 2 3 7 4 5" xfId="31008" xr:uid="{00000000-0005-0000-0000-00001F790000}"/>
    <cellStyle name="Normal 2 2 2 3 7 4 5 2" xfId="31009" xr:uid="{00000000-0005-0000-0000-000020790000}"/>
    <cellStyle name="Normal 2 2 2 3 7 4 5 2 2" xfId="31010" xr:uid="{00000000-0005-0000-0000-000021790000}"/>
    <cellStyle name="Normal 2 2 2 3 7 4 5 3" xfId="31011" xr:uid="{00000000-0005-0000-0000-000022790000}"/>
    <cellStyle name="Normal 2 2 2 3 7 4 6" xfId="31012" xr:uid="{00000000-0005-0000-0000-000023790000}"/>
    <cellStyle name="Normal 2 2 2 3 7 4 6 2" xfId="31013" xr:uid="{00000000-0005-0000-0000-000024790000}"/>
    <cellStyle name="Normal 2 2 2 3 7 4 6 2 2" xfId="31014" xr:uid="{00000000-0005-0000-0000-000025790000}"/>
    <cellStyle name="Normal 2 2 2 3 7 4 6 3" xfId="31015" xr:uid="{00000000-0005-0000-0000-000026790000}"/>
    <cellStyle name="Normal 2 2 2 3 7 4 7" xfId="31016" xr:uid="{00000000-0005-0000-0000-000027790000}"/>
    <cellStyle name="Normal 2 2 2 3 7 4 7 2" xfId="31017" xr:uid="{00000000-0005-0000-0000-000028790000}"/>
    <cellStyle name="Normal 2 2 2 3 7 4 8" xfId="31018" xr:uid="{00000000-0005-0000-0000-000029790000}"/>
    <cellStyle name="Normal 2 2 2 3 7 5" xfId="31019" xr:uid="{00000000-0005-0000-0000-00002A790000}"/>
    <cellStyle name="Normal 2 2 2 3 7 5 2" xfId="31020" xr:uid="{00000000-0005-0000-0000-00002B790000}"/>
    <cellStyle name="Normal 2 2 2 3 7 5 2 2" xfId="31021" xr:uid="{00000000-0005-0000-0000-00002C790000}"/>
    <cellStyle name="Normal 2 2 2 3 7 5 2 2 2" xfId="31022" xr:uid="{00000000-0005-0000-0000-00002D790000}"/>
    <cellStyle name="Normal 2 2 2 3 7 5 2 2 2 2" xfId="31023" xr:uid="{00000000-0005-0000-0000-00002E790000}"/>
    <cellStyle name="Normal 2 2 2 3 7 5 2 2 3" xfId="31024" xr:uid="{00000000-0005-0000-0000-00002F790000}"/>
    <cellStyle name="Normal 2 2 2 3 7 5 2 3" xfId="31025" xr:uid="{00000000-0005-0000-0000-000030790000}"/>
    <cellStyle name="Normal 2 2 2 3 7 5 2 3 2" xfId="31026" xr:uid="{00000000-0005-0000-0000-000031790000}"/>
    <cellStyle name="Normal 2 2 2 3 7 5 2 4" xfId="31027" xr:uid="{00000000-0005-0000-0000-000032790000}"/>
    <cellStyle name="Normal 2 2 2 3 7 5 3" xfId="31028" xr:uid="{00000000-0005-0000-0000-000033790000}"/>
    <cellStyle name="Normal 2 2 2 3 7 5 3 2" xfId="31029" xr:uid="{00000000-0005-0000-0000-000034790000}"/>
    <cellStyle name="Normal 2 2 2 3 7 5 3 2 2" xfId="31030" xr:uid="{00000000-0005-0000-0000-000035790000}"/>
    <cellStyle name="Normal 2 2 2 3 7 5 3 3" xfId="31031" xr:uid="{00000000-0005-0000-0000-000036790000}"/>
    <cellStyle name="Normal 2 2 2 3 7 5 4" xfId="31032" xr:uid="{00000000-0005-0000-0000-000037790000}"/>
    <cellStyle name="Normal 2 2 2 3 7 5 4 2" xfId="31033" xr:uid="{00000000-0005-0000-0000-000038790000}"/>
    <cellStyle name="Normal 2 2 2 3 7 5 5" xfId="31034" xr:uid="{00000000-0005-0000-0000-000039790000}"/>
    <cellStyle name="Normal 2 2 2 3 7 6" xfId="31035" xr:uid="{00000000-0005-0000-0000-00003A790000}"/>
    <cellStyle name="Normal 2 2 2 3 7 6 2" xfId="31036" xr:uid="{00000000-0005-0000-0000-00003B790000}"/>
    <cellStyle name="Normal 2 2 2 3 7 6 2 2" xfId="31037" xr:uid="{00000000-0005-0000-0000-00003C790000}"/>
    <cellStyle name="Normal 2 2 2 3 7 6 2 2 2" xfId="31038" xr:uid="{00000000-0005-0000-0000-00003D790000}"/>
    <cellStyle name="Normal 2 2 2 3 7 6 2 2 2 2" xfId="31039" xr:uid="{00000000-0005-0000-0000-00003E790000}"/>
    <cellStyle name="Normal 2 2 2 3 7 6 2 2 3" xfId="31040" xr:uid="{00000000-0005-0000-0000-00003F790000}"/>
    <cellStyle name="Normal 2 2 2 3 7 6 2 3" xfId="31041" xr:uid="{00000000-0005-0000-0000-000040790000}"/>
    <cellStyle name="Normal 2 2 2 3 7 6 2 3 2" xfId="31042" xr:uid="{00000000-0005-0000-0000-000041790000}"/>
    <cellStyle name="Normal 2 2 2 3 7 6 2 4" xfId="31043" xr:uid="{00000000-0005-0000-0000-000042790000}"/>
    <cellStyle name="Normal 2 2 2 3 7 6 3" xfId="31044" xr:uid="{00000000-0005-0000-0000-000043790000}"/>
    <cellStyle name="Normal 2 2 2 3 7 6 3 2" xfId="31045" xr:uid="{00000000-0005-0000-0000-000044790000}"/>
    <cellStyle name="Normal 2 2 2 3 7 6 3 2 2" xfId="31046" xr:uid="{00000000-0005-0000-0000-000045790000}"/>
    <cellStyle name="Normal 2 2 2 3 7 6 3 3" xfId="31047" xr:uid="{00000000-0005-0000-0000-000046790000}"/>
    <cellStyle name="Normal 2 2 2 3 7 6 4" xfId="31048" xr:uid="{00000000-0005-0000-0000-000047790000}"/>
    <cellStyle name="Normal 2 2 2 3 7 6 4 2" xfId="31049" xr:uid="{00000000-0005-0000-0000-000048790000}"/>
    <cellStyle name="Normal 2 2 2 3 7 6 5" xfId="31050" xr:uid="{00000000-0005-0000-0000-000049790000}"/>
    <cellStyle name="Normal 2 2 2 3 7 7" xfId="31051" xr:uid="{00000000-0005-0000-0000-00004A790000}"/>
    <cellStyle name="Normal 2 2 2 3 7 7 2" xfId="31052" xr:uid="{00000000-0005-0000-0000-00004B790000}"/>
    <cellStyle name="Normal 2 2 2 3 7 7 2 2" xfId="31053" xr:uid="{00000000-0005-0000-0000-00004C790000}"/>
    <cellStyle name="Normal 2 2 2 3 7 7 2 2 2" xfId="31054" xr:uid="{00000000-0005-0000-0000-00004D790000}"/>
    <cellStyle name="Normal 2 2 2 3 7 7 2 3" xfId="31055" xr:uid="{00000000-0005-0000-0000-00004E790000}"/>
    <cellStyle name="Normal 2 2 2 3 7 7 3" xfId="31056" xr:uid="{00000000-0005-0000-0000-00004F790000}"/>
    <cellStyle name="Normal 2 2 2 3 7 7 3 2" xfId="31057" xr:uid="{00000000-0005-0000-0000-000050790000}"/>
    <cellStyle name="Normal 2 2 2 3 7 7 4" xfId="31058" xr:uid="{00000000-0005-0000-0000-000051790000}"/>
    <cellStyle name="Normal 2 2 2 3 7 8" xfId="31059" xr:uid="{00000000-0005-0000-0000-000052790000}"/>
    <cellStyle name="Normal 2 2 2 3 7 8 2" xfId="31060" xr:uid="{00000000-0005-0000-0000-000053790000}"/>
    <cellStyle name="Normal 2 2 2 3 7 8 2 2" xfId="31061" xr:uid="{00000000-0005-0000-0000-000054790000}"/>
    <cellStyle name="Normal 2 2 2 3 7 8 2 2 2" xfId="31062" xr:uid="{00000000-0005-0000-0000-000055790000}"/>
    <cellStyle name="Normal 2 2 2 3 7 8 2 3" xfId="31063" xr:uid="{00000000-0005-0000-0000-000056790000}"/>
    <cellStyle name="Normal 2 2 2 3 7 8 3" xfId="31064" xr:uid="{00000000-0005-0000-0000-000057790000}"/>
    <cellStyle name="Normal 2 2 2 3 7 8 3 2" xfId="31065" xr:uid="{00000000-0005-0000-0000-000058790000}"/>
    <cellStyle name="Normal 2 2 2 3 7 8 4" xfId="31066" xr:uid="{00000000-0005-0000-0000-000059790000}"/>
    <cellStyle name="Normal 2 2 2 3 7 9" xfId="31067" xr:uid="{00000000-0005-0000-0000-00005A790000}"/>
    <cellStyle name="Normal 2 2 2 3 7 9 2" xfId="31068" xr:uid="{00000000-0005-0000-0000-00005B790000}"/>
    <cellStyle name="Normal 2 2 2 3 7 9 2 2" xfId="31069" xr:uid="{00000000-0005-0000-0000-00005C790000}"/>
    <cellStyle name="Normal 2 2 2 3 7 9 3" xfId="31070" xr:uid="{00000000-0005-0000-0000-00005D790000}"/>
    <cellStyle name="Normal 2 2 2 3 8" xfId="31071" xr:uid="{00000000-0005-0000-0000-00005E790000}"/>
    <cellStyle name="Normal 2 2 2 3 8 2" xfId="31072" xr:uid="{00000000-0005-0000-0000-00005F790000}"/>
    <cellStyle name="Normal 2 2 2 3 8 2 2" xfId="31073" xr:uid="{00000000-0005-0000-0000-000060790000}"/>
    <cellStyle name="Normal 2 2 2 3 8 2 2 2" xfId="31074" xr:uid="{00000000-0005-0000-0000-000061790000}"/>
    <cellStyle name="Normal 2 2 2 3 8 2 2 2 2" xfId="31075" xr:uid="{00000000-0005-0000-0000-000062790000}"/>
    <cellStyle name="Normal 2 2 2 3 8 2 2 3" xfId="31076" xr:uid="{00000000-0005-0000-0000-000063790000}"/>
    <cellStyle name="Normal 2 2 2 3 8 2 3" xfId="31077" xr:uid="{00000000-0005-0000-0000-000064790000}"/>
    <cellStyle name="Normal 2 2 2 3 8 2 3 2" xfId="31078" xr:uid="{00000000-0005-0000-0000-000065790000}"/>
    <cellStyle name="Normal 2 2 2 3 8 2 4" xfId="31079" xr:uid="{00000000-0005-0000-0000-000066790000}"/>
    <cellStyle name="Normal 2 2 2 3 8 3" xfId="31080" xr:uid="{00000000-0005-0000-0000-000067790000}"/>
    <cellStyle name="Normal 2 2 2 3 8 3 2" xfId="31081" xr:uid="{00000000-0005-0000-0000-000068790000}"/>
    <cellStyle name="Normal 2 2 2 3 8 3 2 2" xfId="31082" xr:uid="{00000000-0005-0000-0000-000069790000}"/>
    <cellStyle name="Normal 2 2 2 3 8 3 3" xfId="31083" xr:uid="{00000000-0005-0000-0000-00006A790000}"/>
    <cellStyle name="Normal 2 2 2 3 8 4" xfId="31084" xr:uid="{00000000-0005-0000-0000-00006B790000}"/>
    <cellStyle name="Normal 2 2 2 3 8 4 2" xfId="31085" xr:uid="{00000000-0005-0000-0000-00006C790000}"/>
    <cellStyle name="Normal 2 2 2 3 8 4 2 2" xfId="31086" xr:uid="{00000000-0005-0000-0000-00006D790000}"/>
    <cellStyle name="Normal 2 2 2 3 8 4 3" xfId="31087" xr:uid="{00000000-0005-0000-0000-00006E790000}"/>
    <cellStyle name="Normal 2 2 2 3 8 5" xfId="31088" xr:uid="{00000000-0005-0000-0000-00006F790000}"/>
    <cellStyle name="Normal 2 2 2 3 8 5 2" xfId="31089" xr:uid="{00000000-0005-0000-0000-000070790000}"/>
    <cellStyle name="Normal 2 2 2 3 8 5 2 2" xfId="31090" xr:uid="{00000000-0005-0000-0000-000071790000}"/>
    <cellStyle name="Normal 2 2 2 3 8 5 3" xfId="31091" xr:uid="{00000000-0005-0000-0000-000072790000}"/>
    <cellStyle name="Normal 2 2 2 3 8 6" xfId="31092" xr:uid="{00000000-0005-0000-0000-000073790000}"/>
    <cellStyle name="Normal 2 2 2 3 8 6 2" xfId="31093" xr:uid="{00000000-0005-0000-0000-000074790000}"/>
    <cellStyle name="Normal 2 2 2 3 8 6 2 2" xfId="31094" xr:uid="{00000000-0005-0000-0000-000075790000}"/>
    <cellStyle name="Normal 2 2 2 3 8 6 3" xfId="31095" xr:uid="{00000000-0005-0000-0000-000076790000}"/>
    <cellStyle name="Normal 2 2 2 3 8 7" xfId="31096" xr:uid="{00000000-0005-0000-0000-000077790000}"/>
    <cellStyle name="Normal 2 2 2 3 8 7 2" xfId="31097" xr:uid="{00000000-0005-0000-0000-000078790000}"/>
    <cellStyle name="Normal 2 2 2 3 8 8" xfId="31098" xr:uid="{00000000-0005-0000-0000-000079790000}"/>
    <cellStyle name="Normal 2 2 2 3 9" xfId="31099" xr:uid="{00000000-0005-0000-0000-00007A790000}"/>
    <cellStyle name="Normal 2 2 2 3 9 2" xfId="31100" xr:uid="{00000000-0005-0000-0000-00007B790000}"/>
    <cellStyle name="Normal 2 2 2 3 9 2 2" xfId="31101" xr:uid="{00000000-0005-0000-0000-00007C790000}"/>
    <cellStyle name="Normal 2 2 2 3 9 2 2 2" xfId="31102" xr:uid="{00000000-0005-0000-0000-00007D790000}"/>
    <cellStyle name="Normal 2 2 2 3 9 2 2 2 2" xfId="31103" xr:uid="{00000000-0005-0000-0000-00007E790000}"/>
    <cellStyle name="Normal 2 2 2 3 9 2 2 3" xfId="31104" xr:uid="{00000000-0005-0000-0000-00007F790000}"/>
    <cellStyle name="Normal 2 2 2 3 9 2 3" xfId="31105" xr:uid="{00000000-0005-0000-0000-000080790000}"/>
    <cellStyle name="Normal 2 2 2 3 9 2 3 2" xfId="31106" xr:uid="{00000000-0005-0000-0000-000081790000}"/>
    <cellStyle name="Normal 2 2 2 3 9 2 4" xfId="31107" xr:uid="{00000000-0005-0000-0000-000082790000}"/>
    <cellStyle name="Normal 2 2 2 3 9 3" xfId="31108" xr:uid="{00000000-0005-0000-0000-000083790000}"/>
    <cellStyle name="Normal 2 2 2 3 9 3 2" xfId="31109" xr:uid="{00000000-0005-0000-0000-000084790000}"/>
    <cellStyle name="Normal 2 2 2 3 9 3 2 2" xfId="31110" xr:uid="{00000000-0005-0000-0000-000085790000}"/>
    <cellStyle name="Normal 2 2 2 3 9 3 3" xfId="31111" xr:uid="{00000000-0005-0000-0000-000086790000}"/>
    <cellStyle name="Normal 2 2 2 3 9 4" xfId="31112" xr:uid="{00000000-0005-0000-0000-000087790000}"/>
    <cellStyle name="Normal 2 2 2 3 9 4 2" xfId="31113" xr:uid="{00000000-0005-0000-0000-000088790000}"/>
    <cellStyle name="Normal 2 2 2 3 9 4 2 2" xfId="31114" xr:uid="{00000000-0005-0000-0000-000089790000}"/>
    <cellStyle name="Normal 2 2 2 3 9 4 3" xfId="31115" xr:uid="{00000000-0005-0000-0000-00008A790000}"/>
    <cellStyle name="Normal 2 2 2 3 9 5" xfId="31116" xr:uid="{00000000-0005-0000-0000-00008B790000}"/>
    <cellStyle name="Normal 2 2 2 3 9 5 2" xfId="31117" xr:uid="{00000000-0005-0000-0000-00008C790000}"/>
    <cellStyle name="Normal 2 2 2 3 9 5 2 2" xfId="31118" xr:uid="{00000000-0005-0000-0000-00008D790000}"/>
    <cellStyle name="Normal 2 2 2 3 9 5 3" xfId="31119" xr:uid="{00000000-0005-0000-0000-00008E790000}"/>
    <cellStyle name="Normal 2 2 2 3 9 6" xfId="31120" xr:uid="{00000000-0005-0000-0000-00008F790000}"/>
    <cellStyle name="Normal 2 2 2 3 9 6 2" xfId="31121" xr:uid="{00000000-0005-0000-0000-000090790000}"/>
    <cellStyle name="Normal 2 2 2 3 9 6 2 2" xfId="31122" xr:uid="{00000000-0005-0000-0000-000091790000}"/>
    <cellStyle name="Normal 2 2 2 3 9 6 3" xfId="31123" xr:uid="{00000000-0005-0000-0000-000092790000}"/>
    <cellStyle name="Normal 2 2 2 3 9 7" xfId="31124" xr:uid="{00000000-0005-0000-0000-000093790000}"/>
    <cellStyle name="Normal 2 2 2 3 9 7 2" xfId="31125" xr:uid="{00000000-0005-0000-0000-000094790000}"/>
    <cellStyle name="Normal 2 2 2 3 9 8" xfId="31126" xr:uid="{00000000-0005-0000-0000-000095790000}"/>
    <cellStyle name="Normal 2 2 2 4" xfId="31127" xr:uid="{00000000-0005-0000-0000-000096790000}"/>
    <cellStyle name="Normal 2 2 2 4 10" xfId="31128" xr:uid="{00000000-0005-0000-0000-000097790000}"/>
    <cellStyle name="Normal 2 2 2 4 10 2" xfId="31129" xr:uid="{00000000-0005-0000-0000-000098790000}"/>
    <cellStyle name="Normal 2 2 2 4 10 2 2" xfId="31130" xr:uid="{00000000-0005-0000-0000-000099790000}"/>
    <cellStyle name="Normal 2 2 2 4 10 2 2 2" xfId="31131" xr:uid="{00000000-0005-0000-0000-00009A790000}"/>
    <cellStyle name="Normal 2 2 2 4 10 2 2 2 2" xfId="31132" xr:uid="{00000000-0005-0000-0000-00009B790000}"/>
    <cellStyle name="Normal 2 2 2 4 10 2 2 3" xfId="31133" xr:uid="{00000000-0005-0000-0000-00009C790000}"/>
    <cellStyle name="Normal 2 2 2 4 10 2 3" xfId="31134" xr:uid="{00000000-0005-0000-0000-00009D790000}"/>
    <cellStyle name="Normal 2 2 2 4 10 2 3 2" xfId="31135" xr:uid="{00000000-0005-0000-0000-00009E790000}"/>
    <cellStyle name="Normal 2 2 2 4 10 2 4" xfId="31136" xr:uid="{00000000-0005-0000-0000-00009F790000}"/>
    <cellStyle name="Normal 2 2 2 4 10 3" xfId="31137" xr:uid="{00000000-0005-0000-0000-0000A0790000}"/>
    <cellStyle name="Normal 2 2 2 4 10 3 2" xfId="31138" xr:uid="{00000000-0005-0000-0000-0000A1790000}"/>
    <cellStyle name="Normal 2 2 2 4 10 3 2 2" xfId="31139" xr:uid="{00000000-0005-0000-0000-0000A2790000}"/>
    <cellStyle name="Normal 2 2 2 4 10 3 3" xfId="31140" xr:uid="{00000000-0005-0000-0000-0000A3790000}"/>
    <cellStyle name="Normal 2 2 2 4 10 4" xfId="31141" xr:uid="{00000000-0005-0000-0000-0000A4790000}"/>
    <cellStyle name="Normal 2 2 2 4 10 4 2" xfId="31142" xr:uid="{00000000-0005-0000-0000-0000A5790000}"/>
    <cellStyle name="Normal 2 2 2 4 10 5" xfId="31143" xr:uid="{00000000-0005-0000-0000-0000A6790000}"/>
    <cellStyle name="Normal 2 2 2 4 11" xfId="31144" xr:uid="{00000000-0005-0000-0000-0000A7790000}"/>
    <cellStyle name="Normal 2 2 2 4 11 2" xfId="31145" xr:uid="{00000000-0005-0000-0000-0000A8790000}"/>
    <cellStyle name="Normal 2 2 2 4 11 2 2" xfId="31146" xr:uid="{00000000-0005-0000-0000-0000A9790000}"/>
    <cellStyle name="Normal 2 2 2 4 11 2 2 2" xfId="31147" xr:uid="{00000000-0005-0000-0000-0000AA790000}"/>
    <cellStyle name="Normal 2 2 2 4 11 2 2 2 2" xfId="31148" xr:uid="{00000000-0005-0000-0000-0000AB790000}"/>
    <cellStyle name="Normal 2 2 2 4 11 2 2 3" xfId="31149" xr:uid="{00000000-0005-0000-0000-0000AC790000}"/>
    <cellStyle name="Normal 2 2 2 4 11 2 3" xfId="31150" xr:uid="{00000000-0005-0000-0000-0000AD790000}"/>
    <cellStyle name="Normal 2 2 2 4 11 2 3 2" xfId="31151" xr:uid="{00000000-0005-0000-0000-0000AE790000}"/>
    <cellStyle name="Normal 2 2 2 4 11 2 4" xfId="31152" xr:uid="{00000000-0005-0000-0000-0000AF790000}"/>
    <cellStyle name="Normal 2 2 2 4 11 3" xfId="31153" xr:uid="{00000000-0005-0000-0000-0000B0790000}"/>
    <cellStyle name="Normal 2 2 2 4 11 3 2" xfId="31154" xr:uid="{00000000-0005-0000-0000-0000B1790000}"/>
    <cellStyle name="Normal 2 2 2 4 11 3 2 2" xfId="31155" xr:uid="{00000000-0005-0000-0000-0000B2790000}"/>
    <cellStyle name="Normal 2 2 2 4 11 3 3" xfId="31156" xr:uid="{00000000-0005-0000-0000-0000B3790000}"/>
    <cellStyle name="Normal 2 2 2 4 11 4" xfId="31157" xr:uid="{00000000-0005-0000-0000-0000B4790000}"/>
    <cellStyle name="Normal 2 2 2 4 11 4 2" xfId="31158" xr:uid="{00000000-0005-0000-0000-0000B5790000}"/>
    <cellStyle name="Normal 2 2 2 4 11 5" xfId="31159" xr:uid="{00000000-0005-0000-0000-0000B6790000}"/>
    <cellStyle name="Normal 2 2 2 4 12" xfId="31160" xr:uid="{00000000-0005-0000-0000-0000B7790000}"/>
    <cellStyle name="Normal 2 2 2 4 12 2" xfId="31161" xr:uid="{00000000-0005-0000-0000-0000B8790000}"/>
    <cellStyle name="Normal 2 2 2 4 12 2 2" xfId="31162" xr:uid="{00000000-0005-0000-0000-0000B9790000}"/>
    <cellStyle name="Normal 2 2 2 4 12 2 2 2" xfId="31163" xr:uid="{00000000-0005-0000-0000-0000BA790000}"/>
    <cellStyle name="Normal 2 2 2 4 12 2 2 2 2" xfId="31164" xr:uid="{00000000-0005-0000-0000-0000BB790000}"/>
    <cellStyle name="Normal 2 2 2 4 12 2 2 3" xfId="31165" xr:uid="{00000000-0005-0000-0000-0000BC790000}"/>
    <cellStyle name="Normal 2 2 2 4 12 2 3" xfId="31166" xr:uid="{00000000-0005-0000-0000-0000BD790000}"/>
    <cellStyle name="Normal 2 2 2 4 12 2 3 2" xfId="31167" xr:uid="{00000000-0005-0000-0000-0000BE790000}"/>
    <cellStyle name="Normal 2 2 2 4 12 2 4" xfId="31168" xr:uid="{00000000-0005-0000-0000-0000BF790000}"/>
    <cellStyle name="Normal 2 2 2 4 12 3" xfId="31169" xr:uid="{00000000-0005-0000-0000-0000C0790000}"/>
    <cellStyle name="Normal 2 2 2 4 12 3 2" xfId="31170" xr:uid="{00000000-0005-0000-0000-0000C1790000}"/>
    <cellStyle name="Normal 2 2 2 4 12 3 2 2" xfId="31171" xr:uid="{00000000-0005-0000-0000-0000C2790000}"/>
    <cellStyle name="Normal 2 2 2 4 12 3 3" xfId="31172" xr:uid="{00000000-0005-0000-0000-0000C3790000}"/>
    <cellStyle name="Normal 2 2 2 4 12 4" xfId="31173" xr:uid="{00000000-0005-0000-0000-0000C4790000}"/>
    <cellStyle name="Normal 2 2 2 4 12 4 2" xfId="31174" xr:uid="{00000000-0005-0000-0000-0000C5790000}"/>
    <cellStyle name="Normal 2 2 2 4 12 5" xfId="31175" xr:uid="{00000000-0005-0000-0000-0000C6790000}"/>
    <cellStyle name="Normal 2 2 2 4 13" xfId="31176" xr:uid="{00000000-0005-0000-0000-0000C7790000}"/>
    <cellStyle name="Normal 2 2 2 4 13 2" xfId="31177" xr:uid="{00000000-0005-0000-0000-0000C8790000}"/>
    <cellStyle name="Normal 2 2 2 4 13 2 2" xfId="31178" xr:uid="{00000000-0005-0000-0000-0000C9790000}"/>
    <cellStyle name="Normal 2 2 2 4 13 2 2 2" xfId="31179" xr:uid="{00000000-0005-0000-0000-0000CA790000}"/>
    <cellStyle name="Normal 2 2 2 4 13 2 3" xfId="31180" xr:uid="{00000000-0005-0000-0000-0000CB790000}"/>
    <cellStyle name="Normal 2 2 2 4 13 3" xfId="31181" xr:uid="{00000000-0005-0000-0000-0000CC790000}"/>
    <cellStyle name="Normal 2 2 2 4 13 3 2" xfId="31182" xr:uid="{00000000-0005-0000-0000-0000CD790000}"/>
    <cellStyle name="Normal 2 2 2 4 13 4" xfId="31183" xr:uid="{00000000-0005-0000-0000-0000CE790000}"/>
    <cellStyle name="Normal 2 2 2 4 14" xfId="31184" xr:uid="{00000000-0005-0000-0000-0000CF790000}"/>
    <cellStyle name="Normal 2 2 2 4 14 2" xfId="31185" xr:uid="{00000000-0005-0000-0000-0000D0790000}"/>
    <cellStyle name="Normal 2 2 2 4 14 2 2" xfId="31186" xr:uid="{00000000-0005-0000-0000-0000D1790000}"/>
    <cellStyle name="Normal 2 2 2 4 14 2 2 2" xfId="31187" xr:uid="{00000000-0005-0000-0000-0000D2790000}"/>
    <cellStyle name="Normal 2 2 2 4 14 2 3" xfId="31188" xr:uid="{00000000-0005-0000-0000-0000D3790000}"/>
    <cellStyle name="Normal 2 2 2 4 14 3" xfId="31189" xr:uid="{00000000-0005-0000-0000-0000D4790000}"/>
    <cellStyle name="Normal 2 2 2 4 14 3 2" xfId="31190" xr:uid="{00000000-0005-0000-0000-0000D5790000}"/>
    <cellStyle name="Normal 2 2 2 4 14 4" xfId="31191" xr:uid="{00000000-0005-0000-0000-0000D6790000}"/>
    <cellStyle name="Normal 2 2 2 4 15" xfId="31192" xr:uid="{00000000-0005-0000-0000-0000D7790000}"/>
    <cellStyle name="Normal 2 2 2 4 15 2" xfId="31193" xr:uid="{00000000-0005-0000-0000-0000D8790000}"/>
    <cellStyle name="Normal 2 2 2 4 15 2 2" xfId="31194" xr:uid="{00000000-0005-0000-0000-0000D9790000}"/>
    <cellStyle name="Normal 2 2 2 4 15 3" xfId="31195" xr:uid="{00000000-0005-0000-0000-0000DA790000}"/>
    <cellStyle name="Normal 2 2 2 4 16" xfId="31196" xr:uid="{00000000-0005-0000-0000-0000DB790000}"/>
    <cellStyle name="Normal 2 2 2 4 16 2" xfId="31197" xr:uid="{00000000-0005-0000-0000-0000DC790000}"/>
    <cellStyle name="Normal 2 2 2 4 16 2 2" xfId="31198" xr:uid="{00000000-0005-0000-0000-0000DD790000}"/>
    <cellStyle name="Normal 2 2 2 4 16 3" xfId="31199" xr:uid="{00000000-0005-0000-0000-0000DE790000}"/>
    <cellStyle name="Normal 2 2 2 4 17" xfId="31200" xr:uid="{00000000-0005-0000-0000-0000DF790000}"/>
    <cellStyle name="Normal 2 2 2 4 17 2" xfId="31201" xr:uid="{00000000-0005-0000-0000-0000E0790000}"/>
    <cellStyle name="Normal 2 2 2 4 17 2 2" xfId="31202" xr:uid="{00000000-0005-0000-0000-0000E1790000}"/>
    <cellStyle name="Normal 2 2 2 4 17 3" xfId="31203" xr:uid="{00000000-0005-0000-0000-0000E2790000}"/>
    <cellStyle name="Normal 2 2 2 4 18" xfId="31204" xr:uid="{00000000-0005-0000-0000-0000E3790000}"/>
    <cellStyle name="Normal 2 2 2 4 18 2" xfId="31205" xr:uid="{00000000-0005-0000-0000-0000E4790000}"/>
    <cellStyle name="Normal 2 2 2 4 18 2 2" xfId="31206" xr:uid="{00000000-0005-0000-0000-0000E5790000}"/>
    <cellStyle name="Normal 2 2 2 4 18 3" xfId="31207" xr:uid="{00000000-0005-0000-0000-0000E6790000}"/>
    <cellStyle name="Normal 2 2 2 4 19" xfId="31208" xr:uid="{00000000-0005-0000-0000-0000E7790000}"/>
    <cellStyle name="Normal 2 2 2 4 19 2" xfId="31209" xr:uid="{00000000-0005-0000-0000-0000E8790000}"/>
    <cellStyle name="Normal 2 2 2 4 2" xfId="31210" xr:uid="{00000000-0005-0000-0000-0000E9790000}"/>
    <cellStyle name="Normal 2 2 2 4 2 10" xfId="31211" xr:uid="{00000000-0005-0000-0000-0000EA790000}"/>
    <cellStyle name="Normal 2 2 2 4 2 10 2" xfId="31212" xr:uid="{00000000-0005-0000-0000-0000EB790000}"/>
    <cellStyle name="Normal 2 2 2 4 2 10 2 2" xfId="31213" xr:uid="{00000000-0005-0000-0000-0000EC790000}"/>
    <cellStyle name="Normal 2 2 2 4 2 10 3" xfId="31214" xr:uid="{00000000-0005-0000-0000-0000ED790000}"/>
    <cellStyle name="Normal 2 2 2 4 2 11" xfId="31215" xr:uid="{00000000-0005-0000-0000-0000EE790000}"/>
    <cellStyle name="Normal 2 2 2 4 2 11 2" xfId="31216" xr:uid="{00000000-0005-0000-0000-0000EF790000}"/>
    <cellStyle name="Normal 2 2 2 4 2 11 2 2" xfId="31217" xr:uid="{00000000-0005-0000-0000-0000F0790000}"/>
    <cellStyle name="Normal 2 2 2 4 2 11 3" xfId="31218" xr:uid="{00000000-0005-0000-0000-0000F1790000}"/>
    <cellStyle name="Normal 2 2 2 4 2 12" xfId="31219" xr:uid="{00000000-0005-0000-0000-0000F2790000}"/>
    <cellStyle name="Normal 2 2 2 4 2 12 2" xfId="31220" xr:uid="{00000000-0005-0000-0000-0000F3790000}"/>
    <cellStyle name="Normal 2 2 2 4 2 12 2 2" xfId="31221" xr:uid="{00000000-0005-0000-0000-0000F4790000}"/>
    <cellStyle name="Normal 2 2 2 4 2 12 3" xfId="31222" xr:uid="{00000000-0005-0000-0000-0000F5790000}"/>
    <cellStyle name="Normal 2 2 2 4 2 13" xfId="31223" xr:uid="{00000000-0005-0000-0000-0000F6790000}"/>
    <cellStyle name="Normal 2 2 2 4 2 13 2" xfId="31224" xr:uid="{00000000-0005-0000-0000-0000F7790000}"/>
    <cellStyle name="Normal 2 2 2 4 2 14" xfId="31225" xr:uid="{00000000-0005-0000-0000-0000F8790000}"/>
    <cellStyle name="Normal 2 2 2 4 2 2" xfId="31226" xr:uid="{00000000-0005-0000-0000-0000F9790000}"/>
    <cellStyle name="Normal 2 2 2 4 2 2 2" xfId="31227" xr:uid="{00000000-0005-0000-0000-0000FA790000}"/>
    <cellStyle name="Normal 2 2 2 4 2 2 2 2" xfId="31228" xr:uid="{00000000-0005-0000-0000-0000FB790000}"/>
    <cellStyle name="Normal 2 2 2 4 2 2 2 2 2" xfId="31229" xr:uid="{00000000-0005-0000-0000-0000FC790000}"/>
    <cellStyle name="Normal 2 2 2 4 2 2 2 2 2 2" xfId="31230" xr:uid="{00000000-0005-0000-0000-0000FD790000}"/>
    <cellStyle name="Normal 2 2 2 4 2 2 2 2 3" xfId="31231" xr:uid="{00000000-0005-0000-0000-0000FE790000}"/>
    <cellStyle name="Normal 2 2 2 4 2 2 2 3" xfId="31232" xr:uid="{00000000-0005-0000-0000-0000FF790000}"/>
    <cellStyle name="Normal 2 2 2 4 2 2 2 3 2" xfId="31233" xr:uid="{00000000-0005-0000-0000-0000007A0000}"/>
    <cellStyle name="Normal 2 2 2 4 2 2 2 4" xfId="31234" xr:uid="{00000000-0005-0000-0000-0000017A0000}"/>
    <cellStyle name="Normal 2 2 2 4 2 2 3" xfId="31235" xr:uid="{00000000-0005-0000-0000-0000027A0000}"/>
    <cellStyle name="Normal 2 2 2 4 2 2 3 2" xfId="31236" xr:uid="{00000000-0005-0000-0000-0000037A0000}"/>
    <cellStyle name="Normal 2 2 2 4 2 2 3 2 2" xfId="31237" xr:uid="{00000000-0005-0000-0000-0000047A0000}"/>
    <cellStyle name="Normal 2 2 2 4 2 2 3 3" xfId="31238" xr:uid="{00000000-0005-0000-0000-0000057A0000}"/>
    <cellStyle name="Normal 2 2 2 4 2 2 4" xfId="31239" xr:uid="{00000000-0005-0000-0000-0000067A0000}"/>
    <cellStyle name="Normal 2 2 2 4 2 2 4 2" xfId="31240" xr:uid="{00000000-0005-0000-0000-0000077A0000}"/>
    <cellStyle name="Normal 2 2 2 4 2 2 4 2 2" xfId="31241" xr:uid="{00000000-0005-0000-0000-0000087A0000}"/>
    <cellStyle name="Normal 2 2 2 4 2 2 4 3" xfId="31242" xr:uid="{00000000-0005-0000-0000-0000097A0000}"/>
    <cellStyle name="Normal 2 2 2 4 2 2 5" xfId="31243" xr:uid="{00000000-0005-0000-0000-00000A7A0000}"/>
    <cellStyle name="Normal 2 2 2 4 2 2 5 2" xfId="31244" xr:uid="{00000000-0005-0000-0000-00000B7A0000}"/>
    <cellStyle name="Normal 2 2 2 4 2 2 5 2 2" xfId="31245" xr:uid="{00000000-0005-0000-0000-00000C7A0000}"/>
    <cellStyle name="Normal 2 2 2 4 2 2 5 3" xfId="31246" xr:uid="{00000000-0005-0000-0000-00000D7A0000}"/>
    <cellStyle name="Normal 2 2 2 4 2 2 6" xfId="31247" xr:uid="{00000000-0005-0000-0000-00000E7A0000}"/>
    <cellStyle name="Normal 2 2 2 4 2 2 6 2" xfId="31248" xr:uid="{00000000-0005-0000-0000-00000F7A0000}"/>
    <cellStyle name="Normal 2 2 2 4 2 2 6 2 2" xfId="31249" xr:uid="{00000000-0005-0000-0000-0000107A0000}"/>
    <cellStyle name="Normal 2 2 2 4 2 2 6 3" xfId="31250" xr:uid="{00000000-0005-0000-0000-0000117A0000}"/>
    <cellStyle name="Normal 2 2 2 4 2 2 7" xfId="31251" xr:uid="{00000000-0005-0000-0000-0000127A0000}"/>
    <cellStyle name="Normal 2 2 2 4 2 2 7 2" xfId="31252" xr:uid="{00000000-0005-0000-0000-0000137A0000}"/>
    <cellStyle name="Normal 2 2 2 4 2 2 8" xfId="31253" xr:uid="{00000000-0005-0000-0000-0000147A0000}"/>
    <cellStyle name="Normal 2 2 2 4 2 3" xfId="31254" xr:uid="{00000000-0005-0000-0000-0000157A0000}"/>
    <cellStyle name="Normal 2 2 2 4 2 3 2" xfId="31255" xr:uid="{00000000-0005-0000-0000-0000167A0000}"/>
    <cellStyle name="Normal 2 2 2 4 2 3 2 2" xfId="31256" xr:uid="{00000000-0005-0000-0000-0000177A0000}"/>
    <cellStyle name="Normal 2 2 2 4 2 3 2 2 2" xfId="31257" xr:uid="{00000000-0005-0000-0000-0000187A0000}"/>
    <cellStyle name="Normal 2 2 2 4 2 3 2 2 2 2" xfId="31258" xr:uid="{00000000-0005-0000-0000-0000197A0000}"/>
    <cellStyle name="Normal 2 2 2 4 2 3 2 2 3" xfId="31259" xr:uid="{00000000-0005-0000-0000-00001A7A0000}"/>
    <cellStyle name="Normal 2 2 2 4 2 3 2 3" xfId="31260" xr:uid="{00000000-0005-0000-0000-00001B7A0000}"/>
    <cellStyle name="Normal 2 2 2 4 2 3 2 3 2" xfId="31261" xr:uid="{00000000-0005-0000-0000-00001C7A0000}"/>
    <cellStyle name="Normal 2 2 2 4 2 3 2 4" xfId="31262" xr:uid="{00000000-0005-0000-0000-00001D7A0000}"/>
    <cellStyle name="Normal 2 2 2 4 2 3 3" xfId="31263" xr:uid="{00000000-0005-0000-0000-00001E7A0000}"/>
    <cellStyle name="Normal 2 2 2 4 2 3 3 2" xfId="31264" xr:uid="{00000000-0005-0000-0000-00001F7A0000}"/>
    <cellStyle name="Normal 2 2 2 4 2 3 3 2 2" xfId="31265" xr:uid="{00000000-0005-0000-0000-0000207A0000}"/>
    <cellStyle name="Normal 2 2 2 4 2 3 3 3" xfId="31266" xr:uid="{00000000-0005-0000-0000-0000217A0000}"/>
    <cellStyle name="Normal 2 2 2 4 2 3 4" xfId="31267" xr:uid="{00000000-0005-0000-0000-0000227A0000}"/>
    <cellStyle name="Normal 2 2 2 4 2 3 4 2" xfId="31268" xr:uid="{00000000-0005-0000-0000-0000237A0000}"/>
    <cellStyle name="Normal 2 2 2 4 2 3 4 2 2" xfId="31269" xr:uid="{00000000-0005-0000-0000-0000247A0000}"/>
    <cellStyle name="Normal 2 2 2 4 2 3 4 3" xfId="31270" xr:uid="{00000000-0005-0000-0000-0000257A0000}"/>
    <cellStyle name="Normal 2 2 2 4 2 3 5" xfId="31271" xr:uid="{00000000-0005-0000-0000-0000267A0000}"/>
    <cellStyle name="Normal 2 2 2 4 2 3 5 2" xfId="31272" xr:uid="{00000000-0005-0000-0000-0000277A0000}"/>
    <cellStyle name="Normal 2 2 2 4 2 3 5 2 2" xfId="31273" xr:uid="{00000000-0005-0000-0000-0000287A0000}"/>
    <cellStyle name="Normal 2 2 2 4 2 3 5 3" xfId="31274" xr:uid="{00000000-0005-0000-0000-0000297A0000}"/>
    <cellStyle name="Normal 2 2 2 4 2 3 6" xfId="31275" xr:uid="{00000000-0005-0000-0000-00002A7A0000}"/>
    <cellStyle name="Normal 2 2 2 4 2 3 6 2" xfId="31276" xr:uid="{00000000-0005-0000-0000-00002B7A0000}"/>
    <cellStyle name="Normal 2 2 2 4 2 3 6 2 2" xfId="31277" xr:uid="{00000000-0005-0000-0000-00002C7A0000}"/>
    <cellStyle name="Normal 2 2 2 4 2 3 6 3" xfId="31278" xr:uid="{00000000-0005-0000-0000-00002D7A0000}"/>
    <cellStyle name="Normal 2 2 2 4 2 3 7" xfId="31279" xr:uid="{00000000-0005-0000-0000-00002E7A0000}"/>
    <cellStyle name="Normal 2 2 2 4 2 3 7 2" xfId="31280" xr:uid="{00000000-0005-0000-0000-00002F7A0000}"/>
    <cellStyle name="Normal 2 2 2 4 2 3 8" xfId="31281" xr:uid="{00000000-0005-0000-0000-0000307A0000}"/>
    <cellStyle name="Normal 2 2 2 4 2 4" xfId="31282" xr:uid="{00000000-0005-0000-0000-0000317A0000}"/>
    <cellStyle name="Normal 2 2 2 4 2 4 2" xfId="31283" xr:uid="{00000000-0005-0000-0000-0000327A0000}"/>
    <cellStyle name="Normal 2 2 2 4 2 4 2 2" xfId="31284" xr:uid="{00000000-0005-0000-0000-0000337A0000}"/>
    <cellStyle name="Normal 2 2 2 4 2 4 2 2 2" xfId="31285" xr:uid="{00000000-0005-0000-0000-0000347A0000}"/>
    <cellStyle name="Normal 2 2 2 4 2 4 2 2 2 2" xfId="31286" xr:uid="{00000000-0005-0000-0000-0000357A0000}"/>
    <cellStyle name="Normal 2 2 2 4 2 4 2 2 3" xfId="31287" xr:uid="{00000000-0005-0000-0000-0000367A0000}"/>
    <cellStyle name="Normal 2 2 2 4 2 4 2 3" xfId="31288" xr:uid="{00000000-0005-0000-0000-0000377A0000}"/>
    <cellStyle name="Normal 2 2 2 4 2 4 2 3 2" xfId="31289" xr:uid="{00000000-0005-0000-0000-0000387A0000}"/>
    <cellStyle name="Normal 2 2 2 4 2 4 2 4" xfId="31290" xr:uid="{00000000-0005-0000-0000-0000397A0000}"/>
    <cellStyle name="Normal 2 2 2 4 2 4 3" xfId="31291" xr:uid="{00000000-0005-0000-0000-00003A7A0000}"/>
    <cellStyle name="Normal 2 2 2 4 2 4 3 2" xfId="31292" xr:uid="{00000000-0005-0000-0000-00003B7A0000}"/>
    <cellStyle name="Normal 2 2 2 4 2 4 3 2 2" xfId="31293" xr:uid="{00000000-0005-0000-0000-00003C7A0000}"/>
    <cellStyle name="Normal 2 2 2 4 2 4 3 3" xfId="31294" xr:uid="{00000000-0005-0000-0000-00003D7A0000}"/>
    <cellStyle name="Normal 2 2 2 4 2 4 4" xfId="31295" xr:uid="{00000000-0005-0000-0000-00003E7A0000}"/>
    <cellStyle name="Normal 2 2 2 4 2 4 4 2" xfId="31296" xr:uid="{00000000-0005-0000-0000-00003F7A0000}"/>
    <cellStyle name="Normal 2 2 2 4 2 4 4 2 2" xfId="31297" xr:uid="{00000000-0005-0000-0000-0000407A0000}"/>
    <cellStyle name="Normal 2 2 2 4 2 4 4 3" xfId="31298" xr:uid="{00000000-0005-0000-0000-0000417A0000}"/>
    <cellStyle name="Normal 2 2 2 4 2 4 5" xfId="31299" xr:uid="{00000000-0005-0000-0000-0000427A0000}"/>
    <cellStyle name="Normal 2 2 2 4 2 4 5 2" xfId="31300" xr:uid="{00000000-0005-0000-0000-0000437A0000}"/>
    <cellStyle name="Normal 2 2 2 4 2 4 5 2 2" xfId="31301" xr:uid="{00000000-0005-0000-0000-0000447A0000}"/>
    <cellStyle name="Normal 2 2 2 4 2 4 5 3" xfId="31302" xr:uid="{00000000-0005-0000-0000-0000457A0000}"/>
    <cellStyle name="Normal 2 2 2 4 2 4 6" xfId="31303" xr:uid="{00000000-0005-0000-0000-0000467A0000}"/>
    <cellStyle name="Normal 2 2 2 4 2 4 6 2" xfId="31304" xr:uid="{00000000-0005-0000-0000-0000477A0000}"/>
    <cellStyle name="Normal 2 2 2 4 2 4 6 2 2" xfId="31305" xr:uid="{00000000-0005-0000-0000-0000487A0000}"/>
    <cellStyle name="Normal 2 2 2 4 2 4 6 3" xfId="31306" xr:uid="{00000000-0005-0000-0000-0000497A0000}"/>
    <cellStyle name="Normal 2 2 2 4 2 4 7" xfId="31307" xr:uid="{00000000-0005-0000-0000-00004A7A0000}"/>
    <cellStyle name="Normal 2 2 2 4 2 4 7 2" xfId="31308" xr:uid="{00000000-0005-0000-0000-00004B7A0000}"/>
    <cellStyle name="Normal 2 2 2 4 2 4 8" xfId="31309" xr:uid="{00000000-0005-0000-0000-00004C7A0000}"/>
    <cellStyle name="Normal 2 2 2 4 2 5" xfId="31310" xr:uid="{00000000-0005-0000-0000-00004D7A0000}"/>
    <cellStyle name="Normal 2 2 2 4 2 5 2" xfId="31311" xr:uid="{00000000-0005-0000-0000-00004E7A0000}"/>
    <cellStyle name="Normal 2 2 2 4 2 5 2 2" xfId="31312" xr:uid="{00000000-0005-0000-0000-00004F7A0000}"/>
    <cellStyle name="Normal 2 2 2 4 2 5 2 2 2" xfId="31313" xr:uid="{00000000-0005-0000-0000-0000507A0000}"/>
    <cellStyle name="Normal 2 2 2 4 2 5 2 2 2 2" xfId="31314" xr:uid="{00000000-0005-0000-0000-0000517A0000}"/>
    <cellStyle name="Normal 2 2 2 4 2 5 2 2 3" xfId="31315" xr:uid="{00000000-0005-0000-0000-0000527A0000}"/>
    <cellStyle name="Normal 2 2 2 4 2 5 2 3" xfId="31316" xr:uid="{00000000-0005-0000-0000-0000537A0000}"/>
    <cellStyle name="Normal 2 2 2 4 2 5 2 3 2" xfId="31317" xr:uid="{00000000-0005-0000-0000-0000547A0000}"/>
    <cellStyle name="Normal 2 2 2 4 2 5 2 4" xfId="31318" xr:uid="{00000000-0005-0000-0000-0000557A0000}"/>
    <cellStyle name="Normal 2 2 2 4 2 5 3" xfId="31319" xr:uid="{00000000-0005-0000-0000-0000567A0000}"/>
    <cellStyle name="Normal 2 2 2 4 2 5 3 2" xfId="31320" xr:uid="{00000000-0005-0000-0000-0000577A0000}"/>
    <cellStyle name="Normal 2 2 2 4 2 5 3 2 2" xfId="31321" xr:uid="{00000000-0005-0000-0000-0000587A0000}"/>
    <cellStyle name="Normal 2 2 2 4 2 5 3 3" xfId="31322" xr:uid="{00000000-0005-0000-0000-0000597A0000}"/>
    <cellStyle name="Normal 2 2 2 4 2 5 4" xfId="31323" xr:uid="{00000000-0005-0000-0000-00005A7A0000}"/>
    <cellStyle name="Normal 2 2 2 4 2 5 4 2" xfId="31324" xr:uid="{00000000-0005-0000-0000-00005B7A0000}"/>
    <cellStyle name="Normal 2 2 2 4 2 5 5" xfId="31325" xr:uid="{00000000-0005-0000-0000-00005C7A0000}"/>
    <cellStyle name="Normal 2 2 2 4 2 6" xfId="31326" xr:uid="{00000000-0005-0000-0000-00005D7A0000}"/>
    <cellStyle name="Normal 2 2 2 4 2 6 2" xfId="31327" xr:uid="{00000000-0005-0000-0000-00005E7A0000}"/>
    <cellStyle name="Normal 2 2 2 4 2 6 2 2" xfId="31328" xr:uid="{00000000-0005-0000-0000-00005F7A0000}"/>
    <cellStyle name="Normal 2 2 2 4 2 6 2 2 2" xfId="31329" xr:uid="{00000000-0005-0000-0000-0000607A0000}"/>
    <cellStyle name="Normal 2 2 2 4 2 6 2 2 2 2" xfId="31330" xr:uid="{00000000-0005-0000-0000-0000617A0000}"/>
    <cellStyle name="Normal 2 2 2 4 2 6 2 2 3" xfId="31331" xr:uid="{00000000-0005-0000-0000-0000627A0000}"/>
    <cellStyle name="Normal 2 2 2 4 2 6 2 3" xfId="31332" xr:uid="{00000000-0005-0000-0000-0000637A0000}"/>
    <cellStyle name="Normal 2 2 2 4 2 6 2 3 2" xfId="31333" xr:uid="{00000000-0005-0000-0000-0000647A0000}"/>
    <cellStyle name="Normal 2 2 2 4 2 6 2 4" xfId="31334" xr:uid="{00000000-0005-0000-0000-0000657A0000}"/>
    <cellStyle name="Normal 2 2 2 4 2 6 3" xfId="31335" xr:uid="{00000000-0005-0000-0000-0000667A0000}"/>
    <cellStyle name="Normal 2 2 2 4 2 6 3 2" xfId="31336" xr:uid="{00000000-0005-0000-0000-0000677A0000}"/>
    <cellStyle name="Normal 2 2 2 4 2 6 3 2 2" xfId="31337" xr:uid="{00000000-0005-0000-0000-0000687A0000}"/>
    <cellStyle name="Normal 2 2 2 4 2 6 3 3" xfId="31338" xr:uid="{00000000-0005-0000-0000-0000697A0000}"/>
    <cellStyle name="Normal 2 2 2 4 2 6 4" xfId="31339" xr:uid="{00000000-0005-0000-0000-00006A7A0000}"/>
    <cellStyle name="Normal 2 2 2 4 2 6 4 2" xfId="31340" xr:uid="{00000000-0005-0000-0000-00006B7A0000}"/>
    <cellStyle name="Normal 2 2 2 4 2 6 5" xfId="31341" xr:uid="{00000000-0005-0000-0000-00006C7A0000}"/>
    <cellStyle name="Normal 2 2 2 4 2 7" xfId="31342" xr:uid="{00000000-0005-0000-0000-00006D7A0000}"/>
    <cellStyle name="Normal 2 2 2 4 2 7 2" xfId="31343" xr:uid="{00000000-0005-0000-0000-00006E7A0000}"/>
    <cellStyle name="Normal 2 2 2 4 2 7 2 2" xfId="31344" xr:uid="{00000000-0005-0000-0000-00006F7A0000}"/>
    <cellStyle name="Normal 2 2 2 4 2 7 2 2 2" xfId="31345" xr:uid="{00000000-0005-0000-0000-0000707A0000}"/>
    <cellStyle name="Normal 2 2 2 4 2 7 2 3" xfId="31346" xr:uid="{00000000-0005-0000-0000-0000717A0000}"/>
    <cellStyle name="Normal 2 2 2 4 2 7 3" xfId="31347" xr:uid="{00000000-0005-0000-0000-0000727A0000}"/>
    <cellStyle name="Normal 2 2 2 4 2 7 3 2" xfId="31348" xr:uid="{00000000-0005-0000-0000-0000737A0000}"/>
    <cellStyle name="Normal 2 2 2 4 2 7 4" xfId="31349" xr:uid="{00000000-0005-0000-0000-0000747A0000}"/>
    <cellStyle name="Normal 2 2 2 4 2 8" xfId="31350" xr:uid="{00000000-0005-0000-0000-0000757A0000}"/>
    <cellStyle name="Normal 2 2 2 4 2 8 2" xfId="31351" xr:uid="{00000000-0005-0000-0000-0000767A0000}"/>
    <cellStyle name="Normal 2 2 2 4 2 8 2 2" xfId="31352" xr:uid="{00000000-0005-0000-0000-0000777A0000}"/>
    <cellStyle name="Normal 2 2 2 4 2 8 2 2 2" xfId="31353" xr:uid="{00000000-0005-0000-0000-0000787A0000}"/>
    <cellStyle name="Normal 2 2 2 4 2 8 2 3" xfId="31354" xr:uid="{00000000-0005-0000-0000-0000797A0000}"/>
    <cellStyle name="Normal 2 2 2 4 2 8 3" xfId="31355" xr:uid="{00000000-0005-0000-0000-00007A7A0000}"/>
    <cellStyle name="Normal 2 2 2 4 2 8 3 2" xfId="31356" xr:uid="{00000000-0005-0000-0000-00007B7A0000}"/>
    <cellStyle name="Normal 2 2 2 4 2 8 4" xfId="31357" xr:uid="{00000000-0005-0000-0000-00007C7A0000}"/>
    <cellStyle name="Normal 2 2 2 4 2 9" xfId="31358" xr:uid="{00000000-0005-0000-0000-00007D7A0000}"/>
    <cellStyle name="Normal 2 2 2 4 2 9 2" xfId="31359" xr:uid="{00000000-0005-0000-0000-00007E7A0000}"/>
    <cellStyle name="Normal 2 2 2 4 2 9 2 2" xfId="31360" xr:uid="{00000000-0005-0000-0000-00007F7A0000}"/>
    <cellStyle name="Normal 2 2 2 4 2 9 3" xfId="31361" xr:uid="{00000000-0005-0000-0000-0000807A0000}"/>
    <cellStyle name="Normal 2 2 2 4 20" xfId="31362" xr:uid="{00000000-0005-0000-0000-0000817A0000}"/>
    <cellStyle name="Normal 2 2 2 4 3" xfId="31363" xr:uid="{00000000-0005-0000-0000-0000827A0000}"/>
    <cellStyle name="Normal 2 2 2 4 3 10" xfId="31364" xr:uid="{00000000-0005-0000-0000-0000837A0000}"/>
    <cellStyle name="Normal 2 2 2 4 3 10 2" xfId="31365" xr:uid="{00000000-0005-0000-0000-0000847A0000}"/>
    <cellStyle name="Normal 2 2 2 4 3 10 2 2" xfId="31366" xr:uid="{00000000-0005-0000-0000-0000857A0000}"/>
    <cellStyle name="Normal 2 2 2 4 3 10 3" xfId="31367" xr:uid="{00000000-0005-0000-0000-0000867A0000}"/>
    <cellStyle name="Normal 2 2 2 4 3 11" xfId="31368" xr:uid="{00000000-0005-0000-0000-0000877A0000}"/>
    <cellStyle name="Normal 2 2 2 4 3 11 2" xfId="31369" xr:uid="{00000000-0005-0000-0000-0000887A0000}"/>
    <cellStyle name="Normal 2 2 2 4 3 11 2 2" xfId="31370" xr:uid="{00000000-0005-0000-0000-0000897A0000}"/>
    <cellStyle name="Normal 2 2 2 4 3 11 3" xfId="31371" xr:uid="{00000000-0005-0000-0000-00008A7A0000}"/>
    <cellStyle name="Normal 2 2 2 4 3 12" xfId="31372" xr:uid="{00000000-0005-0000-0000-00008B7A0000}"/>
    <cellStyle name="Normal 2 2 2 4 3 12 2" xfId="31373" xr:uid="{00000000-0005-0000-0000-00008C7A0000}"/>
    <cellStyle name="Normal 2 2 2 4 3 12 2 2" xfId="31374" xr:uid="{00000000-0005-0000-0000-00008D7A0000}"/>
    <cellStyle name="Normal 2 2 2 4 3 12 3" xfId="31375" xr:uid="{00000000-0005-0000-0000-00008E7A0000}"/>
    <cellStyle name="Normal 2 2 2 4 3 13" xfId="31376" xr:uid="{00000000-0005-0000-0000-00008F7A0000}"/>
    <cellStyle name="Normal 2 2 2 4 3 13 2" xfId="31377" xr:uid="{00000000-0005-0000-0000-0000907A0000}"/>
    <cellStyle name="Normal 2 2 2 4 3 14" xfId="31378" xr:uid="{00000000-0005-0000-0000-0000917A0000}"/>
    <cellStyle name="Normal 2 2 2 4 3 2" xfId="31379" xr:uid="{00000000-0005-0000-0000-0000927A0000}"/>
    <cellStyle name="Normal 2 2 2 4 3 2 2" xfId="31380" xr:uid="{00000000-0005-0000-0000-0000937A0000}"/>
    <cellStyle name="Normal 2 2 2 4 3 2 2 2" xfId="31381" xr:uid="{00000000-0005-0000-0000-0000947A0000}"/>
    <cellStyle name="Normal 2 2 2 4 3 2 2 2 2" xfId="31382" xr:uid="{00000000-0005-0000-0000-0000957A0000}"/>
    <cellStyle name="Normal 2 2 2 4 3 2 2 2 2 2" xfId="31383" xr:uid="{00000000-0005-0000-0000-0000967A0000}"/>
    <cellStyle name="Normal 2 2 2 4 3 2 2 2 3" xfId="31384" xr:uid="{00000000-0005-0000-0000-0000977A0000}"/>
    <cellStyle name="Normal 2 2 2 4 3 2 2 3" xfId="31385" xr:uid="{00000000-0005-0000-0000-0000987A0000}"/>
    <cellStyle name="Normal 2 2 2 4 3 2 2 3 2" xfId="31386" xr:uid="{00000000-0005-0000-0000-0000997A0000}"/>
    <cellStyle name="Normal 2 2 2 4 3 2 2 4" xfId="31387" xr:uid="{00000000-0005-0000-0000-00009A7A0000}"/>
    <cellStyle name="Normal 2 2 2 4 3 2 3" xfId="31388" xr:uid="{00000000-0005-0000-0000-00009B7A0000}"/>
    <cellStyle name="Normal 2 2 2 4 3 2 3 2" xfId="31389" xr:uid="{00000000-0005-0000-0000-00009C7A0000}"/>
    <cellStyle name="Normal 2 2 2 4 3 2 3 2 2" xfId="31390" xr:uid="{00000000-0005-0000-0000-00009D7A0000}"/>
    <cellStyle name="Normal 2 2 2 4 3 2 3 3" xfId="31391" xr:uid="{00000000-0005-0000-0000-00009E7A0000}"/>
    <cellStyle name="Normal 2 2 2 4 3 2 4" xfId="31392" xr:uid="{00000000-0005-0000-0000-00009F7A0000}"/>
    <cellStyle name="Normal 2 2 2 4 3 2 4 2" xfId="31393" xr:uid="{00000000-0005-0000-0000-0000A07A0000}"/>
    <cellStyle name="Normal 2 2 2 4 3 2 4 2 2" xfId="31394" xr:uid="{00000000-0005-0000-0000-0000A17A0000}"/>
    <cellStyle name="Normal 2 2 2 4 3 2 4 3" xfId="31395" xr:uid="{00000000-0005-0000-0000-0000A27A0000}"/>
    <cellStyle name="Normal 2 2 2 4 3 2 5" xfId="31396" xr:uid="{00000000-0005-0000-0000-0000A37A0000}"/>
    <cellStyle name="Normal 2 2 2 4 3 2 5 2" xfId="31397" xr:uid="{00000000-0005-0000-0000-0000A47A0000}"/>
    <cellStyle name="Normal 2 2 2 4 3 2 5 2 2" xfId="31398" xr:uid="{00000000-0005-0000-0000-0000A57A0000}"/>
    <cellStyle name="Normal 2 2 2 4 3 2 5 3" xfId="31399" xr:uid="{00000000-0005-0000-0000-0000A67A0000}"/>
    <cellStyle name="Normal 2 2 2 4 3 2 6" xfId="31400" xr:uid="{00000000-0005-0000-0000-0000A77A0000}"/>
    <cellStyle name="Normal 2 2 2 4 3 2 6 2" xfId="31401" xr:uid="{00000000-0005-0000-0000-0000A87A0000}"/>
    <cellStyle name="Normal 2 2 2 4 3 2 6 2 2" xfId="31402" xr:uid="{00000000-0005-0000-0000-0000A97A0000}"/>
    <cellStyle name="Normal 2 2 2 4 3 2 6 3" xfId="31403" xr:uid="{00000000-0005-0000-0000-0000AA7A0000}"/>
    <cellStyle name="Normal 2 2 2 4 3 2 7" xfId="31404" xr:uid="{00000000-0005-0000-0000-0000AB7A0000}"/>
    <cellStyle name="Normal 2 2 2 4 3 2 7 2" xfId="31405" xr:uid="{00000000-0005-0000-0000-0000AC7A0000}"/>
    <cellStyle name="Normal 2 2 2 4 3 2 8" xfId="31406" xr:uid="{00000000-0005-0000-0000-0000AD7A0000}"/>
    <cellStyle name="Normal 2 2 2 4 3 3" xfId="31407" xr:uid="{00000000-0005-0000-0000-0000AE7A0000}"/>
    <cellStyle name="Normal 2 2 2 4 3 3 2" xfId="31408" xr:uid="{00000000-0005-0000-0000-0000AF7A0000}"/>
    <cellStyle name="Normal 2 2 2 4 3 3 2 2" xfId="31409" xr:uid="{00000000-0005-0000-0000-0000B07A0000}"/>
    <cellStyle name="Normal 2 2 2 4 3 3 2 2 2" xfId="31410" xr:uid="{00000000-0005-0000-0000-0000B17A0000}"/>
    <cellStyle name="Normal 2 2 2 4 3 3 2 2 2 2" xfId="31411" xr:uid="{00000000-0005-0000-0000-0000B27A0000}"/>
    <cellStyle name="Normal 2 2 2 4 3 3 2 2 3" xfId="31412" xr:uid="{00000000-0005-0000-0000-0000B37A0000}"/>
    <cellStyle name="Normal 2 2 2 4 3 3 2 3" xfId="31413" xr:uid="{00000000-0005-0000-0000-0000B47A0000}"/>
    <cellStyle name="Normal 2 2 2 4 3 3 2 3 2" xfId="31414" xr:uid="{00000000-0005-0000-0000-0000B57A0000}"/>
    <cellStyle name="Normal 2 2 2 4 3 3 2 4" xfId="31415" xr:uid="{00000000-0005-0000-0000-0000B67A0000}"/>
    <cellStyle name="Normal 2 2 2 4 3 3 3" xfId="31416" xr:uid="{00000000-0005-0000-0000-0000B77A0000}"/>
    <cellStyle name="Normal 2 2 2 4 3 3 3 2" xfId="31417" xr:uid="{00000000-0005-0000-0000-0000B87A0000}"/>
    <cellStyle name="Normal 2 2 2 4 3 3 3 2 2" xfId="31418" xr:uid="{00000000-0005-0000-0000-0000B97A0000}"/>
    <cellStyle name="Normal 2 2 2 4 3 3 3 3" xfId="31419" xr:uid="{00000000-0005-0000-0000-0000BA7A0000}"/>
    <cellStyle name="Normal 2 2 2 4 3 3 4" xfId="31420" xr:uid="{00000000-0005-0000-0000-0000BB7A0000}"/>
    <cellStyle name="Normal 2 2 2 4 3 3 4 2" xfId="31421" xr:uid="{00000000-0005-0000-0000-0000BC7A0000}"/>
    <cellStyle name="Normal 2 2 2 4 3 3 4 2 2" xfId="31422" xr:uid="{00000000-0005-0000-0000-0000BD7A0000}"/>
    <cellStyle name="Normal 2 2 2 4 3 3 4 3" xfId="31423" xr:uid="{00000000-0005-0000-0000-0000BE7A0000}"/>
    <cellStyle name="Normal 2 2 2 4 3 3 5" xfId="31424" xr:uid="{00000000-0005-0000-0000-0000BF7A0000}"/>
    <cellStyle name="Normal 2 2 2 4 3 3 5 2" xfId="31425" xr:uid="{00000000-0005-0000-0000-0000C07A0000}"/>
    <cellStyle name="Normal 2 2 2 4 3 3 5 2 2" xfId="31426" xr:uid="{00000000-0005-0000-0000-0000C17A0000}"/>
    <cellStyle name="Normal 2 2 2 4 3 3 5 3" xfId="31427" xr:uid="{00000000-0005-0000-0000-0000C27A0000}"/>
    <cellStyle name="Normal 2 2 2 4 3 3 6" xfId="31428" xr:uid="{00000000-0005-0000-0000-0000C37A0000}"/>
    <cellStyle name="Normal 2 2 2 4 3 3 6 2" xfId="31429" xr:uid="{00000000-0005-0000-0000-0000C47A0000}"/>
    <cellStyle name="Normal 2 2 2 4 3 3 6 2 2" xfId="31430" xr:uid="{00000000-0005-0000-0000-0000C57A0000}"/>
    <cellStyle name="Normal 2 2 2 4 3 3 6 3" xfId="31431" xr:uid="{00000000-0005-0000-0000-0000C67A0000}"/>
    <cellStyle name="Normal 2 2 2 4 3 3 7" xfId="31432" xr:uid="{00000000-0005-0000-0000-0000C77A0000}"/>
    <cellStyle name="Normal 2 2 2 4 3 3 7 2" xfId="31433" xr:uid="{00000000-0005-0000-0000-0000C87A0000}"/>
    <cellStyle name="Normal 2 2 2 4 3 3 8" xfId="31434" xr:uid="{00000000-0005-0000-0000-0000C97A0000}"/>
    <cellStyle name="Normal 2 2 2 4 3 4" xfId="31435" xr:uid="{00000000-0005-0000-0000-0000CA7A0000}"/>
    <cellStyle name="Normal 2 2 2 4 3 4 2" xfId="31436" xr:uid="{00000000-0005-0000-0000-0000CB7A0000}"/>
    <cellStyle name="Normal 2 2 2 4 3 4 2 2" xfId="31437" xr:uid="{00000000-0005-0000-0000-0000CC7A0000}"/>
    <cellStyle name="Normal 2 2 2 4 3 4 2 2 2" xfId="31438" xr:uid="{00000000-0005-0000-0000-0000CD7A0000}"/>
    <cellStyle name="Normal 2 2 2 4 3 4 2 2 2 2" xfId="31439" xr:uid="{00000000-0005-0000-0000-0000CE7A0000}"/>
    <cellStyle name="Normal 2 2 2 4 3 4 2 2 3" xfId="31440" xr:uid="{00000000-0005-0000-0000-0000CF7A0000}"/>
    <cellStyle name="Normal 2 2 2 4 3 4 2 3" xfId="31441" xr:uid="{00000000-0005-0000-0000-0000D07A0000}"/>
    <cellStyle name="Normal 2 2 2 4 3 4 2 3 2" xfId="31442" xr:uid="{00000000-0005-0000-0000-0000D17A0000}"/>
    <cellStyle name="Normal 2 2 2 4 3 4 2 4" xfId="31443" xr:uid="{00000000-0005-0000-0000-0000D27A0000}"/>
    <cellStyle name="Normal 2 2 2 4 3 4 3" xfId="31444" xr:uid="{00000000-0005-0000-0000-0000D37A0000}"/>
    <cellStyle name="Normal 2 2 2 4 3 4 3 2" xfId="31445" xr:uid="{00000000-0005-0000-0000-0000D47A0000}"/>
    <cellStyle name="Normal 2 2 2 4 3 4 3 2 2" xfId="31446" xr:uid="{00000000-0005-0000-0000-0000D57A0000}"/>
    <cellStyle name="Normal 2 2 2 4 3 4 3 3" xfId="31447" xr:uid="{00000000-0005-0000-0000-0000D67A0000}"/>
    <cellStyle name="Normal 2 2 2 4 3 4 4" xfId="31448" xr:uid="{00000000-0005-0000-0000-0000D77A0000}"/>
    <cellStyle name="Normal 2 2 2 4 3 4 4 2" xfId="31449" xr:uid="{00000000-0005-0000-0000-0000D87A0000}"/>
    <cellStyle name="Normal 2 2 2 4 3 4 4 2 2" xfId="31450" xr:uid="{00000000-0005-0000-0000-0000D97A0000}"/>
    <cellStyle name="Normal 2 2 2 4 3 4 4 3" xfId="31451" xr:uid="{00000000-0005-0000-0000-0000DA7A0000}"/>
    <cellStyle name="Normal 2 2 2 4 3 4 5" xfId="31452" xr:uid="{00000000-0005-0000-0000-0000DB7A0000}"/>
    <cellStyle name="Normal 2 2 2 4 3 4 5 2" xfId="31453" xr:uid="{00000000-0005-0000-0000-0000DC7A0000}"/>
    <cellStyle name="Normal 2 2 2 4 3 4 5 2 2" xfId="31454" xr:uid="{00000000-0005-0000-0000-0000DD7A0000}"/>
    <cellStyle name="Normal 2 2 2 4 3 4 5 3" xfId="31455" xr:uid="{00000000-0005-0000-0000-0000DE7A0000}"/>
    <cellStyle name="Normal 2 2 2 4 3 4 6" xfId="31456" xr:uid="{00000000-0005-0000-0000-0000DF7A0000}"/>
    <cellStyle name="Normal 2 2 2 4 3 4 6 2" xfId="31457" xr:uid="{00000000-0005-0000-0000-0000E07A0000}"/>
    <cellStyle name="Normal 2 2 2 4 3 4 6 2 2" xfId="31458" xr:uid="{00000000-0005-0000-0000-0000E17A0000}"/>
    <cellStyle name="Normal 2 2 2 4 3 4 6 3" xfId="31459" xr:uid="{00000000-0005-0000-0000-0000E27A0000}"/>
    <cellStyle name="Normal 2 2 2 4 3 4 7" xfId="31460" xr:uid="{00000000-0005-0000-0000-0000E37A0000}"/>
    <cellStyle name="Normal 2 2 2 4 3 4 7 2" xfId="31461" xr:uid="{00000000-0005-0000-0000-0000E47A0000}"/>
    <cellStyle name="Normal 2 2 2 4 3 4 8" xfId="31462" xr:uid="{00000000-0005-0000-0000-0000E57A0000}"/>
    <cellStyle name="Normal 2 2 2 4 3 5" xfId="31463" xr:uid="{00000000-0005-0000-0000-0000E67A0000}"/>
    <cellStyle name="Normal 2 2 2 4 3 5 2" xfId="31464" xr:uid="{00000000-0005-0000-0000-0000E77A0000}"/>
    <cellStyle name="Normal 2 2 2 4 3 5 2 2" xfId="31465" xr:uid="{00000000-0005-0000-0000-0000E87A0000}"/>
    <cellStyle name="Normal 2 2 2 4 3 5 2 2 2" xfId="31466" xr:uid="{00000000-0005-0000-0000-0000E97A0000}"/>
    <cellStyle name="Normal 2 2 2 4 3 5 2 2 2 2" xfId="31467" xr:uid="{00000000-0005-0000-0000-0000EA7A0000}"/>
    <cellStyle name="Normal 2 2 2 4 3 5 2 2 3" xfId="31468" xr:uid="{00000000-0005-0000-0000-0000EB7A0000}"/>
    <cellStyle name="Normal 2 2 2 4 3 5 2 3" xfId="31469" xr:uid="{00000000-0005-0000-0000-0000EC7A0000}"/>
    <cellStyle name="Normal 2 2 2 4 3 5 2 3 2" xfId="31470" xr:uid="{00000000-0005-0000-0000-0000ED7A0000}"/>
    <cellStyle name="Normal 2 2 2 4 3 5 2 4" xfId="31471" xr:uid="{00000000-0005-0000-0000-0000EE7A0000}"/>
    <cellStyle name="Normal 2 2 2 4 3 5 3" xfId="31472" xr:uid="{00000000-0005-0000-0000-0000EF7A0000}"/>
    <cellStyle name="Normal 2 2 2 4 3 5 3 2" xfId="31473" xr:uid="{00000000-0005-0000-0000-0000F07A0000}"/>
    <cellStyle name="Normal 2 2 2 4 3 5 3 2 2" xfId="31474" xr:uid="{00000000-0005-0000-0000-0000F17A0000}"/>
    <cellStyle name="Normal 2 2 2 4 3 5 3 3" xfId="31475" xr:uid="{00000000-0005-0000-0000-0000F27A0000}"/>
    <cellStyle name="Normal 2 2 2 4 3 5 4" xfId="31476" xr:uid="{00000000-0005-0000-0000-0000F37A0000}"/>
    <cellStyle name="Normal 2 2 2 4 3 5 4 2" xfId="31477" xr:uid="{00000000-0005-0000-0000-0000F47A0000}"/>
    <cellStyle name="Normal 2 2 2 4 3 5 5" xfId="31478" xr:uid="{00000000-0005-0000-0000-0000F57A0000}"/>
    <cellStyle name="Normal 2 2 2 4 3 6" xfId="31479" xr:uid="{00000000-0005-0000-0000-0000F67A0000}"/>
    <cellStyle name="Normal 2 2 2 4 3 6 2" xfId="31480" xr:uid="{00000000-0005-0000-0000-0000F77A0000}"/>
    <cellStyle name="Normal 2 2 2 4 3 6 2 2" xfId="31481" xr:uid="{00000000-0005-0000-0000-0000F87A0000}"/>
    <cellStyle name="Normal 2 2 2 4 3 6 2 2 2" xfId="31482" xr:uid="{00000000-0005-0000-0000-0000F97A0000}"/>
    <cellStyle name="Normal 2 2 2 4 3 6 2 2 2 2" xfId="31483" xr:uid="{00000000-0005-0000-0000-0000FA7A0000}"/>
    <cellStyle name="Normal 2 2 2 4 3 6 2 2 3" xfId="31484" xr:uid="{00000000-0005-0000-0000-0000FB7A0000}"/>
    <cellStyle name="Normal 2 2 2 4 3 6 2 3" xfId="31485" xr:uid="{00000000-0005-0000-0000-0000FC7A0000}"/>
    <cellStyle name="Normal 2 2 2 4 3 6 2 3 2" xfId="31486" xr:uid="{00000000-0005-0000-0000-0000FD7A0000}"/>
    <cellStyle name="Normal 2 2 2 4 3 6 2 4" xfId="31487" xr:uid="{00000000-0005-0000-0000-0000FE7A0000}"/>
    <cellStyle name="Normal 2 2 2 4 3 6 3" xfId="31488" xr:uid="{00000000-0005-0000-0000-0000FF7A0000}"/>
    <cellStyle name="Normal 2 2 2 4 3 6 3 2" xfId="31489" xr:uid="{00000000-0005-0000-0000-0000007B0000}"/>
    <cellStyle name="Normal 2 2 2 4 3 6 3 2 2" xfId="31490" xr:uid="{00000000-0005-0000-0000-0000017B0000}"/>
    <cellStyle name="Normal 2 2 2 4 3 6 3 3" xfId="31491" xr:uid="{00000000-0005-0000-0000-0000027B0000}"/>
    <cellStyle name="Normal 2 2 2 4 3 6 4" xfId="31492" xr:uid="{00000000-0005-0000-0000-0000037B0000}"/>
    <cellStyle name="Normal 2 2 2 4 3 6 4 2" xfId="31493" xr:uid="{00000000-0005-0000-0000-0000047B0000}"/>
    <cellStyle name="Normal 2 2 2 4 3 6 5" xfId="31494" xr:uid="{00000000-0005-0000-0000-0000057B0000}"/>
    <cellStyle name="Normal 2 2 2 4 3 7" xfId="31495" xr:uid="{00000000-0005-0000-0000-0000067B0000}"/>
    <cellStyle name="Normal 2 2 2 4 3 7 2" xfId="31496" xr:uid="{00000000-0005-0000-0000-0000077B0000}"/>
    <cellStyle name="Normal 2 2 2 4 3 7 2 2" xfId="31497" xr:uid="{00000000-0005-0000-0000-0000087B0000}"/>
    <cellStyle name="Normal 2 2 2 4 3 7 2 2 2" xfId="31498" xr:uid="{00000000-0005-0000-0000-0000097B0000}"/>
    <cellStyle name="Normal 2 2 2 4 3 7 2 3" xfId="31499" xr:uid="{00000000-0005-0000-0000-00000A7B0000}"/>
    <cellStyle name="Normal 2 2 2 4 3 7 3" xfId="31500" xr:uid="{00000000-0005-0000-0000-00000B7B0000}"/>
    <cellStyle name="Normal 2 2 2 4 3 7 3 2" xfId="31501" xr:uid="{00000000-0005-0000-0000-00000C7B0000}"/>
    <cellStyle name="Normal 2 2 2 4 3 7 4" xfId="31502" xr:uid="{00000000-0005-0000-0000-00000D7B0000}"/>
    <cellStyle name="Normal 2 2 2 4 3 8" xfId="31503" xr:uid="{00000000-0005-0000-0000-00000E7B0000}"/>
    <cellStyle name="Normal 2 2 2 4 3 8 2" xfId="31504" xr:uid="{00000000-0005-0000-0000-00000F7B0000}"/>
    <cellStyle name="Normal 2 2 2 4 3 8 2 2" xfId="31505" xr:uid="{00000000-0005-0000-0000-0000107B0000}"/>
    <cellStyle name="Normal 2 2 2 4 3 8 2 2 2" xfId="31506" xr:uid="{00000000-0005-0000-0000-0000117B0000}"/>
    <cellStyle name="Normal 2 2 2 4 3 8 2 3" xfId="31507" xr:uid="{00000000-0005-0000-0000-0000127B0000}"/>
    <cellStyle name="Normal 2 2 2 4 3 8 3" xfId="31508" xr:uid="{00000000-0005-0000-0000-0000137B0000}"/>
    <cellStyle name="Normal 2 2 2 4 3 8 3 2" xfId="31509" xr:uid="{00000000-0005-0000-0000-0000147B0000}"/>
    <cellStyle name="Normal 2 2 2 4 3 8 4" xfId="31510" xr:uid="{00000000-0005-0000-0000-0000157B0000}"/>
    <cellStyle name="Normal 2 2 2 4 3 9" xfId="31511" xr:uid="{00000000-0005-0000-0000-0000167B0000}"/>
    <cellStyle name="Normal 2 2 2 4 3 9 2" xfId="31512" xr:uid="{00000000-0005-0000-0000-0000177B0000}"/>
    <cellStyle name="Normal 2 2 2 4 3 9 2 2" xfId="31513" xr:uid="{00000000-0005-0000-0000-0000187B0000}"/>
    <cellStyle name="Normal 2 2 2 4 3 9 3" xfId="31514" xr:uid="{00000000-0005-0000-0000-0000197B0000}"/>
    <cellStyle name="Normal 2 2 2 4 4" xfId="31515" xr:uid="{00000000-0005-0000-0000-00001A7B0000}"/>
    <cellStyle name="Normal 2 2 2 4 4 10" xfId="31516" xr:uid="{00000000-0005-0000-0000-00001B7B0000}"/>
    <cellStyle name="Normal 2 2 2 4 4 10 2" xfId="31517" xr:uid="{00000000-0005-0000-0000-00001C7B0000}"/>
    <cellStyle name="Normal 2 2 2 4 4 10 2 2" xfId="31518" xr:uid="{00000000-0005-0000-0000-00001D7B0000}"/>
    <cellStyle name="Normal 2 2 2 4 4 10 3" xfId="31519" xr:uid="{00000000-0005-0000-0000-00001E7B0000}"/>
    <cellStyle name="Normal 2 2 2 4 4 11" xfId="31520" xr:uid="{00000000-0005-0000-0000-00001F7B0000}"/>
    <cellStyle name="Normal 2 2 2 4 4 11 2" xfId="31521" xr:uid="{00000000-0005-0000-0000-0000207B0000}"/>
    <cellStyle name="Normal 2 2 2 4 4 11 2 2" xfId="31522" xr:uid="{00000000-0005-0000-0000-0000217B0000}"/>
    <cellStyle name="Normal 2 2 2 4 4 11 3" xfId="31523" xr:uid="{00000000-0005-0000-0000-0000227B0000}"/>
    <cellStyle name="Normal 2 2 2 4 4 12" xfId="31524" xr:uid="{00000000-0005-0000-0000-0000237B0000}"/>
    <cellStyle name="Normal 2 2 2 4 4 12 2" xfId="31525" xr:uid="{00000000-0005-0000-0000-0000247B0000}"/>
    <cellStyle name="Normal 2 2 2 4 4 12 2 2" xfId="31526" xr:uid="{00000000-0005-0000-0000-0000257B0000}"/>
    <cellStyle name="Normal 2 2 2 4 4 12 3" xfId="31527" xr:uid="{00000000-0005-0000-0000-0000267B0000}"/>
    <cellStyle name="Normal 2 2 2 4 4 13" xfId="31528" xr:uid="{00000000-0005-0000-0000-0000277B0000}"/>
    <cellStyle name="Normal 2 2 2 4 4 13 2" xfId="31529" xr:uid="{00000000-0005-0000-0000-0000287B0000}"/>
    <cellStyle name="Normal 2 2 2 4 4 14" xfId="31530" xr:uid="{00000000-0005-0000-0000-0000297B0000}"/>
    <cellStyle name="Normal 2 2 2 4 4 2" xfId="31531" xr:uid="{00000000-0005-0000-0000-00002A7B0000}"/>
    <cellStyle name="Normal 2 2 2 4 4 2 2" xfId="31532" xr:uid="{00000000-0005-0000-0000-00002B7B0000}"/>
    <cellStyle name="Normal 2 2 2 4 4 2 2 2" xfId="31533" xr:uid="{00000000-0005-0000-0000-00002C7B0000}"/>
    <cellStyle name="Normal 2 2 2 4 4 2 2 2 2" xfId="31534" xr:uid="{00000000-0005-0000-0000-00002D7B0000}"/>
    <cellStyle name="Normal 2 2 2 4 4 2 2 2 2 2" xfId="31535" xr:uid="{00000000-0005-0000-0000-00002E7B0000}"/>
    <cellStyle name="Normal 2 2 2 4 4 2 2 2 3" xfId="31536" xr:uid="{00000000-0005-0000-0000-00002F7B0000}"/>
    <cellStyle name="Normal 2 2 2 4 4 2 2 3" xfId="31537" xr:uid="{00000000-0005-0000-0000-0000307B0000}"/>
    <cellStyle name="Normal 2 2 2 4 4 2 2 3 2" xfId="31538" xr:uid="{00000000-0005-0000-0000-0000317B0000}"/>
    <cellStyle name="Normal 2 2 2 4 4 2 2 4" xfId="31539" xr:uid="{00000000-0005-0000-0000-0000327B0000}"/>
    <cellStyle name="Normal 2 2 2 4 4 2 3" xfId="31540" xr:uid="{00000000-0005-0000-0000-0000337B0000}"/>
    <cellStyle name="Normal 2 2 2 4 4 2 3 2" xfId="31541" xr:uid="{00000000-0005-0000-0000-0000347B0000}"/>
    <cellStyle name="Normal 2 2 2 4 4 2 3 2 2" xfId="31542" xr:uid="{00000000-0005-0000-0000-0000357B0000}"/>
    <cellStyle name="Normal 2 2 2 4 4 2 3 3" xfId="31543" xr:uid="{00000000-0005-0000-0000-0000367B0000}"/>
    <cellStyle name="Normal 2 2 2 4 4 2 4" xfId="31544" xr:uid="{00000000-0005-0000-0000-0000377B0000}"/>
    <cellStyle name="Normal 2 2 2 4 4 2 4 2" xfId="31545" xr:uid="{00000000-0005-0000-0000-0000387B0000}"/>
    <cellStyle name="Normal 2 2 2 4 4 2 4 2 2" xfId="31546" xr:uid="{00000000-0005-0000-0000-0000397B0000}"/>
    <cellStyle name="Normal 2 2 2 4 4 2 4 3" xfId="31547" xr:uid="{00000000-0005-0000-0000-00003A7B0000}"/>
    <cellStyle name="Normal 2 2 2 4 4 2 5" xfId="31548" xr:uid="{00000000-0005-0000-0000-00003B7B0000}"/>
    <cellStyle name="Normal 2 2 2 4 4 2 5 2" xfId="31549" xr:uid="{00000000-0005-0000-0000-00003C7B0000}"/>
    <cellStyle name="Normal 2 2 2 4 4 2 5 2 2" xfId="31550" xr:uid="{00000000-0005-0000-0000-00003D7B0000}"/>
    <cellStyle name="Normal 2 2 2 4 4 2 5 3" xfId="31551" xr:uid="{00000000-0005-0000-0000-00003E7B0000}"/>
    <cellStyle name="Normal 2 2 2 4 4 2 6" xfId="31552" xr:uid="{00000000-0005-0000-0000-00003F7B0000}"/>
    <cellStyle name="Normal 2 2 2 4 4 2 6 2" xfId="31553" xr:uid="{00000000-0005-0000-0000-0000407B0000}"/>
    <cellStyle name="Normal 2 2 2 4 4 2 6 2 2" xfId="31554" xr:uid="{00000000-0005-0000-0000-0000417B0000}"/>
    <cellStyle name="Normal 2 2 2 4 4 2 6 3" xfId="31555" xr:uid="{00000000-0005-0000-0000-0000427B0000}"/>
    <cellStyle name="Normal 2 2 2 4 4 2 7" xfId="31556" xr:uid="{00000000-0005-0000-0000-0000437B0000}"/>
    <cellStyle name="Normal 2 2 2 4 4 2 7 2" xfId="31557" xr:uid="{00000000-0005-0000-0000-0000447B0000}"/>
    <cellStyle name="Normal 2 2 2 4 4 2 8" xfId="31558" xr:uid="{00000000-0005-0000-0000-0000457B0000}"/>
    <cellStyle name="Normal 2 2 2 4 4 3" xfId="31559" xr:uid="{00000000-0005-0000-0000-0000467B0000}"/>
    <cellStyle name="Normal 2 2 2 4 4 3 2" xfId="31560" xr:uid="{00000000-0005-0000-0000-0000477B0000}"/>
    <cellStyle name="Normal 2 2 2 4 4 3 2 2" xfId="31561" xr:uid="{00000000-0005-0000-0000-0000487B0000}"/>
    <cellStyle name="Normal 2 2 2 4 4 3 2 2 2" xfId="31562" xr:uid="{00000000-0005-0000-0000-0000497B0000}"/>
    <cellStyle name="Normal 2 2 2 4 4 3 2 2 2 2" xfId="31563" xr:uid="{00000000-0005-0000-0000-00004A7B0000}"/>
    <cellStyle name="Normal 2 2 2 4 4 3 2 2 3" xfId="31564" xr:uid="{00000000-0005-0000-0000-00004B7B0000}"/>
    <cellStyle name="Normal 2 2 2 4 4 3 2 3" xfId="31565" xr:uid="{00000000-0005-0000-0000-00004C7B0000}"/>
    <cellStyle name="Normal 2 2 2 4 4 3 2 3 2" xfId="31566" xr:uid="{00000000-0005-0000-0000-00004D7B0000}"/>
    <cellStyle name="Normal 2 2 2 4 4 3 2 4" xfId="31567" xr:uid="{00000000-0005-0000-0000-00004E7B0000}"/>
    <cellStyle name="Normal 2 2 2 4 4 3 3" xfId="31568" xr:uid="{00000000-0005-0000-0000-00004F7B0000}"/>
    <cellStyle name="Normal 2 2 2 4 4 3 3 2" xfId="31569" xr:uid="{00000000-0005-0000-0000-0000507B0000}"/>
    <cellStyle name="Normal 2 2 2 4 4 3 3 2 2" xfId="31570" xr:uid="{00000000-0005-0000-0000-0000517B0000}"/>
    <cellStyle name="Normal 2 2 2 4 4 3 3 3" xfId="31571" xr:uid="{00000000-0005-0000-0000-0000527B0000}"/>
    <cellStyle name="Normal 2 2 2 4 4 3 4" xfId="31572" xr:uid="{00000000-0005-0000-0000-0000537B0000}"/>
    <cellStyle name="Normal 2 2 2 4 4 3 4 2" xfId="31573" xr:uid="{00000000-0005-0000-0000-0000547B0000}"/>
    <cellStyle name="Normal 2 2 2 4 4 3 4 2 2" xfId="31574" xr:uid="{00000000-0005-0000-0000-0000557B0000}"/>
    <cellStyle name="Normal 2 2 2 4 4 3 4 3" xfId="31575" xr:uid="{00000000-0005-0000-0000-0000567B0000}"/>
    <cellStyle name="Normal 2 2 2 4 4 3 5" xfId="31576" xr:uid="{00000000-0005-0000-0000-0000577B0000}"/>
    <cellStyle name="Normal 2 2 2 4 4 3 5 2" xfId="31577" xr:uid="{00000000-0005-0000-0000-0000587B0000}"/>
    <cellStyle name="Normal 2 2 2 4 4 3 5 2 2" xfId="31578" xr:uid="{00000000-0005-0000-0000-0000597B0000}"/>
    <cellStyle name="Normal 2 2 2 4 4 3 5 3" xfId="31579" xr:uid="{00000000-0005-0000-0000-00005A7B0000}"/>
    <cellStyle name="Normal 2 2 2 4 4 3 6" xfId="31580" xr:uid="{00000000-0005-0000-0000-00005B7B0000}"/>
    <cellStyle name="Normal 2 2 2 4 4 3 6 2" xfId="31581" xr:uid="{00000000-0005-0000-0000-00005C7B0000}"/>
    <cellStyle name="Normal 2 2 2 4 4 3 6 2 2" xfId="31582" xr:uid="{00000000-0005-0000-0000-00005D7B0000}"/>
    <cellStyle name="Normal 2 2 2 4 4 3 6 3" xfId="31583" xr:uid="{00000000-0005-0000-0000-00005E7B0000}"/>
    <cellStyle name="Normal 2 2 2 4 4 3 7" xfId="31584" xr:uid="{00000000-0005-0000-0000-00005F7B0000}"/>
    <cellStyle name="Normal 2 2 2 4 4 3 7 2" xfId="31585" xr:uid="{00000000-0005-0000-0000-0000607B0000}"/>
    <cellStyle name="Normal 2 2 2 4 4 3 8" xfId="31586" xr:uid="{00000000-0005-0000-0000-0000617B0000}"/>
    <cellStyle name="Normal 2 2 2 4 4 4" xfId="31587" xr:uid="{00000000-0005-0000-0000-0000627B0000}"/>
    <cellStyle name="Normal 2 2 2 4 4 4 2" xfId="31588" xr:uid="{00000000-0005-0000-0000-0000637B0000}"/>
    <cellStyle name="Normal 2 2 2 4 4 4 2 2" xfId="31589" xr:uid="{00000000-0005-0000-0000-0000647B0000}"/>
    <cellStyle name="Normal 2 2 2 4 4 4 2 2 2" xfId="31590" xr:uid="{00000000-0005-0000-0000-0000657B0000}"/>
    <cellStyle name="Normal 2 2 2 4 4 4 2 2 2 2" xfId="31591" xr:uid="{00000000-0005-0000-0000-0000667B0000}"/>
    <cellStyle name="Normal 2 2 2 4 4 4 2 2 3" xfId="31592" xr:uid="{00000000-0005-0000-0000-0000677B0000}"/>
    <cellStyle name="Normal 2 2 2 4 4 4 2 3" xfId="31593" xr:uid="{00000000-0005-0000-0000-0000687B0000}"/>
    <cellStyle name="Normal 2 2 2 4 4 4 2 3 2" xfId="31594" xr:uid="{00000000-0005-0000-0000-0000697B0000}"/>
    <cellStyle name="Normal 2 2 2 4 4 4 2 4" xfId="31595" xr:uid="{00000000-0005-0000-0000-00006A7B0000}"/>
    <cellStyle name="Normal 2 2 2 4 4 4 3" xfId="31596" xr:uid="{00000000-0005-0000-0000-00006B7B0000}"/>
    <cellStyle name="Normal 2 2 2 4 4 4 3 2" xfId="31597" xr:uid="{00000000-0005-0000-0000-00006C7B0000}"/>
    <cellStyle name="Normal 2 2 2 4 4 4 3 2 2" xfId="31598" xr:uid="{00000000-0005-0000-0000-00006D7B0000}"/>
    <cellStyle name="Normal 2 2 2 4 4 4 3 3" xfId="31599" xr:uid="{00000000-0005-0000-0000-00006E7B0000}"/>
    <cellStyle name="Normal 2 2 2 4 4 4 4" xfId="31600" xr:uid="{00000000-0005-0000-0000-00006F7B0000}"/>
    <cellStyle name="Normal 2 2 2 4 4 4 4 2" xfId="31601" xr:uid="{00000000-0005-0000-0000-0000707B0000}"/>
    <cellStyle name="Normal 2 2 2 4 4 4 4 2 2" xfId="31602" xr:uid="{00000000-0005-0000-0000-0000717B0000}"/>
    <cellStyle name="Normal 2 2 2 4 4 4 4 3" xfId="31603" xr:uid="{00000000-0005-0000-0000-0000727B0000}"/>
    <cellStyle name="Normal 2 2 2 4 4 4 5" xfId="31604" xr:uid="{00000000-0005-0000-0000-0000737B0000}"/>
    <cellStyle name="Normal 2 2 2 4 4 4 5 2" xfId="31605" xr:uid="{00000000-0005-0000-0000-0000747B0000}"/>
    <cellStyle name="Normal 2 2 2 4 4 4 5 2 2" xfId="31606" xr:uid="{00000000-0005-0000-0000-0000757B0000}"/>
    <cellStyle name="Normal 2 2 2 4 4 4 5 3" xfId="31607" xr:uid="{00000000-0005-0000-0000-0000767B0000}"/>
    <cellStyle name="Normal 2 2 2 4 4 4 6" xfId="31608" xr:uid="{00000000-0005-0000-0000-0000777B0000}"/>
    <cellStyle name="Normal 2 2 2 4 4 4 6 2" xfId="31609" xr:uid="{00000000-0005-0000-0000-0000787B0000}"/>
    <cellStyle name="Normal 2 2 2 4 4 4 6 2 2" xfId="31610" xr:uid="{00000000-0005-0000-0000-0000797B0000}"/>
    <cellStyle name="Normal 2 2 2 4 4 4 6 3" xfId="31611" xr:uid="{00000000-0005-0000-0000-00007A7B0000}"/>
    <cellStyle name="Normal 2 2 2 4 4 4 7" xfId="31612" xr:uid="{00000000-0005-0000-0000-00007B7B0000}"/>
    <cellStyle name="Normal 2 2 2 4 4 4 7 2" xfId="31613" xr:uid="{00000000-0005-0000-0000-00007C7B0000}"/>
    <cellStyle name="Normal 2 2 2 4 4 4 8" xfId="31614" xr:uid="{00000000-0005-0000-0000-00007D7B0000}"/>
    <cellStyle name="Normal 2 2 2 4 4 5" xfId="31615" xr:uid="{00000000-0005-0000-0000-00007E7B0000}"/>
    <cellStyle name="Normal 2 2 2 4 4 5 2" xfId="31616" xr:uid="{00000000-0005-0000-0000-00007F7B0000}"/>
    <cellStyle name="Normal 2 2 2 4 4 5 2 2" xfId="31617" xr:uid="{00000000-0005-0000-0000-0000807B0000}"/>
    <cellStyle name="Normal 2 2 2 4 4 5 2 2 2" xfId="31618" xr:uid="{00000000-0005-0000-0000-0000817B0000}"/>
    <cellStyle name="Normal 2 2 2 4 4 5 2 2 2 2" xfId="31619" xr:uid="{00000000-0005-0000-0000-0000827B0000}"/>
    <cellStyle name="Normal 2 2 2 4 4 5 2 2 3" xfId="31620" xr:uid="{00000000-0005-0000-0000-0000837B0000}"/>
    <cellStyle name="Normal 2 2 2 4 4 5 2 3" xfId="31621" xr:uid="{00000000-0005-0000-0000-0000847B0000}"/>
    <cellStyle name="Normal 2 2 2 4 4 5 2 3 2" xfId="31622" xr:uid="{00000000-0005-0000-0000-0000857B0000}"/>
    <cellStyle name="Normal 2 2 2 4 4 5 2 4" xfId="31623" xr:uid="{00000000-0005-0000-0000-0000867B0000}"/>
    <cellStyle name="Normal 2 2 2 4 4 5 3" xfId="31624" xr:uid="{00000000-0005-0000-0000-0000877B0000}"/>
    <cellStyle name="Normal 2 2 2 4 4 5 3 2" xfId="31625" xr:uid="{00000000-0005-0000-0000-0000887B0000}"/>
    <cellStyle name="Normal 2 2 2 4 4 5 3 2 2" xfId="31626" xr:uid="{00000000-0005-0000-0000-0000897B0000}"/>
    <cellStyle name="Normal 2 2 2 4 4 5 3 3" xfId="31627" xr:uid="{00000000-0005-0000-0000-00008A7B0000}"/>
    <cellStyle name="Normal 2 2 2 4 4 5 4" xfId="31628" xr:uid="{00000000-0005-0000-0000-00008B7B0000}"/>
    <cellStyle name="Normal 2 2 2 4 4 5 4 2" xfId="31629" xr:uid="{00000000-0005-0000-0000-00008C7B0000}"/>
    <cellStyle name="Normal 2 2 2 4 4 5 5" xfId="31630" xr:uid="{00000000-0005-0000-0000-00008D7B0000}"/>
    <cellStyle name="Normal 2 2 2 4 4 6" xfId="31631" xr:uid="{00000000-0005-0000-0000-00008E7B0000}"/>
    <cellStyle name="Normal 2 2 2 4 4 6 2" xfId="31632" xr:uid="{00000000-0005-0000-0000-00008F7B0000}"/>
    <cellStyle name="Normal 2 2 2 4 4 6 2 2" xfId="31633" xr:uid="{00000000-0005-0000-0000-0000907B0000}"/>
    <cellStyle name="Normal 2 2 2 4 4 6 2 2 2" xfId="31634" xr:uid="{00000000-0005-0000-0000-0000917B0000}"/>
    <cellStyle name="Normal 2 2 2 4 4 6 2 2 2 2" xfId="31635" xr:uid="{00000000-0005-0000-0000-0000927B0000}"/>
    <cellStyle name="Normal 2 2 2 4 4 6 2 2 3" xfId="31636" xr:uid="{00000000-0005-0000-0000-0000937B0000}"/>
    <cellStyle name="Normal 2 2 2 4 4 6 2 3" xfId="31637" xr:uid="{00000000-0005-0000-0000-0000947B0000}"/>
    <cellStyle name="Normal 2 2 2 4 4 6 2 3 2" xfId="31638" xr:uid="{00000000-0005-0000-0000-0000957B0000}"/>
    <cellStyle name="Normal 2 2 2 4 4 6 2 4" xfId="31639" xr:uid="{00000000-0005-0000-0000-0000967B0000}"/>
    <cellStyle name="Normal 2 2 2 4 4 6 3" xfId="31640" xr:uid="{00000000-0005-0000-0000-0000977B0000}"/>
    <cellStyle name="Normal 2 2 2 4 4 6 3 2" xfId="31641" xr:uid="{00000000-0005-0000-0000-0000987B0000}"/>
    <cellStyle name="Normal 2 2 2 4 4 6 3 2 2" xfId="31642" xr:uid="{00000000-0005-0000-0000-0000997B0000}"/>
    <cellStyle name="Normal 2 2 2 4 4 6 3 3" xfId="31643" xr:uid="{00000000-0005-0000-0000-00009A7B0000}"/>
    <cellStyle name="Normal 2 2 2 4 4 6 4" xfId="31644" xr:uid="{00000000-0005-0000-0000-00009B7B0000}"/>
    <cellStyle name="Normal 2 2 2 4 4 6 4 2" xfId="31645" xr:uid="{00000000-0005-0000-0000-00009C7B0000}"/>
    <cellStyle name="Normal 2 2 2 4 4 6 5" xfId="31646" xr:uid="{00000000-0005-0000-0000-00009D7B0000}"/>
    <cellStyle name="Normal 2 2 2 4 4 7" xfId="31647" xr:uid="{00000000-0005-0000-0000-00009E7B0000}"/>
    <cellStyle name="Normal 2 2 2 4 4 7 2" xfId="31648" xr:uid="{00000000-0005-0000-0000-00009F7B0000}"/>
    <cellStyle name="Normal 2 2 2 4 4 7 2 2" xfId="31649" xr:uid="{00000000-0005-0000-0000-0000A07B0000}"/>
    <cellStyle name="Normal 2 2 2 4 4 7 2 2 2" xfId="31650" xr:uid="{00000000-0005-0000-0000-0000A17B0000}"/>
    <cellStyle name="Normal 2 2 2 4 4 7 2 3" xfId="31651" xr:uid="{00000000-0005-0000-0000-0000A27B0000}"/>
    <cellStyle name="Normal 2 2 2 4 4 7 3" xfId="31652" xr:uid="{00000000-0005-0000-0000-0000A37B0000}"/>
    <cellStyle name="Normal 2 2 2 4 4 7 3 2" xfId="31653" xr:uid="{00000000-0005-0000-0000-0000A47B0000}"/>
    <cellStyle name="Normal 2 2 2 4 4 7 4" xfId="31654" xr:uid="{00000000-0005-0000-0000-0000A57B0000}"/>
    <cellStyle name="Normal 2 2 2 4 4 8" xfId="31655" xr:uid="{00000000-0005-0000-0000-0000A67B0000}"/>
    <cellStyle name="Normal 2 2 2 4 4 8 2" xfId="31656" xr:uid="{00000000-0005-0000-0000-0000A77B0000}"/>
    <cellStyle name="Normal 2 2 2 4 4 8 2 2" xfId="31657" xr:uid="{00000000-0005-0000-0000-0000A87B0000}"/>
    <cellStyle name="Normal 2 2 2 4 4 8 2 2 2" xfId="31658" xr:uid="{00000000-0005-0000-0000-0000A97B0000}"/>
    <cellStyle name="Normal 2 2 2 4 4 8 2 3" xfId="31659" xr:uid="{00000000-0005-0000-0000-0000AA7B0000}"/>
    <cellStyle name="Normal 2 2 2 4 4 8 3" xfId="31660" xr:uid="{00000000-0005-0000-0000-0000AB7B0000}"/>
    <cellStyle name="Normal 2 2 2 4 4 8 3 2" xfId="31661" xr:uid="{00000000-0005-0000-0000-0000AC7B0000}"/>
    <cellStyle name="Normal 2 2 2 4 4 8 4" xfId="31662" xr:uid="{00000000-0005-0000-0000-0000AD7B0000}"/>
    <cellStyle name="Normal 2 2 2 4 4 9" xfId="31663" xr:uid="{00000000-0005-0000-0000-0000AE7B0000}"/>
    <cellStyle name="Normal 2 2 2 4 4 9 2" xfId="31664" xr:uid="{00000000-0005-0000-0000-0000AF7B0000}"/>
    <cellStyle name="Normal 2 2 2 4 4 9 2 2" xfId="31665" xr:uid="{00000000-0005-0000-0000-0000B07B0000}"/>
    <cellStyle name="Normal 2 2 2 4 4 9 3" xfId="31666" xr:uid="{00000000-0005-0000-0000-0000B17B0000}"/>
    <cellStyle name="Normal 2 2 2 4 5" xfId="31667" xr:uid="{00000000-0005-0000-0000-0000B27B0000}"/>
    <cellStyle name="Normal 2 2 2 4 5 10" xfId="31668" xr:uid="{00000000-0005-0000-0000-0000B37B0000}"/>
    <cellStyle name="Normal 2 2 2 4 5 10 2" xfId="31669" xr:uid="{00000000-0005-0000-0000-0000B47B0000}"/>
    <cellStyle name="Normal 2 2 2 4 5 10 2 2" xfId="31670" xr:uid="{00000000-0005-0000-0000-0000B57B0000}"/>
    <cellStyle name="Normal 2 2 2 4 5 10 3" xfId="31671" xr:uid="{00000000-0005-0000-0000-0000B67B0000}"/>
    <cellStyle name="Normal 2 2 2 4 5 11" xfId="31672" xr:uid="{00000000-0005-0000-0000-0000B77B0000}"/>
    <cellStyle name="Normal 2 2 2 4 5 11 2" xfId="31673" xr:uid="{00000000-0005-0000-0000-0000B87B0000}"/>
    <cellStyle name="Normal 2 2 2 4 5 11 2 2" xfId="31674" xr:uid="{00000000-0005-0000-0000-0000B97B0000}"/>
    <cellStyle name="Normal 2 2 2 4 5 11 3" xfId="31675" xr:uid="{00000000-0005-0000-0000-0000BA7B0000}"/>
    <cellStyle name="Normal 2 2 2 4 5 12" xfId="31676" xr:uid="{00000000-0005-0000-0000-0000BB7B0000}"/>
    <cellStyle name="Normal 2 2 2 4 5 12 2" xfId="31677" xr:uid="{00000000-0005-0000-0000-0000BC7B0000}"/>
    <cellStyle name="Normal 2 2 2 4 5 12 2 2" xfId="31678" xr:uid="{00000000-0005-0000-0000-0000BD7B0000}"/>
    <cellStyle name="Normal 2 2 2 4 5 12 3" xfId="31679" xr:uid="{00000000-0005-0000-0000-0000BE7B0000}"/>
    <cellStyle name="Normal 2 2 2 4 5 13" xfId="31680" xr:uid="{00000000-0005-0000-0000-0000BF7B0000}"/>
    <cellStyle name="Normal 2 2 2 4 5 13 2" xfId="31681" xr:uid="{00000000-0005-0000-0000-0000C07B0000}"/>
    <cellStyle name="Normal 2 2 2 4 5 14" xfId="31682" xr:uid="{00000000-0005-0000-0000-0000C17B0000}"/>
    <cellStyle name="Normal 2 2 2 4 5 2" xfId="31683" xr:uid="{00000000-0005-0000-0000-0000C27B0000}"/>
    <cellStyle name="Normal 2 2 2 4 5 2 2" xfId="31684" xr:uid="{00000000-0005-0000-0000-0000C37B0000}"/>
    <cellStyle name="Normal 2 2 2 4 5 2 2 2" xfId="31685" xr:uid="{00000000-0005-0000-0000-0000C47B0000}"/>
    <cellStyle name="Normal 2 2 2 4 5 2 2 2 2" xfId="31686" xr:uid="{00000000-0005-0000-0000-0000C57B0000}"/>
    <cellStyle name="Normal 2 2 2 4 5 2 2 2 2 2" xfId="31687" xr:uid="{00000000-0005-0000-0000-0000C67B0000}"/>
    <cellStyle name="Normal 2 2 2 4 5 2 2 2 3" xfId="31688" xr:uid="{00000000-0005-0000-0000-0000C77B0000}"/>
    <cellStyle name="Normal 2 2 2 4 5 2 2 3" xfId="31689" xr:uid="{00000000-0005-0000-0000-0000C87B0000}"/>
    <cellStyle name="Normal 2 2 2 4 5 2 2 3 2" xfId="31690" xr:uid="{00000000-0005-0000-0000-0000C97B0000}"/>
    <cellStyle name="Normal 2 2 2 4 5 2 2 4" xfId="31691" xr:uid="{00000000-0005-0000-0000-0000CA7B0000}"/>
    <cellStyle name="Normal 2 2 2 4 5 2 3" xfId="31692" xr:uid="{00000000-0005-0000-0000-0000CB7B0000}"/>
    <cellStyle name="Normal 2 2 2 4 5 2 3 2" xfId="31693" xr:uid="{00000000-0005-0000-0000-0000CC7B0000}"/>
    <cellStyle name="Normal 2 2 2 4 5 2 3 2 2" xfId="31694" xr:uid="{00000000-0005-0000-0000-0000CD7B0000}"/>
    <cellStyle name="Normal 2 2 2 4 5 2 3 3" xfId="31695" xr:uid="{00000000-0005-0000-0000-0000CE7B0000}"/>
    <cellStyle name="Normal 2 2 2 4 5 2 4" xfId="31696" xr:uid="{00000000-0005-0000-0000-0000CF7B0000}"/>
    <cellStyle name="Normal 2 2 2 4 5 2 4 2" xfId="31697" xr:uid="{00000000-0005-0000-0000-0000D07B0000}"/>
    <cellStyle name="Normal 2 2 2 4 5 2 4 2 2" xfId="31698" xr:uid="{00000000-0005-0000-0000-0000D17B0000}"/>
    <cellStyle name="Normal 2 2 2 4 5 2 4 3" xfId="31699" xr:uid="{00000000-0005-0000-0000-0000D27B0000}"/>
    <cellStyle name="Normal 2 2 2 4 5 2 5" xfId="31700" xr:uid="{00000000-0005-0000-0000-0000D37B0000}"/>
    <cellStyle name="Normal 2 2 2 4 5 2 5 2" xfId="31701" xr:uid="{00000000-0005-0000-0000-0000D47B0000}"/>
    <cellStyle name="Normal 2 2 2 4 5 2 5 2 2" xfId="31702" xr:uid="{00000000-0005-0000-0000-0000D57B0000}"/>
    <cellStyle name="Normal 2 2 2 4 5 2 5 3" xfId="31703" xr:uid="{00000000-0005-0000-0000-0000D67B0000}"/>
    <cellStyle name="Normal 2 2 2 4 5 2 6" xfId="31704" xr:uid="{00000000-0005-0000-0000-0000D77B0000}"/>
    <cellStyle name="Normal 2 2 2 4 5 2 6 2" xfId="31705" xr:uid="{00000000-0005-0000-0000-0000D87B0000}"/>
    <cellStyle name="Normal 2 2 2 4 5 2 6 2 2" xfId="31706" xr:uid="{00000000-0005-0000-0000-0000D97B0000}"/>
    <cellStyle name="Normal 2 2 2 4 5 2 6 3" xfId="31707" xr:uid="{00000000-0005-0000-0000-0000DA7B0000}"/>
    <cellStyle name="Normal 2 2 2 4 5 2 7" xfId="31708" xr:uid="{00000000-0005-0000-0000-0000DB7B0000}"/>
    <cellStyle name="Normal 2 2 2 4 5 2 7 2" xfId="31709" xr:uid="{00000000-0005-0000-0000-0000DC7B0000}"/>
    <cellStyle name="Normal 2 2 2 4 5 2 8" xfId="31710" xr:uid="{00000000-0005-0000-0000-0000DD7B0000}"/>
    <cellStyle name="Normal 2 2 2 4 5 3" xfId="31711" xr:uid="{00000000-0005-0000-0000-0000DE7B0000}"/>
    <cellStyle name="Normal 2 2 2 4 5 3 2" xfId="31712" xr:uid="{00000000-0005-0000-0000-0000DF7B0000}"/>
    <cellStyle name="Normal 2 2 2 4 5 3 2 2" xfId="31713" xr:uid="{00000000-0005-0000-0000-0000E07B0000}"/>
    <cellStyle name="Normal 2 2 2 4 5 3 2 2 2" xfId="31714" xr:uid="{00000000-0005-0000-0000-0000E17B0000}"/>
    <cellStyle name="Normal 2 2 2 4 5 3 2 2 2 2" xfId="31715" xr:uid="{00000000-0005-0000-0000-0000E27B0000}"/>
    <cellStyle name="Normal 2 2 2 4 5 3 2 2 3" xfId="31716" xr:uid="{00000000-0005-0000-0000-0000E37B0000}"/>
    <cellStyle name="Normal 2 2 2 4 5 3 2 3" xfId="31717" xr:uid="{00000000-0005-0000-0000-0000E47B0000}"/>
    <cellStyle name="Normal 2 2 2 4 5 3 2 3 2" xfId="31718" xr:uid="{00000000-0005-0000-0000-0000E57B0000}"/>
    <cellStyle name="Normal 2 2 2 4 5 3 2 4" xfId="31719" xr:uid="{00000000-0005-0000-0000-0000E67B0000}"/>
    <cellStyle name="Normal 2 2 2 4 5 3 3" xfId="31720" xr:uid="{00000000-0005-0000-0000-0000E77B0000}"/>
    <cellStyle name="Normal 2 2 2 4 5 3 3 2" xfId="31721" xr:uid="{00000000-0005-0000-0000-0000E87B0000}"/>
    <cellStyle name="Normal 2 2 2 4 5 3 3 2 2" xfId="31722" xr:uid="{00000000-0005-0000-0000-0000E97B0000}"/>
    <cellStyle name="Normal 2 2 2 4 5 3 3 3" xfId="31723" xr:uid="{00000000-0005-0000-0000-0000EA7B0000}"/>
    <cellStyle name="Normal 2 2 2 4 5 3 4" xfId="31724" xr:uid="{00000000-0005-0000-0000-0000EB7B0000}"/>
    <cellStyle name="Normal 2 2 2 4 5 3 4 2" xfId="31725" xr:uid="{00000000-0005-0000-0000-0000EC7B0000}"/>
    <cellStyle name="Normal 2 2 2 4 5 3 4 2 2" xfId="31726" xr:uid="{00000000-0005-0000-0000-0000ED7B0000}"/>
    <cellStyle name="Normal 2 2 2 4 5 3 4 3" xfId="31727" xr:uid="{00000000-0005-0000-0000-0000EE7B0000}"/>
    <cellStyle name="Normal 2 2 2 4 5 3 5" xfId="31728" xr:uid="{00000000-0005-0000-0000-0000EF7B0000}"/>
    <cellStyle name="Normal 2 2 2 4 5 3 5 2" xfId="31729" xr:uid="{00000000-0005-0000-0000-0000F07B0000}"/>
    <cellStyle name="Normal 2 2 2 4 5 3 5 2 2" xfId="31730" xr:uid="{00000000-0005-0000-0000-0000F17B0000}"/>
    <cellStyle name="Normal 2 2 2 4 5 3 5 3" xfId="31731" xr:uid="{00000000-0005-0000-0000-0000F27B0000}"/>
    <cellStyle name="Normal 2 2 2 4 5 3 6" xfId="31732" xr:uid="{00000000-0005-0000-0000-0000F37B0000}"/>
    <cellStyle name="Normal 2 2 2 4 5 3 6 2" xfId="31733" xr:uid="{00000000-0005-0000-0000-0000F47B0000}"/>
    <cellStyle name="Normal 2 2 2 4 5 3 6 2 2" xfId="31734" xr:uid="{00000000-0005-0000-0000-0000F57B0000}"/>
    <cellStyle name="Normal 2 2 2 4 5 3 6 3" xfId="31735" xr:uid="{00000000-0005-0000-0000-0000F67B0000}"/>
    <cellStyle name="Normal 2 2 2 4 5 3 7" xfId="31736" xr:uid="{00000000-0005-0000-0000-0000F77B0000}"/>
    <cellStyle name="Normal 2 2 2 4 5 3 7 2" xfId="31737" xr:uid="{00000000-0005-0000-0000-0000F87B0000}"/>
    <cellStyle name="Normal 2 2 2 4 5 3 8" xfId="31738" xr:uid="{00000000-0005-0000-0000-0000F97B0000}"/>
    <cellStyle name="Normal 2 2 2 4 5 4" xfId="31739" xr:uid="{00000000-0005-0000-0000-0000FA7B0000}"/>
    <cellStyle name="Normal 2 2 2 4 5 4 2" xfId="31740" xr:uid="{00000000-0005-0000-0000-0000FB7B0000}"/>
    <cellStyle name="Normal 2 2 2 4 5 4 2 2" xfId="31741" xr:uid="{00000000-0005-0000-0000-0000FC7B0000}"/>
    <cellStyle name="Normal 2 2 2 4 5 4 2 2 2" xfId="31742" xr:uid="{00000000-0005-0000-0000-0000FD7B0000}"/>
    <cellStyle name="Normal 2 2 2 4 5 4 2 2 2 2" xfId="31743" xr:uid="{00000000-0005-0000-0000-0000FE7B0000}"/>
    <cellStyle name="Normal 2 2 2 4 5 4 2 2 3" xfId="31744" xr:uid="{00000000-0005-0000-0000-0000FF7B0000}"/>
    <cellStyle name="Normal 2 2 2 4 5 4 2 3" xfId="31745" xr:uid="{00000000-0005-0000-0000-0000007C0000}"/>
    <cellStyle name="Normal 2 2 2 4 5 4 2 3 2" xfId="31746" xr:uid="{00000000-0005-0000-0000-0000017C0000}"/>
    <cellStyle name="Normal 2 2 2 4 5 4 2 4" xfId="31747" xr:uid="{00000000-0005-0000-0000-0000027C0000}"/>
    <cellStyle name="Normal 2 2 2 4 5 4 3" xfId="31748" xr:uid="{00000000-0005-0000-0000-0000037C0000}"/>
    <cellStyle name="Normal 2 2 2 4 5 4 3 2" xfId="31749" xr:uid="{00000000-0005-0000-0000-0000047C0000}"/>
    <cellStyle name="Normal 2 2 2 4 5 4 3 2 2" xfId="31750" xr:uid="{00000000-0005-0000-0000-0000057C0000}"/>
    <cellStyle name="Normal 2 2 2 4 5 4 3 3" xfId="31751" xr:uid="{00000000-0005-0000-0000-0000067C0000}"/>
    <cellStyle name="Normal 2 2 2 4 5 4 4" xfId="31752" xr:uid="{00000000-0005-0000-0000-0000077C0000}"/>
    <cellStyle name="Normal 2 2 2 4 5 4 4 2" xfId="31753" xr:uid="{00000000-0005-0000-0000-0000087C0000}"/>
    <cellStyle name="Normal 2 2 2 4 5 4 4 2 2" xfId="31754" xr:uid="{00000000-0005-0000-0000-0000097C0000}"/>
    <cellStyle name="Normal 2 2 2 4 5 4 4 3" xfId="31755" xr:uid="{00000000-0005-0000-0000-00000A7C0000}"/>
    <cellStyle name="Normal 2 2 2 4 5 4 5" xfId="31756" xr:uid="{00000000-0005-0000-0000-00000B7C0000}"/>
    <cellStyle name="Normal 2 2 2 4 5 4 5 2" xfId="31757" xr:uid="{00000000-0005-0000-0000-00000C7C0000}"/>
    <cellStyle name="Normal 2 2 2 4 5 4 5 2 2" xfId="31758" xr:uid="{00000000-0005-0000-0000-00000D7C0000}"/>
    <cellStyle name="Normal 2 2 2 4 5 4 5 3" xfId="31759" xr:uid="{00000000-0005-0000-0000-00000E7C0000}"/>
    <cellStyle name="Normal 2 2 2 4 5 4 6" xfId="31760" xr:uid="{00000000-0005-0000-0000-00000F7C0000}"/>
    <cellStyle name="Normal 2 2 2 4 5 4 6 2" xfId="31761" xr:uid="{00000000-0005-0000-0000-0000107C0000}"/>
    <cellStyle name="Normal 2 2 2 4 5 4 6 2 2" xfId="31762" xr:uid="{00000000-0005-0000-0000-0000117C0000}"/>
    <cellStyle name="Normal 2 2 2 4 5 4 6 3" xfId="31763" xr:uid="{00000000-0005-0000-0000-0000127C0000}"/>
    <cellStyle name="Normal 2 2 2 4 5 4 7" xfId="31764" xr:uid="{00000000-0005-0000-0000-0000137C0000}"/>
    <cellStyle name="Normal 2 2 2 4 5 4 7 2" xfId="31765" xr:uid="{00000000-0005-0000-0000-0000147C0000}"/>
    <cellStyle name="Normal 2 2 2 4 5 4 8" xfId="31766" xr:uid="{00000000-0005-0000-0000-0000157C0000}"/>
    <cellStyle name="Normal 2 2 2 4 5 5" xfId="31767" xr:uid="{00000000-0005-0000-0000-0000167C0000}"/>
    <cellStyle name="Normal 2 2 2 4 5 5 2" xfId="31768" xr:uid="{00000000-0005-0000-0000-0000177C0000}"/>
    <cellStyle name="Normal 2 2 2 4 5 5 2 2" xfId="31769" xr:uid="{00000000-0005-0000-0000-0000187C0000}"/>
    <cellStyle name="Normal 2 2 2 4 5 5 2 2 2" xfId="31770" xr:uid="{00000000-0005-0000-0000-0000197C0000}"/>
    <cellStyle name="Normal 2 2 2 4 5 5 2 2 2 2" xfId="31771" xr:uid="{00000000-0005-0000-0000-00001A7C0000}"/>
    <cellStyle name="Normal 2 2 2 4 5 5 2 2 3" xfId="31772" xr:uid="{00000000-0005-0000-0000-00001B7C0000}"/>
    <cellStyle name="Normal 2 2 2 4 5 5 2 3" xfId="31773" xr:uid="{00000000-0005-0000-0000-00001C7C0000}"/>
    <cellStyle name="Normal 2 2 2 4 5 5 2 3 2" xfId="31774" xr:uid="{00000000-0005-0000-0000-00001D7C0000}"/>
    <cellStyle name="Normal 2 2 2 4 5 5 2 4" xfId="31775" xr:uid="{00000000-0005-0000-0000-00001E7C0000}"/>
    <cellStyle name="Normal 2 2 2 4 5 5 3" xfId="31776" xr:uid="{00000000-0005-0000-0000-00001F7C0000}"/>
    <cellStyle name="Normal 2 2 2 4 5 5 3 2" xfId="31777" xr:uid="{00000000-0005-0000-0000-0000207C0000}"/>
    <cellStyle name="Normal 2 2 2 4 5 5 3 2 2" xfId="31778" xr:uid="{00000000-0005-0000-0000-0000217C0000}"/>
    <cellStyle name="Normal 2 2 2 4 5 5 3 3" xfId="31779" xr:uid="{00000000-0005-0000-0000-0000227C0000}"/>
    <cellStyle name="Normal 2 2 2 4 5 5 4" xfId="31780" xr:uid="{00000000-0005-0000-0000-0000237C0000}"/>
    <cellStyle name="Normal 2 2 2 4 5 5 4 2" xfId="31781" xr:uid="{00000000-0005-0000-0000-0000247C0000}"/>
    <cellStyle name="Normal 2 2 2 4 5 5 5" xfId="31782" xr:uid="{00000000-0005-0000-0000-0000257C0000}"/>
    <cellStyle name="Normal 2 2 2 4 5 6" xfId="31783" xr:uid="{00000000-0005-0000-0000-0000267C0000}"/>
    <cellStyle name="Normal 2 2 2 4 5 6 2" xfId="31784" xr:uid="{00000000-0005-0000-0000-0000277C0000}"/>
    <cellStyle name="Normal 2 2 2 4 5 6 2 2" xfId="31785" xr:uid="{00000000-0005-0000-0000-0000287C0000}"/>
    <cellStyle name="Normal 2 2 2 4 5 6 2 2 2" xfId="31786" xr:uid="{00000000-0005-0000-0000-0000297C0000}"/>
    <cellStyle name="Normal 2 2 2 4 5 6 2 2 2 2" xfId="31787" xr:uid="{00000000-0005-0000-0000-00002A7C0000}"/>
    <cellStyle name="Normal 2 2 2 4 5 6 2 2 3" xfId="31788" xr:uid="{00000000-0005-0000-0000-00002B7C0000}"/>
    <cellStyle name="Normal 2 2 2 4 5 6 2 3" xfId="31789" xr:uid="{00000000-0005-0000-0000-00002C7C0000}"/>
    <cellStyle name="Normal 2 2 2 4 5 6 2 3 2" xfId="31790" xr:uid="{00000000-0005-0000-0000-00002D7C0000}"/>
    <cellStyle name="Normal 2 2 2 4 5 6 2 4" xfId="31791" xr:uid="{00000000-0005-0000-0000-00002E7C0000}"/>
    <cellStyle name="Normal 2 2 2 4 5 6 3" xfId="31792" xr:uid="{00000000-0005-0000-0000-00002F7C0000}"/>
    <cellStyle name="Normal 2 2 2 4 5 6 3 2" xfId="31793" xr:uid="{00000000-0005-0000-0000-0000307C0000}"/>
    <cellStyle name="Normal 2 2 2 4 5 6 3 2 2" xfId="31794" xr:uid="{00000000-0005-0000-0000-0000317C0000}"/>
    <cellStyle name="Normal 2 2 2 4 5 6 3 3" xfId="31795" xr:uid="{00000000-0005-0000-0000-0000327C0000}"/>
    <cellStyle name="Normal 2 2 2 4 5 6 4" xfId="31796" xr:uid="{00000000-0005-0000-0000-0000337C0000}"/>
    <cellStyle name="Normal 2 2 2 4 5 6 4 2" xfId="31797" xr:uid="{00000000-0005-0000-0000-0000347C0000}"/>
    <cellStyle name="Normal 2 2 2 4 5 6 5" xfId="31798" xr:uid="{00000000-0005-0000-0000-0000357C0000}"/>
    <cellStyle name="Normal 2 2 2 4 5 7" xfId="31799" xr:uid="{00000000-0005-0000-0000-0000367C0000}"/>
    <cellStyle name="Normal 2 2 2 4 5 7 2" xfId="31800" xr:uid="{00000000-0005-0000-0000-0000377C0000}"/>
    <cellStyle name="Normal 2 2 2 4 5 7 2 2" xfId="31801" xr:uid="{00000000-0005-0000-0000-0000387C0000}"/>
    <cellStyle name="Normal 2 2 2 4 5 7 2 2 2" xfId="31802" xr:uid="{00000000-0005-0000-0000-0000397C0000}"/>
    <cellStyle name="Normal 2 2 2 4 5 7 2 3" xfId="31803" xr:uid="{00000000-0005-0000-0000-00003A7C0000}"/>
    <cellStyle name="Normal 2 2 2 4 5 7 3" xfId="31804" xr:uid="{00000000-0005-0000-0000-00003B7C0000}"/>
    <cellStyle name="Normal 2 2 2 4 5 7 3 2" xfId="31805" xr:uid="{00000000-0005-0000-0000-00003C7C0000}"/>
    <cellStyle name="Normal 2 2 2 4 5 7 4" xfId="31806" xr:uid="{00000000-0005-0000-0000-00003D7C0000}"/>
    <cellStyle name="Normal 2 2 2 4 5 8" xfId="31807" xr:uid="{00000000-0005-0000-0000-00003E7C0000}"/>
    <cellStyle name="Normal 2 2 2 4 5 8 2" xfId="31808" xr:uid="{00000000-0005-0000-0000-00003F7C0000}"/>
    <cellStyle name="Normal 2 2 2 4 5 8 2 2" xfId="31809" xr:uid="{00000000-0005-0000-0000-0000407C0000}"/>
    <cellStyle name="Normal 2 2 2 4 5 8 2 2 2" xfId="31810" xr:uid="{00000000-0005-0000-0000-0000417C0000}"/>
    <cellStyle name="Normal 2 2 2 4 5 8 2 3" xfId="31811" xr:uid="{00000000-0005-0000-0000-0000427C0000}"/>
    <cellStyle name="Normal 2 2 2 4 5 8 3" xfId="31812" xr:uid="{00000000-0005-0000-0000-0000437C0000}"/>
    <cellStyle name="Normal 2 2 2 4 5 8 3 2" xfId="31813" xr:uid="{00000000-0005-0000-0000-0000447C0000}"/>
    <cellStyle name="Normal 2 2 2 4 5 8 4" xfId="31814" xr:uid="{00000000-0005-0000-0000-0000457C0000}"/>
    <cellStyle name="Normal 2 2 2 4 5 9" xfId="31815" xr:uid="{00000000-0005-0000-0000-0000467C0000}"/>
    <cellStyle name="Normal 2 2 2 4 5 9 2" xfId="31816" xr:uid="{00000000-0005-0000-0000-0000477C0000}"/>
    <cellStyle name="Normal 2 2 2 4 5 9 2 2" xfId="31817" xr:uid="{00000000-0005-0000-0000-0000487C0000}"/>
    <cellStyle name="Normal 2 2 2 4 5 9 3" xfId="31818" xr:uid="{00000000-0005-0000-0000-0000497C0000}"/>
    <cellStyle name="Normal 2 2 2 4 6" xfId="31819" xr:uid="{00000000-0005-0000-0000-00004A7C0000}"/>
    <cellStyle name="Normal 2 2 2 4 6 10" xfId="31820" xr:uid="{00000000-0005-0000-0000-00004B7C0000}"/>
    <cellStyle name="Normal 2 2 2 4 6 10 2" xfId="31821" xr:uid="{00000000-0005-0000-0000-00004C7C0000}"/>
    <cellStyle name="Normal 2 2 2 4 6 10 2 2" xfId="31822" xr:uid="{00000000-0005-0000-0000-00004D7C0000}"/>
    <cellStyle name="Normal 2 2 2 4 6 10 3" xfId="31823" xr:uid="{00000000-0005-0000-0000-00004E7C0000}"/>
    <cellStyle name="Normal 2 2 2 4 6 11" xfId="31824" xr:uid="{00000000-0005-0000-0000-00004F7C0000}"/>
    <cellStyle name="Normal 2 2 2 4 6 11 2" xfId="31825" xr:uid="{00000000-0005-0000-0000-0000507C0000}"/>
    <cellStyle name="Normal 2 2 2 4 6 11 2 2" xfId="31826" xr:uid="{00000000-0005-0000-0000-0000517C0000}"/>
    <cellStyle name="Normal 2 2 2 4 6 11 3" xfId="31827" xr:uid="{00000000-0005-0000-0000-0000527C0000}"/>
    <cellStyle name="Normal 2 2 2 4 6 12" xfId="31828" xr:uid="{00000000-0005-0000-0000-0000537C0000}"/>
    <cellStyle name="Normal 2 2 2 4 6 12 2" xfId="31829" xr:uid="{00000000-0005-0000-0000-0000547C0000}"/>
    <cellStyle name="Normal 2 2 2 4 6 12 2 2" xfId="31830" xr:uid="{00000000-0005-0000-0000-0000557C0000}"/>
    <cellStyle name="Normal 2 2 2 4 6 12 3" xfId="31831" xr:uid="{00000000-0005-0000-0000-0000567C0000}"/>
    <cellStyle name="Normal 2 2 2 4 6 13" xfId="31832" xr:uid="{00000000-0005-0000-0000-0000577C0000}"/>
    <cellStyle name="Normal 2 2 2 4 6 13 2" xfId="31833" xr:uid="{00000000-0005-0000-0000-0000587C0000}"/>
    <cellStyle name="Normal 2 2 2 4 6 14" xfId="31834" xr:uid="{00000000-0005-0000-0000-0000597C0000}"/>
    <cellStyle name="Normal 2 2 2 4 6 2" xfId="31835" xr:uid="{00000000-0005-0000-0000-00005A7C0000}"/>
    <cellStyle name="Normal 2 2 2 4 6 2 2" xfId="31836" xr:uid="{00000000-0005-0000-0000-00005B7C0000}"/>
    <cellStyle name="Normal 2 2 2 4 6 2 2 2" xfId="31837" xr:uid="{00000000-0005-0000-0000-00005C7C0000}"/>
    <cellStyle name="Normal 2 2 2 4 6 2 2 2 2" xfId="31838" xr:uid="{00000000-0005-0000-0000-00005D7C0000}"/>
    <cellStyle name="Normal 2 2 2 4 6 2 2 2 2 2" xfId="31839" xr:uid="{00000000-0005-0000-0000-00005E7C0000}"/>
    <cellStyle name="Normal 2 2 2 4 6 2 2 2 3" xfId="31840" xr:uid="{00000000-0005-0000-0000-00005F7C0000}"/>
    <cellStyle name="Normal 2 2 2 4 6 2 2 3" xfId="31841" xr:uid="{00000000-0005-0000-0000-0000607C0000}"/>
    <cellStyle name="Normal 2 2 2 4 6 2 2 3 2" xfId="31842" xr:uid="{00000000-0005-0000-0000-0000617C0000}"/>
    <cellStyle name="Normal 2 2 2 4 6 2 2 4" xfId="31843" xr:uid="{00000000-0005-0000-0000-0000627C0000}"/>
    <cellStyle name="Normal 2 2 2 4 6 2 3" xfId="31844" xr:uid="{00000000-0005-0000-0000-0000637C0000}"/>
    <cellStyle name="Normal 2 2 2 4 6 2 3 2" xfId="31845" xr:uid="{00000000-0005-0000-0000-0000647C0000}"/>
    <cellStyle name="Normal 2 2 2 4 6 2 3 2 2" xfId="31846" xr:uid="{00000000-0005-0000-0000-0000657C0000}"/>
    <cellStyle name="Normal 2 2 2 4 6 2 3 3" xfId="31847" xr:uid="{00000000-0005-0000-0000-0000667C0000}"/>
    <cellStyle name="Normal 2 2 2 4 6 2 4" xfId="31848" xr:uid="{00000000-0005-0000-0000-0000677C0000}"/>
    <cellStyle name="Normal 2 2 2 4 6 2 4 2" xfId="31849" xr:uid="{00000000-0005-0000-0000-0000687C0000}"/>
    <cellStyle name="Normal 2 2 2 4 6 2 4 2 2" xfId="31850" xr:uid="{00000000-0005-0000-0000-0000697C0000}"/>
    <cellStyle name="Normal 2 2 2 4 6 2 4 3" xfId="31851" xr:uid="{00000000-0005-0000-0000-00006A7C0000}"/>
    <cellStyle name="Normal 2 2 2 4 6 2 5" xfId="31852" xr:uid="{00000000-0005-0000-0000-00006B7C0000}"/>
    <cellStyle name="Normal 2 2 2 4 6 2 5 2" xfId="31853" xr:uid="{00000000-0005-0000-0000-00006C7C0000}"/>
    <cellStyle name="Normal 2 2 2 4 6 2 5 2 2" xfId="31854" xr:uid="{00000000-0005-0000-0000-00006D7C0000}"/>
    <cellStyle name="Normal 2 2 2 4 6 2 5 3" xfId="31855" xr:uid="{00000000-0005-0000-0000-00006E7C0000}"/>
    <cellStyle name="Normal 2 2 2 4 6 2 6" xfId="31856" xr:uid="{00000000-0005-0000-0000-00006F7C0000}"/>
    <cellStyle name="Normal 2 2 2 4 6 2 6 2" xfId="31857" xr:uid="{00000000-0005-0000-0000-0000707C0000}"/>
    <cellStyle name="Normal 2 2 2 4 6 2 6 2 2" xfId="31858" xr:uid="{00000000-0005-0000-0000-0000717C0000}"/>
    <cellStyle name="Normal 2 2 2 4 6 2 6 3" xfId="31859" xr:uid="{00000000-0005-0000-0000-0000727C0000}"/>
    <cellStyle name="Normal 2 2 2 4 6 2 7" xfId="31860" xr:uid="{00000000-0005-0000-0000-0000737C0000}"/>
    <cellStyle name="Normal 2 2 2 4 6 2 7 2" xfId="31861" xr:uid="{00000000-0005-0000-0000-0000747C0000}"/>
    <cellStyle name="Normal 2 2 2 4 6 2 8" xfId="31862" xr:uid="{00000000-0005-0000-0000-0000757C0000}"/>
    <cellStyle name="Normal 2 2 2 4 6 3" xfId="31863" xr:uid="{00000000-0005-0000-0000-0000767C0000}"/>
    <cellStyle name="Normal 2 2 2 4 6 3 2" xfId="31864" xr:uid="{00000000-0005-0000-0000-0000777C0000}"/>
    <cellStyle name="Normal 2 2 2 4 6 3 2 2" xfId="31865" xr:uid="{00000000-0005-0000-0000-0000787C0000}"/>
    <cellStyle name="Normal 2 2 2 4 6 3 2 2 2" xfId="31866" xr:uid="{00000000-0005-0000-0000-0000797C0000}"/>
    <cellStyle name="Normal 2 2 2 4 6 3 2 2 2 2" xfId="31867" xr:uid="{00000000-0005-0000-0000-00007A7C0000}"/>
    <cellStyle name="Normal 2 2 2 4 6 3 2 2 3" xfId="31868" xr:uid="{00000000-0005-0000-0000-00007B7C0000}"/>
    <cellStyle name="Normal 2 2 2 4 6 3 2 3" xfId="31869" xr:uid="{00000000-0005-0000-0000-00007C7C0000}"/>
    <cellStyle name="Normal 2 2 2 4 6 3 2 3 2" xfId="31870" xr:uid="{00000000-0005-0000-0000-00007D7C0000}"/>
    <cellStyle name="Normal 2 2 2 4 6 3 2 4" xfId="31871" xr:uid="{00000000-0005-0000-0000-00007E7C0000}"/>
    <cellStyle name="Normal 2 2 2 4 6 3 3" xfId="31872" xr:uid="{00000000-0005-0000-0000-00007F7C0000}"/>
    <cellStyle name="Normal 2 2 2 4 6 3 3 2" xfId="31873" xr:uid="{00000000-0005-0000-0000-0000807C0000}"/>
    <cellStyle name="Normal 2 2 2 4 6 3 3 2 2" xfId="31874" xr:uid="{00000000-0005-0000-0000-0000817C0000}"/>
    <cellStyle name="Normal 2 2 2 4 6 3 3 3" xfId="31875" xr:uid="{00000000-0005-0000-0000-0000827C0000}"/>
    <cellStyle name="Normal 2 2 2 4 6 3 4" xfId="31876" xr:uid="{00000000-0005-0000-0000-0000837C0000}"/>
    <cellStyle name="Normal 2 2 2 4 6 3 4 2" xfId="31877" xr:uid="{00000000-0005-0000-0000-0000847C0000}"/>
    <cellStyle name="Normal 2 2 2 4 6 3 4 2 2" xfId="31878" xr:uid="{00000000-0005-0000-0000-0000857C0000}"/>
    <cellStyle name="Normal 2 2 2 4 6 3 4 3" xfId="31879" xr:uid="{00000000-0005-0000-0000-0000867C0000}"/>
    <cellStyle name="Normal 2 2 2 4 6 3 5" xfId="31880" xr:uid="{00000000-0005-0000-0000-0000877C0000}"/>
    <cellStyle name="Normal 2 2 2 4 6 3 5 2" xfId="31881" xr:uid="{00000000-0005-0000-0000-0000887C0000}"/>
    <cellStyle name="Normal 2 2 2 4 6 3 5 2 2" xfId="31882" xr:uid="{00000000-0005-0000-0000-0000897C0000}"/>
    <cellStyle name="Normal 2 2 2 4 6 3 5 3" xfId="31883" xr:uid="{00000000-0005-0000-0000-00008A7C0000}"/>
    <cellStyle name="Normal 2 2 2 4 6 3 6" xfId="31884" xr:uid="{00000000-0005-0000-0000-00008B7C0000}"/>
    <cellStyle name="Normal 2 2 2 4 6 3 6 2" xfId="31885" xr:uid="{00000000-0005-0000-0000-00008C7C0000}"/>
    <cellStyle name="Normal 2 2 2 4 6 3 6 2 2" xfId="31886" xr:uid="{00000000-0005-0000-0000-00008D7C0000}"/>
    <cellStyle name="Normal 2 2 2 4 6 3 6 3" xfId="31887" xr:uid="{00000000-0005-0000-0000-00008E7C0000}"/>
    <cellStyle name="Normal 2 2 2 4 6 3 7" xfId="31888" xr:uid="{00000000-0005-0000-0000-00008F7C0000}"/>
    <cellStyle name="Normal 2 2 2 4 6 3 7 2" xfId="31889" xr:uid="{00000000-0005-0000-0000-0000907C0000}"/>
    <cellStyle name="Normal 2 2 2 4 6 3 8" xfId="31890" xr:uid="{00000000-0005-0000-0000-0000917C0000}"/>
    <cellStyle name="Normal 2 2 2 4 6 4" xfId="31891" xr:uid="{00000000-0005-0000-0000-0000927C0000}"/>
    <cellStyle name="Normal 2 2 2 4 6 4 2" xfId="31892" xr:uid="{00000000-0005-0000-0000-0000937C0000}"/>
    <cellStyle name="Normal 2 2 2 4 6 4 2 2" xfId="31893" xr:uid="{00000000-0005-0000-0000-0000947C0000}"/>
    <cellStyle name="Normal 2 2 2 4 6 4 2 2 2" xfId="31894" xr:uid="{00000000-0005-0000-0000-0000957C0000}"/>
    <cellStyle name="Normal 2 2 2 4 6 4 2 2 2 2" xfId="31895" xr:uid="{00000000-0005-0000-0000-0000967C0000}"/>
    <cellStyle name="Normal 2 2 2 4 6 4 2 2 3" xfId="31896" xr:uid="{00000000-0005-0000-0000-0000977C0000}"/>
    <cellStyle name="Normal 2 2 2 4 6 4 2 3" xfId="31897" xr:uid="{00000000-0005-0000-0000-0000987C0000}"/>
    <cellStyle name="Normal 2 2 2 4 6 4 2 3 2" xfId="31898" xr:uid="{00000000-0005-0000-0000-0000997C0000}"/>
    <cellStyle name="Normal 2 2 2 4 6 4 2 4" xfId="31899" xr:uid="{00000000-0005-0000-0000-00009A7C0000}"/>
    <cellStyle name="Normal 2 2 2 4 6 4 3" xfId="31900" xr:uid="{00000000-0005-0000-0000-00009B7C0000}"/>
    <cellStyle name="Normal 2 2 2 4 6 4 3 2" xfId="31901" xr:uid="{00000000-0005-0000-0000-00009C7C0000}"/>
    <cellStyle name="Normal 2 2 2 4 6 4 3 2 2" xfId="31902" xr:uid="{00000000-0005-0000-0000-00009D7C0000}"/>
    <cellStyle name="Normal 2 2 2 4 6 4 3 3" xfId="31903" xr:uid="{00000000-0005-0000-0000-00009E7C0000}"/>
    <cellStyle name="Normal 2 2 2 4 6 4 4" xfId="31904" xr:uid="{00000000-0005-0000-0000-00009F7C0000}"/>
    <cellStyle name="Normal 2 2 2 4 6 4 4 2" xfId="31905" xr:uid="{00000000-0005-0000-0000-0000A07C0000}"/>
    <cellStyle name="Normal 2 2 2 4 6 4 4 2 2" xfId="31906" xr:uid="{00000000-0005-0000-0000-0000A17C0000}"/>
    <cellStyle name="Normal 2 2 2 4 6 4 4 3" xfId="31907" xr:uid="{00000000-0005-0000-0000-0000A27C0000}"/>
    <cellStyle name="Normal 2 2 2 4 6 4 5" xfId="31908" xr:uid="{00000000-0005-0000-0000-0000A37C0000}"/>
    <cellStyle name="Normal 2 2 2 4 6 4 5 2" xfId="31909" xr:uid="{00000000-0005-0000-0000-0000A47C0000}"/>
    <cellStyle name="Normal 2 2 2 4 6 4 5 2 2" xfId="31910" xr:uid="{00000000-0005-0000-0000-0000A57C0000}"/>
    <cellStyle name="Normal 2 2 2 4 6 4 5 3" xfId="31911" xr:uid="{00000000-0005-0000-0000-0000A67C0000}"/>
    <cellStyle name="Normal 2 2 2 4 6 4 6" xfId="31912" xr:uid="{00000000-0005-0000-0000-0000A77C0000}"/>
    <cellStyle name="Normal 2 2 2 4 6 4 6 2" xfId="31913" xr:uid="{00000000-0005-0000-0000-0000A87C0000}"/>
    <cellStyle name="Normal 2 2 2 4 6 4 6 2 2" xfId="31914" xr:uid="{00000000-0005-0000-0000-0000A97C0000}"/>
    <cellStyle name="Normal 2 2 2 4 6 4 6 3" xfId="31915" xr:uid="{00000000-0005-0000-0000-0000AA7C0000}"/>
    <cellStyle name="Normal 2 2 2 4 6 4 7" xfId="31916" xr:uid="{00000000-0005-0000-0000-0000AB7C0000}"/>
    <cellStyle name="Normal 2 2 2 4 6 4 7 2" xfId="31917" xr:uid="{00000000-0005-0000-0000-0000AC7C0000}"/>
    <cellStyle name="Normal 2 2 2 4 6 4 8" xfId="31918" xr:uid="{00000000-0005-0000-0000-0000AD7C0000}"/>
    <cellStyle name="Normal 2 2 2 4 6 5" xfId="31919" xr:uid="{00000000-0005-0000-0000-0000AE7C0000}"/>
    <cellStyle name="Normal 2 2 2 4 6 5 2" xfId="31920" xr:uid="{00000000-0005-0000-0000-0000AF7C0000}"/>
    <cellStyle name="Normal 2 2 2 4 6 5 2 2" xfId="31921" xr:uid="{00000000-0005-0000-0000-0000B07C0000}"/>
    <cellStyle name="Normal 2 2 2 4 6 5 2 2 2" xfId="31922" xr:uid="{00000000-0005-0000-0000-0000B17C0000}"/>
    <cellStyle name="Normal 2 2 2 4 6 5 2 2 2 2" xfId="31923" xr:uid="{00000000-0005-0000-0000-0000B27C0000}"/>
    <cellStyle name="Normal 2 2 2 4 6 5 2 2 3" xfId="31924" xr:uid="{00000000-0005-0000-0000-0000B37C0000}"/>
    <cellStyle name="Normal 2 2 2 4 6 5 2 3" xfId="31925" xr:uid="{00000000-0005-0000-0000-0000B47C0000}"/>
    <cellStyle name="Normal 2 2 2 4 6 5 2 3 2" xfId="31926" xr:uid="{00000000-0005-0000-0000-0000B57C0000}"/>
    <cellStyle name="Normal 2 2 2 4 6 5 2 4" xfId="31927" xr:uid="{00000000-0005-0000-0000-0000B67C0000}"/>
    <cellStyle name="Normal 2 2 2 4 6 5 3" xfId="31928" xr:uid="{00000000-0005-0000-0000-0000B77C0000}"/>
    <cellStyle name="Normal 2 2 2 4 6 5 3 2" xfId="31929" xr:uid="{00000000-0005-0000-0000-0000B87C0000}"/>
    <cellStyle name="Normal 2 2 2 4 6 5 3 2 2" xfId="31930" xr:uid="{00000000-0005-0000-0000-0000B97C0000}"/>
    <cellStyle name="Normal 2 2 2 4 6 5 3 3" xfId="31931" xr:uid="{00000000-0005-0000-0000-0000BA7C0000}"/>
    <cellStyle name="Normal 2 2 2 4 6 5 4" xfId="31932" xr:uid="{00000000-0005-0000-0000-0000BB7C0000}"/>
    <cellStyle name="Normal 2 2 2 4 6 5 4 2" xfId="31933" xr:uid="{00000000-0005-0000-0000-0000BC7C0000}"/>
    <cellStyle name="Normal 2 2 2 4 6 5 5" xfId="31934" xr:uid="{00000000-0005-0000-0000-0000BD7C0000}"/>
    <cellStyle name="Normal 2 2 2 4 6 6" xfId="31935" xr:uid="{00000000-0005-0000-0000-0000BE7C0000}"/>
    <cellStyle name="Normal 2 2 2 4 6 6 2" xfId="31936" xr:uid="{00000000-0005-0000-0000-0000BF7C0000}"/>
    <cellStyle name="Normal 2 2 2 4 6 6 2 2" xfId="31937" xr:uid="{00000000-0005-0000-0000-0000C07C0000}"/>
    <cellStyle name="Normal 2 2 2 4 6 6 2 2 2" xfId="31938" xr:uid="{00000000-0005-0000-0000-0000C17C0000}"/>
    <cellStyle name="Normal 2 2 2 4 6 6 2 2 2 2" xfId="31939" xr:uid="{00000000-0005-0000-0000-0000C27C0000}"/>
    <cellStyle name="Normal 2 2 2 4 6 6 2 2 3" xfId="31940" xr:uid="{00000000-0005-0000-0000-0000C37C0000}"/>
    <cellStyle name="Normal 2 2 2 4 6 6 2 3" xfId="31941" xr:uid="{00000000-0005-0000-0000-0000C47C0000}"/>
    <cellStyle name="Normal 2 2 2 4 6 6 2 3 2" xfId="31942" xr:uid="{00000000-0005-0000-0000-0000C57C0000}"/>
    <cellStyle name="Normal 2 2 2 4 6 6 2 4" xfId="31943" xr:uid="{00000000-0005-0000-0000-0000C67C0000}"/>
    <cellStyle name="Normal 2 2 2 4 6 6 3" xfId="31944" xr:uid="{00000000-0005-0000-0000-0000C77C0000}"/>
    <cellStyle name="Normal 2 2 2 4 6 6 3 2" xfId="31945" xr:uid="{00000000-0005-0000-0000-0000C87C0000}"/>
    <cellStyle name="Normal 2 2 2 4 6 6 3 2 2" xfId="31946" xr:uid="{00000000-0005-0000-0000-0000C97C0000}"/>
    <cellStyle name="Normal 2 2 2 4 6 6 3 3" xfId="31947" xr:uid="{00000000-0005-0000-0000-0000CA7C0000}"/>
    <cellStyle name="Normal 2 2 2 4 6 6 4" xfId="31948" xr:uid="{00000000-0005-0000-0000-0000CB7C0000}"/>
    <cellStyle name="Normal 2 2 2 4 6 6 4 2" xfId="31949" xr:uid="{00000000-0005-0000-0000-0000CC7C0000}"/>
    <cellStyle name="Normal 2 2 2 4 6 6 5" xfId="31950" xr:uid="{00000000-0005-0000-0000-0000CD7C0000}"/>
    <cellStyle name="Normal 2 2 2 4 6 7" xfId="31951" xr:uid="{00000000-0005-0000-0000-0000CE7C0000}"/>
    <cellStyle name="Normal 2 2 2 4 6 7 2" xfId="31952" xr:uid="{00000000-0005-0000-0000-0000CF7C0000}"/>
    <cellStyle name="Normal 2 2 2 4 6 7 2 2" xfId="31953" xr:uid="{00000000-0005-0000-0000-0000D07C0000}"/>
    <cellStyle name="Normal 2 2 2 4 6 7 2 2 2" xfId="31954" xr:uid="{00000000-0005-0000-0000-0000D17C0000}"/>
    <cellStyle name="Normal 2 2 2 4 6 7 2 3" xfId="31955" xr:uid="{00000000-0005-0000-0000-0000D27C0000}"/>
    <cellStyle name="Normal 2 2 2 4 6 7 3" xfId="31956" xr:uid="{00000000-0005-0000-0000-0000D37C0000}"/>
    <cellStyle name="Normal 2 2 2 4 6 7 3 2" xfId="31957" xr:uid="{00000000-0005-0000-0000-0000D47C0000}"/>
    <cellStyle name="Normal 2 2 2 4 6 7 4" xfId="31958" xr:uid="{00000000-0005-0000-0000-0000D57C0000}"/>
    <cellStyle name="Normal 2 2 2 4 6 8" xfId="31959" xr:uid="{00000000-0005-0000-0000-0000D67C0000}"/>
    <cellStyle name="Normal 2 2 2 4 6 8 2" xfId="31960" xr:uid="{00000000-0005-0000-0000-0000D77C0000}"/>
    <cellStyle name="Normal 2 2 2 4 6 8 2 2" xfId="31961" xr:uid="{00000000-0005-0000-0000-0000D87C0000}"/>
    <cellStyle name="Normal 2 2 2 4 6 8 2 2 2" xfId="31962" xr:uid="{00000000-0005-0000-0000-0000D97C0000}"/>
    <cellStyle name="Normal 2 2 2 4 6 8 2 3" xfId="31963" xr:uid="{00000000-0005-0000-0000-0000DA7C0000}"/>
    <cellStyle name="Normal 2 2 2 4 6 8 3" xfId="31964" xr:uid="{00000000-0005-0000-0000-0000DB7C0000}"/>
    <cellStyle name="Normal 2 2 2 4 6 8 3 2" xfId="31965" xr:uid="{00000000-0005-0000-0000-0000DC7C0000}"/>
    <cellStyle name="Normal 2 2 2 4 6 8 4" xfId="31966" xr:uid="{00000000-0005-0000-0000-0000DD7C0000}"/>
    <cellStyle name="Normal 2 2 2 4 6 9" xfId="31967" xr:uid="{00000000-0005-0000-0000-0000DE7C0000}"/>
    <cellStyle name="Normal 2 2 2 4 6 9 2" xfId="31968" xr:uid="{00000000-0005-0000-0000-0000DF7C0000}"/>
    <cellStyle name="Normal 2 2 2 4 6 9 2 2" xfId="31969" xr:uid="{00000000-0005-0000-0000-0000E07C0000}"/>
    <cellStyle name="Normal 2 2 2 4 6 9 3" xfId="31970" xr:uid="{00000000-0005-0000-0000-0000E17C0000}"/>
    <cellStyle name="Normal 2 2 2 4 7" xfId="31971" xr:uid="{00000000-0005-0000-0000-0000E27C0000}"/>
    <cellStyle name="Normal 2 2 2 4 7 2" xfId="31972" xr:uid="{00000000-0005-0000-0000-0000E37C0000}"/>
    <cellStyle name="Normal 2 2 2 4 7 2 2" xfId="31973" xr:uid="{00000000-0005-0000-0000-0000E47C0000}"/>
    <cellStyle name="Normal 2 2 2 4 7 2 2 2" xfId="31974" xr:uid="{00000000-0005-0000-0000-0000E57C0000}"/>
    <cellStyle name="Normal 2 2 2 4 7 2 2 2 2" xfId="31975" xr:uid="{00000000-0005-0000-0000-0000E67C0000}"/>
    <cellStyle name="Normal 2 2 2 4 7 2 2 3" xfId="31976" xr:uid="{00000000-0005-0000-0000-0000E77C0000}"/>
    <cellStyle name="Normal 2 2 2 4 7 2 3" xfId="31977" xr:uid="{00000000-0005-0000-0000-0000E87C0000}"/>
    <cellStyle name="Normal 2 2 2 4 7 2 3 2" xfId="31978" xr:uid="{00000000-0005-0000-0000-0000E97C0000}"/>
    <cellStyle name="Normal 2 2 2 4 7 2 4" xfId="31979" xr:uid="{00000000-0005-0000-0000-0000EA7C0000}"/>
    <cellStyle name="Normal 2 2 2 4 7 3" xfId="31980" xr:uid="{00000000-0005-0000-0000-0000EB7C0000}"/>
    <cellStyle name="Normal 2 2 2 4 7 3 2" xfId="31981" xr:uid="{00000000-0005-0000-0000-0000EC7C0000}"/>
    <cellStyle name="Normal 2 2 2 4 7 3 2 2" xfId="31982" xr:uid="{00000000-0005-0000-0000-0000ED7C0000}"/>
    <cellStyle name="Normal 2 2 2 4 7 3 3" xfId="31983" xr:uid="{00000000-0005-0000-0000-0000EE7C0000}"/>
    <cellStyle name="Normal 2 2 2 4 7 4" xfId="31984" xr:uid="{00000000-0005-0000-0000-0000EF7C0000}"/>
    <cellStyle name="Normal 2 2 2 4 7 4 2" xfId="31985" xr:uid="{00000000-0005-0000-0000-0000F07C0000}"/>
    <cellStyle name="Normal 2 2 2 4 7 4 2 2" xfId="31986" xr:uid="{00000000-0005-0000-0000-0000F17C0000}"/>
    <cellStyle name="Normal 2 2 2 4 7 4 3" xfId="31987" xr:uid="{00000000-0005-0000-0000-0000F27C0000}"/>
    <cellStyle name="Normal 2 2 2 4 7 5" xfId="31988" xr:uid="{00000000-0005-0000-0000-0000F37C0000}"/>
    <cellStyle name="Normal 2 2 2 4 7 5 2" xfId="31989" xr:uid="{00000000-0005-0000-0000-0000F47C0000}"/>
    <cellStyle name="Normal 2 2 2 4 7 5 2 2" xfId="31990" xr:uid="{00000000-0005-0000-0000-0000F57C0000}"/>
    <cellStyle name="Normal 2 2 2 4 7 5 3" xfId="31991" xr:uid="{00000000-0005-0000-0000-0000F67C0000}"/>
    <cellStyle name="Normal 2 2 2 4 7 6" xfId="31992" xr:uid="{00000000-0005-0000-0000-0000F77C0000}"/>
    <cellStyle name="Normal 2 2 2 4 7 6 2" xfId="31993" xr:uid="{00000000-0005-0000-0000-0000F87C0000}"/>
    <cellStyle name="Normal 2 2 2 4 7 6 2 2" xfId="31994" xr:uid="{00000000-0005-0000-0000-0000F97C0000}"/>
    <cellStyle name="Normal 2 2 2 4 7 6 3" xfId="31995" xr:uid="{00000000-0005-0000-0000-0000FA7C0000}"/>
    <cellStyle name="Normal 2 2 2 4 7 7" xfId="31996" xr:uid="{00000000-0005-0000-0000-0000FB7C0000}"/>
    <cellStyle name="Normal 2 2 2 4 7 7 2" xfId="31997" xr:uid="{00000000-0005-0000-0000-0000FC7C0000}"/>
    <cellStyle name="Normal 2 2 2 4 7 8" xfId="31998" xr:uid="{00000000-0005-0000-0000-0000FD7C0000}"/>
    <cellStyle name="Normal 2 2 2 4 8" xfId="31999" xr:uid="{00000000-0005-0000-0000-0000FE7C0000}"/>
    <cellStyle name="Normal 2 2 2 4 8 2" xfId="32000" xr:uid="{00000000-0005-0000-0000-0000FF7C0000}"/>
    <cellStyle name="Normal 2 2 2 4 8 2 2" xfId="32001" xr:uid="{00000000-0005-0000-0000-0000007D0000}"/>
    <cellStyle name="Normal 2 2 2 4 8 2 2 2" xfId="32002" xr:uid="{00000000-0005-0000-0000-0000017D0000}"/>
    <cellStyle name="Normal 2 2 2 4 8 2 2 2 2" xfId="32003" xr:uid="{00000000-0005-0000-0000-0000027D0000}"/>
    <cellStyle name="Normal 2 2 2 4 8 2 2 3" xfId="32004" xr:uid="{00000000-0005-0000-0000-0000037D0000}"/>
    <cellStyle name="Normal 2 2 2 4 8 2 3" xfId="32005" xr:uid="{00000000-0005-0000-0000-0000047D0000}"/>
    <cellStyle name="Normal 2 2 2 4 8 2 3 2" xfId="32006" xr:uid="{00000000-0005-0000-0000-0000057D0000}"/>
    <cellStyle name="Normal 2 2 2 4 8 2 4" xfId="32007" xr:uid="{00000000-0005-0000-0000-0000067D0000}"/>
    <cellStyle name="Normal 2 2 2 4 8 3" xfId="32008" xr:uid="{00000000-0005-0000-0000-0000077D0000}"/>
    <cellStyle name="Normal 2 2 2 4 8 3 2" xfId="32009" xr:uid="{00000000-0005-0000-0000-0000087D0000}"/>
    <cellStyle name="Normal 2 2 2 4 8 3 2 2" xfId="32010" xr:uid="{00000000-0005-0000-0000-0000097D0000}"/>
    <cellStyle name="Normal 2 2 2 4 8 3 3" xfId="32011" xr:uid="{00000000-0005-0000-0000-00000A7D0000}"/>
    <cellStyle name="Normal 2 2 2 4 8 4" xfId="32012" xr:uid="{00000000-0005-0000-0000-00000B7D0000}"/>
    <cellStyle name="Normal 2 2 2 4 8 4 2" xfId="32013" xr:uid="{00000000-0005-0000-0000-00000C7D0000}"/>
    <cellStyle name="Normal 2 2 2 4 8 4 2 2" xfId="32014" xr:uid="{00000000-0005-0000-0000-00000D7D0000}"/>
    <cellStyle name="Normal 2 2 2 4 8 4 3" xfId="32015" xr:uid="{00000000-0005-0000-0000-00000E7D0000}"/>
    <cellStyle name="Normal 2 2 2 4 8 5" xfId="32016" xr:uid="{00000000-0005-0000-0000-00000F7D0000}"/>
    <cellStyle name="Normal 2 2 2 4 8 5 2" xfId="32017" xr:uid="{00000000-0005-0000-0000-0000107D0000}"/>
    <cellStyle name="Normal 2 2 2 4 8 5 2 2" xfId="32018" xr:uid="{00000000-0005-0000-0000-0000117D0000}"/>
    <cellStyle name="Normal 2 2 2 4 8 5 3" xfId="32019" xr:uid="{00000000-0005-0000-0000-0000127D0000}"/>
    <cellStyle name="Normal 2 2 2 4 8 6" xfId="32020" xr:uid="{00000000-0005-0000-0000-0000137D0000}"/>
    <cellStyle name="Normal 2 2 2 4 8 6 2" xfId="32021" xr:uid="{00000000-0005-0000-0000-0000147D0000}"/>
    <cellStyle name="Normal 2 2 2 4 8 6 2 2" xfId="32022" xr:uid="{00000000-0005-0000-0000-0000157D0000}"/>
    <cellStyle name="Normal 2 2 2 4 8 6 3" xfId="32023" xr:uid="{00000000-0005-0000-0000-0000167D0000}"/>
    <cellStyle name="Normal 2 2 2 4 8 7" xfId="32024" xr:uid="{00000000-0005-0000-0000-0000177D0000}"/>
    <cellStyle name="Normal 2 2 2 4 8 7 2" xfId="32025" xr:uid="{00000000-0005-0000-0000-0000187D0000}"/>
    <cellStyle name="Normal 2 2 2 4 8 8" xfId="32026" xr:uid="{00000000-0005-0000-0000-0000197D0000}"/>
    <cellStyle name="Normal 2 2 2 4 9" xfId="32027" xr:uid="{00000000-0005-0000-0000-00001A7D0000}"/>
    <cellStyle name="Normal 2 2 2 4 9 2" xfId="32028" xr:uid="{00000000-0005-0000-0000-00001B7D0000}"/>
    <cellStyle name="Normal 2 2 2 4 9 2 2" xfId="32029" xr:uid="{00000000-0005-0000-0000-00001C7D0000}"/>
    <cellStyle name="Normal 2 2 2 4 9 2 2 2" xfId="32030" xr:uid="{00000000-0005-0000-0000-00001D7D0000}"/>
    <cellStyle name="Normal 2 2 2 4 9 2 2 2 2" xfId="32031" xr:uid="{00000000-0005-0000-0000-00001E7D0000}"/>
    <cellStyle name="Normal 2 2 2 4 9 2 2 3" xfId="32032" xr:uid="{00000000-0005-0000-0000-00001F7D0000}"/>
    <cellStyle name="Normal 2 2 2 4 9 2 3" xfId="32033" xr:uid="{00000000-0005-0000-0000-0000207D0000}"/>
    <cellStyle name="Normal 2 2 2 4 9 2 3 2" xfId="32034" xr:uid="{00000000-0005-0000-0000-0000217D0000}"/>
    <cellStyle name="Normal 2 2 2 4 9 2 4" xfId="32035" xr:uid="{00000000-0005-0000-0000-0000227D0000}"/>
    <cellStyle name="Normal 2 2 2 4 9 3" xfId="32036" xr:uid="{00000000-0005-0000-0000-0000237D0000}"/>
    <cellStyle name="Normal 2 2 2 4 9 3 2" xfId="32037" xr:uid="{00000000-0005-0000-0000-0000247D0000}"/>
    <cellStyle name="Normal 2 2 2 4 9 3 2 2" xfId="32038" xr:uid="{00000000-0005-0000-0000-0000257D0000}"/>
    <cellStyle name="Normal 2 2 2 4 9 3 3" xfId="32039" xr:uid="{00000000-0005-0000-0000-0000267D0000}"/>
    <cellStyle name="Normal 2 2 2 4 9 4" xfId="32040" xr:uid="{00000000-0005-0000-0000-0000277D0000}"/>
    <cellStyle name="Normal 2 2 2 4 9 4 2" xfId="32041" xr:uid="{00000000-0005-0000-0000-0000287D0000}"/>
    <cellStyle name="Normal 2 2 2 4 9 4 2 2" xfId="32042" xr:uid="{00000000-0005-0000-0000-0000297D0000}"/>
    <cellStyle name="Normal 2 2 2 4 9 4 3" xfId="32043" xr:uid="{00000000-0005-0000-0000-00002A7D0000}"/>
    <cellStyle name="Normal 2 2 2 4 9 5" xfId="32044" xr:uid="{00000000-0005-0000-0000-00002B7D0000}"/>
    <cellStyle name="Normal 2 2 2 4 9 5 2" xfId="32045" xr:uid="{00000000-0005-0000-0000-00002C7D0000}"/>
    <cellStyle name="Normal 2 2 2 4 9 5 2 2" xfId="32046" xr:uid="{00000000-0005-0000-0000-00002D7D0000}"/>
    <cellStyle name="Normal 2 2 2 4 9 5 3" xfId="32047" xr:uid="{00000000-0005-0000-0000-00002E7D0000}"/>
    <cellStyle name="Normal 2 2 2 4 9 6" xfId="32048" xr:uid="{00000000-0005-0000-0000-00002F7D0000}"/>
    <cellStyle name="Normal 2 2 2 4 9 6 2" xfId="32049" xr:uid="{00000000-0005-0000-0000-0000307D0000}"/>
    <cellStyle name="Normal 2 2 2 4 9 6 2 2" xfId="32050" xr:uid="{00000000-0005-0000-0000-0000317D0000}"/>
    <cellStyle name="Normal 2 2 2 4 9 6 3" xfId="32051" xr:uid="{00000000-0005-0000-0000-0000327D0000}"/>
    <cellStyle name="Normal 2 2 2 4 9 7" xfId="32052" xr:uid="{00000000-0005-0000-0000-0000337D0000}"/>
    <cellStyle name="Normal 2 2 2 4 9 7 2" xfId="32053" xr:uid="{00000000-0005-0000-0000-0000347D0000}"/>
    <cellStyle name="Normal 2 2 2 4 9 8" xfId="32054" xr:uid="{00000000-0005-0000-0000-0000357D0000}"/>
    <cellStyle name="Normal 2 2 2 5" xfId="32055" xr:uid="{00000000-0005-0000-0000-0000367D0000}"/>
    <cellStyle name="Normal 2 2 2 5 10" xfId="32056" xr:uid="{00000000-0005-0000-0000-0000377D0000}"/>
    <cellStyle name="Normal 2 2 2 5 10 2" xfId="32057" xr:uid="{00000000-0005-0000-0000-0000387D0000}"/>
    <cellStyle name="Normal 2 2 2 5 10 2 2" xfId="32058" xr:uid="{00000000-0005-0000-0000-0000397D0000}"/>
    <cellStyle name="Normal 2 2 2 5 10 3" xfId="32059" xr:uid="{00000000-0005-0000-0000-00003A7D0000}"/>
    <cellStyle name="Normal 2 2 2 5 11" xfId="32060" xr:uid="{00000000-0005-0000-0000-00003B7D0000}"/>
    <cellStyle name="Normal 2 2 2 5 11 2" xfId="32061" xr:uid="{00000000-0005-0000-0000-00003C7D0000}"/>
    <cellStyle name="Normal 2 2 2 5 11 2 2" xfId="32062" xr:uid="{00000000-0005-0000-0000-00003D7D0000}"/>
    <cellStyle name="Normal 2 2 2 5 11 3" xfId="32063" xr:uid="{00000000-0005-0000-0000-00003E7D0000}"/>
    <cellStyle name="Normal 2 2 2 5 12" xfId="32064" xr:uid="{00000000-0005-0000-0000-00003F7D0000}"/>
    <cellStyle name="Normal 2 2 2 5 12 2" xfId="32065" xr:uid="{00000000-0005-0000-0000-0000407D0000}"/>
    <cellStyle name="Normal 2 2 2 5 12 2 2" xfId="32066" xr:uid="{00000000-0005-0000-0000-0000417D0000}"/>
    <cellStyle name="Normal 2 2 2 5 12 3" xfId="32067" xr:uid="{00000000-0005-0000-0000-0000427D0000}"/>
    <cellStyle name="Normal 2 2 2 5 13" xfId="32068" xr:uid="{00000000-0005-0000-0000-0000437D0000}"/>
    <cellStyle name="Normal 2 2 2 5 13 2" xfId="32069" xr:uid="{00000000-0005-0000-0000-0000447D0000}"/>
    <cellStyle name="Normal 2 2 2 5 14" xfId="32070" xr:uid="{00000000-0005-0000-0000-0000457D0000}"/>
    <cellStyle name="Normal 2 2 2 5 2" xfId="32071" xr:uid="{00000000-0005-0000-0000-0000467D0000}"/>
    <cellStyle name="Normal 2 2 2 5 2 2" xfId="32072" xr:uid="{00000000-0005-0000-0000-0000477D0000}"/>
    <cellStyle name="Normal 2 2 2 5 2 2 2" xfId="32073" xr:uid="{00000000-0005-0000-0000-0000487D0000}"/>
    <cellStyle name="Normal 2 2 2 5 2 2 2 2" xfId="32074" xr:uid="{00000000-0005-0000-0000-0000497D0000}"/>
    <cellStyle name="Normal 2 2 2 5 2 2 2 2 2" xfId="32075" xr:uid="{00000000-0005-0000-0000-00004A7D0000}"/>
    <cellStyle name="Normal 2 2 2 5 2 2 2 3" xfId="32076" xr:uid="{00000000-0005-0000-0000-00004B7D0000}"/>
    <cellStyle name="Normal 2 2 2 5 2 2 3" xfId="32077" xr:uid="{00000000-0005-0000-0000-00004C7D0000}"/>
    <cellStyle name="Normal 2 2 2 5 2 2 3 2" xfId="32078" xr:uid="{00000000-0005-0000-0000-00004D7D0000}"/>
    <cellStyle name="Normal 2 2 2 5 2 2 4" xfId="32079" xr:uid="{00000000-0005-0000-0000-00004E7D0000}"/>
    <cellStyle name="Normal 2 2 2 5 2 3" xfId="32080" xr:uid="{00000000-0005-0000-0000-00004F7D0000}"/>
    <cellStyle name="Normal 2 2 2 5 2 3 2" xfId="32081" xr:uid="{00000000-0005-0000-0000-0000507D0000}"/>
    <cellStyle name="Normal 2 2 2 5 2 3 2 2" xfId="32082" xr:uid="{00000000-0005-0000-0000-0000517D0000}"/>
    <cellStyle name="Normal 2 2 2 5 2 3 3" xfId="32083" xr:uid="{00000000-0005-0000-0000-0000527D0000}"/>
    <cellStyle name="Normal 2 2 2 5 2 4" xfId="32084" xr:uid="{00000000-0005-0000-0000-0000537D0000}"/>
    <cellStyle name="Normal 2 2 2 5 2 4 2" xfId="32085" xr:uid="{00000000-0005-0000-0000-0000547D0000}"/>
    <cellStyle name="Normal 2 2 2 5 2 4 2 2" xfId="32086" xr:uid="{00000000-0005-0000-0000-0000557D0000}"/>
    <cellStyle name="Normal 2 2 2 5 2 4 3" xfId="32087" xr:uid="{00000000-0005-0000-0000-0000567D0000}"/>
    <cellStyle name="Normal 2 2 2 5 2 5" xfId="32088" xr:uid="{00000000-0005-0000-0000-0000577D0000}"/>
    <cellStyle name="Normal 2 2 2 5 2 5 2" xfId="32089" xr:uid="{00000000-0005-0000-0000-0000587D0000}"/>
    <cellStyle name="Normal 2 2 2 5 2 5 2 2" xfId="32090" xr:uid="{00000000-0005-0000-0000-0000597D0000}"/>
    <cellStyle name="Normal 2 2 2 5 2 5 3" xfId="32091" xr:uid="{00000000-0005-0000-0000-00005A7D0000}"/>
    <cellStyle name="Normal 2 2 2 5 2 6" xfId="32092" xr:uid="{00000000-0005-0000-0000-00005B7D0000}"/>
    <cellStyle name="Normal 2 2 2 5 2 6 2" xfId="32093" xr:uid="{00000000-0005-0000-0000-00005C7D0000}"/>
    <cellStyle name="Normal 2 2 2 5 2 6 2 2" xfId="32094" xr:uid="{00000000-0005-0000-0000-00005D7D0000}"/>
    <cellStyle name="Normal 2 2 2 5 2 6 3" xfId="32095" xr:uid="{00000000-0005-0000-0000-00005E7D0000}"/>
    <cellStyle name="Normal 2 2 2 5 2 7" xfId="32096" xr:uid="{00000000-0005-0000-0000-00005F7D0000}"/>
    <cellStyle name="Normal 2 2 2 5 2 7 2" xfId="32097" xr:uid="{00000000-0005-0000-0000-0000607D0000}"/>
    <cellStyle name="Normal 2 2 2 5 2 8" xfId="32098" xr:uid="{00000000-0005-0000-0000-0000617D0000}"/>
    <cellStyle name="Normal 2 2 2 5 3" xfId="32099" xr:uid="{00000000-0005-0000-0000-0000627D0000}"/>
    <cellStyle name="Normal 2 2 2 5 3 2" xfId="32100" xr:uid="{00000000-0005-0000-0000-0000637D0000}"/>
    <cellStyle name="Normal 2 2 2 5 3 2 2" xfId="32101" xr:uid="{00000000-0005-0000-0000-0000647D0000}"/>
    <cellStyle name="Normal 2 2 2 5 3 2 2 2" xfId="32102" xr:uid="{00000000-0005-0000-0000-0000657D0000}"/>
    <cellStyle name="Normal 2 2 2 5 3 2 2 2 2" xfId="32103" xr:uid="{00000000-0005-0000-0000-0000667D0000}"/>
    <cellStyle name="Normal 2 2 2 5 3 2 2 3" xfId="32104" xr:uid="{00000000-0005-0000-0000-0000677D0000}"/>
    <cellStyle name="Normal 2 2 2 5 3 2 3" xfId="32105" xr:uid="{00000000-0005-0000-0000-0000687D0000}"/>
    <cellStyle name="Normal 2 2 2 5 3 2 3 2" xfId="32106" xr:uid="{00000000-0005-0000-0000-0000697D0000}"/>
    <cellStyle name="Normal 2 2 2 5 3 2 4" xfId="32107" xr:uid="{00000000-0005-0000-0000-00006A7D0000}"/>
    <cellStyle name="Normal 2 2 2 5 3 3" xfId="32108" xr:uid="{00000000-0005-0000-0000-00006B7D0000}"/>
    <cellStyle name="Normal 2 2 2 5 3 3 2" xfId="32109" xr:uid="{00000000-0005-0000-0000-00006C7D0000}"/>
    <cellStyle name="Normal 2 2 2 5 3 3 2 2" xfId="32110" xr:uid="{00000000-0005-0000-0000-00006D7D0000}"/>
    <cellStyle name="Normal 2 2 2 5 3 3 3" xfId="32111" xr:uid="{00000000-0005-0000-0000-00006E7D0000}"/>
    <cellStyle name="Normal 2 2 2 5 3 4" xfId="32112" xr:uid="{00000000-0005-0000-0000-00006F7D0000}"/>
    <cellStyle name="Normal 2 2 2 5 3 4 2" xfId="32113" xr:uid="{00000000-0005-0000-0000-0000707D0000}"/>
    <cellStyle name="Normal 2 2 2 5 3 4 2 2" xfId="32114" xr:uid="{00000000-0005-0000-0000-0000717D0000}"/>
    <cellStyle name="Normal 2 2 2 5 3 4 3" xfId="32115" xr:uid="{00000000-0005-0000-0000-0000727D0000}"/>
    <cellStyle name="Normal 2 2 2 5 3 5" xfId="32116" xr:uid="{00000000-0005-0000-0000-0000737D0000}"/>
    <cellStyle name="Normal 2 2 2 5 3 5 2" xfId="32117" xr:uid="{00000000-0005-0000-0000-0000747D0000}"/>
    <cellStyle name="Normal 2 2 2 5 3 5 2 2" xfId="32118" xr:uid="{00000000-0005-0000-0000-0000757D0000}"/>
    <cellStyle name="Normal 2 2 2 5 3 5 3" xfId="32119" xr:uid="{00000000-0005-0000-0000-0000767D0000}"/>
    <cellStyle name="Normal 2 2 2 5 3 6" xfId="32120" xr:uid="{00000000-0005-0000-0000-0000777D0000}"/>
    <cellStyle name="Normal 2 2 2 5 3 6 2" xfId="32121" xr:uid="{00000000-0005-0000-0000-0000787D0000}"/>
    <cellStyle name="Normal 2 2 2 5 3 6 2 2" xfId="32122" xr:uid="{00000000-0005-0000-0000-0000797D0000}"/>
    <cellStyle name="Normal 2 2 2 5 3 6 3" xfId="32123" xr:uid="{00000000-0005-0000-0000-00007A7D0000}"/>
    <cellStyle name="Normal 2 2 2 5 3 7" xfId="32124" xr:uid="{00000000-0005-0000-0000-00007B7D0000}"/>
    <cellStyle name="Normal 2 2 2 5 3 7 2" xfId="32125" xr:uid="{00000000-0005-0000-0000-00007C7D0000}"/>
    <cellStyle name="Normal 2 2 2 5 3 8" xfId="32126" xr:uid="{00000000-0005-0000-0000-00007D7D0000}"/>
    <cellStyle name="Normal 2 2 2 5 4" xfId="32127" xr:uid="{00000000-0005-0000-0000-00007E7D0000}"/>
    <cellStyle name="Normal 2 2 2 5 4 2" xfId="32128" xr:uid="{00000000-0005-0000-0000-00007F7D0000}"/>
    <cellStyle name="Normal 2 2 2 5 4 2 2" xfId="32129" xr:uid="{00000000-0005-0000-0000-0000807D0000}"/>
    <cellStyle name="Normal 2 2 2 5 4 2 2 2" xfId="32130" xr:uid="{00000000-0005-0000-0000-0000817D0000}"/>
    <cellStyle name="Normal 2 2 2 5 4 2 2 2 2" xfId="32131" xr:uid="{00000000-0005-0000-0000-0000827D0000}"/>
    <cellStyle name="Normal 2 2 2 5 4 2 2 3" xfId="32132" xr:uid="{00000000-0005-0000-0000-0000837D0000}"/>
    <cellStyle name="Normal 2 2 2 5 4 2 3" xfId="32133" xr:uid="{00000000-0005-0000-0000-0000847D0000}"/>
    <cellStyle name="Normal 2 2 2 5 4 2 3 2" xfId="32134" xr:uid="{00000000-0005-0000-0000-0000857D0000}"/>
    <cellStyle name="Normal 2 2 2 5 4 2 4" xfId="32135" xr:uid="{00000000-0005-0000-0000-0000867D0000}"/>
    <cellStyle name="Normal 2 2 2 5 4 3" xfId="32136" xr:uid="{00000000-0005-0000-0000-0000877D0000}"/>
    <cellStyle name="Normal 2 2 2 5 4 3 2" xfId="32137" xr:uid="{00000000-0005-0000-0000-0000887D0000}"/>
    <cellStyle name="Normal 2 2 2 5 4 3 2 2" xfId="32138" xr:uid="{00000000-0005-0000-0000-0000897D0000}"/>
    <cellStyle name="Normal 2 2 2 5 4 3 3" xfId="32139" xr:uid="{00000000-0005-0000-0000-00008A7D0000}"/>
    <cellStyle name="Normal 2 2 2 5 4 4" xfId="32140" xr:uid="{00000000-0005-0000-0000-00008B7D0000}"/>
    <cellStyle name="Normal 2 2 2 5 4 4 2" xfId="32141" xr:uid="{00000000-0005-0000-0000-00008C7D0000}"/>
    <cellStyle name="Normal 2 2 2 5 4 4 2 2" xfId="32142" xr:uid="{00000000-0005-0000-0000-00008D7D0000}"/>
    <cellStyle name="Normal 2 2 2 5 4 4 3" xfId="32143" xr:uid="{00000000-0005-0000-0000-00008E7D0000}"/>
    <cellStyle name="Normal 2 2 2 5 4 5" xfId="32144" xr:uid="{00000000-0005-0000-0000-00008F7D0000}"/>
    <cellStyle name="Normal 2 2 2 5 4 5 2" xfId="32145" xr:uid="{00000000-0005-0000-0000-0000907D0000}"/>
    <cellStyle name="Normal 2 2 2 5 4 5 2 2" xfId="32146" xr:uid="{00000000-0005-0000-0000-0000917D0000}"/>
    <cellStyle name="Normal 2 2 2 5 4 5 3" xfId="32147" xr:uid="{00000000-0005-0000-0000-0000927D0000}"/>
    <cellStyle name="Normal 2 2 2 5 4 6" xfId="32148" xr:uid="{00000000-0005-0000-0000-0000937D0000}"/>
    <cellStyle name="Normal 2 2 2 5 4 6 2" xfId="32149" xr:uid="{00000000-0005-0000-0000-0000947D0000}"/>
    <cellStyle name="Normal 2 2 2 5 4 6 2 2" xfId="32150" xr:uid="{00000000-0005-0000-0000-0000957D0000}"/>
    <cellStyle name="Normal 2 2 2 5 4 6 3" xfId="32151" xr:uid="{00000000-0005-0000-0000-0000967D0000}"/>
    <cellStyle name="Normal 2 2 2 5 4 7" xfId="32152" xr:uid="{00000000-0005-0000-0000-0000977D0000}"/>
    <cellStyle name="Normal 2 2 2 5 4 7 2" xfId="32153" xr:uid="{00000000-0005-0000-0000-0000987D0000}"/>
    <cellStyle name="Normal 2 2 2 5 4 8" xfId="32154" xr:uid="{00000000-0005-0000-0000-0000997D0000}"/>
    <cellStyle name="Normal 2 2 2 5 5" xfId="32155" xr:uid="{00000000-0005-0000-0000-00009A7D0000}"/>
    <cellStyle name="Normal 2 2 2 5 5 2" xfId="32156" xr:uid="{00000000-0005-0000-0000-00009B7D0000}"/>
    <cellStyle name="Normal 2 2 2 5 5 2 2" xfId="32157" xr:uid="{00000000-0005-0000-0000-00009C7D0000}"/>
    <cellStyle name="Normal 2 2 2 5 5 2 2 2" xfId="32158" xr:uid="{00000000-0005-0000-0000-00009D7D0000}"/>
    <cellStyle name="Normal 2 2 2 5 5 2 2 2 2" xfId="32159" xr:uid="{00000000-0005-0000-0000-00009E7D0000}"/>
    <cellStyle name="Normal 2 2 2 5 5 2 2 3" xfId="32160" xr:uid="{00000000-0005-0000-0000-00009F7D0000}"/>
    <cellStyle name="Normal 2 2 2 5 5 2 3" xfId="32161" xr:uid="{00000000-0005-0000-0000-0000A07D0000}"/>
    <cellStyle name="Normal 2 2 2 5 5 2 3 2" xfId="32162" xr:uid="{00000000-0005-0000-0000-0000A17D0000}"/>
    <cellStyle name="Normal 2 2 2 5 5 2 4" xfId="32163" xr:uid="{00000000-0005-0000-0000-0000A27D0000}"/>
    <cellStyle name="Normal 2 2 2 5 5 3" xfId="32164" xr:uid="{00000000-0005-0000-0000-0000A37D0000}"/>
    <cellStyle name="Normal 2 2 2 5 5 3 2" xfId="32165" xr:uid="{00000000-0005-0000-0000-0000A47D0000}"/>
    <cellStyle name="Normal 2 2 2 5 5 3 2 2" xfId="32166" xr:uid="{00000000-0005-0000-0000-0000A57D0000}"/>
    <cellStyle name="Normal 2 2 2 5 5 3 3" xfId="32167" xr:uid="{00000000-0005-0000-0000-0000A67D0000}"/>
    <cellStyle name="Normal 2 2 2 5 5 4" xfId="32168" xr:uid="{00000000-0005-0000-0000-0000A77D0000}"/>
    <cellStyle name="Normal 2 2 2 5 5 4 2" xfId="32169" xr:uid="{00000000-0005-0000-0000-0000A87D0000}"/>
    <cellStyle name="Normal 2 2 2 5 5 5" xfId="32170" xr:uid="{00000000-0005-0000-0000-0000A97D0000}"/>
    <cellStyle name="Normal 2 2 2 5 6" xfId="32171" xr:uid="{00000000-0005-0000-0000-0000AA7D0000}"/>
    <cellStyle name="Normal 2 2 2 5 6 2" xfId="32172" xr:uid="{00000000-0005-0000-0000-0000AB7D0000}"/>
    <cellStyle name="Normal 2 2 2 5 6 2 2" xfId="32173" xr:uid="{00000000-0005-0000-0000-0000AC7D0000}"/>
    <cellStyle name="Normal 2 2 2 5 6 2 2 2" xfId="32174" xr:uid="{00000000-0005-0000-0000-0000AD7D0000}"/>
    <cellStyle name="Normal 2 2 2 5 6 2 2 2 2" xfId="32175" xr:uid="{00000000-0005-0000-0000-0000AE7D0000}"/>
    <cellStyle name="Normal 2 2 2 5 6 2 2 3" xfId="32176" xr:uid="{00000000-0005-0000-0000-0000AF7D0000}"/>
    <cellStyle name="Normal 2 2 2 5 6 2 3" xfId="32177" xr:uid="{00000000-0005-0000-0000-0000B07D0000}"/>
    <cellStyle name="Normal 2 2 2 5 6 2 3 2" xfId="32178" xr:uid="{00000000-0005-0000-0000-0000B17D0000}"/>
    <cellStyle name="Normal 2 2 2 5 6 2 4" xfId="32179" xr:uid="{00000000-0005-0000-0000-0000B27D0000}"/>
    <cellStyle name="Normal 2 2 2 5 6 3" xfId="32180" xr:uid="{00000000-0005-0000-0000-0000B37D0000}"/>
    <cellStyle name="Normal 2 2 2 5 6 3 2" xfId="32181" xr:uid="{00000000-0005-0000-0000-0000B47D0000}"/>
    <cellStyle name="Normal 2 2 2 5 6 3 2 2" xfId="32182" xr:uid="{00000000-0005-0000-0000-0000B57D0000}"/>
    <cellStyle name="Normal 2 2 2 5 6 3 3" xfId="32183" xr:uid="{00000000-0005-0000-0000-0000B67D0000}"/>
    <cellStyle name="Normal 2 2 2 5 6 4" xfId="32184" xr:uid="{00000000-0005-0000-0000-0000B77D0000}"/>
    <cellStyle name="Normal 2 2 2 5 6 4 2" xfId="32185" xr:uid="{00000000-0005-0000-0000-0000B87D0000}"/>
    <cellStyle name="Normal 2 2 2 5 6 5" xfId="32186" xr:uid="{00000000-0005-0000-0000-0000B97D0000}"/>
    <cellStyle name="Normal 2 2 2 5 7" xfId="32187" xr:uid="{00000000-0005-0000-0000-0000BA7D0000}"/>
    <cellStyle name="Normal 2 2 2 5 7 2" xfId="32188" xr:uid="{00000000-0005-0000-0000-0000BB7D0000}"/>
    <cellStyle name="Normal 2 2 2 5 7 2 2" xfId="32189" xr:uid="{00000000-0005-0000-0000-0000BC7D0000}"/>
    <cellStyle name="Normal 2 2 2 5 7 2 2 2" xfId="32190" xr:uid="{00000000-0005-0000-0000-0000BD7D0000}"/>
    <cellStyle name="Normal 2 2 2 5 7 2 3" xfId="32191" xr:uid="{00000000-0005-0000-0000-0000BE7D0000}"/>
    <cellStyle name="Normal 2 2 2 5 7 3" xfId="32192" xr:uid="{00000000-0005-0000-0000-0000BF7D0000}"/>
    <cellStyle name="Normal 2 2 2 5 7 3 2" xfId="32193" xr:uid="{00000000-0005-0000-0000-0000C07D0000}"/>
    <cellStyle name="Normal 2 2 2 5 7 4" xfId="32194" xr:uid="{00000000-0005-0000-0000-0000C17D0000}"/>
    <cellStyle name="Normal 2 2 2 5 8" xfId="32195" xr:uid="{00000000-0005-0000-0000-0000C27D0000}"/>
    <cellStyle name="Normal 2 2 2 5 8 2" xfId="32196" xr:uid="{00000000-0005-0000-0000-0000C37D0000}"/>
    <cellStyle name="Normal 2 2 2 5 8 2 2" xfId="32197" xr:uid="{00000000-0005-0000-0000-0000C47D0000}"/>
    <cellStyle name="Normal 2 2 2 5 8 2 2 2" xfId="32198" xr:uid="{00000000-0005-0000-0000-0000C57D0000}"/>
    <cellStyle name="Normal 2 2 2 5 8 2 3" xfId="32199" xr:uid="{00000000-0005-0000-0000-0000C67D0000}"/>
    <cellStyle name="Normal 2 2 2 5 8 3" xfId="32200" xr:uid="{00000000-0005-0000-0000-0000C77D0000}"/>
    <cellStyle name="Normal 2 2 2 5 8 3 2" xfId="32201" xr:uid="{00000000-0005-0000-0000-0000C87D0000}"/>
    <cellStyle name="Normal 2 2 2 5 8 4" xfId="32202" xr:uid="{00000000-0005-0000-0000-0000C97D0000}"/>
    <cellStyle name="Normal 2 2 2 5 9" xfId="32203" xr:uid="{00000000-0005-0000-0000-0000CA7D0000}"/>
    <cellStyle name="Normal 2 2 2 5 9 2" xfId="32204" xr:uid="{00000000-0005-0000-0000-0000CB7D0000}"/>
    <cellStyle name="Normal 2 2 2 5 9 2 2" xfId="32205" xr:uid="{00000000-0005-0000-0000-0000CC7D0000}"/>
    <cellStyle name="Normal 2 2 2 5 9 3" xfId="32206" xr:uid="{00000000-0005-0000-0000-0000CD7D0000}"/>
    <cellStyle name="Normal 2 2 2 6" xfId="32207" xr:uid="{00000000-0005-0000-0000-0000CE7D0000}"/>
    <cellStyle name="Normal 2 2 2 6 10" xfId="32208" xr:uid="{00000000-0005-0000-0000-0000CF7D0000}"/>
    <cellStyle name="Normal 2 2 2 6 10 2" xfId="32209" xr:uid="{00000000-0005-0000-0000-0000D07D0000}"/>
    <cellStyle name="Normal 2 2 2 6 10 2 2" xfId="32210" xr:uid="{00000000-0005-0000-0000-0000D17D0000}"/>
    <cellStyle name="Normal 2 2 2 6 10 3" xfId="32211" xr:uid="{00000000-0005-0000-0000-0000D27D0000}"/>
    <cellStyle name="Normal 2 2 2 6 11" xfId="32212" xr:uid="{00000000-0005-0000-0000-0000D37D0000}"/>
    <cellStyle name="Normal 2 2 2 6 11 2" xfId="32213" xr:uid="{00000000-0005-0000-0000-0000D47D0000}"/>
    <cellStyle name="Normal 2 2 2 6 11 2 2" xfId="32214" xr:uid="{00000000-0005-0000-0000-0000D57D0000}"/>
    <cellStyle name="Normal 2 2 2 6 11 3" xfId="32215" xr:uid="{00000000-0005-0000-0000-0000D67D0000}"/>
    <cellStyle name="Normal 2 2 2 6 12" xfId="32216" xr:uid="{00000000-0005-0000-0000-0000D77D0000}"/>
    <cellStyle name="Normal 2 2 2 6 12 2" xfId="32217" xr:uid="{00000000-0005-0000-0000-0000D87D0000}"/>
    <cellStyle name="Normal 2 2 2 6 12 2 2" xfId="32218" xr:uid="{00000000-0005-0000-0000-0000D97D0000}"/>
    <cellStyle name="Normal 2 2 2 6 12 3" xfId="32219" xr:uid="{00000000-0005-0000-0000-0000DA7D0000}"/>
    <cellStyle name="Normal 2 2 2 6 13" xfId="32220" xr:uid="{00000000-0005-0000-0000-0000DB7D0000}"/>
    <cellStyle name="Normal 2 2 2 6 13 2" xfId="32221" xr:uid="{00000000-0005-0000-0000-0000DC7D0000}"/>
    <cellStyle name="Normal 2 2 2 6 14" xfId="32222" xr:uid="{00000000-0005-0000-0000-0000DD7D0000}"/>
    <cellStyle name="Normal 2 2 2 6 2" xfId="32223" xr:uid="{00000000-0005-0000-0000-0000DE7D0000}"/>
    <cellStyle name="Normal 2 2 2 6 2 2" xfId="32224" xr:uid="{00000000-0005-0000-0000-0000DF7D0000}"/>
    <cellStyle name="Normal 2 2 2 6 2 2 2" xfId="32225" xr:uid="{00000000-0005-0000-0000-0000E07D0000}"/>
    <cellStyle name="Normal 2 2 2 6 2 2 2 2" xfId="32226" xr:uid="{00000000-0005-0000-0000-0000E17D0000}"/>
    <cellStyle name="Normal 2 2 2 6 2 2 2 2 2" xfId="32227" xr:uid="{00000000-0005-0000-0000-0000E27D0000}"/>
    <cellStyle name="Normal 2 2 2 6 2 2 2 3" xfId="32228" xr:uid="{00000000-0005-0000-0000-0000E37D0000}"/>
    <cellStyle name="Normal 2 2 2 6 2 2 3" xfId="32229" xr:uid="{00000000-0005-0000-0000-0000E47D0000}"/>
    <cellStyle name="Normal 2 2 2 6 2 2 3 2" xfId="32230" xr:uid="{00000000-0005-0000-0000-0000E57D0000}"/>
    <cellStyle name="Normal 2 2 2 6 2 2 4" xfId="32231" xr:uid="{00000000-0005-0000-0000-0000E67D0000}"/>
    <cellStyle name="Normal 2 2 2 6 2 3" xfId="32232" xr:uid="{00000000-0005-0000-0000-0000E77D0000}"/>
    <cellStyle name="Normal 2 2 2 6 2 3 2" xfId="32233" xr:uid="{00000000-0005-0000-0000-0000E87D0000}"/>
    <cellStyle name="Normal 2 2 2 6 2 3 2 2" xfId="32234" xr:uid="{00000000-0005-0000-0000-0000E97D0000}"/>
    <cellStyle name="Normal 2 2 2 6 2 3 3" xfId="32235" xr:uid="{00000000-0005-0000-0000-0000EA7D0000}"/>
    <cellStyle name="Normal 2 2 2 6 2 4" xfId="32236" xr:uid="{00000000-0005-0000-0000-0000EB7D0000}"/>
    <cellStyle name="Normal 2 2 2 6 2 4 2" xfId="32237" xr:uid="{00000000-0005-0000-0000-0000EC7D0000}"/>
    <cellStyle name="Normal 2 2 2 6 2 4 2 2" xfId="32238" xr:uid="{00000000-0005-0000-0000-0000ED7D0000}"/>
    <cellStyle name="Normal 2 2 2 6 2 4 3" xfId="32239" xr:uid="{00000000-0005-0000-0000-0000EE7D0000}"/>
    <cellStyle name="Normal 2 2 2 6 2 5" xfId="32240" xr:uid="{00000000-0005-0000-0000-0000EF7D0000}"/>
    <cellStyle name="Normal 2 2 2 6 2 5 2" xfId="32241" xr:uid="{00000000-0005-0000-0000-0000F07D0000}"/>
    <cellStyle name="Normal 2 2 2 6 2 5 2 2" xfId="32242" xr:uid="{00000000-0005-0000-0000-0000F17D0000}"/>
    <cellStyle name="Normal 2 2 2 6 2 5 3" xfId="32243" xr:uid="{00000000-0005-0000-0000-0000F27D0000}"/>
    <cellStyle name="Normal 2 2 2 6 2 6" xfId="32244" xr:uid="{00000000-0005-0000-0000-0000F37D0000}"/>
    <cellStyle name="Normal 2 2 2 6 2 6 2" xfId="32245" xr:uid="{00000000-0005-0000-0000-0000F47D0000}"/>
    <cellStyle name="Normal 2 2 2 6 2 6 2 2" xfId="32246" xr:uid="{00000000-0005-0000-0000-0000F57D0000}"/>
    <cellStyle name="Normal 2 2 2 6 2 6 3" xfId="32247" xr:uid="{00000000-0005-0000-0000-0000F67D0000}"/>
    <cellStyle name="Normal 2 2 2 6 2 7" xfId="32248" xr:uid="{00000000-0005-0000-0000-0000F77D0000}"/>
    <cellStyle name="Normal 2 2 2 6 2 7 2" xfId="32249" xr:uid="{00000000-0005-0000-0000-0000F87D0000}"/>
    <cellStyle name="Normal 2 2 2 6 2 8" xfId="32250" xr:uid="{00000000-0005-0000-0000-0000F97D0000}"/>
    <cellStyle name="Normal 2 2 2 6 3" xfId="32251" xr:uid="{00000000-0005-0000-0000-0000FA7D0000}"/>
    <cellStyle name="Normal 2 2 2 6 3 2" xfId="32252" xr:uid="{00000000-0005-0000-0000-0000FB7D0000}"/>
    <cellStyle name="Normal 2 2 2 6 3 2 2" xfId="32253" xr:uid="{00000000-0005-0000-0000-0000FC7D0000}"/>
    <cellStyle name="Normal 2 2 2 6 3 2 2 2" xfId="32254" xr:uid="{00000000-0005-0000-0000-0000FD7D0000}"/>
    <cellStyle name="Normal 2 2 2 6 3 2 2 2 2" xfId="32255" xr:uid="{00000000-0005-0000-0000-0000FE7D0000}"/>
    <cellStyle name="Normal 2 2 2 6 3 2 2 3" xfId="32256" xr:uid="{00000000-0005-0000-0000-0000FF7D0000}"/>
    <cellStyle name="Normal 2 2 2 6 3 2 3" xfId="32257" xr:uid="{00000000-0005-0000-0000-0000007E0000}"/>
    <cellStyle name="Normal 2 2 2 6 3 2 3 2" xfId="32258" xr:uid="{00000000-0005-0000-0000-0000017E0000}"/>
    <cellStyle name="Normal 2 2 2 6 3 2 4" xfId="32259" xr:uid="{00000000-0005-0000-0000-0000027E0000}"/>
    <cellStyle name="Normal 2 2 2 6 3 3" xfId="32260" xr:uid="{00000000-0005-0000-0000-0000037E0000}"/>
    <cellStyle name="Normal 2 2 2 6 3 3 2" xfId="32261" xr:uid="{00000000-0005-0000-0000-0000047E0000}"/>
    <cellStyle name="Normal 2 2 2 6 3 3 2 2" xfId="32262" xr:uid="{00000000-0005-0000-0000-0000057E0000}"/>
    <cellStyle name="Normal 2 2 2 6 3 3 3" xfId="32263" xr:uid="{00000000-0005-0000-0000-0000067E0000}"/>
    <cellStyle name="Normal 2 2 2 6 3 4" xfId="32264" xr:uid="{00000000-0005-0000-0000-0000077E0000}"/>
    <cellStyle name="Normal 2 2 2 6 3 4 2" xfId="32265" xr:uid="{00000000-0005-0000-0000-0000087E0000}"/>
    <cellStyle name="Normal 2 2 2 6 3 4 2 2" xfId="32266" xr:uid="{00000000-0005-0000-0000-0000097E0000}"/>
    <cellStyle name="Normal 2 2 2 6 3 4 3" xfId="32267" xr:uid="{00000000-0005-0000-0000-00000A7E0000}"/>
    <cellStyle name="Normal 2 2 2 6 3 5" xfId="32268" xr:uid="{00000000-0005-0000-0000-00000B7E0000}"/>
    <cellStyle name="Normal 2 2 2 6 3 5 2" xfId="32269" xr:uid="{00000000-0005-0000-0000-00000C7E0000}"/>
    <cellStyle name="Normal 2 2 2 6 3 5 2 2" xfId="32270" xr:uid="{00000000-0005-0000-0000-00000D7E0000}"/>
    <cellStyle name="Normal 2 2 2 6 3 5 3" xfId="32271" xr:uid="{00000000-0005-0000-0000-00000E7E0000}"/>
    <cellStyle name="Normal 2 2 2 6 3 6" xfId="32272" xr:uid="{00000000-0005-0000-0000-00000F7E0000}"/>
    <cellStyle name="Normal 2 2 2 6 3 6 2" xfId="32273" xr:uid="{00000000-0005-0000-0000-0000107E0000}"/>
    <cellStyle name="Normal 2 2 2 6 3 6 2 2" xfId="32274" xr:uid="{00000000-0005-0000-0000-0000117E0000}"/>
    <cellStyle name="Normal 2 2 2 6 3 6 3" xfId="32275" xr:uid="{00000000-0005-0000-0000-0000127E0000}"/>
    <cellStyle name="Normal 2 2 2 6 3 7" xfId="32276" xr:uid="{00000000-0005-0000-0000-0000137E0000}"/>
    <cellStyle name="Normal 2 2 2 6 3 7 2" xfId="32277" xr:uid="{00000000-0005-0000-0000-0000147E0000}"/>
    <cellStyle name="Normal 2 2 2 6 3 8" xfId="32278" xr:uid="{00000000-0005-0000-0000-0000157E0000}"/>
    <cellStyle name="Normal 2 2 2 6 4" xfId="32279" xr:uid="{00000000-0005-0000-0000-0000167E0000}"/>
    <cellStyle name="Normal 2 2 2 6 4 2" xfId="32280" xr:uid="{00000000-0005-0000-0000-0000177E0000}"/>
    <cellStyle name="Normal 2 2 2 6 4 2 2" xfId="32281" xr:uid="{00000000-0005-0000-0000-0000187E0000}"/>
    <cellStyle name="Normal 2 2 2 6 4 2 2 2" xfId="32282" xr:uid="{00000000-0005-0000-0000-0000197E0000}"/>
    <cellStyle name="Normal 2 2 2 6 4 2 2 2 2" xfId="32283" xr:uid="{00000000-0005-0000-0000-00001A7E0000}"/>
    <cellStyle name="Normal 2 2 2 6 4 2 2 3" xfId="32284" xr:uid="{00000000-0005-0000-0000-00001B7E0000}"/>
    <cellStyle name="Normal 2 2 2 6 4 2 3" xfId="32285" xr:uid="{00000000-0005-0000-0000-00001C7E0000}"/>
    <cellStyle name="Normal 2 2 2 6 4 2 3 2" xfId="32286" xr:uid="{00000000-0005-0000-0000-00001D7E0000}"/>
    <cellStyle name="Normal 2 2 2 6 4 2 4" xfId="32287" xr:uid="{00000000-0005-0000-0000-00001E7E0000}"/>
    <cellStyle name="Normal 2 2 2 6 4 3" xfId="32288" xr:uid="{00000000-0005-0000-0000-00001F7E0000}"/>
    <cellStyle name="Normal 2 2 2 6 4 3 2" xfId="32289" xr:uid="{00000000-0005-0000-0000-0000207E0000}"/>
    <cellStyle name="Normal 2 2 2 6 4 3 2 2" xfId="32290" xr:uid="{00000000-0005-0000-0000-0000217E0000}"/>
    <cellStyle name="Normal 2 2 2 6 4 3 3" xfId="32291" xr:uid="{00000000-0005-0000-0000-0000227E0000}"/>
    <cellStyle name="Normal 2 2 2 6 4 4" xfId="32292" xr:uid="{00000000-0005-0000-0000-0000237E0000}"/>
    <cellStyle name="Normal 2 2 2 6 4 4 2" xfId="32293" xr:uid="{00000000-0005-0000-0000-0000247E0000}"/>
    <cellStyle name="Normal 2 2 2 6 4 4 2 2" xfId="32294" xr:uid="{00000000-0005-0000-0000-0000257E0000}"/>
    <cellStyle name="Normal 2 2 2 6 4 4 3" xfId="32295" xr:uid="{00000000-0005-0000-0000-0000267E0000}"/>
    <cellStyle name="Normal 2 2 2 6 4 5" xfId="32296" xr:uid="{00000000-0005-0000-0000-0000277E0000}"/>
    <cellStyle name="Normal 2 2 2 6 4 5 2" xfId="32297" xr:uid="{00000000-0005-0000-0000-0000287E0000}"/>
    <cellStyle name="Normal 2 2 2 6 4 5 2 2" xfId="32298" xr:uid="{00000000-0005-0000-0000-0000297E0000}"/>
    <cellStyle name="Normal 2 2 2 6 4 5 3" xfId="32299" xr:uid="{00000000-0005-0000-0000-00002A7E0000}"/>
    <cellStyle name="Normal 2 2 2 6 4 6" xfId="32300" xr:uid="{00000000-0005-0000-0000-00002B7E0000}"/>
    <cellStyle name="Normal 2 2 2 6 4 6 2" xfId="32301" xr:uid="{00000000-0005-0000-0000-00002C7E0000}"/>
    <cellStyle name="Normal 2 2 2 6 4 6 2 2" xfId="32302" xr:uid="{00000000-0005-0000-0000-00002D7E0000}"/>
    <cellStyle name="Normal 2 2 2 6 4 6 3" xfId="32303" xr:uid="{00000000-0005-0000-0000-00002E7E0000}"/>
    <cellStyle name="Normal 2 2 2 6 4 7" xfId="32304" xr:uid="{00000000-0005-0000-0000-00002F7E0000}"/>
    <cellStyle name="Normal 2 2 2 6 4 7 2" xfId="32305" xr:uid="{00000000-0005-0000-0000-0000307E0000}"/>
    <cellStyle name="Normal 2 2 2 6 4 8" xfId="32306" xr:uid="{00000000-0005-0000-0000-0000317E0000}"/>
    <cellStyle name="Normal 2 2 2 6 5" xfId="32307" xr:uid="{00000000-0005-0000-0000-0000327E0000}"/>
    <cellStyle name="Normal 2 2 2 6 5 2" xfId="32308" xr:uid="{00000000-0005-0000-0000-0000337E0000}"/>
    <cellStyle name="Normal 2 2 2 6 5 2 2" xfId="32309" xr:uid="{00000000-0005-0000-0000-0000347E0000}"/>
    <cellStyle name="Normal 2 2 2 6 5 2 2 2" xfId="32310" xr:uid="{00000000-0005-0000-0000-0000357E0000}"/>
    <cellStyle name="Normal 2 2 2 6 5 2 2 2 2" xfId="32311" xr:uid="{00000000-0005-0000-0000-0000367E0000}"/>
    <cellStyle name="Normal 2 2 2 6 5 2 2 3" xfId="32312" xr:uid="{00000000-0005-0000-0000-0000377E0000}"/>
    <cellStyle name="Normal 2 2 2 6 5 2 3" xfId="32313" xr:uid="{00000000-0005-0000-0000-0000387E0000}"/>
    <cellStyle name="Normal 2 2 2 6 5 2 3 2" xfId="32314" xr:uid="{00000000-0005-0000-0000-0000397E0000}"/>
    <cellStyle name="Normal 2 2 2 6 5 2 4" xfId="32315" xr:uid="{00000000-0005-0000-0000-00003A7E0000}"/>
    <cellStyle name="Normal 2 2 2 6 5 3" xfId="32316" xr:uid="{00000000-0005-0000-0000-00003B7E0000}"/>
    <cellStyle name="Normal 2 2 2 6 5 3 2" xfId="32317" xr:uid="{00000000-0005-0000-0000-00003C7E0000}"/>
    <cellStyle name="Normal 2 2 2 6 5 3 2 2" xfId="32318" xr:uid="{00000000-0005-0000-0000-00003D7E0000}"/>
    <cellStyle name="Normal 2 2 2 6 5 3 3" xfId="32319" xr:uid="{00000000-0005-0000-0000-00003E7E0000}"/>
    <cellStyle name="Normal 2 2 2 6 5 4" xfId="32320" xr:uid="{00000000-0005-0000-0000-00003F7E0000}"/>
    <cellStyle name="Normal 2 2 2 6 5 4 2" xfId="32321" xr:uid="{00000000-0005-0000-0000-0000407E0000}"/>
    <cellStyle name="Normal 2 2 2 6 5 5" xfId="32322" xr:uid="{00000000-0005-0000-0000-0000417E0000}"/>
    <cellStyle name="Normal 2 2 2 6 6" xfId="32323" xr:uid="{00000000-0005-0000-0000-0000427E0000}"/>
    <cellStyle name="Normal 2 2 2 6 6 2" xfId="32324" xr:uid="{00000000-0005-0000-0000-0000437E0000}"/>
    <cellStyle name="Normal 2 2 2 6 6 2 2" xfId="32325" xr:uid="{00000000-0005-0000-0000-0000447E0000}"/>
    <cellStyle name="Normal 2 2 2 6 6 2 2 2" xfId="32326" xr:uid="{00000000-0005-0000-0000-0000457E0000}"/>
    <cellStyle name="Normal 2 2 2 6 6 2 2 2 2" xfId="32327" xr:uid="{00000000-0005-0000-0000-0000467E0000}"/>
    <cellStyle name="Normal 2 2 2 6 6 2 2 3" xfId="32328" xr:uid="{00000000-0005-0000-0000-0000477E0000}"/>
    <cellStyle name="Normal 2 2 2 6 6 2 3" xfId="32329" xr:uid="{00000000-0005-0000-0000-0000487E0000}"/>
    <cellStyle name="Normal 2 2 2 6 6 2 3 2" xfId="32330" xr:uid="{00000000-0005-0000-0000-0000497E0000}"/>
    <cellStyle name="Normal 2 2 2 6 6 2 4" xfId="32331" xr:uid="{00000000-0005-0000-0000-00004A7E0000}"/>
    <cellStyle name="Normal 2 2 2 6 6 3" xfId="32332" xr:uid="{00000000-0005-0000-0000-00004B7E0000}"/>
    <cellStyle name="Normal 2 2 2 6 6 3 2" xfId="32333" xr:uid="{00000000-0005-0000-0000-00004C7E0000}"/>
    <cellStyle name="Normal 2 2 2 6 6 3 2 2" xfId="32334" xr:uid="{00000000-0005-0000-0000-00004D7E0000}"/>
    <cellStyle name="Normal 2 2 2 6 6 3 3" xfId="32335" xr:uid="{00000000-0005-0000-0000-00004E7E0000}"/>
    <cellStyle name="Normal 2 2 2 6 6 4" xfId="32336" xr:uid="{00000000-0005-0000-0000-00004F7E0000}"/>
    <cellStyle name="Normal 2 2 2 6 6 4 2" xfId="32337" xr:uid="{00000000-0005-0000-0000-0000507E0000}"/>
    <cellStyle name="Normal 2 2 2 6 6 5" xfId="32338" xr:uid="{00000000-0005-0000-0000-0000517E0000}"/>
    <cellStyle name="Normal 2 2 2 6 7" xfId="32339" xr:uid="{00000000-0005-0000-0000-0000527E0000}"/>
    <cellStyle name="Normal 2 2 2 6 7 2" xfId="32340" xr:uid="{00000000-0005-0000-0000-0000537E0000}"/>
    <cellStyle name="Normal 2 2 2 6 7 2 2" xfId="32341" xr:uid="{00000000-0005-0000-0000-0000547E0000}"/>
    <cellStyle name="Normal 2 2 2 6 7 2 2 2" xfId="32342" xr:uid="{00000000-0005-0000-0000-0000557E0000}"/>
    <cellStyle name="Normal 2 2 2 6 7 2 3" xfId="32343" xr:uid="{00000000-0005-0000-0000-0000567E0000}"/>
    <cellStyle name="Normal 2 2 2 6 7 3" xfId="32344" xr:uid="{00000000-0005-0000-0000-0000577E0000}"/>
    <cellStyle name="Normal 2 2 2 6 7 3 2" xfId="32345" xr:uid="{00000000-0005-0000-0000-0000587E0000}"/>
    <cellStyle name="Normal 2 2 2 6 7 4" xfId="32346" xr:uid="{00000000-0005-0000-0000-0000597E0000}"/>
    <cellStyle name="Normal 2 2 2 6 8" xfId="32347" xr:uid="{00000000-0005-0000-0000-00005A7E0000}"/>
    <cellStyle name="Normal 2 2 2 6 8 2" xfId="32348" xr:uid="{00000000-0005-0000-0000-00005B7E0000}"/>
    <cellStyle name="Normal 2 2 2 6 8 2 2" xfId="32349" xr:uid="{00000000-0005-0000-0000-00005C7E0000}"/>
    <cellStyle name="Normal 2 2 2 6 8 2 2 2" xfId="32350" xr:uid="{00000000-0005-0000-0000-00005D7E0000}"/>
    <cellStyle name="Normal 2 2 2 6 8 2 3" xfId="32351" xr:uid="{00000000-0005-0000-0000-00005E7E0000}"/>
    <cellStyle name="Normal 2 2 2 6 8 3" xfId="32352" xr:uid="{00000000-0005-0000-0000-00005F7E0000}"/>
    <cellStyle name="Normal 2 2 2 6 8 3 2" xfId="32353" xr:uid="{00000000-0005-0000-0000-0000607E0000}"/>
    <cellStyle name="Normal 2 2 2 6 8 4" xfId="32354" xr:uid="{00000000-0005-0000-0000-0000617E0000}"/>
    <cellStyle name="Normal 2 2 2 6 9" xfId="32355" xr:uid="{00000000-0005-0000-0000-0000627E0000}"/>
    <cellStyle name="Normal 2 2 2 6 9 2" xfId="32356" xr:uid="{00000000-0005-0000-0000-0000637E0000}"/>
    <cellStyle name="Normal 2 2 2 6 9 2 2" xfId="32357" xr:uid="{00000000-0005-0000-0000-0000647E0000}"/>
    <cellStyle name="Normal 2 2 2 6 9 3" xfId="32358" xr:uid="{00000000-0005-0000-0000-0000657E0000}"/>
    <cellStyle name="Normal 2 2 2 7" xfId="32359" xr:uid="{00000000-0005-0000-0000-0000667E0000}"/>
    <cellStyle name="Normal 2 2 2 7 10" xfId="32360" xr:uid="{00000000-0005-0000-0000-0000677E0000}"/>
    <cellStyle name="Normal 2 2 2 7 10 2" xfId="32361" xr:uid="{00000000-0005-0000-0000-0000687E0000}"/>
    <cellStyle name="Normal 2 2 2 7 10 2 2" xfId="32362" xr:uid="{00000000-0005-0000-0000-0000697E0000}"/>
    <cellStyle name="Normal 2 2 2 7 10 3" xfId="32363" xr:uid="{00000000-0005-0000-0000-00006A7E0000}"/>
    <cellStyle name="Normal 2 2 2 7 11" xfId="32364" xr:uid="{00000000-0005-0000-0000-00006B7E0000}"/>
    <cellStyle name="Normal 2 2 2 7 11 2" xfId="32365" xr:uid="{00000000-0005-0000-0000-00006C7E0000}"/>
    <cellStyle name="Normal 2 2 2 7 11 2 2" xfId="32366" xr:uid="{00000000-0005-0000-0000-00006D7E0000}"/>
    <cellStyle name="Normal 2 2 2 7 11 3" xfId="32367" xr:uid="{00000000-0005-0000-0000-00006E7E0000}"/>
    <cellStyle name="Normal 2 2 2 7 12" xfId="32368" xr:uid="{00000000-0005-0000-0000-00006F7E0000}"/>
    <cellStyle name="Normal 2 2 2 7 12 2" xfId="32369" xr:uid="{00000000-0005-0000-0000-0000707E0000}"/>
    <cellStyle name="Normal 2 2 2 7 12 2 2" xfId="32370" xr:uid="{00000000-0005-0000-0000-0000717E0000}"/>
    <cellStyle name="Normal 2 2 2 7 12 3" xfId="32371" xr:uid="{00000000-0005-0000-0000-0000727E0000}"/>
    <cellStyle name="Normal 2 2 2 7 13" xfId="32372" xr:uid="{00000000-0005-0000-0000-0000737E0000}"/>
    <cellStyle name="Normal 2 2 2 7 13 2" xfId="32373" xr:uid="{00000000-0005-0000-0000-0000747E0000}"/>
    <cellStyle name="Normal 2 2 2 7 14" xfId="32374" xr:uid="{00000000-0005-0000-0000-0000757E0000}"/>
    <cellStyle name="Normal 2 2 2 7 2" xfId="32375" xr:uid="{00000000-0005-0000-0000-0000767E0000}"/>
    <cellStyle name="Normal 2 2 2 7 2 2" xfId="32376" xr:uid="{00000000-0005-0000-0000-0000777E0000}"/>
    <cellStyle name="Normal 2 2 2 7 2 2 2" xfId="32377" xr:uid="{00000000-0005-0000-0000-0000787E0000}"/>
    <cellStyle name="Normal 2 2 2 7 2 2 2 2" xfId="32378" xr:uid="{00000000-0005-0000-0000-0000797E0000}"/>
    <cellStyle name="Normal 2 2 2 7 2 2 2 2 2" xfId="32379" xr:uid="{00000000-0005-0000-0000-00007A7E0000}"/>
    <cellStyle name="Normal 2 2 2 7 2 2 2 3" xfId="32380" xr:uid="{00000000-0005-0000-0000-00007B7E0000}"/>
    <cellStyle name="Normal 2 2 2 7 2 2 3" xfId="32381" xr:uid="{00000000-0005-0000-0000-00007C7E0000}"/>
    <cellStyle name="Normal 2 2 2 7 2 2 3 2" xfId="32382" xr:uid="{00000000-0005-0000-0000-00007D7E0000}"/>
    <cellStyle name="Normal 2 2 2 7 2 2 4" xfId="32383" xr:uid="{00000000-0005-0000-0000-00007E7E0000}"/>
    <cellStyle name="Normal 2 2 2 7 2 3" xfId="32384" xr:uid="{00000000-0005-0000-0000-00007F7E0000}"/>
    <cellStyle name="Normal 2 2 2 7 2 3 2" xfId="32385" xr:uid="{00000000-0005-0000-0000-0000807E0000}"/>
    <cellStyle name="Normal 2 2 2 7 2 3 2 2" xfId="32386" xr:uid="{00000000-0005-0000-0000-0000817E0000}"/>
    <cellStyle name="Normal 2 2 2 7 2 3 3" xfId="32387" xr:uid="{00000000-0005-0000-0000-0000827E0000}"/>
    <cellStyle name="Normal 2 2 2 7 2 4" xfId="32388" xr:uid="{00000000-0005-0000-0000-0000837E0000}"/>
    <cellStyle name="Normal 2 2 2 7 2 4 2" xfId="32389" xr:uid="{00000000-0005-0000-0000-0000847E0000}"/>
    <cellStyle name="Normal 2 2 2 7 2 4 2 2" xfId="32390" xr:uid="{00000000-0005-0000-0000-0000857E0000}"/>
    <cellStyle name="Normal 2 2 2 7 2 4 3" xfId="32391" xr:uid="{00000000-0005-0000-0000-0000867E0000}"/>
    <cellStyle name="Normal 2 2 2 7 2 5" xfId="32392" xr:uid="{00000000-0005-0000-0000-0000877E0000}"/>
    <cellStyle name="Normal 2 2 2 7 2 5 2" xfId="32393" xr:uid="{00000000-0005-0000-0000-0000887E0000}"/>
    <cellStyle name="Normal 2 2 2 7 2 5 2 2" xfId="32394" xr:uid="{00000000-0005-0000-0000-0000897E0000}"/>
    <cellStyle name="Normal 2 2 2 7 2 5 3" xfId="32395" xr:uid="{00000000-0005-0000-0000-00008A7E0000}"/>
    <cellStyle name="Normal 2 2 2 7 2 6" xfId="32396" xr:uid="{00000000-0005-0000-0000-00008B7E0000}"/>
    <cellStyle name="Normal 2 2 2 7 2 6 2" xfId="32397" xr:uid="{00000000-0005-0000-0000-00008C7E0000}"/>
    <cellStyle name="Normal 2 2 2 7 2 6 2 2" xfId="32398" xr:uid="{00000000-0005-0000-0000-00008D7E0000}"/>
    <cellStyle name="Normal 2 2 2 7 2 6 3" xfId="32399" xr:uid="{00000000-0005-0000-0000-00008E7E0000}"/>
    <cellStyle name="Normal 2 2 2 7 2 7" xfId="32400" xr:uid="{00000000-0005-0000-0000-00008F7E0000}"/>
    <cellStyle name="Normal 2 2 2 7 2 7 2" xfId="32401" xr:uid="{00000000-0005-0000-0000-0000907E0000}"/>
    <cellStyle name="Normal 2 2 2 7 2 8" xfId="32402" xr:uid="{00000000-0005-0000-0000-0000917E0000}"/>
    <cellStyle name="Normal 2 2 2 7 3" xfId="32403" xr:uid="{00000000-0005-0000-0000-0000927E0000}"/>
    <cellStyle name="Normal 2 2 2 7 3 2" xfId="32404" xr:uid="{00000000-0005-0000-0000-0000937E0000}"/>
    <cellStyle name="Normal 2 2 2 7 3 2 2" xfId="32405" xr:uid="{00000000-0005-0000-0000-0000947E0000}"/>
    <cellStyle name="Normal 2 2 2 7 3 2 2 2" xfId="32406" xr:uid="{00000000-0005-0000-0000-0000957E0000}"/>
    <cellStyle name="Normal 2 2 2 7 3 2 2 2 2" xfId="32407" xr:uid="{00000000-0005-0000-0000-0000967E0000}"/>
    <cellStyle name="Normal 2 2 2 7 3 2 2 3" xfId="32408" xr:uid="{00000000-0005-0000-0000-0000977E0000}"/>
    <cellStyle name="Normal 2 2 2 7 3 2 3" xfId="32409" xr:uid="{00000000-0005-0000-0000-0000987E0000}"/>
    <cellStyle name="Normal 2 2 2 7 3 2 3 2" xfId="32410" xr:uid="{00000000-0005-0000-0000-0000997E0000}"/>
    <cellStyle name="Normal 2 2 2 7 3 2 4" xfId="32411" xr:uid="{00000000-0005-0000-0000-00009A7E0000}"/>
    <cellStyle name="Normal 2 2 2 7 3 3" xfId="32412" xr:uid="{00000000-0005-0000-0000-00009B7E0000}"/>
    <cellStyle name="Normal 2 2 2 7 3 3 2" xfId="32413" xr:uid="{00000000-0005-0000-0000-00009C7E0000}"/>
    <cellStyle name="Normal 2 2 2 7 3 3 2 2" xfId="32414" xr:uid="{00000000-0005-0000-0000-00009D7E0000}"/>
    <cellStyle name="Normal 2 2 2 7 3 3 3" xfId="32415" xr:uid="{00000000-0005-0000-0000-00009E7E0000}"/>
    <cellStyle name="Normal 2 2 2 7 3 4" xfId="32416" xr:uid="{00000000-0005-0000-0000-00009F7E0000}"/>
    <cellStyle name="Normal 2 2 2 7 3 4 2" xfId="32417" xr:uid="{00000000-0005-0000-0000-0000A07E0000}"/>
    <cellStyle name="Normal 2 2 2 7 3 4 2 2" xfId="32418" xr:uid="{00000000-0005-0000-0000-0000A17E0000}"/>
    <cellStyle name="Normal 2 2 2 7 3 4 3" xfId="32419" xr:uid="{00000000-0005-0000-0000-0000A27E0000}"/>
    <cellStyle name="Normal 2 2 2 7 3 5" xfId="32420" xr:uid="{00000000-0005-0000-0000-0000A37E0000}"/>
    <cellStyle name="Normal 2 2 2 7 3 5 2" xfId="32421" xr:uid="{00000000-0005-0000-0000-0000A47E0000}"/>
    <cellStyle name="Normal 2 2 2 7 3 5 2 2" xfId="32422" xr:uid="{00000000-0005-0000-0000-0000A57E0000}"/>
    <cellStyle name="Normal 2 2 2 7 3 5 3" xfId="32423" xr:uid="{00000000-0005-0000-0000-0000A67E0000}"/>
    <cellStyle name="Normal 2 2 2 7 3 6" xfId="32424" xr:uid="{00000000-0005-0000-0000-0000A77E0000}"/>
    <cellStyle name="Normal 2 2 2 7 3 6 2" xfId="32425" xr:uid="{00000000-0005-0000-0000-0000A87E0000}"/>
    <cellStyle name="Normal 2 2 2 7 3 6 2 2" xfId="32426" xr:uid="{00000000-0005-0000-0000-0000A97E0000}"/>
    <cellStyle name="Normal 2 2 2 7 3 6 3" xfId="32427" xr:uid="{00000000-0005-0000-0000-0000AA7E0000}"/>
    <cellStyle name="Normal 2 2 2 7 3 7" xfId="32428" xr:uid="{00000000-0005-0000-0000-0000AB7E0000}"/>
    <cellStyle name="Normal 2 2 2 7 3 7 2" xfId="32429" xr:uid="{00000000-0005-0000-0000-0000AC7E0000}"/>
    <cellStyle name="Normal 2 2 2 7 3 8" xfId="32430" xr:uid="{00000000-0005-0000-0000-0000AD7E0000}"/>
    <cellStyle name="Normal 2 2 2 7 4" xfId="32431" xr:uid="{00000000-0005-0000-0000-0000AE7E0000}"/>
    <cellStyle name="Normal 2 2 2 7 4 2" xfId="32432" xr:uid="{00000000-0005-0000-0000-0000AF7E0000}"/>
    <cellStyle name="Normal 2 2 2 7 4 2 2" xfId="32433" xr:uid="{00000000-0005-0000-0000-0000B07E0000}"/>
    <cellStyle name="Normal 2 2 2 7 4 2 2 2" xfId="32434" xr:uid="{00000000-0005-0000-0000-0000B17E0000}"/>
    <cellStyle name="Normal 2 2 2 7 4 2 2 2 2" xfId="32435" xr:uid="{00000000-0005-0000-0000-0000B27E0000}"/>
    <cellStyle name="Normal 2 2 2 7 4 2 2 3" xfId="32436" xr:uid="{00000000-0005-0000-0000-0000B37E0000}"/>
    <cellStyle name="Normal 2 2 2 7 4 2 3" xfId="32437" xr:uid="{00000000-0005-0000-0000-0000B47E0000}"/>
    <cellStyle name="Normal 2 2 2 7 4 2 3 2" xfId="32438" xr:uid="{00000000-0005-0000-0000-0000B57E0000}"/>
    <cellStyle name="Normal 2 2 2 7 4 2 4" xfId="32439" xr:uid="{00000000-0005-0000-0000-0000B67E0000}"/>
    <cellStyle name="Normal 2 2 2 7 4 3" xfId="32440" xr:uid="{00000000-0005-0000-0000-0000B77E0000}"/>
    <cellStyle name="Normal 2 2 2 7 4 3 2" xfId="32441" xr:uid="{00000000-0005-0000-0000-0000B87E0000}"/>
    <cellStyle name="Normal 2 2 2 7 4 3 2 2" xfId="32442" xr:uid="{00000000-0005-0000-0000-0000B97E0000}"/>
    <cellStyle name="Normal 2 2 2 7 4 3 3" xfId="32443" xr:uid="{00000000-0005-0000-0000-0000BA7E0000}"/>
    <cellStyle name="Normal 2 2 2 7 4 4" xfId="32444" xr:uid="{00000000-0005-0000-0000-0000BB7E0000}"/>
    <cellStyle name="Normal 2 2 2 7 4 4 2" xfId="32445" xr:uid="{00000000-0005-0000-0000-0000BC7E0000}"/>
    <cellStyle name="Normal 2 2 2 7 4 4 2 2" xfId="32446" xr:uid="{00000000-0005-0000-0000-0000BD7E0000}"/>
    <cellStyle name="Normal 2 2 2 7 4 4 3" xfId="32447" xr:uid="{00000000-0005-0000-0000-0000BE7E0000}"/>
    <cellStyle name="Normal 2 2 2 7 4 5" xfId="32448" xr:uid="{00000000-0005-0000-0000-0000BF7E0000}"/>
    <cellStyle name="Normal 2 2 2 7 4 5 2" xfId="32449" xr:uid="{00000000-0005-0000-0000-0000C07E0000}"/>
    <cellStyle name="Normal 2 2 2 7 4 5 2 2" xfId="32450" xr:uid="{00000000-0005-0000-0000-0000C17E0000}"/>
    <cellStyle name="Normal 2 2 2 7 4 5 3" xfId="32451" xr:uid="{00000000-0005-0000-0000-0000C27E0000}"/>
    <cellStyle name="Normal 2 2 2 7 4 6" xfId="32452" xr:uid="{00000000-0005-0000-0000-0000C37E0000}"/>
    <cellStyle name="Normal 2 2 2 7 4 6 2" xfId="32453" xr:uid="{00000000-0005-0000-0000-0000C47E0000}"/>
    <cellStyle name="Normal 2 2 2 7 4 6 2 2" xfId="32454" xr:uid="{00000000-0005-0000-0000-0000C57E0000}"/>
    <cellStyle name="Normal 2 2 2 7 4 6 3" xfId="32455" xr:uid="{00000000-0005-0000-0000-0000C67E0000}"/>
    <cellStyle name="Normal 2 2 2 7 4 7" xfId="32456" xr:uid="{00000000-0005-0000-0000-0000C77E0000}"/>
    <cellStyle name="Normal 2 2 2 7 4 7 2" xfId="32457" xr:uid="{00000000-0005-0000-0000-0000C87E0000}"/>
    <cellStyle name="Normal 2 2 2 7 4 8" xfId="32458" xr:uid="{00000000-0005-0000-0000-0000C97E0000}"/>
    <cellStyle name="Normal 2 2 2 7 5" xfId="32459" xr:uid="{00000000-0005-0000-0000-0000CA7E0000}"/>
    <cellStyle name="Normal 2 2 2 7 5 2" xfId="32460" xr:uid="{00000000-0005-0000-0000-0000CB7E0000}"/>
    <cellStyle name="Normal 2 2 2 7 5 2 2" xfId="32461" xr:uid="{00000000-0005-0000-0000-0000CC7E0000}"/>
    <cellStyle name="Normal 2 2 2 7 5 2 2 2" xfId="32462" xr:uid="{00000000-0005-0000-0000-0000CD7E0000}"/>
    <cellStyle name="Normal 2 2 2 7 5 2 2 2 2" xfId="32463" xr:uid="{00000000-0005-0000-0000-0000CE7E0000}"/>
    <cellStyle name="Normal 2 2 2 7 5 2 2 3" xfId="32464" xr:uid="{00000000-0005-0000-0000-0000CF7E0000}"/>
    <cellStyle name="Normal 2 2 2 7 5 2 3" xfId="32465" xr:uid="{00000000-0005-0000-0000-0000D07E0000}"/>
    <cellStyle name="Normal 2 2 2 7 5 2 3 2" xfId="32466" xr:uid="{00000000-0005-0000-0000-0000D17E0000}"/>
    <cellStyle name="Normal 2 2 2 7 5 2 4" xfId="32467" xr:uid="{00000000-0005-0000-0000-0000D27E0000}"/>
    <cellStyle name="Normal 2 2 2 7 5 3" xfId="32468" xr:uid="{00000000-0005-0000-0000-0000D37E0000}"/>
    <cellStyle name="Normal 2 2 2 7 5 3 2" xfId="32469" xr:uid="{00000000-0005-0000-0000-0000D47E0000}"/>
    <cellStyle name="Normal 2 2 2 7 5 3 2 2" xfId="32470" xr:uid="{00000000-0005-0000-0000-0000D57E0000}"/>
    <cellStyle name="Normal 2 2 2 7 5 3 3" xfId="32471" xr:uid="{00000000-0005-0000-0000-0000D67E0000}"/>
    <cellStyle name="Normal 2 2 2 7 5 4" xfId="32472" xr:uid="{00000000-0005-0000-0000-0000D77E0000}"/>
    <cellStyle name="Normal 2 2 2 7 5 4 2" xfId="32473" xr:uid="{00000000-0005-0000-0000-0000D87E0000}"/>
    <cellStyle name="Normal 2 2 2 7 5 5" xfId="32474" xr:uid="{00000000-0005-0000-0000-0000D97E0000}"/>
    <cellStyle name="Normal 2 2 2 7 6" xfId="32475" xr:uid="{00000000-0005-0000-0000-0000DA7E0000}"/>
    <cellStyle name="Normal 2 2 2 7 6 2" xfId="32476" xr:uid="{00000000-0005-0000-0000-0000DB7E0000}"/>
    <cellStyle name="Normal 2 2 2 7 6 2 2" xfId="32477" xr:uid="{00000000-0005-0000-0000-0000DC7E0000}"/>
    <cellStyle name="Normal 2 2 2 7 6 2 2 2" xfId="32478" xr:uid="{00000000-0005-0000-0000-0000DD7E0000}"/>
    <cellStyle name="Normal 2 2 2 7 6 2 2 2 2" xfId="32479" xr:uid="{00000000-0005-0000-0000-0000DE7E0000}"/>
    <cellStyle name="Normal 2 2 2 7 6 2 2 3" xfId="32480" xr:uid="{00000000-0005-0000-0000-0000DF7E0000}"/>
    <cellStyle name="Normal 2 2 2 7 6 2 3" xfId="32481" xr:uid="{00000000-0005-0000-0000-0000E07E0000}"/>
    <cellStyle name="Normal 2 2 2 7 6 2 3 2" xfId="32482" xr:uid="{00000000-0005-0000-0000-0000E17E0000}"/>
    <cellStyle name="Normal 2 2 2 7 6 2 4" xfId="32483" xr:uid="{00000000-0005-0000-0000-0000E27E0000}"/>
    <cellStyle name="Normal 2 2 2 7 6 3" xfId="32484" xr:uid="{00000000-0005-0000-0000-0000E37E0000}"/>
    <cellStyle name="Normal 2 2 2 7 6 3 2" xfId="32485" xr:uid="{00000000-0005-0000-0000-0000E47E0000}"/>
    <cellStyle name="Normal 2 2 2 7 6 3 2 2" xfId="32486" xr:uid="{00000000-0005-0000-0000-0000E57E0000}"/>
    <cellStyle name="Normal 2 2 2 7 6 3 3" xfId="32487" xr:uid="{00000000-0005-0000-0000-0000E67E0000}"/>
    <cellStyle name="Normal 2 2 2 7 6 4" xfId="32488" xr:uid="{00000000-0005-0000-0000-0000E77E0000}"/>
    <cellStyle name="Normal 2 2 2 7 6 4 2" xfId="32489" xr:uid="{00000000-0005-0000-0000-0000E87E0000}"/>
    <cellStyle name="Normal 2 2 2 7 6 5" xfId="32490" xr:uid="{00000000-0005-0000-0000-0000E97E0000}"/>
    <cellStyle name="Normal 2 2 2 7 7" xfId="32491" xr:uid="{00000000-0005-0000-0000-0000EA7E0000}"/>
    <cellStyle name="Normal 2 2 2 7 7 2" xfId="32492" xr:uid="{00000000-0005-0000-0000-0000EB7E0000}"/>
    <cellStyle name="Normal 2 2 2 7 7 2 2" xfId="32493" xr:uid="{00000000-0005-0000-0000-0000EC7E0000}"/>
    <cellStyle name="Normal 2 2 2 7 7 2 2 2" xfId="32494" xr:uid="{00000000-0005-0000-0000-0000ED7E0000}"/>
    <cellStyle name="Normal 2 2 2 7 7 2 3" xfId="32495" xr:uid="{00000000-0005-0000-0000-0000EE7E0000}"/>
    <cellStyle name="Normal 2 2 2 7 7 3" xfId="32496" xr:uid="{00000000-0005-0000-0000-0000EF7E0000}"/>
    <cellStyle name="Normal 2 2 2 7 7 3 2" xfId="32497" xr:uid="{00000000-0005-0000-0000-0000F07E0000}"/>
    <cellStyle name="Normal 2 2 2 7 7 4" xfId="32498" xr:uid="{00000000-0005-0000-0000-0000F17E0000}"/>
    <cellStyle name="Normal 2 2 2 7 8" xfId="32499" xr:uid="{00000000-0005-0000-0000-0000F27E0000}"/>
    <cellStyle name="Normal 2 2 2 7 8 2" xfId="32500" xr:uid="{00000000-0005-0000-0000-0000F37E0000}"/>
    <cellStyle name="Normal 2 2 2 7 8 2 2" xfId="32501" xr:uid="{00000000-0005-0000-0000-0000F47E0000}"/>
    <cellStyle name="Normal 2 2 2 7 8 2 2 2" xfId="32502" xr:uid="{00000000-0005-0000-0000-0000F57E0000}"/>
    <cellStyle name="Normal 2 2 2 7 8 2 3" xfId="32503" xr:uid="{00000000-0005-0000-0000-0000F67E0000}"/>
    <cellStyle name="Normal 2 2 2 7 8 3" xfId="32504" xr:uid="{00000000-0005-0000-0000-0000F77E0000}"/>
    <cellStyle name="Normal 2 2 2 7 8 3 2" xfId="32505" xr:uid="{00000000-0005-0000-0000-0000F87E0000}"/>
    <cellStyle name="Normal 2 2 2 7 8 4" xfId="32506" xr:uid="{00000000-0005-0000-0000-0000F97E0000}"/>
    <cellStyle name="Normal 2 2 2 7 9" xfId="32507" xr:uid="{00000000-0005-0000-0000-0000FA7E0000}"/>
    <cellStyle name="Normal 2 2 2 7 9 2" xfId="32508" xr:uid="{00000000-0005-0000-0000-0000FB7E0000}"/>
    <cellStyle name="Normal 2 2 2 7 9 2 2" xfId="32509" xr:uid="{00000000-0005-0000-0000-0000FC7E0000}"/>
    <cellStyle name="Normal 2 2 2 7 9 3" xfId="32510" xr:uid="{00000000-0005-0000-0000-0000FD7E0000}"/>
    <cellStyle name="Normal 2 2 2 8" xfId="32511" xr:uid="{00000000-0005-0000-0000-0000FE7E0000}"/>
    <cellStyle name="Normal 2 2 2 8 10" xfId="32512" xr:uid="{00000000-0005-0000-0000-0000FF7E0000}"/>
    <cellStyle name="Normal 2 2 2 8 10 2" xfId="32513" xr:uid="{00000000-0005-0000-0000-0000007F0000}"/>
    <cellStyle name="Normal 2 2 2 8 10 2 2" xfId="32514" xr:uid="{00000000-0005-0000-0000-0000017F0000}"/>
    <cellStyle name="Normal 2 2 2 8 10 3" xfId="32515" xr:uid="{00000000-0005-0000-0000-0000027F0000}"/>
    <cellStyle name="Normal 2 2 2 8 11" xfId="32516" xr:uid="{00000000-0005-0000-0000-0000037F0000}"/>
    <cellStyle name="Normal 2 2 2 8 11 2" xfId="32517" xr:uid="{00000000-0005-0000-0000-0000047F0000}"/>
    <cellStyle name="Normal 2 2 2 8 11 2 2" xfId="32518" xr:uid="{00000000-0005-0000-0000-0000057F0000}"/>
    <cellStyle name="Normal 2 2 2 8 11 3" xfId="32519" xr:uid="{00000000-0005-0000-0000-0000067F0000}"/>
    <cellStyle name="Normal 2 2 2 8 12" xfId="32520" xr:uid="{00000000-0005-0000-0000-0000077F0000}"/>
    <cellStyle name="Normal 2 2 2 8 12 2" xfId="32521" xr:uid="{00000000-0005-0000-0000-0000087F0000}"/>
    <cellStyle name="Normal 2 2 2 8 12 2 2" xfId="32522" xr:uid="{00000000-0005-0000-0000-0000097F0000}"/>
    <cellStyle name="Normal 2 2 2 8 12 3" xfId="32523" xr:uid="{00000000-0005-0000-0000-00000A7F0000}"/>
    <cellStyle name="Normal 2 2 2 8 13" xfId="32524" xr:uid="{00000000-0005-0000-0000-00000B7F0000}"/>
    <cellStyle name="Normal 2 2 2 8 13 2" xfId="32525" xr:uid="{00000000-0005-0000-0000-00000C7F0000}"/>
    <cellStyle name="Normal 2 2 2 8 14" xfId="32526" xr:uid="{00000000-0005-0000-0000-00000D7F0000}"/>
    <cellStyle name="Normal 2 2 2 8 2" xfId="32527" xr:uid="{00000000-0005-0000-0000-00000E7F0000}"/>
    <cellStyle name="Normal 2 2 2 8 2 2" xfId="32528" xr:uid="{00000000-0005-0000-0000-00000F7F0000}"/>
    <cellStyle name="Normal 2 2 2 8 2 2 2" xfId="32529" xr:uid="{00000000-0005-0000-0000-0000107F0000}"/>
    <cellStyle name="Normal 2 2 2 8 2 2 2 2" xfId="32530" xr:uid="{00000000-0005-0000-0000-0000117F0000}"/>
    <cellStyle name="Normal 2 2 2 8 2 2 2 2 2" xfId="32531" xr:uid="{00000000-0005-0000-0000-0000127F0000}"/>
    <cellStyle name="Normal 2 2 2 8 2 2 2 3" xfId="32532" xr:uid="{00000000-0005-0000-0000-0000137F0000}"/>
    <cellStyle name="Normal 2 2 2 8 2 2 3" xfId="32533" xr:uid="{00000000-0005-0000-0000-0000147F0000}"/>
    <cellStyle name="Normal 2 2 2 8 2 2 3 2" xfId="32534" xr:uid="{00000000-0005-0000-0000-0000157F0000}"/>
    <cellStyle name="Normal 2 2 2 8 2 2 4" xfId="32535" xr:uid="{00000000-0005-0000-0000-0000167F0000}"/>
    <cellStyle name="Normal 2 2 2 8 2 3" xfId="32536" xr:uid="{00000000-0005-0000-0000-0000177F0000}"/>
    <cellStyle name="Normal 2 2 2 8 2 3 2" xfId="32537" xr:uid="{00000000-0005-0000-0000-0000187F0000}"/>
    <cellStyle name="Normal 2 2 2 8 2 3 2 2" xfId="32538" xr:uid="{00000000-0005-0000-0000-0000197F0000}"/>
    <cellStyle name="Normal 2 2 2 8 2 3 3" xfId="32539" xr:uid="{00000000-0005-0000-0000-00001A7F0000}"/>
    <cellStyle name="Normal 2 2 2 8 2 4" xfId="32540" xr:uid="{00000000-0005-0000-0000-00001B7F0000}"/>
    <cellStyle name="Normal 2 2 2 8 2 4 2" xfId="32541" xr:uid="{00000000-0005-0000-0000-00001C7F0000}"/>
    <cellStyle name="Normal 2 2 2 8 2 4 2 2" xfId="32542" xr:uid="{00000000-0005-0000-0000-00001D7F0000}"/>
    <cellStyle name="Normal 2 2 2 8 2 4 3" xfId="32543" xr:uid="{00000000-0005-0000-0000-00001E7F0000}"/>
    <cellStyle name="Normal 2 2 2 8 2 5" xfId="32544" xr:uid="{00000000-0005-0000-0000-00001F7F0000}"/>
    <cellStyle name="Normal 2 2 2 8 2 5 2" xfId="32545" xr:uid="{00000000-0005-0000-0000-0000207F0000}"/>
    <cellStyle name="Normal 2 2 2 8 2 5 2 2" xfId="32546" xr:uid="{00000000-0005-0000-0000-0000217F0000}"/>
    <cellStyle name="Normal 2 2 2 8 2 5 3" xfId="32547" xr:uid="{00000000-0005-0000-0000-0000227F0000}"/>
    <cellStyle name="Normal 2 2 2 8 2 6" xfId="32548" xr:uid="{00000000-0005-0000-0000-0000237F0000}"/>
    <cellStyle name="Normal 2 2 2 8 2 6 2" xfId="32549" xr:uid="{00000000-0005-0000-0000-0000247F0000}"/>
    <cellStyle name="Normal 2 2 2 8 2 6 2 2" xfId="32550" xr:uid="{00000000-0005-0000-0000-0000257F0000}"/>
    <cellStyle name="Normal 2 2 2 8 2 6 3" xfId="32551" xr:uid="{00000000-0005-0000-0000-0000267F0000}"/>
    <cellStyle name="Normal 2 2 2 8 2 7" xfId="32552" xr:uid="{00000000-0005-0000-0000-0000277F0000}"/>
    <cellStyle name="Normal 2 2 2 8 2 7 2" xfId="32553" xr:uid="{00000000-0005-0000-0000-0000287F0000}"/>
    <cellStyle name="Normal 2 2 2 8 2 8" xfId="32554" xr:uid="{00000000-0005-0000-0000-0000297F0000}"/>
    <cellStyle name="Normal 2 2 2 8 3" xfId="32555" xr:uid="{00000000-0005-0000-0000-00002A7F0000}"/>
    <cellStyle name="Normal 2 2 2 8 3 2" xfId="32556" xr:uid="{00000000-0005-0000-0000-00002B7F0000}"/>
    <cellStyle name="Normal 2 2 2 8 3 2 2" xfId="32557" xr:uid="{00000000-0005-0000-0000-00002C7F0000}"/>
    <cellStyle name="Normal 2 2 2 8 3 2 2 2" xfId="32558" xr:uid="{00000000-0005-0000-0000-00002D7F0000}"/>
    <cellStyle name="Normal 2 2 2 8 3 2 2 2 2" xfId="32559" xr:uid="{00000000-0005-0000-0000-00002E7F0000}"/>
    <cellStyle name="Normal 2 2 2 8 3 2 2 3" xfId="32560" xr:uid="{00000000-0005-0000-0000-00002F7F0000}"/>
    <cellStyle name="Normal 2 2 2 8 3 2 3" xfId="32561" xr:uid="{00000000-0005-0000-0000-0000307F0000}"/>
    <cellStyle name="Normal 2 2 2 8 3 2 3 2" xfId="32562" xr:uid="{00000000-0005-0000-0000-0000317F0000}"/>
    <cellStyle name="Normal 2 2 2 8 3 2 4" xfId="32563" xr:uid="{00000000-0005-0000-0000-0000327F0000}"/>
    <cellStyle name="Normal 2 2 2 8 3 3" xfId="32564" xr:uid="{00000000-0005-0000-0000-0000337F0000}"/>
    <cellStyle name="Normal 2 2 2 8 3 3 2" xfId="32565" xr:uid="{00000000-0005-0000-0000-0000347F0000}"/>
    <cellStyle name="Normal 2 2 2 8 3 3 2 2" xfId="32566" xr:uid="{00000000-0005-0000-0000-0000357F0000}"/>
    <cellStyle name="Normal 2 2 2 8 3 3 3" xfId="32567" xr:uid="{00000000-0005-0000-0000-0000367F0000}"/>
    <cellStyle name="Normal 2 2 2 8 3 4" xfId="32568" xr:uid="{00000000-0005-0000-0000-0000377F0000}"/>
    <cellStyle name="Normal 2 2 2 8 3 4 2" xfId="32569" xr:uid="{00000000-0005-0000-0000-0000387F0000}"/>
    <cellStyle name="Normal 2 2 2 8 3 4 2 2" xfId="32570" xr:uid="{00000000-0005-0000-0000-0000397F0000}"/>
    <cellStyle name="Normal 2 2 2 8 3 4 3" xfId="32571" xr:uid="{00000000-0005-0000-0000-00003A7F0000}"/>
    <cellStyle name="Normal 2 2 2 8 3 5" xfId="32572" xr:uid="{00000000-0005-0000-0000-00003B7F0000}"/>
    <cellStyle name="Normal 2 2 2 8 3 5 2" xfId="32573" xr:uid="{00000000-0005-0000-0000-00003C7F0000}"/>
    <cellStyle name="Normal 2 2 2 8 3 5 2 2" xfId="32574" xr:uid="{00000000-0005-0000-0000-00003D7F0000}"/>
    <cellStyle name="Normal 2 2 2 8 3 5 3" xfId="32575" xr:uid="{00000000-0005-0000-0000-00003E7F0000}"/>
    <cellStyle name="Normal 2 2 2 8 3 6" xfId="32576" xr:uid="{00000000-0005-0000-0000-00003F7F0000}"/>
    <cellStyle name="Normal 2 2 2 8 3 6 2" xfId="32577" xr:uid="{00000000-0005-0000-0000-0000407F0000}"/>
    <cellStyle name="Normal 2 2 2 8 3 6 2 2" xfId="32578" xr:uid="{00000000-0005-0000-0000-0000417F0000}"/>
    <cellStyle name="Normal 2 2 2 8 3 6 3" xfId="32579" xr:uid="{00000000-0005-0000-0000-0000427F0000}"/>
    <cellStyle name="Normal 2 2 2 8 3 7" xfId="32580" xr:uid="{00000000-0005-0000-0000-0000437F0000}"/>
    <cellStyle name="Normal 2 2 2 8 3 7 2" xfId="32581" xr:uid="{00000000-0005-0000-0000-0000447F0000}"/>
    <cellStyle name="Normal 2 2 2 8 3 8" xfId="32582" xr:uid="{00000000-0005-0000-0000-0000457F0000}"/>
    <cellStyle name="Normal 2 2 2 8 4" xfId="32583" xr:uid="{00000000-0005-0000-0000-0000467F0000}"/>
    <cellStyle name="Normal 2 2 2 8 4 2" xfId="32584" xr:uid="{00000000-0005-0000-0000-0000477F0000}"/>
    <cellStyle name="Normal 2 2 2 8 4 2 2" xfId="32585" xr:uid="{00000000-0005-0000-0000-0000487F0000}"/>
    <cellStyle name="Normal 2 2 2 8 4 2 2 2" xfId="32586" xr:uid="{00000000-0005-0000-0000-0000497F0000}"/>
    <cellStyle name="Normal 2 2 2 8 4 2 2 2 2" xfId="32587" xr:uid="{00000000-0005-0000-0000-00004A7F0000}"/>
    <cellStyle name="Normal 2 2 2 8 4 2 2 3" xfId="32588" xr:uid="{00000000-0005-0000-0000-00004B7F0000}"/>
    <cellStyle name="Normal 2 2 2 8 4 2 3" xfId="32589" xr:uid="{00000000-0005-0000-0000-00004C7F0000}"/>
    <cellStyle name="Normal 2 2 2 8 4 2 3 2" xfId="32590" xr:uid="{00000000-0005-0000-0000-00004D7F0000}"/>
    <cellStyle name="Normal 2 2 2 8 4 2 4" xfId="32591" xr:uid="{00000000-0005-0000-0000-00004E7F0000}"/>
    <cellStyle name="Normal 2 2 2 8 4 3" xfId="32592" xr:uid="{00000000-0005-0000-0000-00004F7F0000}"/>
    <cellStyle name="Normal 2 2 2 8 4 3 2" xfId="32593" xr:uid="{00000000-0005-0000-0000-0000507F0000}"/>
    <cellStyle name="Normal 2 2 2 8 4 3 2 2" xfId="32594" xr:uid="{00000000-0005-0000-0000-0000517F0000}"/>
    <cellStyle name="Normal 2 2 2 8 4 3 3" xfId="32595" xr:uid="{00000000-0005-0000-0000-0000527F0000}"/>
    <cellStyle name="Normal 2 2 2 8 4 4" xfId="32596" xr:uid="{00000000-0005-0000-0000-0000537F0000}"/>
    <cellStyle name="Normal 2 2 2 8 4 4 2" xfId="32597" xr:uid="{00000000-0005-0000-0000-0000547F0000}"/>
    <cellStyle name="Normal 2 2 2 8 4 4 2 2" xfId="32598" xr:uid="{00000000-0005-0000-0000-0000557F0000}"/>
    <cellStyle name="Normal 2 2 2 8 4 4 3" xfId="32599" xr:uid="{00000000-0005-0000-0000-0000567F0000}"/>
    <cellStyle name="Normal 2 2 2 8 4 5" xfId="32600" xr:uid="{00000000-0005-0000-0000-0000577F0000}"/>
    <cellStyle name="Normal 2 2 2 8 4 5 2" xfId="32601" xr:uid="{00000000-0005-0000-0000-0000587F0000}"/>
    <cellStyle name="Normal 2 2 2 8 4 5 2 2" xfId="32602" xr:uid="{00000000-0005-0000-0000-0000597F0000}"/>
    <cellStyle name="Normal 2 2 2 8 4 5 3" xfId="32603" xr:uid="{00000000-0005-0000-0000-00005A7F0000}"/>
    <cellStyle name="Normal 2 2 2 8 4 6" xfId="32604" xr:uid="{00000000-0005-0000-0000-00005B7F0000}"/>
    <cellStyle name="Normal 2 2 2 8 4 6 2" xfId="32605" xr:uid="{00000000-0005-0000-0000-00005C7F0000}"/>
    <cellStyle name="Normal 2 2 2 8 4 6 2 2" xfId="32606" xr:uid="{00000000-0005-0000-0000-00005D7F0000}"/>
    <cellStyle name="Normal 2 2 2 8 4 6 3" xfId="32607" xr:uid="{00000000-0005-0000-0000-00005E7F0000}"/>
    <cellStyle name="Normal 2 2 2 8 4 7" xfId="32608" xr:uid="{00000000-0005-0000-0000-00005F7F0000}"/>
    <cellStyle name="Normal 2 2 2 8 4 7 2" xfId="32609" xr:uid="{00000000-0005-0000-0000-0000607F0000}"/>
    <cellStyle name="Normal 2 2 2 8 4 8" xfId="32610" xr:uid="{00000000-0005-0000-0000-0000617F0000}"/>
    <cellStyle name="Normal 2 2 2 8 5" xfId="32611" xr:uid="{00000000-0005-0000-0000-0000627F0000}"/>
    <cellStyle name="Normal 2 2 2 8 5 2" xfId="32612" xr:uid="{00000000-0005-0000-0000-0000637F0000}"/>
    <cellStyle name="Normal 2 2 2 8 5 2 2" xfId="32613" xr:uid="{00000000-0005-0000-0000-0000647F0000}"/>
    <cellStyle name="Normal 2 2 2 8 5 2 2 2" xfId="32614" xr:uid="{00000000-0005-0000-0000-0000657F0000}"/>
    <cellStyle name="Normal 2 2 2 8 5 2 2 2 2" xfId="32615" xr:uid="{00000000-0005-0000-0000-0000667F0000}"/>
    <cellStyle name="Normal 2 2 2 8 5 2 2 3" xfId="32616" xr:uid="{00000000-0005-0000-0000-0000677F0000}"/>
    <cellStyle name="Normal 2 2 2 8 5 2 3" xfId="32617" xr:uid="{00000000-0005-0000-0000-0000687F0000}"/>
    <cellStyle name="Normal 2 2 2 8 5 2 3 2" xfId="32618" xr:uid="{00000000-0005-0000-0000-0000697F0000}"/>
    <cellStyle name="Normal 2 2 2 8 5 2 4" xfId="32619" xr:uid="{00000000-0005-0000-0000-00006A7F0000}"/>
    <cellStyle name="Normal 2 2 2 8 5 3" xfId="32620" xr:uid="{00000000-0005-0000-0000-00006B7F0000}"/>
    <cellStyle name="Normal 2 2 2 8 5 3 2" xfId="32621" xr:uid="{00000000-0005-0000-0000-00006C7F0000}"/>
    <cellStyle name="Normal 2 2 2 8 5 3 2 2" xfId="32622" xr:uid="{00000000-0005-0000-0000-00006D7F0000}"/>
    <cellStyle name="Normal 2 2 2 8 5 3 3" xfId="32623" xr:uid="{00000000-0005-0000-0000-00006E7F0000}"/>
    <cellStyle name="Normal 2 2 2 8 5 4" xfId="32624" xr:uid="{00000000-0005-0000-0000-00006F7F0000}"/>
    <cellStyle name="Normal 2 2 2 8 5 4 2" xfId="32625" xr:uid="{00000000-0005-0000-0000-0000707F0000}"/>
    <cellStyle name="Normal 2 2 2 8 5 5" xfId="32626" xr:uid="{00000000-0005-0000-0000-0000717F0000}"/>
    <cellStyle name="Normal 2 2 2 8 6" xfId="32627" xr:uid="{00000000-0005-0000-0000-0000727F0000}"/>
    <cellStyle name="Normal 2 2 2 8 6 2" xfId="32628" xr:uid="{00000000-0005-0000-0000-0000737F0000}"/>
    <cellStyle name="Normal 2 2 2 8 6 2 2" xfId="32629" xr:uid="{00000000-0005-0000-0000-0000747F0000}"/>
    <cellStyle name="Normal 2 2 2 8 6 2 2 2" xfId="32630" xr:uid="{00000000-0005-0000-0000-0000757F0000}"/>
    <cellStyle name="Normal 2 2 2 8 6 2 2 2 2" xfId="32631" xr:uid="{00000000-0005-0000-0000-0000767F0000}"/>
    <cellStyle name="Normal 2 2 2 8 6 2 2 3" xfId="32632" xr:uid="{00000000-0005-0000-0000-0000777F0000}"/>
    <cellStyle name="Normal 2 2 2 8 6 2 3" xfId="32633" xr:uid="{00000000-0005-0000-0000-0000787F0000}"/>
    <cellStyle name="Normal 2 2 2 8 6 2 3 2" xfId="32634" xr:uid="{00000000-0005-0000-0000-0000797F0000}"/>
    <cellStyle name="Normal 2 2 2 8 6 2 4" xfId="32635" xr:uid="{00000000-0005-0000-0000-00007A7F0000}"/>
    <cellStyle name="Normal 2 2 2 8 6 3" xfId="32636" xr:uid="{00000000-0005-0000-0000-00007B7F0000}"/>
    <cellStyle name="Normal 2 2 2 8 6 3 2" xfId="32637" xr:uid="{00000000-0005-0000-0000-00007C7F0000}"/>
    <cellStyle name="Normal 2 2 2 8 6 3 2 2" xfId="32638" xr:uid="{00000000-0005-0000-0000-00007D7F0000}"/>
    <cellStyle name="Normal 2 2 2 8 6 3 3" xfId="32639" xr:uid="{00000000-0005-0000-0000-00007E7F0000}"/>
    <cellStyle name="Normal 2 2 2 8 6 4" xfId="32640" xr:uid="{00000000-0005-0000-0000-00007F7F0000}"/>
    <cellStyle name="Normal 2 2 2 8 6 4 2" xfId="32641" xr:uid="{00000000-0005-0000-0000-0000807F0000}"/>
    <cellStyle name="Normal 2 2 2 8 6 5" xfId="32642" xr:uid="{00000000-0005-0000-0000-0000817F0000}"/>
    <cellStyle name="Normal 2 2 2 8 7" xfId="32643" xr:uid="{00000000-0005-0000-0000-0000827F0000}"/>
    <cellStyle name="Normal 2 2 2 8 7 2" xfId="32644" xr:uid="{00000000-0005-0000-0000-0000837F0000}"/>
    <cellStyle name="Normal 2 2 2 8 7 2 2" xfId="32645" xr:uid="{00000000-0005-0000-0000-0000847F0000}"/>
    <cellStyle name="Normal 2 2 2 8 7 2 2 2" xfId="32646" xr:uid="{00000000-0005-0000-0000-0000857F0000}"/>
    <cellStyle name="Normal 2 2 2 8 7 2 3" xfId="32647" xr:uid="{00000000-0005-0000-0000-0000867F0000}"/>
    <cellStyle name="Normal 2 2 2 8 7 3" xfId="32648" xr:uid="{00000000-0005-0000-0000-0000877F0000}"/>
    <cellStyle name="Normal 2 2 2 8 7 3 2" xfId="32649" xr:uid="{00000000-0005-0000-0000-0000887F0000}"/>
    <cellStyle name="Normal 2 2 2 8 7 4" xfId="32650" xr:uid="{00000000-0005-0000-0000-0000897F0000}"/>
    <cellStyle name="Normal 2 2 2 8 8" xfId="32651" xr:uid="{00000000-0005-0000-0000-00008A7F0000}"/>
    <cellStyle name="Normal 2 2 2 8 8 2" xfId="32652" xr:uid="{00000000-0005-0000-0000-00008B7F0000}"/>
    <cellStyle name="Normal 2 2 2 8 8 2 2" xfId="32653" xr:uid="{00000000-0005-0000-0000-00008C7F0000}"/>
    <cellStyle name="Normal 2 2 2 8 8 2 2 2" xfId="32654" xr:uid="{00000000-0005-0000-0000-00008D7F0000}"/>
    <cellStyle name="Normal 2 2 2 8 8 2 3" xfId="32655" xr:uid="{00000000-0005-0000-0000-00008E7F0000}"/>
    <cellStyle name="Normal 2 2 2 8 8 3" xfId="32656" xr:uid="{00000000-0005-0000-0000-00008F7F0000}"/>
    <cellStyle name="Normal 2 2 2 8 8 3 2" xfId="32657" xr:uid="{00000000-0005-0000-0000-0000907F0000}"/>
    <cellStyle name="Normal 2 2 2 8 8 4" xfId="32658" xr:uid="{00000000-0005-0000-0000-0000917F0000}"/>
    <cellStyle name="Normal 2 2 2 8 9" xfId="32659" xr:uid="{00000000-0005-0000-0000-0000927F0000}"/>
    <cellStyle name="Normal 2 2 2 8 9 2" xfId="32660" xr:uid="{00000000-0005-0000-0000-0000937F0000}"/>
    <cellStyle name="Normal 2 2 2 8 9 2 2" xfId="32661" xr:uid="{00000000-0005-0000-0000-0000947F0000}"/>
    <cellStyle name="Normal 2 2 2 8 9 3" xfId="32662" xr:uid="{00000000-0005-0000-0000-0000957F0000}"/>
    <cellStyle name="Normal 2 2 2 9" xfId="32663" xr:uid="{00000000-0005-0000-0000-0000967F0000}"/>
    <cellStyle name="Normal 2 2 2 9 10" xfId="32664" xr:uid="{00000000-0005-0000-0000-0000977F0000}"/>
    <cellStyle name="Normal 2 2 2 9 10 2" xfId="32665" xr:uid="{00000000-0005-0000-0000-0000987F0000}"/>
    <cellStyle name="Normal 2 2 2 9 10 2 2" xfId="32666" xr:uid="{00000000-0005-0000-0000-0000997F0000}"/>
    <cellStyle name="Normal 2 2 2 9 10 3" xfId="32667" xr:uid="{00000000-0005-0000-0000-00009A7F0000}"/>
    <cellStyle name="Normal 2 2 2 9 11" xfId="32668" xr:uid="{00000000-0005-0000-0000-00009B7F0000}"/>
    <cellStyle name="Normal 2 2 2 9 11 2" xfId="32669" xr:uid="{00000000-0005-0000-0000-00009C7F0000}"/>
    <cellStyle name="Normal 2 2 2 9 11 2 2" xfId="32670" xr:uid="{00000000-0005-0000-0000-00009D7F0000}"/>
    <cellStyle name="Normal 2 2 2 9 11 3" xfId="32671" xr:uid="{00000000-0005-0000-0000-00009E7F0000}"/>
    <cellStyle name="Normal 2 2 2 9 12" xfId="32672" xr:uid="{00000000-0005-0000-0000-00009F7F0000}"/>
    <cellStyle name="Normal 2 2 2 9 12 2" xfId="32673" xr:uid="{00000000-0005-0000-0000-0000A07F0000}"/>
    <cellStyle name="Normal 2 2 2 9 12 2 2" xfId="32674" xr:uid="{00000000-0005-0000-0000-0000A17F0000}"/>
    <cellStyle name="Normal 2 2 2 9 12 3" xfId="32675" xr:uid="{00000000-0005-0000-0000-0000A27F0000}"/>
    <cellStyle name="Normal 2 2 2 9 13" xfId="32676" xr:uid="{00000000-0005-0000-0000-0000A37F0000}"/>
    <cellStyle name="Normal 2 2 2 9 13 2" xfId="32677" xr:uid="{00000000-0005-0000-0000-0000A47F0000}"/>
    <cellStyle name="Normal 2 2 2 9 14" xfId="32678" xr:uid="{00000000-0005-0000-0000-0000A57F0000}"/>
    <cellStyle name="Normal 2 2 2 9 2" xfId="32679" xr:uid="{00000000-0005-0000-0000-0000A67F0000}"/>
    <cellStyle name="Normal 2 2 2 9 2 2" xfId="32680" xr:uid="{00000000-0005-0000-0000-0000A77F0000}"/>
    <cellStyle name="Normal 2 2 2 9 2 2 2" xfId="32681" xr:uid="{00000000-0005-0000-0000-0000A87F0000}"/>
    <cellStyle name="Normal 2 2 2 9 2 2 2 2" xfId="32682" xr:uid="{00000000-0005-0000-0000-0000A97F0000}"/>
    <cellStyle name="Normal 2 2 2 9 2 2 2 2 2" xfId="32683" xr:uid="{00000000-0005-0000-0000-0000AA7F0000}"/>
    <cellStyle name="Normal 2 2 2 9 2 2 2 3" xfId="32684" xr:uid="{00000000-0005-0000-0000-0000AB7F0000}"/>
    <cellStyle name="Normal 2 2 2 9 2 2 3" xfId="32685" xr:uid="{00000000-0005-0000-0000-0000AC7F0000}"/>
    <cellStyle name="Normal 2 2 2 9 2 2 3 2" xfId="32686" xr:uid="{00000000-0005-0000-0000-0000AD7F0000}"/>
    <cellStyle name="Normal 2 2 2 9 2 2 4" xfId="32687" xr:uid="{00000000-0005-0000-0000-0000AE7F0000}"/>
    <cellStyle name="Normal 2 2 2 9 2 3" xfId="32688" xr:uid="{00000000-0005-0000-0000-0000AF7F0000}"/>
    <cellStyle name="Normal 2 2 2 9 2 3 2" xfId="32689" xr:uid="{00000000-0005-0000-0000-0000B07F0000}"/>
    <cellStyle name="Normal 2 2 2 9 2 3 2 2" xfId="32690" xr:uid="{00000000-0005-0000-0000-0000B17F0000}"/>
    <cellStyle name="Normal 2 2 2 9 2 3 3" xfId="32691" xr:uid="{00000000-0005-0000-0000-0000B27F0000}"/>
    <cellStyle name="Normal 2 2 2 9 2 4" xfId="32692" xr:uid="{00000000-0005-0000-0000-0000B37F0000}"/>
    <cellStyle name="Normal 2 2 2 9 2 4 2" xfId="32693" xr:uid="{00000000-0005-0000-0000-0000B47F0000}"/>
    <cellStyle name="Normal 2 2 2 9 2 4 2 2" xfId="32694" xr:uid="{00000000-0005-0000-0000-0000B57F0000}"/>
    <cellStyle name="Normal 2 2 2 9 2 4 3" xfId="32695" xr:uid="{00000000-0005-0000-0000-0000B67F0000}"/>
    <cellStyle name="Normal 2 2 2 9 2 5" xfId="32696" xr:uid="{00000000-0005-0000-0000-0000B77F0000}"/>
    <cellStyle name="Normal 2 2 2 9 2 5 2" xfId="32697" xr:uid="{00000000-0005-0000-0000-0000B87F0000}"/>
    <cellStyle name="Normal 2 2 2 9 2 5 2 2" xfId="32698" xr:uid="{00000000-0005-0000-0000-0000B97F0000}"/>
    <cellStyle name="Normal 2 2 2 9 2 5 3" xfId="32699" xr:uid="{00000000-0005-0000-0000-0000BA7F0000}"/>
    <cellStyle name="Normal 2 2 2 9 2 6" xfId="32700" xr:uid="{00000000-0005-0000-0000-0000BB7F0000}"/>
    <cellStyle name="Normal 2 2 2 9 2 6 2" xfId="32701" xr:uid="{00000000-0005-0000-0000-0000BC7F0000}"/>
    <cellStyle name="Normal 2 2 2 9 2 6 2 2" xfId="32702" xr:uid="{00000000-0005-0000-0000-0000BD7F0000}"/>
    <cellStyle name="Normal 2 2 2 9 2 6 3" xfId="32703" xr:uid="{00000000-0005-0000-0000-0000BE7F0000}"/>
    <cellStyle name="Normal 2 2 2 9 2 7" xfId="32704" xr:uid="{00000000-0005-0000-0000-0000BF7F0000}"/>
    <cellStyle name="Normal 2 2 2 9 2 7 2" xfId="32705" xr:uid="{00000000-0005-0000-0000-0000C07F0000}"/>
    <cellStyle name="Normal 2 2 2 9 2 8" xfId="32706" xr:uid="{00000000-0005-0000-0000-0000C17F0000}"/>
    <cellStyle name="Normal 2 2 2 9 3" xfId="32707" xr:uid="{00000000-0005-0000-0000-0000C27F0000}"/>
    <cellStyle name="Normal 2 2 2 9 3 2" xfId="32708" xr:uid="{00000000-0005-0000-0000-0000C37F0000}"/>
    <cellStyle name="Normal 2 2 2 9 3 2 2" xfId="32709" xr:uid="{00000000-0005-0000-0000-0000C47F0000}"/>
    <cellStyle name="Normal 2 2 2 9 3 2 2 2" xfId="32710" xr:uid="{00000000-0005-0000-0000-0000C57F0000}"/>
    <cellStyle name="Normal 2 2 2 9 3 2 2 2 2" xfId="32711" xr:uid="{00000000-0005-0000-0000-0000C67F0000}"/>
    <cellStyle name="Normal 2 2 2 9 3 2 2 3" xfId="32712" xr:uid="{00000000-0005-0000-0000-0000C77F0000}"/>
    <cellStyle name="Normal 2 2 2 9 3 2 3" xfId="32713" xr:uid="{00000000-0005-0000-0000-0000C87F0000}"/>
    <cellStyle name="Normal 2 2 2 9 3 2 3 2" xfId="32714" xr:uid="{00000000-0005-0000-0000-0000C97F0000}"/>
    <cellStyle name="Normal 2 2 2 9 3 2 4" xfId="32715" xr:uid="{00000000-0005-0000-0000-0000CA7F0000}"/>
    <cellStyle name="Normal 2 2 2 9 3 3" xfId="32716" xr:uid="{00000000-0005-0000-0000-0000CB7F0000}"/>
    <cellStyle name="Normal 2 2 2 9 3 3 2" xfId="32717" xr:uid="{00000000-0005-0000-0000-0000CC7F0000}"/>
    <cellStyle name="Normal 2 2 2 9 3 3 2 2" xfId="32718" xr:uid="{00000000-0005-0000-0000-0000CD7F0000}"/>
    <cellStyle name="Normal 2 2 2 9 3 3 3" xfId="32719" xr:uid="{00000000-0005-0000-0000-0000CE7F0000}"/>
    <cellStyle name="Normal 2 2 2 9 3 4" xfId="32720" xr:uid="{00000000-0005-0000-0000-0000CF7F0000}"/>
    <cellStyle name="Normal 2 2 2 9 3 4 2" xfId="32721" xr:uid="{00000000-0005-0000-0000-0000D07F0000}"/>
    <cellStyle name="Normal 2 2 2 9 3 4 2 2" xfId="32722" xr:uid="{00000000-0005-0000-0000-0000D17F0000}"/>
    <cellStyle name="Normal 2 2 2 9 3 4 3" xfId="32723" xr:uid="{00000000-0005-0000-0000-0000D27F0000}"/>
    <cellStyle name="Normal 2 2 2 9 3 5" xfId="32724" xr:uid="{00000000-0005-0000-0000-0000D37F0000}"/>
    <cellStyle name="Normal 2 2 2 9 3 5 2" xfId="32725" xr:uid="{00000000-0005-0000-0000-0000D47F0000}"/>
    <cellStyle name="Normal 2 2 2 9 3 5 2 2" xfId="32726" xr:uid="{00000000-0005-0000-0000-0000D57F0000}"/>
    <cellStyle name="Normal 2 2 2 9 3 5 3" xfId="32727" xr:uid="{00000000-0005-0000-0000-0000D67F0000}"/>
    <cellStyle name="Normal 2 2 2 9 3 6" xfId="32728" xr:uid="{00000000-0005-0000-0000-0000D77F0000}"/>
    <cellStyle name="Normal 2 2 2 9 3 6 2" xfId="32729" xr:uid="{00000000-0005-0000-0000-0000D87F0000}"/>
    <cellStyle name="Normal 2 2 2 9 3 6 2 2" xfId="32730" xr:uid="{00000000-0005-0000-0000-0000D97F0000}"/>
    <cellStyle name="Normal 2 2 2 9 3 6 3" xfId="32731" xr:uid="{00000000-0005-0000-0000-0000DA7F0000}"/>
    <cellStyle name="Normal 2 2 2 9 3 7" xfId="32732" xr:uid="{00000000-0005-0000-0000-0000DB7F0000}"/>
    <cellStyle name="Normal 2 2 2 9 3 7 2" xfId="32733" xr:uid="{00000000-0005-0000-0000-0000DC7F0000}"/>
    <cellStyle name="Normal 2 2 2 9 3 8" xfId="32734" xr:uid="{00000000-0005-0000-0000-0000DD7F0000}"/>
    <cellStyle name="Normal 2 2 2 9 4" xfId="32735" xr:uid="{00000000-0005-0000-0000-0000DE7F0000}"/>
    <cellStyle name="Normal 2 2 2 9 4 2" xfId="32736" xr:uid="{00000000-0005-0000-0000-0000DF7F0000}"/>
    <cellStyle name="Normal 2 2 2 9 4 2 2" xfId="32737" xr:uid="{00000000-0005-0000-0000-0000E07F0000}"/>
    <cellStyle name="Normal 2 2 2 9 4 2 2 2" xfId="32738" xr:uid="{00000000-0005-0000-0000-0000E17F0000}"/>
    <cellStyle name="Normal 2 2 2 9 4 2 2 2 2" xfId="32739" xr:uid="{00000000-0005-0000-0000-0000E27F0000}"/>
    <cellStyle name="Normal 2 2 2 9 4 2 2 3" xfId="32740" xr:uid="{00000000-0005-0000-0000-0000E37F0000}"/>
    <cellStyle name="Normal 2 2 2 9 4 2 3" xfId="32741" xr:uid="{00000000-0005-0000-0000-0000E47F0000}"/>
    <cellStyle name="Normal 2 2 2 9 4 2 3 2" xfId="32742" xr:uid="{00000000-0005-0000-0000-0000E57F0000}"/>
    <cellStyle name="Normal 2 2 2 9 4 2 4" xfId="32743" xr:uid="{00000000-0005-0000-0000-0000E67F0000}"/>
    <cellStyle name="Normal 2 2 2 9 4 3" xfId="32744" xr:uid="{00000000-0005-0000-0000-0000E77F0000}"/>
    <cellStyle name="Normal 2 2 2 9 4 3 2" xfId="32745" xr:uid="{00000000-0005-0000-0000-0000E87F0000}"/>
    <cellStyle name="Normal 2 2 2 9 4 3 2 2" xfId="32746" xr:uid="{00000000-0005-0000-0000-0000E97F0000}"/>
    <cellStyle name="Normal 2 2 2 9 4 3 3" xfId="32747" xr:uid="{00000000-0005-0000-0000-0000EA7F0000}"/>
    <cellStyle name="Normal 2 2 2 9 4 4" xfId="32748" xr:uid="{00000000-0005-0000-0000-0000EB7F0000}"/>
    <cellStyle name="Normal 2 2 2 9 4 4 2" xfId="32749" xr:uid="{00000000-0005-0000-0000-0000EC7F0000}"/>
    <cellStyle name="Normal 2 2 2 9 4 4 2 2" xfId="32750" xr:uid="{00000000-0005-0000-0000-0000ED7F0000}"/>
    <cellStyle name="Normal 2 2 2 9 4 4 3" xfId="32751" xr:uid="{00000000-0005-0000-0000-0000EE7F0000}"/>
    <cellStyle name="Normal 2 2 2 9 4 5" xfId="32752" xr:uid="{00000000-0005-0000-0000-0000EF7F0000}"/>
    <cellStyle name="Normal 2 2 2 9 4 5 2" xfId="32753" xr:uid="{00000000-0005-0000-0000-0000F07F0000}"/>
    <cellStyle name="Normal 2 2 2 9 4 5 2 2" xfId="32754" xr:uid="{00000000-0005-0000-0000-0000F17F0000}"/>
    <cellStyle name="Normal 2 2 2 9 4 5 3" xfId="32755" xr:uid="{00000000-0005-0000-0000-0000F27F0000}"/>
    <cellStyle name="Normal 2 2 2 9 4 6" xfId="32756" xr:uid="{00000000-0005-0000-0000-0000F37F0000}"/>
    <cellStyle name="Normal 2 2 2 9 4 6 2" xfId="32757" xr:uid="{00000000-0005-0000-0000-0000F47F0000}"/>
    <cellStyle name="Normal 2 2 2 9 4 6 2 2" xfId="32758" xr:uid="{00000000-0005-0000-0000-0000F57F0000}"/>
    <cellStyle name="Normal 2 2 2 9 4 6 3" xfId="32759" xr:uid="{00000000-0005-0000-0000-0000F67F0000}"/>
    <cellStyle name="Normal 2 2 2 9 4 7" xfId="32760" xr:uid="{00000000-0005-0000-0000-0000F77F0000}"/>
    <cellStyle name="Normal 2 2 2 9 4 7 2" xfId="32761" xr:uid="{00000000-0005-0000-0000-0000F87F0000}"/>
    <cellStyle name="Normal 2 2 2 9 4 8" xfId="32762" xr:uid="{00000000-0005-0000-0000-0000F97F0000}"/>
    <cellStyle name="Normal 2 2 2 9 5" xfId="32763" xr:uid="{00000000-0005-0000-0000-0000FA7F0000}"/>
    <cellStyle name="Normal 2 2 2 9 5 2" xfId="32764" xr:uid="{00000000-0005-0000-0000-0000FB7F0000}"/>
    <cellStyle name="Normal 2 2 2 9 5 2 2" xfId="32765" xr:uid="{00000000-0005-0000-0000-0000FC7F0000}"/>
    <cellStyle name="Normal 2 2 2 9 5 2 2 2" xfId="32766" xr:uid="{00000000-0005-0000-0000-0000FD7F0000}"/>
    <cellStyle name="Normal 2 2 2 9 5 2 2 2 2" xfId="32767" xr:uid="{00000000-0005-0000-0000-0000FE7F0000}"/>
    <cellStyle name="Normal 2 2 2 9 5 2 2 3" xfId="32768" xr:uid="{00000000-0005-0000-0000-0000FF7F0000}"/>
    <cellStyle name="Normal 2 2 2 9 5 2 3" xfId="32769" xr:uid="{00000000-0005-0000-0000-000000800000}"/>
    <cellStyle name="Normal 2 2 2 9 5 2 3 2" xfId="32770" xr:uid="{00000000-0005-0000-0000-000001800000}"/>
    <cellStyle name="Normal 2 2 2 9 5 2 4" xfId="32771" xr:uid="{00000000-0005-0000-0000-000002800000}"/>
    <cellStyle name="Normal 2 2 2 9 5 3" xfId="32772" xr:uid="{00000000-0005-0000-0000-000003800000}"/>
    <cellStyle name="Normal 2 2 2 9 5 3 2" xfId="32773" xr:uid="{00000000-0005-0000-0000-000004800000}"/>
    <cellStyle name="Normal 2 2 2 9 5 3 2 2" xfId="32774" xr:uid="{00000000-0005-0000-0000-000005800000}"/>
    <cellStyle name="Normal 2 2 2 9 5 3 3" xfId="32775" xr:uid="{00000000-0005-0000-0000-000006800000}"/>
    <cellStyle name="Normal 2 2 2 9 5 4" xfId="32776" xr:uid="{00000000-0005-0000-0000-000007800000}"/>
    <cellStyle name="Normal 2 2 2 9 5 4 2" xfId="32777" xr:uid="{00000000-0005-0000-0000-000008800000}"/>
    <cellStyle name="Normal 2 2 2 9 5 5" xfId="32778" xr:uid="{00000000-0005-0000-0000-000009800000}"/>
    <cellStyle name="Normal 2 2 2 9 6" xfId="32779" xr:uid="{00000000-0005-0000-0000-00000A800000}"/>
    <cellStyle name="Normal 2 2 2 9 6 2" xfId="32780" xr:uid="{00000000-0005-0000-0000-00000B800000}"/>
    <cellStyle name="Normal 2 2 2 9 6 2 2" xfId="32781" xr:uid="{00000000-0005-0000-0000-00000C800000}"/>
    <cellStyle name="Normal 2 2 2 9 6 2 2 2" xfId="32782" xr:uid="{00000000-0005-0000-0000-00000D800000}"/>
    <cellStyle name="Normal 2 2 2 9 6 2 2 2 2" xfId="32783" xr:uid="{00000000-0005-0000-0000-00000E800000}"/>
    <cellStyle name="Normal 2 2 2 9 6 2 2 3" xfId="32784" xr:uid="{00000000-0005-0000-0000-00000F800000}"/>
    <cellStyle name="Normal 2 2 2 9 6 2 3" xfId="32785" xr:uid="{00000000-0005-0000-0000-000010800000}"/>
    <cellStyle name="Normal 2 2 2 9 6 2 3 2" xfId="32786" xr:uid="{00000000-0005-0000-0000-000011800000}"/>
    <cellStyle name="Normal 2 2 2 9 6 2 4" xfId="32787" xr:uid="{00000000-0005-0000-0000-000012800000}"/>
    <cellStyle name="Normal 2 2 2 9 6 3" xfId="32788" xr:uid="{00000000-0005-0000-0000-000013800000}"/>
    <cellStyle name="Normal 2 2 2 9 6 3 2" xfId="32789" xr:uid="{00000000-0005-0000-0000-000014800000}"/>
    <cellStyle name="Normal 2 2 2 9 6 3 2 2" xfId="32790" xr:uid="{00000000-0005-0000-0000-000015800000}"/>
    <cellStyle name="Normal 2 2 2 9 6 3 3" xfId="32791" xr:uid="{00000000-0005-0000-0000-000016800000}"/>
    <cellStyle name="Normal 2 2 2 9 6 4" xfId="32792" xr:uid="{00000000-0005-0000-0000-000017800000}"/>
    <cellStyle name="Normal 2 2 2 9 6 4 2" xfId="32793" xr:uid="{00000000-0005-0000-0000-000018800000}"/>
    <cellStyle name="Normal 2 2 2 9 6 5" xfId="32794" xr:uid="{00000000-0005-0000-0000-000019800000}"/>
    <cellStyle name="Normal 2 2 2 9 7" xfId="32795" xr:uid="{00000000-0005-0000-0000-00001A800000}"/>
    <cellStyle name="Normal 2 2 2 9 7 2" xfId="32796" xr:uid="{00000000-0005-0000-0000-00001B800000}"/>
    <cellStyle name="Normal 2 2 2 9 7 2 2" xfId="32797" xr:uid="{00000000-0005-0000-0000-00001C800000}"/>
    <cellStyle name="Normal 2 2 2 9 7 2 2 2" xfId="32798" xr:uid="{00000000-0005-0000-0000-00001D800000}"/>
    <cellStyle name="Normal 2 2 2 9 7 2 3" xfId="32799" xr:uid="{00000000-0005-0000-0000-00001E800000}"/>
    <cellStyle name="Normal 2 2 2 9 7 3" xfId="32800" xr:uid="{00000000-0005-0000-0000-00001F800000}"/>
    <cellStyle name="Normal 2 2 2 9 7 3 2" xfId="32801" xr:uid="{00000000-0005-0000-0000-000020800000}"/>
    <cellStyle name="Normal 2 2 2 9 7 4" xfId="32802" xr:uid="{00000000-0005-0000-0000-000021800000}"/>
    <cellStyle name="Normal 2 2 2 9 8" xfId="32803" xr:uid="{00000000-0005-0000-0000-000022800000}"/>
    <cellStyle name="Normal 2 2 2 9 8 2" xfId="32804" xr:uid="{00000000-0005-0000-0000-000023800000}"/>
    <cellStyle name="Normal 2 2 2 9 8 2 2" xfId="32805" xr:uid="{00000000-0005-0000-0000-000024800000}"/>
    <cellStyle name="Normal 2 2 2 9 8 2 2 2" xfId="32806" xr:uid="{00000000-0005-0000-0000-000025800000}"/>
    <cellStyle name="Normal 2 2 2 9 8 2 3" xfId="32807" xr:uid="{00000000-0005-0000-0000-000026800000}"/>
    <cellStyle name="Normal 2 2 2 9 8 3" xfId="32808" xr:uid="{00000000-0005-0000-0000-000027800000}"/>
    <cellStyle name="Normal 2 2 2 9 8 3 2" xfId="32809" xr:uid="{00000000-0005-0000-0000-000028800000}"/>
    <cellStyle name="Normal 2 2 2 9 8 4" xfId="32810" xr:uid="{00000000-0005-0000-0000-000029800000}"/>
    <cellStyle name="Normal 2 2 2 9 9" xfId="32811" xr:uid="{00000000-0005-0000-0000-00002A800000}"/>
    <cellStyle name="Normal 2 2 2 9 9 2" xfId="32812" xr:uid="{00000000-0005-0000-0000-00002B800000}"/>
    <cellStyle name="Normal 2 2 2 9 9 2 2" xfId="32813" xr:uid="{00000000-0005-0000-0000-00002C800000}"/>
    <cellStyle name="Normal 2 2 2 9 9 3" xfId="32814" xr:uid="{00000000-0005-0000-0000-00002D800000}"/>
    <cellStyle name="Normal 2 2 2_RawExtract" xfId="32815" xr:uid="{00000000-0005-0000-0000-00002E800000}"/>
    <cellStyle name="Normal 2 2 20" xfId="32816" xr:uid="{00000000-0005-0000-0000-00002F800000}"/>
    <cellStyle name="Normal 2 2 20 2" xfId="32817" xr:uid="{00000000-0005-0000-0000-000030800000}"/>
    <cellStyle name="Normal 2 2 20 2 2" xfId="32818" xr:uid="{00000000-0005-0000-0000-000031800000}"/>
    <cellStyle name="Normal 2 2 20 2 2 2" xfId="32819" xr:uid="{00000000-0005-0000-0000-000032800000}"/>
    <cellStyle name="Normal 2 2 20 2 3" xfId="32820" xr:uid="{00000000-0005-0000-0000-000033800000}"/>
    <cellStyle name="Normal 2 2 20 3" xfId="32821" xr:uid="{00000000-0005-0000-0000-000034800000}"/>
    <cellStyle name="Normal 2 2 20 3 2" xfId="32822" xr:uid="{00000000-0005-0000-0000-000035800000}"/>
    <cellStyle name="Normal 2 2 20 4" xfId="32823" xr:uid="{00000000-0005-0000-0000-000036800000}"/>
    <cellStyle name="Normal 2 2 21" xfId="32824" xr:uid="{00000000-0005-0000-0000-000037800000}"/>
    <cellStyle name="Normal 2 2 21 2" xfId="32825" xr:uid="{00000000-0005-0000-0000-000038800000}"/>
    <cellStyle name="Normal 2 2 21 2 2" xfId="32826" xr:uid="{00000000-0005-0000-0000-000039800000}"/>
    <cellStyle name="Normal 2 2 21 3" xfId="32827" xr:uid="{00000000-0005-0000-0000-00003A800000}"/>
    <cellStyle name="Normal 2 2 22" xfId="32828" xr:uid="{00000000-0005-0000-0000-00003B800000}"/>
    <cellStyle name="Normal 2 2 22 2" xfId="32829" xr:uid="{00000000-0005-0000-0000-00003C800000}"/>
    <cellStyle name="Normal 2 2 22 2 2" xfId="32830" xr:uid="{00000000-0005-0000-0000-00003D800000}"/>
    <cellStyle name="Normal 2 2 22 3" xfId="32831" xr:uid="{00000000-0005-0000-0000-00003E800000}"/>
    <cellStyle name="Normal 2 2 23" xfId="32832" xr:uid="{00000000-0005-0000-0000-00003F800000}"/>
    <cellStyle name="Normal 2 2 23 2" xfId="32833" xr:uid="{00000000-0005-0000-0000-000040800000}"/>
    <cellStyle name="Normal 2 2 23 2 2" xfId="32834" xr:uid="{00000000-0005-0000-0000-000041800000}"/>
    <cellStyle name="Normal 2 2 23 3" xfId="32835" xr:uid="{00000000-0005-0000-0000-000042800000}"/>
    <cellStyle name="Normal 2 2 24" xfId="32836" xr:uid="{00000000-0005-0000-0000-000043800000}"/>
    <cellStyle name="Normal 2 2 24 2" xfId="32837" xr:uid="{00000000-0005-0000-0000-000044800000}"/>
    <cellStyle name="Normal 2 2 24 2 2" xfId="32838" xr:uid="{00000000-0005-0000-0000-000045800000}"/>
    <cellStyle name="Normal 2 2 24 3" xfId="32839" xr:uid="{00000000-0005-0000-0000-000046800000}"/>
    <cellStyle name="Normal 2 2 25" xfId="32840" xr:uid="{00000000-0005-0000-0000-000047800000}"/>
    <cellStyle name="Normal 2 2 25 2" xfId="32841" xr:uid="{00000000-0005-0000-0000-000048800000}"/>
    <cellStyle name="Normal 2 2 26" xfId="32842" xr:uid="{00000000-0005-0000-0000-000049800000}"/>
    <cellStyle name="Normal 2 2 27" xfId="32843" xr:uid="{00000000-0005-0000-0000-00004A800000}"/>
    <cellStyle name="Normal 2 2 3" xfId="32844" xr:uid="{00000000-0005-0000-0000-00004B800000}"/>
    <cellStyle name="Normal 2 2 3 10" xfId="32845" xr:uid="{00000000-0005-0000-0000-00004C800000}"/>
    <cellStyle name="Normal 2 2 3 10 2" xfId="32846" xr:uid="{00000000-0005-0000-0000-00004D800000}"/>
    <cellStyle name="Normal 2 2 3 10 2 2" xfId="32847" xr:uid="{00000000-0005-0000-0000-00004E800000}"/>
    <cellStyle name="Normal 2 2 3 10 2 2 2" xfId="32848" xr:uid="{00000000-0005-0000-0000-00004F800000}"/>
    <cellStyle name="Normal 2 2 3 10 2 2 2 2" xfId="32849" xr:uid="{00000000-0005-0000-0000-000050800000}"/>
    <cellStyle name="Normal 2 2 3 10 2 2 3" xfId="32850" xr:uid="{00000000-0005-0000-0000-000051800000}"/>
    <cellStyle name="Normal 2 2 3 10 2 3" xfId="32851" xr:uid="{00000000-0005-0000-0000-000052800000}"/>
    <cellStyle name="Normal 2 2 3 10 2 3 2" xfId="32852" xr:uid="{00000000-0005-0000-0000-000053800000}"/>
    <cellStyle name="Normal 2 2 3 10 2 4" xfId="32853" xr:uid="{00000000-0005-0000-0000-000054800000}"/>
    <cellStyle name="Normal 2 2 3 10 3" xfId="32854" xr:uid="{00000000-0005-0000-0000-000055800000}"/>
    <cellStyle name="Normal 2 2 3 10 3 2" xfId="32855" xr:uid="{00000000-0005-0000-0000-000056800000}"/>
    <cellStyle name="Normal 2 2 3 10 3 2 2" xfId="32856" xr:uid="{00000000-0005-0000-0000-000057800000}"/>
    <cellStyle name="Normal 2 2 3 10 3 3" xfId="32857" xr:uid="{00000000-0005-0000-0000-000058800000}"/>
    <cellStyle name="Normal 2 2 3 10 4" xfId="32858" xr:uid="{00000000-0005-0000-0000-000059800000}"/>
    <cellStyle name="Normal 2 2 3 10 4 2" xfId="32859" xr:uid="{00000000-0005-0000-0000-00005A800000}"/>
    <cellStyle name="Normal 2 2 3 10 4 2 2" xfId="32860" xr:uid="{00000000-0005-0000-0000-00005B800000}"/>
    <cellStyle name="Normal 2 2 3 10 4 3" xfId="32861" xr:uid="{00000000-0005-0000-0000-00005C800000}"/>
    <cellStyle name="Normal 2 2 3 10 5" xfId="32862" xr:uid="{00000000-0005-0000-0000-00005D800000}"/>
    <cellStyle name="Normal 2 2 3 10 5 2" xfId="32863" xr:uid="{00000000-0005-0000-0000-00005E800000}"/>
    <cellStyle name="Normal 2 2 3 10 5 2 2" xfId="32864" xr:uid="{00000000-0005-0000-0000-00005F800000}"/>
    <cellStyle name="Normal 2 2 3 10 5 3" xfId="32865" xr:uid="{00000000-0005-0000-0000-000060800000}"/>
    <cellStyle name="Normal 2 2 3 10 6" xfId="32866" xr:uid="{00000000-0005-0000-0000-000061800000}"/>
    <cellStyle name="Normal 2 2 3 10 6 2" xfId="32867" xr:uid="{00000000-0005-0000-0000-000062800000}"/>
    <cellStyle name="Normal 2 2 3 10 6 2 2" xfId="32868" xr:uid="{00000000-0005-0000-0000-000063800000}"/>
    <cellStyle name="Normal 2 2 3 10 6 3" xfId="32869" xr:uid="{00000000-0005-0000-0000-000064800000}"/>
    <cellStyle name="Normal 2 2 3 10 7" xfId="32870" xr:uid="{00000000-0005-0000-0000-000065800000}"/>
    <cellStyle name="Normal 2 2 3 10 7 2" xfId="32871" xr:uid="{00000000-0005-0000-0000-000066800000}"/>
    <cellStyle name="Normal 2 2 3 10 8" xfId="32872" xr:uid="{00000000-0005-0000-0000-000067800000}"/>
    <cellStyle name="Normal 2 2 3 11" xfId="32873" xr:uid="{00000000-0005-0000-0000-000068800000}"/>
    <cellStyle name="Normal 2 2 3 11 2" xfId="32874" xr:uid="{00000000-0005-0000-0000-000069800000}"/>
    <cellStyle name="Normal 2 2 3 11 2 2" xfId="32875" xr:uid="{00000000-0005-0000-0000-00006A800000}"/>
    <cellStyle name="Normal 2 2 3 11 2 2 2" xfId="32876" xr:uid="{00000000-0005-0000-0000-00006B800000}"/>
    <cellStyle name="Normal 2 2 3 11 2 2 2 2" xfId="32877" xr:uid="{00000000-0005-0000-0000-00006C800000}"/>
    <cellStyle name="Normal 2 2 3 11 2 2 3" xfId="32878" xr:uid="{00000000-0005-0000-0000-00006D800000}"/>
    <cellStyle name="Normal 2 2 3 11 2 3" xfId="32879" xr:uid="{00000000-0005-0000-0000-00006E800000}"/>
    <cellStyle name="Normal 2 2 3 11 2 3 2" xfId="32880" xr:uid="{00000000-0005-0000-0000-00006F800000}"/>
    <cellStyle name="Normal 2 2 3 11 2 4" xfId="32881" xr:uid="{00000000-0005-0000-0000-000070800000}"/>
    <cellStyle name="Normal 2 2 3 11 3" xfId="32882" xr:uid="{00000000-0005-0000-0000-000071800000}"/>
    <cellStyle name="Normal 2 2 3 11 3 2" xfId="32883" xr:uid="{00000000-0005-0000-0000-000072800000}"/>
    <cellStyle name="Normal 2 2 3 11 3 2 2" xfId="32884" xr:uid="{00000000-0005-0000-0000-000073800000}"/>
    <cellStyle name="Normal 2 2 3 11 3 3" xfId="32885" xr:uid="{00000000-0005-0000-0000-000074800000}"/>
    <cellStyle name="Normal 2 2 3 11 4" xfId="32886" xr:uid="{00000000-0005-0000-0000-000075800000}"/>
    <cellStyle name="Normal 2 2 3 11 4 2" xfId="32887" xr:uid="{00000000-0005-0000-0000-000076800000}"/>
    <cellStyle name="Normal 2 2 3 11 4 2 2" xfId="32888" xr:uid="{00000000-0005-0000-0000-000077800000}"/>
    <cellStyle name="Normal 2 2 3 11 4 3" xfId="32889" xr:uid="{00000000-0005-0000-0000-000078800000}"/>
    <cellStyle name="Normal 2 2 3 11 5" xfId="32890" xr:uid="{00000000-0005-0000-0000-000079800000}"/>
    <cellStyle name="Normal 2 2 3 11 5 2" xfId="32891" xr:uid="{00000000-0005-0000-0000-00007A800000}"/>
    <cellStyle name="Normal 2 2 3 11 5 2 2" xfId="32892" xr:uid="{00000000-0005-0000-0000-00007B800000}"/>
    <cellStyle name="Normal 2 2 3 11 5 3" xfId="32893" xr:uid="{00000000-0005-0000-0000-00007C800000}"/>
    <cellStyle name="Normal 2 2 3 11 6" xfId="32894" xr:uid="{00000000-0005-0000-0000-00007D800000}"/>
    <cellStyle name="Normal 2 2 3 11 6 2" xfId="32895" xr:uid="{00000000-0005-0000-0000-00007E800000}"/>
    <cellStyle name="Normal 2 2 3 11 6 2 2" xfId="32896" xr:uid="{00000000-0005-0000-0000-00007F800000}"/>
    <cellStyle name="Normal 2 2 3 11 6 3" xfId="32897" xr:uid="{00000000-0005-0000-0000-000080800000}"/>
    <cellStyle name="Normal 2 2 3 11 7" xfId="32898" xr:uid="{00000000-0005-0000-0000-000081800000}"/>
    <cellStyle name="Normal 2 2 3 11 7 2" xfId="32899" xr:uid="{00000000-0005-0000-0000-000082800000}"/>
    <cellStyle name="Normal 2 2 3 11 8" xfId="32900" xr:uid="{00000000-0005-0000-0000-000083800000}"/>
    <cellStyle name="Normal 2 2 3 12" xfId="32901" xr:uid="{00000000-0005-0000-0000-000084800000}"/>
    <cellStyle name="Normal 2 2 3 12 2" xfId="32902" xr:uid="{00000000-0005-0000-0000-000085800000}"/>
    <cellStyle name="Normal 2 2 3 12 2 2" xfId="32903" xr:uid="{00000000-0005-0000-0000-000086800000}"/>
    <cellStyle name="Normal 2 2 3 12 2 2 2" xfId="32904" xr:uid="{00000000-0005-0000-0000-000087800000}"/>
    <cellStyle name="Normal 2 2 3 12 2 2 2 2" xfId="32905" xr:uid="{00000000-0005-0000-0000-000088800000}"/>
    <cellStyle name="Normal 2 2 3 12 2 2 3" xfId="32906" xr:uid="{00000000-0005-0000-0000-000089800000}"/>
    <cellStyle name="Normal 2 2 3 12 2 3" xfId="32907" xr:uid="{00000000-0005-0000-0000-00008A800000}"/>
    <cellStyle name="Normal 2 2 3 12 2 3 2" xfId="32908" xr:uid="{00000000-0005-0000-0000-00008B800000}"/>
    <cellStyle name="Normal 2 2 3 12 2 4" xfId="32909" xr:uid="{00000000-0005-0000-0000-00008C800000}"/>
    <cellStyle name="Normal 2 2 3 12 3" xfId="32910" xr:uid="{00000000-0005-0000-0000-00008D800000}"/>
    <cellStyle name="Normal 2 2 3 12 3 2" xfId="32911" xr:uid="{00000000-0005-0000-0000-00008E800000}"/>
    <cellStyle name="Normal 2 2 3 12 3 2 2" xfId="32912" xr:uid="{00000000-0005-0000-0000-00008F800000}"/>
    <cellStyle name="Normal 2 2 3 12 3 3" xfId="32913" xr:uid="{00000000-0005-0000-0000-000090800000}"/>
    <cellStyle name="Normal 2 2 3 12 4" xfId="32914" xr:uid="{00000000-0005-0000-0000-000091800000}"/>
    <cellStyle name="Normal 2 2 3 12 4 2" xfId="32915" xr:uid="{00000000-0005-0000-0000-000092800000}"/>
    <cellStyle name="Normal 2 2 3 12 5" xfId="32916" xr:uid="{00000000-0005-0000-0000-000093800000}"/>
    <cellStyle name="Normal 2 2 3 13" xfId="32917" xr:uid="{00000000-0005-0000-0000-000094800000}"/>
    <cellStyle name="Normal 2 2 3 13 2" xfId="32918" xr:uid="{00000000-0005-0000-0000-000095800000}"/>
    <cellStyle name="Normal 2 2 3 13 2 2" xfId="32919" xr:uid="{00000000-0005-0000-0000-000096800000}"/>
    <cellStyle name="Normal 2 2 3 13 2 2 2" xfId="32920" xr:uid="{00000000-0005-0000-0000-000097800000}"/>
    <cellStyle name="Normal 2 2 3 13 2 2 2 2" xfId="32921" xr:uid="{00000000-0005-0000-0000-000098800000}"/>
    <cellStyle name="Normal 2 2 3 13 2 2 3" xfId="32922" xr:uid="{00000000-0005-0000-0000-000099800000}"/>
    <cellStyle name="Normal 2 2 3 13 2 3" xfId="32923" xr:uid="{00000000-0005-0000-0000-00009A800000}"/>
    <cellStyle name="Normal 2 2 3 13 2 3 2" xfId="32924" xr:uid="{00000000-0005-0000-0000-00009B800000}"/>
    <cellStyle name="Normal 2 2 3 13 2 4" xfId="32925" xr:uid="{00000000-0005-0000-0000-00009C800000}"/>
    <cellStyle name="Normal 2 2 3 13 3" xfId="32926" xr:uid="{00000000-0005-0000-0000-00009D800000}"/>
    <cellStyle name="Normal 2 2 3 13 3 2" xfId="32927" xr:uid="{00000000-0005-0000-0000-00009E800000}"/>
    <cellStyle name="Normal 2 2 3 13 3 2 2" xfId="32928" xr:uid="{00000000-0005-0000-0000-00009F800000}"/>
    <cellStyle name="Normal 2 2 3 13 3 3" xfId="32929" xr:uid="{00000000-0005-0000-0000-0000A0800000}"/>
    <cellStyle name="Normal 2 2 3 13 4" xfId="32930" xr:uid="{00000000-0005-0000-0000-0000A1800000}"/>
    <cellStyle name="Normal 2 2 3 13 4 2" xfId="32931" xr:uid="{00000000-0005-0000-0000-0000A2800000}"/>
    <cellStyle name="Normal 2 2 3 13 5" xfId="32932" xr:uid="{00000000-0005-0000-0000-0000A3800000}"/>
    <cellStyle name="Normal 2 2 3 14" xfId="32933" xr:uid="{00000000-0005-0000-0000-0000A4800000}"/>
    <cellStyle name="Normal 2 2 3 14 2" xfId="32934" xr:uid="{00000000-0005-0000-0000-0000A5800000}"/>
    <cellStyle name="Normal 2 2 3 14 2 2" xfId="32935" xr:uid="{00000000-0005-0000-0000-0000A6800000}"/>
    <cellStyle name="Normal 2 2 3 14 2 2 2" xfId="32936" xr:uid="{00000000-0005-0000-0000-0000A7800000}"/>
    <cellStyle name="Normal 2 2 3 14 2 2 2 2" xfId="32937" xr:uid="{00000000-0005-0000-0000-0000A8800000}"/>
    <cellStyle name="Normal 2 2 3 14 2 2 3" xfId="32938" xr:uid="{00000000-0005-0000-0000-0000A9800000}"/>
    <cellStyle name="Normal 2 2 3 14 2 3" xfId="32939" xr:uid="{00000000-0005-0000-0000-0000AA800000}"/>
    <cellStyle name="Normal 2 2 3 14 2 3 2" xfId="32940" xr:uid="{00000000-0005-0000-0000-0000AB800000}"/>
    <cellStyle name="Normal 2 2 3 14 2 4" xfId="32941" xr:uid="{00000000-0005-0000-0000-0000AC800000}"/>
    <cellStyle name="Normal 2 2 3 14 3" xfId="32942" xr:uid="{00000000-0005-0000-0000-0000AD800000}"/>
    <cellStyle name="Normal 2 2 3 14 3 2" xfId="32943" xr:uid="{00000000-0005-0000-0000-0000AE800000}"/>
    <cellStyle name="Normal 2 2 3 14 3 2 2" xfId="32944" xr:uid="{00000000-0005-0000-0000-0000AF800000}"/>
    <cellStyle name="Normal 2 2 3 14 3 3" xfId="32945" xr:uid="{00000000-0005-0000-0000-0000B0800000}"/>
    <cellStyle name="Normal 2 2 3 14 4" xfId="32946" xr:uid="{00000000-0005-0000-0000-0000B1800000}"/>
    <cellStyle name="Normal 2 2 3 14 4 2" xfId="32947" xr:uid="{00000000-0005-0000-0000-0000B2800000}"/>
    <cellStyle name="Normal 2 2 3 14 5" xfId="32948" xr:uid="{00000000-0005-0000-0000-0000B3800000}"/>
    <cellStyle name="Normal 2 2 3 15" xfId="32949" xr:uid="{00000000-0005-0000-0000-0000B4800000}"/>
    <cellStyle name="Normal 2 2 3 15 2" xfId="32950" xr:uid="{00000000-0005-0000-0000-0000B5800000}"/>
    <cellStyle name="Normal 2 2 3 15 2 2" xfId="32951" xr:uid="{00000000-0005-0000-0000-0000B6800000}"/>
    <cellStyle name="Normal 2 2 3 15 2 2 2" xfId="32952" xr:uid="{00000000-0005-0000-0000-0000B7800000}"/>
    <cellStyle name="Normal 2 2 3 15 2 3" xfId="32953" xr:uid="{00000000-0005-0000-0000-0000B8800000}"/>
    <cellStyle name="Normal 2 2 3 15 3" xfId="32954" xr:uid="{00000000-0005-0000-0000-0000B9800000}"/>
    <cellStyle name="Normal 2 2 3 15 3 2" xfId="32955" xr:uid="{00000000-0005-0000-0000-0000BA800000}"/>
    <cellStyle name="Normal 2 2 3 15 4" xfId="32956" xr:uid="{00000000-0005-0000-0000-0000BB800000}"/>
    <cellStyle name="Normal 2 2 3 16" xfId="32957" xr:uid="{00000000-0005-0000-0000-0000BC800000}"/>
    <cellStyle name="Normal 2 2 3 16 2" xfId="32958" xr:uid="{00000000-0005-0000-0000-0000BD800000}"/>
    <cellStyle name="Normal 2 2 3 16 2 2" xfId="32959" xr:uid="{00000000-0005-0000-0000-0000BE800000}"/>
    <cellStyle name="Normal 2 2 3 16 2 2 2" xfId="32960" xr:uid="{00000000-0005-0000-0000-0000BF800000}"/>
    <cellStyle name="Normal 2 2 3 16 2 3" xfId="32961" xr:uid="{00000000-0005-0000-0000-0000C0800000}"/>
    <cellStyle name="Normal 2 2 3 16 3" xfId="32962" xr:uid="{00000000-0005-0000-0000-0000C1800000}"/>
    <cellStyle name="Normal 2 2 3 16 3 2" xfId="32963" xr:uid="{00000000-0005-0000-0000-0000C2800000}"/>
    <cellStyle name="Normal 2 2 3 16 4" xfId="32964" xr:uid="{00000000-0005-0000-0000-0000C3800000}"/>
    <cellStyle name="Normal 2 2 3 17" xfId="32965" xr:uid="{00000000-0005-0000-0000-0000C4800000}"/>
    <cellStyle name="Normal 2 2 3 17 2" xfId="32966" xr:uid="{00000000-0005-0000-0000-0000C5800000}"/>
    <cellStyle name="Normal 2 2 3 17 2 2" xfId="32967" xr:uid="{00000000-0005-0000-0000-0000C6800000}"/>
    <cellStyle name="Normal 2 2 3 17 3" xfId="32968" xr:uid="{00000000-0005-0000-0000-0000C7800000}"/>
    <cellStyle name="Normal 2 2 3 18" xfId="32969" xr:uid="{00000000-0005-0000-0000-0000C8800000}"/>
    <cellStyle name="Normal 2 2 3 18 2" xfId="32970" xr:uid="{00000000-0005-0000-0000-0000C9800000}"/>
    <cellStyle name="Normal 2 2 3 18 2 2" xfId="32971" xr:uid="{00000000-0005-0000-0000-0000CA800000}"/>
    <cellStyle name="Normal 2 2 3 18 3" xfId="32972" xr:uid="{00000000-0005-0000-0000-0000CB800000}"/>
    <cellStyle name="Normal 2 2 3 19" xfId="32973" xr:uid="{00000000-0005-0000-0000-0000CC800000}"/>
    <cellStyle name="Normal 2 2 3 19 2" xfId="32974" xr:uid="{00000000-0005-0000-0000-0000CD800000}"/>
    <cellStyle name="Normal 2 2 3 19 2 2" xfId="32975" xr:uid="{00000000-0005-0000-0000-0000CE800000}"/>
    <cellStyle name="Normal 2 2 3 19 3" xfId="32976" xr:uid="{00000000-0005-0000-0000-0000CF800000}"/>
    <cellStyle name="Normal 2 2 3 2" xfId="32977" xr:uid="{00000000-0005-0000-0000-0000D0800000}"/>
    <cellStyle name="Normal 2 2 3 2 10" xfId="32978" xr:uid="{00000000-0005-0000-0000-0000D1800000}"/>
    <cellStyle name="Normal 2 2 3 2 10 2" xfId="32979" xr:uid="{00000000-0005-0000-0000-0000D2800000}"/>
    <cellStyle name="Normal 2 2 3 2 10 2 2" xfId="32980" xr:uid="{00000000-0005-0000-0000-0000D3800000}"/>
    <cellStyle name="Normal 2 2 3 2 10 2 2 2" xfId="32981" xr:uid="{00000000-0005-0000-0000-0000D4800000}"/>
    <cellStyle name="Normal 2 2 3 2 10 2 2 2 2" xfId="32982" xr:uid="{00000000-0005-0000-0000-0000D5800000}"/>
    <cellStyle name="Normal 2 2 3 2 10 2 2 3" xfId="32983" xr:uid="{00000000-0005-0000-0000-0000D6800000}"/>
    <cellStyle name="Normal 2 2 3 2 10 2 3" xfId="32984" xr:uid="{00000000-0005-0000-0000-0000D7800000}"/>
    <cellStyle name="Normal 2 2 3 2 10 2 3 2" xfId="32985" xr:uid="{00000000-0005-0000-0000-0000D8800000}"/>
    <cellStyle name="Normal 2 2 3 2 10 2 4" xfId="32986" xr:uid="{00000000-0005-0000-0000-0000D9800000}"/>
    <cellStyle name="Normal 2 2 3 2 10 3" xfId="32987" xr:uid="{00000000-0005-0000-0000-0000DA800000}"/>
    <cellStyle name="Normal 2 2 3 2 10 3 2" xfId="32988" xr:uid="{00000000-0005-0000-0000-0000DB800000}"/>
    <cellStyle name="Normal 2 2 3 2 10 3 2 2" xfId="32989" xr:uid="{00000000-0005-0000-0000-0000DC800000}"/>
    <cellStyle name="Normal 2 2 3 2 10 3 3" xfId="32990" xr:uid="{00000000-0005-0000-0000-0000DD800000}"/>
    <cellStyle name="Normal 2 2 3 2 10 4" xfId="32991" xr:uid="{00000000-0005-0000-0000-0000DE800000}"/>
    <cellStyle name="Normal 2 2 3 2 10 4 2" xfId="32992" xr:uid="{00000000-0005-0000-0000-0000DF800000}"/>
    <cellStyle name="Normal 2 2 3 2 10 4 2 2" xfId="32993" xr:uid="{00000000-0005-0000-0000-0000E0800000}"/>
    <cellStyle name="Normal 2 2 3 2 10 4 3" xfId="32994" xr:uid="{00000000-0005-0000-0000-0000E1800000}"/>
    <cellStyle name="Normal 2 2 3 2 10 5" xfId="32995" xr:uid="{00000000-0005-0000-0000-0000E2800000}"/>
    <cellStyle name="Normal 2 2 3 2 10 5 2" xfId="32996" xr:uid="{00000000-0005-0000-0000-0000E3800000}"/>
    <cellStyle name="Normal 2 2 3 2 10 5 2 2" xfId="32997" xr:uid="{00000000-0005-0000-0000-0000E4800000}"/>
    <cellStyle name="Normal 2 2 3 2 10 5 3" xfId="32998" xr:uid="{00000000-0005-0000-0000-0000E5800000}"/>
    <cellStyle name="Normal 2 2 3 2 10 6" xfId="32999" xr:uid="{00000000-0005-0000-0000-0000E6800000}"/>
    <cellStyle name="Normal 2 2 3 2 10 6 2" xfId="33000" xr:uid="{00000000-0005-0000-0000-0000E7800000}"/>
    <cellStyle name="Normal 2 2 3 2 10 6 2 2" xfId="33001" xr:uid="{00000000-0005-0000-0000-0000E8800000}"/>
    <cellStyle name="Normal 2 2 3 2 10 6 3" xfId="33002" xr:uid="{00000000-0005-0000-0000-0000E9800000}"/>
    <cellStyle name="Normal 2 2 3 2 10 7" xfId="33003" xr:uid="{00000000-0005-0000-0000-0000EA800000}"/>
    <cellStyle name="Normal 2 2 3 2 10 7 2" xfId="33004" xr:uid="{00000000-0005-0000-0000-0000EB800000}"/>
    <cellStyle name="Normal 2 2 3 2 10 8" xfId="33005" xr:uid="{00000000-0005-0000-0000-0000EC800000}"/>
    <cellStyle name="Normal 2 2 3 2 11" xfId="33006" xr:uid="{00000000-0005-0000-0000-0000ED800000}"/>
    <cellStyle name="Normal 2 2 3 2 11 2" xfId="33007" xr:uid="{00000000-0005-0000-0000-0000EE800000}"/>
    <cellStyle name="Normal 2 2 3 2 11 2 2" xfId="33008" xr:uid="{00000000-0005-0000-0000-0000EF800000}"/>
    <cellStyle name="Normal 2 2 3 2 11 2 2 2" xfId="33009" xr:uid="{00000000-0005-0000-0000-0000F0800000}"/>
    <cellStyle name="Normal 2 2 3 2 11 2 2 2 2" xfId="33010" xr:uid="{00000000-0005-0000-0000-0000F1800000}"/>
    <cellStyle name="Normal 2 2 3 2 11 2 2 3" xfId="33011" xr:uid="{00000000-0005-0000-0000-0000F2800000}"/>
    <cellStyle name="Normal 2 2 3 2 11 2 3" xfId="33012" xr:uid="{00000000-0005-0000-0000-0000F3800000}"/>
    <cellStyle name="Normal 2 2 3 2 11 2 3 2" xfId="33013" xr:uid="{00000000-0005-0000-0000-0000F4800000}"/>
    <cellStyle name="Normal 2 2 3 2 11 2 4" xfId="33014" xr:uid="{00000000-0005-0000-0000-0000F5800000}"/>
    <cellStyle name="Normal 2 2 3 2 11 3" xfId="33015" xr:uid="{00000000-0005-0000-0000-0000F6800000}"/>
    <cellStyle name="Normal 2 2 3 2 11 3 2" xfId="33016" xr:uid="{00000000-0005-0000-0000-0000F7800000}"/>
    <cellStyle name="Normal 2 2 3 2 11 3 2 2" xfId="33017" xr:uid="{00000000-0005-0000-0000-0000F8800000}"/>
    <cellStyle name="Normal 2 2 3 2 11 3 3" xfId="33018" xr:uid="{00000000-0005-0000-0000-0000F9800000}"/>
    <cellStyle name="Normal 2 2 3 2 11 4" xfId="33019" xr:uid="{00000000-0005-0000-0000-0000FA800000}"/>
    <cellStyle name="Normal 2 2 3 2 11 4 2" xfId="33020" xr:uid="{00000000-0005-0000-0000-0000FB800000}"/>
    <cellStyle name="Normal 2 2 3 2 11 5" xfId="33021" xr:uid="{00000000-0005-0000-0000-0000FC800000}"/>
    <cellStyle name="Normal 2 2 3 2 12" xfId="33022" xr:uid="{00000000-0005-0000-0000-0000FD800000}"/>
    <cellStyle name="Normal 2 2 3 2 12 2" xfId="33023" xr:uid="{00000000-0005-0000-0000-0000FE800000}"/>
    <cellStyle name="Normal 2 2 3 2 12 2 2" xfId="33024" xr:uid="{00000000-0005-0000-0000-0000FF800000}"/>
    <cellStyle name="Normal 2 2 3 2 12 2 2 2" xfId="33025" xr:uid="{00000000-0005-0000-0000-000000810000}"/>
    <cellStyle name="Normal 2 2 3 2 12 2 2 2 2" xfId="33026" xr:uid="{00000000-0005-0000-0000-000001810000}"/>
    <cellStyle name="Normal 2 2 3 2 12 2 2 3" xfId="33027" xr:uid="{00000000-0005-0000-0000-000002810000}"/>
    <cellStyle name="Normal 2 2 3 2 12 2 3" xfId="33028" xr:uid="{00000000-0005-0000-0000-000003810000}"/>
    <cellStyle name="Normal 2 2 3 2 12 2 3 2" xfId="33029" xr:uid="{00000000-0005-0000-0000-000004810000}"/>
    <cellStyle name="Normal 2 2 3 2 12 2 4" xfId="33030" xr:uid="{00000000-0005-0000-0000-000005810000}"/>
    <cellStyle name="Normal 2 2 3 2 12 3" xfId="33031" xr:uid="{00000000-0005-0000-0000-000006810000}"/>
    <cellStyle name="Normal 2 2 3 2 12 3 2" xfId="33032" xr:uid="{00000000-0005-0000-0000-000007810000}"/>
    <cellStyle name="Normal 2 2 3 2 12 3 2 2" xfId="33033" xr:uid="{00000000-0005-0000-0000-000008810000}"/>
    <cellStyle name="Normal 2 2 3 2 12 3 3" xfId="33034" xr:uid="{00000000-0005-0000-0000-000009810000}"/>
    <cellStyle name="Normal 2 2 3 2 12 4" xfId="33035" xr:uid="{00000000-0005-0000-0000-00000A810000}"/>
    <cellStyle name="Normal 2 2 3 2 12 4 2" xfId="33036" xr:uid="{00000000-0005-0000-0000-00000B810000}"/>
    <cellStyle name="Normal 2 2 3 2 12 5" xfId="33037" xr:uid="{00000000-0005-0000-0000-00000C810000}"/>
    <cellStyle name="Normal 2 2 3 2 13" xfId="33038" xr:uid="{00000000-0005-0000-0000-00000D810000}"/>
    <cellStyle name="Normal 2 2 3 2 13 2" xfId="33039" xr:uid="{00000000-0005-0000-0000-00000E810000}"/>
    <cellStyle name="Normal 2 2 3 2 13 2 2" xfId="33040" xr:uid="{00000000-0005-0000-0000-00000F810000}"/>
    <cellStyle name="Normal 2 2 3 2 13 2 2 2" xfId="33041" xr:uid="{00000000-0005-0000-0000-000010810000}"/>
    <cellStyle name="Normal 2 2 3 2 13 2 2 2 2" xfId="33042" xr:uid="{00000000-0005-0000-0000-000011810000}"/>
    <cellStyle name="Normal 2 2 3 2 13 2 2 3" xfId="33043" xr:uid="{00000000-0005-0000-0000-000012810000}"/>
    <cellStyle name="Normal 2 2 3 2 13 2 3" xfId="33044" xr:uid="{00000000-0005-0000-0000-000013810000}"/>
    <cellStyle name="Normal 2 2 3 2 13 2 3 2" xfId="33045" xr:uid="{00000000-0005-0000-0000-000014810000}"/>
    <cellStyle name="Normal 2 2 3 2 13 2 4" xfId="33046" xr:uid="{00000000-0005-0000-0000-000015810000}"/>
    <cellStyle name="Normal 2 2 3 2 13 3" xfId="33047" xr:uid="{00000000-0005-0000-0000-000016810000}"/>
    <cellStyle name="Normal 2 2 3 2 13 3 2" xfId="33048" xr:uid="{00000000-0005-0000-0000-000017810000}"/>
    <cellStyle name="Normal 2 2 3 2 13 3 2 2" xfId="33049" xr:uid="{00000000-0005-0000-0000-000018810000}"/>
    <cellStyle name="Normal 2 2 3 2 13 3 3" xfId="33050" xr:uid="{00000000-0005-0000-0000-000019810000}"/>
    <cellStyle name="Normal 2 2 3 2 13 4" xfId="33051" xr:uid="{00000000-0005-0000-0000-00001A810000}"/>
    <cellStyle name="Normal 2 2 3 2 13 4 2" xfId="33052" xr:uid="{00000000-0005-0000-0000-00001B810000}"/>
    <cellStyle name="Normal 2 2 3 2 13 5" xfId="33053" xr:uid="{00000000-0005-0000-0000-00001C810000}"/>
    <cellStyle name="Normal 2 2 3 2 14" xfId="33054" xr:uid="{00000000-0005-0000-0000-00001D810000}"/>
    <cellStyle name="Normal 2 2 3 2 14 2" xfId="33055" xr:uid="{00000000-0005-0000-0000-00001E810000}"/>
    <cellStyle name="Normal 2 2 3 2 14 2 2" xfId="33056" xr:uid="{00000000-0005-0000-0000-00001F810000}"/>
    <cellStyle name="Normal 2 2 3 2 14 2 2 2" xfId="33057" xr:uid="{00000000-0005-0000-0000-000020810000}"/>
    <cellStyle name="Normal 2 2 3 2 14 2 3" xfId="33058" xr:uid="{00000000-0005-0000-0000-000021810000}"/>
    <cellStyle name="Normal 2 2 3 2 14 3" xfId="33059" xr:uid="{00000000-0005-0000-0000-000022810000}"/>
    <cellStyle name="Normal 2 2 3 2 14 3 2" xfId="33060" xr:uid="{00000000-0005-0000-0000-000023810000}"/>
    <cellStyle name="Normal 2 2 3 2 14 4" xfId="33061" xr:uid="{00000000-0005-0000-0000-000024810000}"/>
    <cellStyle name="Normal 2 2 3 2 15" xfId="33062" xr:uid="{00000000-0005-0000-0000-000025810000}"/>
    <cellStyle name="Normal 2 2 3 2 15 2" xfId="33063" xr:uid="{00000000-0005-0000-0000-000026810000}"/>
    <cellStyle name="Normal 2 2 3 2 15 2 2" xfId="33064" xr:uid="{00000000-0005-0000-0000-000027810000}"/>
    <cellStyle name="Normal 2 2 3 2 15 2 2 2" xfId="33065" xr:uid="{00000000-0005-0000-0000-000028810000}"/>
    <cellStyle name="Normal 2 2 3 2 15 2 3" xfId="33066" xr:uid="{00000000-0005-0000-0000-000029810000}"/>
    <cellStyle name="Normal 2 2 3 2 15 3" xfId="33067" xr:uid="{00000000-0005-0000-0000-00002A810000}"/>
    <cellStyle name="Normal 2 2 3 2 15 3 2" xfId="33068" xr:uid="{00000000-0005-0000-0000-00002B810000}"/>
    <cellStyle name="Normal 2 2 3 2 15 4" xfId="33069" xr:uid="{00000000-0005-0000-0000-00002C810000}"/>
    <cellStyle name="Normal 2 2 3 2 16" xfId="33070" xr:uid="{00000000-0005-0000-0000-00002D810000}"/>
    <cellStyle name="Normal 2 2 3 2 16 2" xfId="33071" xr:uid="{00000000-0005-0000-0000-00002E810000}"/>
    <cellStyle name="Normal 2 2 3 2 16 2 2" xfId="33072" xr:uid="{00000000-0005-0000-0000-00002F810000}"/>
    <cellStyle name="Normal 2 2 3 2 16 3" xfId="33073" xr:uid="{00000000-0005-0000-0000-000030810000}"/>
    <cellStyle name="Normal 2 2 3 2 17" xfId="33074" xr:uid="{00000000-0005-0000-0000-000031810000}"/>
    <cellStyle name="Normal 2 2 3 2 17 2" xfId="33075" xr:uid="{00000000-0005-0000-0000-000032810000}"/>
    <cellStyle name="Normal 2 2 3 2 17 2 2" xfId="33076" xr:uid="{00000000-0005-0000-0000-000033810000}"/>
    <cellStyle name="Normal 2 2 3 2 17 3" xfId="33077" xr:uid="{00000000-0005-0000-0000-000034810000}"/>
    <cellStyle name="Normal 2 2 3 2 18" xfId="33078" xr:uid="{00000000-0005-0000-0000-000035810000}"/>
    <cellStyle name="Normal 2 2 3 2 18 2" xfId="33079" xr:uid="{00000000-0005-0000-0000-000036810000}"/>
    <cellStyle name="Normal 2 2 3 2 18 2 2" xfId="33080" xr:uid="{00000000-0005-0000-0000-000037810000}"/>
    <cellStyle name="Normal 2 2 3 2 18 3" xfId="33081" xr:uid="{00000000-0005-0000-0000-000038810000}"/>
    <cellStyle name="Normal 2 2 3 2 19" xfId="33082" xr:uid="{00000000-0005-0000-0000-000039810000}"/>
    <cellStyle name="Normal 2 2 3 2 19 2" xfId="33083" xr:uid="{00000000-0005-0000-0000-00003A810000}"/>
    <cellStyle name="Normal 2 2 3 2 19 2 2" xfId="33084" xr:uid="{00000000-0005-0000-0000-00003B810000}"/>
    <cellStyle name="Normal 2 2 3 2 19 3" xfId="33085" xr:uid="{00000000-0005-0000-0000-00003C810000}"/>
    <cellStyle name="Normal 2 2 3 2 2" xfId="33086" xr:uid="{00000000-0005-0000-0000-00003D810000}"/>
    <cellStyle name="Normal 2 2 3 2 2 10" xfId="33087" xr:uid="{00000000-0005-0000-0000-00003E810000}"/>
    <cellStyle name="Normal 2 2 3 2 2 10 2" xfId="33088" xr:uid="{00000000-0005-0000-0000-00003F810000}"/>
    <cellStyle name="Normal 2 2 3 2 2 10 2 2" xfId="33089" xr:uid="{00000000-0005-0000-0000-000040810000}"/>
    <cellStyle name="Normal 2 2 3 2 2 10 2 2 2" xfId="33090" xr:uid="{00000000-0005-0000-0000-000041810000}"/>
    <cellStyle name="Normal 2 2 3 2 2 10 2 2 2 2" xfId="33091" xr:uid="{00000000-0005-0000-0000-000042810000}"/>
    <cellStyle name="Normal 2 2 3 2 2 10 2 2 3" xfId="33092" xr:uid="{00000000-0005-0000-0000-000043810000}"/>
    <cellStyle name="Normal 2 2 3 2 2 10 2 3" xfId="33093" xr:uid="{00000000-0005-0000-0000-000044810000}"/>
    <cellStyle name="Normal 2 2 3 2 2 10 2 3 2" xfId="33094" xr:uid="{00000000-0005-0000-0000-000045810000}"/>
    <cellStyle name="Normal 2 2 3 2 2 10 2 4" xfId="33095" xr:uid="{00000000-0005-0000-0000-000046810000}"/>
    <cellStyle name="Normal 2 2 3 2 2 10 3" xfId="33096" xr:uid="{00000000-0005-0000-0000-000047810000}"/>
    <cellStyle name="Normal 2 2 3 2 2 10 3 2" xfId="33097" xr:uid="{00000000-0005-0000-0000-000048810000}"/>
    <cellStyle name="Normal 2 2 3 2 2 10 3 2 2" xfId="33098" xr:uid="{00000000-0005-0000-0000-000049810000}"/>
    <cellStyle name="Normal 2 2 3 2 2 10 3 3" xfId="33099" xr:uid="{00000000-0005-0000-0000-00004A810000}"/>
    <cellStyle name="Normal 2 2 3 2 2 10 4" xfId="33100" xr:uid="{00000000-0005-0000-0000-00004B810000}"/>
    <cellStyle name="Normal 2 2 3 2 2 10 4 2" xfId="33101" xr:uid="{00000000-0005-0000-0000-00004C810000}"/>
    <cellStyle name="Normal 2 2 3 2 2 10 5" xfId="33102" xr:uid="{00000000-0005-0000-0000-00004D810000}"/>
    <cellStyle name="Normal 2 2 3 2 2 11" xfId="33103" xr:uid="{00000000-0005-0000-0000-00004E810000}"/>
    <cellStyle name="Normal 2 2 3 2 2 11 2" xfId="33104" xr:uid="{00000000-0005-0000-0000-00004F810000}"/>
    <cellStyle name="Normal 2 2 3 2 2 11 2 2" xfId="33105" xr:uid="{00000000-0005-0000-0000-000050810000}"/>
    <cellStyle name="Normal 2 2 3 2 2 11 2 2 2" xfId="33106" xr:uid="{00000000-0005-0000-0000-000051810000}"/>
    <cellStyle name="Normal 2 2 3 2 2 11 2 2 2 2" xfId="33107" xr:uid="{00000000-0005-0000-0000-000052810000}"/>
    <cellStyle name="Normal 2 2 3 2 2 11 2 2 3" xfId="33108" xr:uid="{00000000-0005-0000-0000-000053810000}"/>
    <cellStyle name="Normal 2 2 3 2 2 11 2 3" xfId="33109" xr:uid="{00000000-0005-0000-0000-000054810000}"/>
    <cellStyle name="Normal 2 2 3 2 2 11 2 3 2" xfId="33110" xr:uid="{00000000-0005-0000-0000-000055810000}"/>
    <cellStyle name="Normal 2 2 3 2 2 11 2 4" xfId="33111" xr:uid="{00000000-0005-0000-0000-000056810000}"/>
    <cellStyle name="Normal 2 2 3 2 2 11 3" xfId="33112" xr:uid="{00000000-0005-0000-0000-000057810000}"/>
    <cellStyle name="Normal 2 2 3 2 2 11 3 2" xfId="33113" xr:uid="{00000000-0005-0000-0000-000058810000}"/>
    <cellStyle name="Normal 2 2 3 2 2 11 3 2 2" xfId="33114" xr:uid="{00000000-0005-0000-0000-000059810000}"/>
    <cellStyle name="Normal 2 2 3 2 2 11 3 3" xfId="33115" xr:uid="{00000000-0005-0000-0000-00005A810000}"/>
    <cellStyle name="Normal 2 2 3 2 2 11 4" xfId="33116" xr:uid="{00000000-0005-0000-0000-00005B810000}"/>
    <cellStyle name="Normal 2 2 3 2 2 11 4 2" xfId="33117" xr:uid="{00000000-0005-0000-0000-00005C810000}"/>
    <cellStyle name="Normal 2 2 3 2 2 11 5" xfId="33118" xr:uid="{00000000-0005-0000-0000-00005D810000}"/>
    <cellStyle name="Normal 2 2 3 2 2 12" xfId="33119" xr:uid="{00000000-0005-0000-0000-00005E810000}"/>
    <cellStyle name="Normal 2 2 3 2 2 12 2" xfId="33120" xr:uid="{00000000-0005-0000-0000-00005F810000}"/>
    <cellStyle name="Normal 2 2 3 2 2 12 2 2" xfId="33121" xr:uid="{00000000-0005-0000-0000-000060810000}"/>
    <cellStyle name="Normal 2 2 3 2 2 12 2 2 2" xfId="33122" xr:uid="{00000000-0005-0000-0000-000061810000}"/>
    <cellStyle name="Normal 2 2 3 2 2 12 2 2 2 2" xfId="33123" xr:uid="{00000000-0005-0000-0000-000062810000}"/>
    <cellStyle name="Normal 2 2 3 2 2 12 2 2 3" xfId="33124" xr:uid="{00000000-0005-0000-0000-000063810000}"/>
    <cellStyle name="Normal 2 2 3 2 2 12 2 3" xfId="33125" xr:uid="{00000000-0005-0000-0000-000064810000}"/>
    <cellStyle name="Normal 2 2 3 2 2 12 2 3 2" xfId="33126" xr:uid="{00000000-0005-0000-0000-000065810000}"/>
    <cellStyle name="Normal 2 2 3 2 2 12 2 4" xfId="33127" xr:uid="{00000000-0005-0000-0000-000066810000}"/>
    <cellStyle name="Normal 2 2 3 2 2 12 3" xfId="33128" xr:uid="{00000000-0005-0000-0000-000067810000}"/>
    <cellStyle name="Normal 2 2 3 2 2 12 3 2" xfId="33129" xr:uid="{00000000-0005-0000-0000-000068810000}"/>
    <cellStyle name="Normal 2 2 3 2 2 12 3 2 2" xfId="33130" xr:uid="{00000000-0005-0000-0000-000069810000}"/>
    <cellStyle name="Normal 2 2 3 2 2 12 3 3" xfId="33131" xr:uid="{00000000-0005-0000-0000-00006A810000}"/>
    <cellStyle name="Normal 2 2 3 2 2 12 4" xfId="33132" xr:uid="{00000000-0005-0000-0000-00006B810000}"/>
    <cellStyle name="Normal 2 2 3 2 2 12 4 2" xfId="33133" xr:uid="{00000000-0005-0000-0000-00006C810000}"/>
    <cellStyle name="Normal 2 2 3 2 2 12 5" xfId="33134" xr:uid="{00000000-0005-0000-0000-00006D810000}"/>
    <cellStyle name="Normal 2 2 3 2 2 13" xfId="33135" xr:uid="{00000000-0005-0000-0000-00006E810000}"/>
    <cellStyle name="Normal 2 2 3 2 2 13 2" xfId="33136" xr:uid="{00000000-0005-0000-0000-00006F810000}"/>
    <cellStyle name="Normal 2 2 3 2 2 13 2 2" xfId="33137" xr:uid="{00000000-0005-0000-0000-000070810000}"/>
    <cellStyle name="Normal 2 2 3 2 2 13 2 2 2" xfId="33138" xr:uid="{00000000-0005-0000-0000-000071810000}"/>
    <cellStyle name="Normal 2 2 3 2 2 13 2 3" xfId="33139" xr:uid="{00000000-0005-0000-0000-000072810000}"/>
    <cellStyle name="Normal 2 2 3 2 2 13 3" xfId="33140" xr:uid="{00000000-0005-0000-0000-000073810000}"/>
    <cellStyle name="Normal 2 2 3 2 2 13 3 2" xfId="33141" xr:uid="{00000000-0005-0000-0000-000074810000}"/>
    <cellStyle name="Normal 2 2 3 2 2 13 4" xfId="33142" xr:uid="{00000000-0005-0000-0000-000075810000}"/>
    <cellStyle name="Normal 2 2 3 2 2 14" xfId="33143" xr:uid="{00000000-0005-0000-0000-000076810000}"/>
    <cellStyle name="Normal 2 2 3 2 2 14 2" xfId="33144" xr:uid="{00000000-0005-0000-0000-000077810000}"/>
    <cellStyle name="Normal 2 2 3 2 2 14 2 2" xfId="33145" xr:uid="{00000000-0005-0000-0000-000078810000}"/>
    <cellStyle name="Normal 2 2 3 2 2 14 2 2 2" xfId="33146" xr:uid="{00000000-0005-0000-0000-000079810000}"/>
    <cellStyle name="Normal 2 2 3 2 2 14 2 3" xfId="33147" xr:uid="{00000000-0005-0000-0000-00007A810000}"/>
    <cellStyle name="Normal 2 2 3 2 2 14 3" xfId="33148" xr:uid="{00000000-0005-0000-0000-00007B810000}"/>
    <cellStyle name="Normal 2 2 3 2 2 14 3 2" xfId="33149" xr:uid="{00000000-0005-0000-0000-00007C810000}"/>
    <cellStyle name="Normal 2 2 3 2 2 14 4" xfId="33150" xr:uid="{00000000-0005-0000-0000-00007D810000}"/>
    <cellStyle name="Normal 2 2 3 2 2 15" xfId="33151" xr:uid="{00000000-0005-0000-0000-00007E810000}"/>
    <cellStyle name="Normal 2 2 3 2 2 15 2" xfId="33152" xr:uid="{00000000-0005-0000-0000-00007F810000}"/>
    <cellStyle name="Normal 2 2 3 2 2 15 2 2" xfId="33153" xr:uid="{00000000-0005-0000-0000-000080810000}"/>
    <cellStyle name="Normal 2 2 3 2 2 15 3" xfId="33154" xr:uid="{00000000-0005-0000-0000-000081810000}"/>
    <cellStyle name="Normal 2 2 3 2 2 16" xfId="33155" xr:uid="{00000000-0005-0000-0000-000082810000}"/>
    <cellStyle name="Normal 2 2 3 2 2 16 2" xfId="33156" xr:uid="{00000000-0005-0000-0000-000083810000}"/>
    <cellStyle name="Normal 2 2 3 2 2 16 2 2" xfId="33157" xr:uid="{00000000-0005-0000-0000-000084810000}"/>
    <cellStyle name="Normal 2 2 3 2 2 16 3" xfId="33158" xr:uid="{00000000-0005-0000-0000-000085810000}"/>
    <cellStyle name="Normal 2 2 3 2 2 17" xfId="33159" xr:uid="{00000000-0005-0000-0000-000086810000}"/>
    <cellStyle name="Normal 2 2 3 2 2 17 2" xfId="33160" xr:uid="{00000000-0005-0000-0000-000087810000}"/>
    <cellStyle name="Normal 2 2 3 2 2 17 2 2" xfId="33161" xr:uid="{00000000-0005-0000-0000-000088810000}"/>
    <cellStyle name="Normal 2 2 3 2 2 17 3" xfId="33162" xr:uid="{00000000-0005-0000-0000-000089810000}"/>
    <cellStyle name="Normal 2 2 3 2 2 18" xfId="33163" xr:uid="{00000000-0005-0000-0000-00008A810000}"/>
    <cellStyle name="Normal 2 2 3 2 2 18 2" xfId="33164" xr:uid="{00000000-0005-0000-0000-00008B810000}"/>
    <cellStyle name="Normal 2 2 3 2 2 18 2 2" xfId="33165" xr:uid="{00000000-0005-0000-0000-00008C810000}"/>
    <cellStyle name="Normal 2 2 3 2 2 18 3" xfId="33166" xr:uid="{00000000-0005-0000-0000-00008D810000}"/>
    <cellStyle name="Normal 2 2 3 2 2 19" xfId="33167" xr:uid="{00000000-0005-0000-0000-00008E810000}"/>
    <cellStyle name="Normal 2 2 3 2 2 19 2" xfId="33168" xr:uid="{00000000-0005-0000-0000-00008F810000}"/>
    <cellStyle name="Normal 2 2 3 2 2 2" xfId="33169" xr:uid="{00000000-0005-0000-0000-000090810000}"/>
    <cellStyle name="Normal 2 2 3 2 2 2 10" xfId="33170" xr:uid="{00000000-0005-0000-0000-000091810000}"/>
    <cellStyle name="Normal 2 2 3 2 2 2 10 2" xfId="33171" xr:uid="{00000000-0005-0000-0000-000092810000}"/>
    <cellStyle name="Normal 2 2 3 2 2 2 10 2 2" xfId="33172" xr:uid="{00000000-0005-0000-0000-000093810000}"/>
    <cellStyle name="Normal 2 2 3 2 2 2 10 3" xfId="33173" xr:uid="{00000000-0005-0000-0000-000094810000}"/>
    <cellStyle name="Normal 2 2 3 2 2 2 11" xfId="33174" xr:uid="{00000000-0005-0000-0000-000095810000}"/>
    <cellStyle name="Normal 2 2 3 2 2 2 11 2" xfId="33175" xr:uid="{00000000-0005-0000-0000-000096810000}"/>
    <cellStyle name="Normal 2 2 3 2 2 2 11 2 2" xfId="33176" xr:uid="{00000000-0005-0000-0000-000097810000}"/>
    <cellStyle name="Normal 2 2 3 2 2 2 11 3" xfId="33177" xr:uid="{00000000-0005-0000-0000-000098810000}"/>
    <cellStyle name="Normal 2 2 3 2 2 2 12" xfId="33178" xr:uid="{00000000-0005-0000-0000-000099810000}"/>
    <cellStyle name="Normal 2 2 3 2 2 2 12 2" xfId="33179" xr:uid="{00000000-0005-0000-0000-00009A810000}"/>
    <cellStyle name="Normal 2 2 3 2 2 2 12 2 2" xfId="33180" xr:uid="{00000000-0005-0000-0000-00009B810000}"/>
    <cellStyle name="Normal 2 2 3 2 2 2 12 3" xfId="33181" xr:uid="{00000000-0005-0000-0000-00009C810000}"/>
    <cellStyle name="Normal 2 2 3 2 2 2 13" xfId="33182" xr:uid="{00000000-0005-0000-0000-00009D810000}"/>
    <cellStyle name="Normal 2 2 3 2 2 2 13 2" xfId="33183" xr:uid="{00000000-0005-0000-0000-00009E810000}"/>
    <cellStyle name="Normal 2 2 3 2 2 2 14" xfId="33184" xr:uid="{00000000-0005-0000-0000-00009F810000}"/>
    <cellStyle name="Normal 2 2 3 2 2 2 2" xfId="33185" xr:uid="{00000000-0005-0000-0000-0000A0810000}"/>
    <cellStyle name="Normal 2 2 3 2 2 2 2 2" xfId="33186" xr:uid="{00000000-0005-0000-0000-0000A1810000}"/>
    <cellStyle name="Normal 2 2 3 2 2 2 2 2 2" xfId="33187" xr:uid="{00000000-0005-0000-0000-0000A2810000}"/>
    <cellStyle name="Normal 2 2 3 2 2 2 2 2 2 2" xfId="33188" xr:uid="{00000000-0005-0000-0000-0000A3810000}"/>
    <cellStyle name="Normal 2 2 3 2 2 2 2 2 2 2 2" xfId="33189" xr:uid="{00000000-0005-0000-0000-0000A4810000}"/>
    <cellStyle name="Normal 2 2 3 2 2 2 2 2 2 3" xfId="33190" xr:uid="{00000000-0005-0000-0000-0000A5810000}"/>
    <cellStyle name="Normal 2 2 3 2 2 2 2 2 3" xfId="33191" xr:uid="{00000000-0005-0000-0000-0000A6810000}"/>
    <cellStyle name="Normal 2 2 3 2 2 2 2 2 3 2" xfId="33192" xr:uid="{00000000-0005-0000-0000-0000A7810000}"/>
    <cellStyle name="Normal 2 2 3 2 2 2 2 2 4" xfId="33193" xr:uid="{00000000-0005-0000-0000-0000A8810000}"/>
    <cellStyle name="Normal 2 2 3 2 2 2 2 3" xfId="33194" xr:uid="{00000000-0005-0000-0000-0000A9810000}"/>
    <cellStyle name="Normal 2 2 3 2 2 2 2 3 2" xfId="33195" xr:uid="{00000000-0005-0000-0000-0000AA810000}"/>
    <cellStyle name="Normal 2 2 3 2 2 2 2 3 2 2" xfId="33196" xr:uid="{00000000-0005-0000-0000-0000AB810000}"/>
    <cellStyle name="Normal 2 2 3 2 2 2 2 3 3" xfId="33197" xr:uid="{00000000-0005-0000-0000-0000AC810000}"/>
    <cellStyle name="Normal 2 2 3 2 2 2 2 4" xfId="33198" xr:uid="{00000000-0005-0000-0000-0000AD810000}"/>
    <cellStyle name="Normal 2 2 3 2 2 2 2 4 2" xfId="33199" xr:uid="{00000000-0005-0000-0000-0000AE810000}"/>
    <cellStyle name="Normal 2 2 3 2 2 2 2 4 2 2" xfId="33200" xr:uid="{00000000-0005-0000-0000-0000AF810000}"/>
    <cellStyle name="Normal 2 2 3 2 2 2 2 4 3" xfId="33201" xr:uid="{00000000-0005-0000-0000-0000B0810000}"/>
    <cellStyle name="Normal 2 2 3 2 2 2 2 5" xfId="33202" xr:uid="{00000000-0005-0000-0000-0000B1810000}"/>
    <cellStyle name="Normal 2 2 3 2 2 2 2 5 2" xfId="33203" xr:uid="{00000000-0005-0000-0000-0000B2810000}"/>
    <cellStyle name="Normal 2 2 3 2 2 2 2 5 2 2" xfId="33204" xr:uid="{00000000-0005-0000-0000-0000B3810000}"/>
    <cellStyle name="Normal 2 2 3 2 2 2 2 5 3" xfId="33205" xr:uid="{00000000-0005-0000-0000-0000B4810000}"/>
    <cellStyle name="Normal 2 2 3 2 2 2 2 6" xfId="33206" xr:uid="{00000000-0005-0000-0000-0000B5810000}"/>
    <cellStyle name="Normal 2 2 3 2 2 2 2 6 2" xfId="33207" xr:uid="{00000000-0005-0000-0000-0000B6810000}"/>
    <cellStyle name="Normal 2 2 3 2 2 2 2 6 2 2" xfId="33208" xr:uid="{00000000-0005-0000-0000-0000B7810000}"/>
    <cellStyle name="Normal 2 2 3 2 2 2 2 6 3" xfId="33209" xr:uid="{00000000-0005-0000-0000-0000B8810000}"/>
    <cellStyle name="Normal 2 2 3 2 2 2 2 7" xfId="33210" xr:uid="{00000000-0005-0000-0000-0000B9810000}"/>
    <cellStyle name="Normal 2 2 3 2 2 2 2 7 2" xfId="33211" xr:uid="{00000000-0005-0000-0000-0000BA810000}"/>
    <cellStyle name="Normal 2 2 3 2 2 2 2 8" xfId="33212" xr:uid="{00000000-0005-0000-0000-0000BB810000}"/>
    <cellStyle name="Normal 2 2 3 2 2 2 3" xfId="33213" xr:uid="{00000000-0005-0000-0000-0000BC810000}"/>
    <cellStyle name="Normal 2 2 3 2 2 2 3 2" xfId="33214" xr:uid="{00000000-0005-0000-0000-0000BD810000}"/>
    <cellStyle name="Normal 2 2 3 2 2 2 3 2 2" xfId="33215" xr:uid="{00000000-0005-0000-0000-0000BE810000}"/>
    <cellStyle name="Normal 2 2 3 2 2 2 3 2 2 2" xfId="33216" xr:uid="{00000000-0005-0000-0000-0000BF810000}"/>
    <cellStyle name="Normal 2 2 3 2 2 2 3 2 2 2 2" xfId="33217" xr:uid="{00000000-0005-0000-0000-0000C0810000}"/>
    <cellStyle name="Normal 2 2 3 2 2 2 3 2 2 3" xfId="33218" xr:uid="{00000000-0005-0000-0000-0000C1810000}"/>
    <cellStyle name="Normal 2 2 3 2 2 2 3 2 3" xfId="33219" xr:uid="{00000000-0005-0000-0000-0000C2810000}"/>
    <cellStyle name="Normal 2 2 3 2 2 2 3 2 3 2" xfId="33220" xr:uid="{00000000-0005-0000-0000-0000C3810000}"/>
    <cellStyle name="Normal 2 2 3 2 2 2 3 2 4" xfId="33221" xr:uid="{00000000-0005-0000-0000-0000C4810000}"/>
    <cellStyle name="Normal 2 2 3 2 2 2 3 3" xfId="33222" xr:uid="{00000000-0005-0000-0000-0000C5810000}"/>
    <cellStyle name="Normal 2 2 3 2 2 2 3 3 2" xfId="33223" xr:uid="{00000000-0005-0000-0000-0000C6810000}"/>
    <cellStyle name="Normal 2 2 3 2 2 2 3 3 2 2" xfId="33224" xr:uid="{00000000-0005-0000-0000-0000C7810000}"/>
    <cellStyle name="Normal 2 2 3 2 2 2 3 3 3" xfId="33225" xr:uid="{00000000-0005-0000-0000-0000C8810000}"/>
    <cellStyle name="Normal 2 2 3 2 2 2 3 4" xfId="33226" xr:uid="{00000000-0005-0000-0000-0000C9810000}"/>
    <cellStyle name="Normal 2 2 3 2 2 2 3 4 2" xfId="33227" xr:uid="{00000000-0005-0000-0000-0000CA810000}"/>
    <cellStyle name="Normal 2 2 3 2 2 2 3 4 2 2" xfId="33228" xr:uid="{00000000-0005-0000-0000-0000CB810000}"/>
    <cellStyle name="Normal 2 2 3 2 2 2 3 4 3" xfId="33229" xr:uid="{00000000-0005-0000-0000-0000CC810000}"/>
    <cellStyle name="Normal 2 2 3 2 2 2 3 5" xfId="33230" xr:uid="{00000000-0005-0000-0000-0000CD810000}"/>
    <cellStyle name="Normal 2 2 3 2 2 2 3 5 2" xfId="33231" xr:uid="{00000000-0005-0000-0000-0000CE810000}"/>
    <cellStyle name="Normal 2 2 3 2 2 2 3 5 2 2" xfId="33232" xr:uid="{00000000-0005-0000-0000-0000CF810000}"/>
    <cellStyle name="Normal 2 2 3 2 2 2 3 5 3" xfId="33233" xr:uid="{00000000-0005-0000-0000-0000D0810000}"/>
    <cellStyle name="Normal 2 2 3 2 2 2 3 6" xfId="33234" xr:uid="{00000000-0005-0000-0000-0000D1810000}"/>
    <cellStyle name="Normal 2 2 3 2 2 2 3 6 2" xfId="33235" xr:uid="{00000000-0005-0000-0000-0000D2810000}"/>
    <cellStyle name="Normal 2 2 3 2 2 2 3 6 2 2" xfId="33236" xr:uid="{00000000-0005-0000-0000-0000D3810000}"/>
    <cellStyle name="Normal 2 2 3 2 2 2 3 6 3" xfId="33237" xr:uid="{00000000-0005-0000-0000-0000D4810000}"/>
    <cellStyle name="Normal 2 2 3 2 2 2 3 7" xfId="33238" xr:uid="{00000000-0005-0000-0000-0000D5810000}"/>
    <cellStyle name="Normal 2 2 3 2 2 2 3 7 2" xfId="33239" xr:uid="{00000000-0005-0000-0000-0000D6810000}"/>
    <cellStyle name="Normal 2 2 3 2 2 2 3 8" xfId="33240" xr:uid="{00000000-0005-0000-0000-0000D7810000}"/>
    <cellStyle name="Normal 2 2 3 2 2 2 4" xfId="33241" xr:uid="{00000000-0005-0000-0000-0000D8810000}"/>
    <cellStyle name="Normal 2 2 3 2 2 2 4 2" xfId="33242" xr:uid="{00000000-0005-0000-0000-0000D9810000}"/>
    <cellStyle name="Normal 2 2 3 2 2 2 4 2 2" xfId="33243" xr:uid="{00000000-0005-0000-0000-0000DA810000}"/>
    <cellStyle name="Normal 2 2 3 2 2 2 4 2 2 2" xfId="33244" xr:uid="{00000000-0005-0000-0000-0000DB810000}"/>
    <cellStyle name="Normal 2 2 3 2 2 2 4 2 2 2 2" xfId="33245" xr:uid="{00000000-0005-0000-0000-0000DC810000}"/>
    <cellStyle name="Normal 2 2 3 2 2 2 4 2 2 3" xfId="33246" xr:uid="{00000000-0005-0000-0000-0000DD810000}"/>
    <cellStyle name="Normal 2 2 3 2 2 2 4 2 3" xfId="33247" xr:uid="{00000000-0005-0000-0000-0000DE810000}"/>
    <cellStyle name="Normal 2 2 3 2 2 2 4 2 3 2" xfId="33248" xr:uid="{00000000-0005-0000-0000-0000DF810000}"/>
    <cellStyle name="Normal 2 2 3 2 2 2 4 2 4" xfId="33249" xr:uid="{00000000-0005-0000-0000-0000E0810000}"/>
    <cellStyle name="Normal 2 2 3 2 2 2 4 3" xfId="33250" xr:uid="{00000000-0005-0000-0000-0000E1810000}"/>
    <cellStyle name="Normal 2 2 3 2 2 2 4 3 2" xfId="33251" xr:uid="{00000000-0005-0000-0000-0000E2810000}"/>
    <cellStyle name="Normal 2 2 3 2 2 2 4 3 2 2" xfId="33252" xr:uid="{00000000-0005-0000-0000-0000E3810000}"/>
    <cellStyle name="Normal 2 2 3 2 2 2 4 3 3" xfId="33253" xr:uid="{00000000-0005-0000-0000-0000E4810000}"/>
    <cellStyle name="Normal 2 2 3 2 2 2 4 4" xfId="33254" xr:uid="{00000000-0005-0000-0000-0000E5810000}"/>
    <cellStyle name="Normal 2 2 3 2 2 2 4 4 2" xfId="33255" xr:uid="{00000000-0005-0000-0000-0000E6810000}"/>
    <cellStyle name="Normal 2 2 3 2 2 2 4 4 2 2" xfId="33256" xr:uid="{00000000-0005-0000-0000-0000E7810000}"/>
    <cellStyle name="Normal 2 2 3 2 2 2 4 4 3" xfId="33257" xr:uid="{00000000-0005-0000-0000-0000E8810000}"/>
    <cellStyle name="Normal 2 2 3 2 2 2 4 5" xfId="33258" xr:uid="{00000000-0005-0000-0000-0000E9810000}"/>
    <cellStyle name="Normal 2 2 3 2 2 2 4 5 2" xfId="33259" xr:uid="{00000000-0005-0000-0000-0000EA810000}"/>
    <cellStyle name="Normal 2 2 3 2 2 2 4 5 2 2" xfId="33260" xr:uid="{00000000-0005-0000-0000-0000EB810000}"/>
    <cellStyle name="Normal 2 2 3 2 2 2 4 5 3" xfId="33261" xr:uid="{00000000-0005-0000-0000-0000EC810000}"/>
    <cellStyle name="Normal 2 2 3 2 2 2 4 6" xfId="33262" xr:uid="{00000000-0005-0000-0000-0000ED810000}"/>
    <cellStyle name="Normal 2 2 3 2 2 2 4 6 2" xfId="33263" xr:uid="{00000000-0005-0000-0000-0000EE810000}"/>
    <cellStyle name="Normal 2 2 3 2 2 2 4 6 2 2" xfId="33264" xr:uid="{00000000-0005-0000-0000-0000EF810000}"/>
    <cellStyle name="Normal 2 2 3 2 2 2 4 6 3" xfId="33265" xr:uid="{00000000-0005-0000-0000-0000F0810000}"/>
    <cellStyle name="Normal 2 2 3 2 2 2 4 7" xfId="33266" xr:uid="{00000000-0005-0000-0000-0000F1810000}"/>
    <cellStyle name="Normal 2 2 3 2 2 2 4 7 2" xfId="33267" xr:uid="{00000000-0005-0000-0000-0000F2810000}"/>
    <cellStyle name="Normal 2 2 3 2 2 2 4 8" xfId="33268" xr:uid="{00000000-0005-0000-0000-0000F3810000}"/>
    <cellStyle name="Normal 2 2 3 2 2 2 5" xfId="33269" xr:uid="{00000000-0005-0000-0000-0000F4810000}"/>
    <cellStyle name="Normal 2 2 3 2 2 2 5 2" xfId="33270" xr:uid="{00000000-0005-0000-0000-0000F5810000}"/>
    <cellStyle name="Normal 2 2 3 2 2 2 5 2 2" xfId="33271" xr:uid="{00000000-0005-0000-0000-0000F6810000}"/>
    <cellStyle name="Normal 2 2 3 2 2 2 5 2 2 2" xfId="33272" xr:uid="{00000000-0005-0000-0000-0000F7810000}"/>
    <cellStyle name="Normal 2 2 3 2 2 2 5 2 2 2 2" xfId="33273" xr:uid="{00000000-0005-0000-0000-0000F8810000}"/>
    <cellStyle name="Normal 2 2 3 2 2 2 5 2 2 3" xfId="33274" xr:uid="{00000000-0005-0000-0000-0000F9810000}"/>
    <cellStyle name="Normal 2 2 3 2 2 2 5 2 3" xfId="33275" xr:uid="{00000000-0005-0000-0000-0000FA810000}"/>
    <cellStyle name="Normal 2 2 3 2 2 2 5 2 3 2" xfId="33276" xr:uid="{00000000-0005-0000-0000-0000FB810000}"/>
    <cellStyle name="Normal 2 2 3 2 2 2 5 2 4" xfId="33277" xr:uid="{00000000-0005-0000-0000-0000FC810000}"/>
    <cellStyle name="Normal 2 2 3 2 2 2 5 3" xfId="33278" xr:uid="{00000000-0005-0000-0000-0000FD810000}"/>
    <cellStyle name="Normal 2 2 3 2 2 2 5 3 2" xfId="33279" xr:uid="{00000000-0005-0000-0000-0000FE810000}"/>
    <cellStyle name="Normal 2 2 3 2 2 2 5 3 2 2" xfId="33280" xr:uid="{00000000-0005-0000-0000-0000FF810000}"/>
    <cellStyle name="Normal 2 2 3 2 2 2 5 3 3" xfId="33281" xr:uid="{00000000-0005-0000-0000-000000820000}"/>
    <cellStyle name="Normal 2 2 3 2 2 2 5 4" xfId="33282" xr:uid="{00000000-0005-0000-0000-000001820000}"/>
    <cellStyle name="Normal 2 2 3 2 2 2 5 4 2" xfId="33283" xr:uid="{00000000-0005-0000-0000-000002820000}"/>
    <cellStyle name="Normal 2 2 3 2 2 2 5 5" xfId="33284" xr:uid="{00000000-0005-0000-0000-000003820000}"/>
    <cellStyle name="Normal 2 2 3 2 2 2 6" xfId="33285" xr:uid="{00000000-0005-0000-0000-000004820000}"/>
    <cellStyle name="Normal 2 2 3 2 2 2 6 2" xfId="33286" xr:uid="{00000000-0005-0000-0000-000005820000}"/>
    <cellStyle name="Normal 2 2 3 2 2 2 6 2 2" xfId="33287" xr:uid="{00000000-0005-0000-0000-000006820000}"/>
    <cellStyle name="Normal 2 2 3 2 2 2 6 2 2 2" xfId="33288" xr:uid="{00000000-0005-0000-0000-000007820000}"/>
    <cellStyle name="Normal 2 2 3 2 2 2 6 2 2 2 2" xfId="33289" xr:uid="{00000000-0005-0000-0000-000008820000}"/>
    <cellStyle name="Normal 2 2 3 2 2 2 6 2 2 3" xfId="33290" xr:uid="{00000000-0005-0000-0000-000009820000}"/>
    <cellStyle name="Normal 2 2 3 2 2 2 6 2 3" xfId="33291" xr:uid="{00000000-0005-0000-0000-00000A820000}"/>
    <cellStyle name="Normal 2 2 3 2 2 2 6 2 3 2" xfId="33292" xr:uid="{00000000-0005-0000-0000-00000B820000}"/>
    <cellStyle name="Normal 2 2 3 2 2 2 6 2 4" xfId="33293" xr:uid="{00000000-0005-0000-0000-00000C820000}"/>
    <cellStyle name="Normal 2 2 3 2 2 2 6 3" xfId="33294" xr:uid="{00000000-0005-0000-0000-00000D820000}"/>
    <cellStyle name="Normal 2 2 3 2 2 2 6 3 2" xfId="33295" xr:uid="{00000000-0005-0000-0000-00000E820000}"/>
    <cellStyle name="Normal 2 2 3 2 2 2 6 3 2 2" xfId="33296" xr:uid="{00000000-0005-0000-0000-00000F820000}"/>
    <cellStyle name="Normal 2 2 3 2 2 2 6 3 3" xfId="33297" xr:uid="{00000000-0005-0000-0000-000010820000}"/>
    <cellStyle name="Normal 2 2 3 2 2 2 6 4" xfId="33298" xr:uid="{00000000-0005-0000-0000-000011820000}"/>
    <cellStyle name="Normal 2 2 3 2 2 2 6 4 2" xfId="33299" xr:uid="{00000000-0005-0000-0000-000012820000}"/>
    <cellStyle name="Normal 2 2 3 2 2 2 6 5" xfId="33300" xr:uid="{00000000-0005-0000-0000-000013820000}"/>
    <cellStyle name="Normal 2 2 3 2 2 2 7" xfId="33301" xr:uid="{00000000-0005-0000-0000-000014820000}"/>
    <cellStyle name="Normal 2 2 3 2 2 2 7 2" xfId="33302" xr:uid="{00000000-0005-0000-0000-000015820000}"/>
    <cellStyle name="Normal 2 2 3 2 2 2 7 2 2" xfId="33303" xr:uid="{00000000-0005-0000-0000-000016820000}"/>
    <cellStyle name="Normal 2 2 3 2 2 2 7 2 2 2" xfId="33304" xr:uid="{00000000-0005-0000-0000-000017820000}"/>
    <cellStyle name="Normal 2 2 3 2 2 2 7 2 3" xfId="33305" xr:uid="{00000000-0005-0000-0000-000018820000}"/>
    <cellStyle name="Normal 2 2 3 2 2 2 7 3" xfId="33306" xr:uid="{00000000-0005-0000-0000-000019820000}"/>
    <cellStyle name="Normal 2 2 3 2 2 2 7 3 2" xfId="33307" xr:uid="{00000000-0005-0000-0000-00001A820000}"/>
    <cellStyle name="Normal 2 2 3 2 2 2 7 4" xfId="33308" xr:uid="{00000000-0005-0000-0000-00001B820000}"/>
    <cellStyle name="Normal 2 2 3 2 2 2 8" xfId="33309" xr:uid="{00000000-0005-0000-0000-00001C820000}"/>
    <cellStyle name="Normal 2 2 3 2 2 2 8 2" xfId="33310" xr:uid="{00000000-0005-0000-0000-00001D820000}"/>
    <cellStyle name="Normal 2 2 3 2 2 2 8 2 2" xfId="33311" xr:uid="{00000000-0005-0000-0000-00001E820000}"/>
    <cellStyle name="Normal 2 2 3 2 2 2 8 2 2 2" xfId="33312" xr:uid="{00000000-0005-0000-0000-00001F820000}"/>
    <cellStyle name="Normal 2 2 3 2 2 2 8 2 3" xfId="33313" xr:uid="{00000000-0005-0000-0000-000020820000}"/>
    <cellStyle name="Normal 2 2 3 2 2 2 8 3" xfId="33314" xr:uid="{00000000-0005-0000-0000-000021820000}"/>
    <cellStyle name="Normal 2 2 3 2 2 2 8 3 2" xfId="33315" xr:uid="{00000000-0005-0000-0000-000022820000}"/>
    <cellStyle name="Normal 2 2 3 2 2 2 8 4" xfId="33316" xr:uid="{00000000-0005-0000-0000-000023820000}"/>
    <cellStyle name="Normal 2 2 3 2 2 2 9" xfId="33317" xr:uid="{00000000-0005-0000-0000-000024820000}"/>
    <cellStyle name="Normal 2 2 3 2 2 2 9 2" xfId="33318" xr:uid="{00000000-0005-0000-0000-000025820000}"/>
    <cellStyle name="Normal 2 2 3 2 2 2 9 2 2" xfId="33319" xr:uid="{00000000-0005-0000-0000-000026820000}"/>
    <cellStyle name="Normal 2 2 3 2 2 2 9 3" xfId="33320" xr:uid="{00000000-0005-0000-0000-000027820000}"/>
    <cellStyle name="Normal 2 2 3 2 2 20" xfId="33321" xr:uid="{00000000-0005-0000-0000-000028820000}"/>
    <cellStyle name="Normal 2 2 3 2 2 3" xfId="33322" xr:uid="{00000000-0005-0000-0000-000029820000}"/>
    <cellStyle name="Normal 2 2 3 2 2 3 10" xfId="33323" xr:uid="{00000000-0005-0000-0000-00002A820000}"/>
    <cellStyle name="Normal 2 2 3 2 2 3 10 2" xfId="33324" xr:uid="{00000000-0005-0000-0000-00002B820000}"/>
    <cellStyle name="Normal 2 2 3 2 2 3 10 2 2" xfId="33325" xr:uid="{00000000-0005-0000-0000-00002C820000}"/>
    <cellStyle name="Normal 2 2 3 2 2 3 10 3" xfId="33326" xr:uid="{00000000-0005-0000-0000-00002D820000}"/>
    <cellStyle name="Normal 2 2 3 2 2 3 11" xfId="33327" xr:uid="{00000000-0005-0000-0000-00002E820000}"/>
    <cellStyle name="Normal 2 2 3 2 2 3 11 2" xfId="33328" xr:uid="{00000000-0005-0000-0000-00002F820000}"/>
    <cellStyle name="Normal 2 2 3 2 2 3 11 2 2" xfId="33329" xr:uid="{00000000-0005-0000-0000-000030820000}"/>
    <cellStyle name="Normal 2 2 3 2 2 3 11 3" xfId="33330" xr:uid="{00000000-0005-0000-0000-000031820000}"/>
    <cellStyle name="Normal 2 2 3 2 2 3 12" xfId="33331" xr:uid="{00000000-0005-0000-0000-000032820000}"/>
    <cellStyle name="Normal 2 2 3 2 2 3 12 2" xfId="33332" xr:uid="{00000000-0005-0000-0000-000033820000}"/>
    <cellStyle name="Normal 2 2 3 2 2 3 12 2 2" xfId="33333" xr:uid="{00000000-0005-0000-0000-000034820000}"/>
    <cellStyle name="Normal 2 2 3 2 2 3 12 3" xfId="33334" xr:uid="{00000000-0005-0000-0000-000035820000}"/>
    <cellStyle name="Normal 2 2 3 2 2 3 13" xfId="33335" xr:uid="{00000000-0005-0000-0000-000036820000}"/>
    <cellStyle name="Normal 2 2 3 2 2 3 13 2" xfId="33336" xr:uid="{00000000-0005-0000-0000-000037820000}"/>
    <cellStyle name="Normal 2 2 3 2 2 3 14" xfId="33337" xr:uid="{00000000-0005-0000-0000-000038820000}"/>
    <cellStyle name="Normal 2 2 3 2 2 3 2" xfId="33338" xr:uid="{00000000-0005-0000-0000-000039820000}"/>
    <cellStyle name="Normal 2 2 3 2 2 3 2 2" xfId="33339" xr:uid="{00000000-0005-0000-0000-00003A820000}"/>
    <cellStyle name="Normal 2 2 3 2 2 3 2 2 2" xfId="33340" xr:uid="{00000000-0005-0000-0000-00003B820000}"/>
    <cellStyle name="Normal 2 2 3 2 2 3 2 2 2 2" xfId="33341" xr:uid="{00000000-0005-0000-0000-00003C820000}"/>
    <cellStyle name="Normal 2 2 3 2 2 3 2 2 2 2 2" xfId="33342" xr:uid="{00000000-0005-0000-0000-00003D820000}"/>
    <cellStyle name="Normal 2 2 3 2 2 3 2 2 2 3" xfId="33343" xr:uid="{00000000-0005-0000-0000-00003E820000}"/>
    <cellStyle name="Normal 2 2 3 2 2 3 2 2 3" xfId="33344" xr:uid="{00000000-0005-0000-0000-00003F820000}"/>
    <cellStyle name="Normal 2 2 3 2 2 3 2 2 3 2" xfId="33345" xr:uid="{00000000-0005-0000-0000-000040820000}"/>
    <cellStyle name="Normal 2 2 3 2 2 3 2 2 4" xfId="33346" xr:uid="{00000000-0005-0000-0000-000041820000}"/>
    <cellStyle name="Normal 2 2 3 2 2 3 2 3" xfId="33347" xr:uid="{00000000-0005-0000-0000-000042820000}"/>
    <cellStyle name="Normal 2 2 3 2 2 3 2 3 2" xfId="33348" xr:uid="{00000000-0005-0000-0000-000043820000}"/>
    <cellStyle name="Normal 2 2 3 2 2 3 2 3 2 2" xfId="33349" xr:uid="{00000000-0005-0000-0000-000044820000}"/>
    <cellStyle name="Normal 2 2 3 2 2 3 2 3 3" xfId="33350" xr:uid="{00000000-0005-0000-0000-000045820000}"/>
    <cellStyle name="Normal 2 2 3 2 2 3 2 4" xfId="33351" xr:uid="{00000000-0005-0000-0000-000046820000}"/>
    <cellStyle name="Normal 2 2 3 2 2 3 2 4 2" xfId="33352" xr:uid="{00000000-0005-0000-0000-000047820000}"/>
    <cellStyle name="Normal 2 2 3 2 2 3 2 4 2 2" xfId="33353" xr:uid="{00000000-0005-0000-0000-000048820000}"/>
    <cellStyle name="Normal 2 2 3 2 2 3 2 4 3" xfId="33354" xr:uid="{00000000-0005-0000-0000-000049820000}"/>
    <cellStyle name="Normal 2 2 3 2 2 3 2 5" xfId="33355" xr:uid="{00000000-0005-0000-0000-00004A820000}"/>
    <cellStyle name="Normal 2 2 3 2 2 3 2 5 2" xfId="33356" xr:uid="{00000000-0005-0000-0000-00004B820000}"/>
    <cellStyle name="Normal 2 2 3 2 2 3 2 5 2 2" xfId="33357" xr:uid="{00000000-0005-0000-0000-00004C820000}"/>
    <cellStyle name="Normal 2 2 3 2 2 3 2 5 3" xfId="33358" xr:uid="{00000000-0005-0000-0000-00004D820000}"/>
    <cellStyle name="Normal 2 2 3 2 2 3 2 6" xfId="33359" xr:uid="{00000000-0005-0000-0000-00004E820000}"/>
    <cellStyle name="Normal 2 2 3 2 2 3 2 6 2" xfId="33360" xr:uid="{00000000-0005-0000-0000-00004F820000}"/>
    <cellStyle name="Normal 2 2 3 2 2 3 2 6 2 2" xfId="33361" xr:uid="{00000000-0005-0000-0000-000050820000}"/>
    <cellStyle name="Normal 2 2 3 2 2 3 2 6 3" xfId="33362" xr:uid="{00000000-0005-0000-0000-000051820000}"/>
    <cellStyle name="Normal 2 2 3 2 2 3 2 7" xfId="33363" xr:uid="{00000000-0005-0000-0000-000052820000}"/>
    <cellStyle name="Normal 2 2 3 2 2 3 2 7 2" xfId="33364" xr:uid="{00000000-0005-0000-0000-000053820000}"/>
    <cellStyle name="Normal 2 2 3 2 2 3 2 8" xfId="33365" xr:uid="{00000000-0005-0000-0000-000054820000}"/>
    <cellStyle name="Normal 2 2 3 2 2 3 3" xfId="33366" xr:uid="{00000000-0005-0000-0000-000055820000}"/>
    <cellStyle name="Normal 2 2 3 2 2 3 3 2" xfId="33367" xr:uid="{00000000-0005-0000-0000-000056820000}"/>
    <cellStyle name="Normal 2 2 3 2 2 3 3 2 2" xfId="33368" xr:uid="{00000000-0005-0000-0000-000057820000}"/>
    <cellStyle name="Normal 2 2 3 2 2 3 3 2 2 2" xfId="33369" xr:uid="{00000000-0005-0000-0000-000058820000}"/>
    <cellStyle name="Normal 2 2 3 2 2 3 3 2 2 2 2" xfId="33370" xr:uid="{00000000-0005-0000-0000-000059820000}"/>
    <cellStyle name="Normal 2 2 3 2 2 3 3 2 2 3" xfId="33371" xr:uid="{00000000-0005-0000-0000-00005A820000}"/>
    <cellStyle name="Normal 2 2 3 2 2 3 3 2 3" xfId="33372" xr:uid="{00000000-0005-0000-0000-00005B820000}"/>
    <cellStyle name="Normal 2 2 3 2 2 3 3 2 3 2" xfId="33373" xr:uid="{00000000-0005-0000-0000-00005C820000}"/>
    <cellStyle name="Normal 2 2 3 2 2 3 3 2 4" xfId="33374" xr:uid="{00000000-0005-0000-0000-00005D820000}"/>
    <cellStyle name="Normal 2 2 3 2 2 3 3 3" xfId="33375" xr:uid="{00000000-0005-0000-0000-00005E820000}"/>
    <cellStyle name="Normal 2 2 3 2 2 3 3 3 2" xfId="33376" xr:uid="{00000000-0005-0000-0000-00005F820000}"/>
    <cellStyle name="Normal 2 2 3 2 2 3 3 3 2 2" xfId="33377" xr:uid="{00000000-0005-0000-0000-000060820000}"/>
    <cellStyle name="Normal 2 2 3 2 2 3 3 3 3" xfId="33378" xr:uid="{00000000-0005-0000-0000-000061820000}"/>
    <cellStyle name="Normal 2 2 3 2 2 3 3 4" xfId="33379" xr:uid="{00000000-0005-0000-0000-000062820000}"/>
    <cellStyle name="Normal 2 2 3 2 2 3 3 4 2" xfId="33380" xr:uid="{00000000-0005-0000-0000-000063820000}"/>
    <cellStyle name="Normal 2 2 3 2 2 3 3 4 2 2" xfId="33381" xr:uid="{00000000-0005-0000-0000-000064820000}"/>
    <cellStyle name="Normal 2 2 3 2 2 3 3 4 3" xfId="33382" xr:uid="{00000000-0005-0000-0000-000065820000}"/>
    <cellStyle name="Normal 2 2 3 2 2 3 3 5" xfId="33383" xr:uid="{00000000-0005-0000-0000-000066820000}"/>
    <cellStyle name="Normal 2 2 3 2 2 3 3 5 2" xfId="33384" xr:uid="{00000000-0005-0000-0000-000067820000}"/>
    <cellStyle name="Normal 2 2 3 2 2 3 3 5 2 2" xfId="33385" xr:uid="{00000000-0005-0000-0000-000068820000}"/>
    <cellStyle name="Normal 2 2 3 2 2 3 3 5 3" xfId="33386" xr:uid="{00000000-0005-0000-0000-000069820000}"/>
    <cellStyle name="Normal 2 2 3 2 2 3 3 6" xfId="33387" xr:uid="{00000000-0005-0000-0000-00006A820000}"/>
    <cellStyle name="Normal 2 2 3 2 2 3 3 6 2" xfId="33388" xr:uid="{00000000-0005-0000-0000-00006B820000}"/>
    <cellStyle name="Normal 2 2 3 2 2 3 3 6 2 2" xfId="33389" xr:uid="{00000000-0005-0000-0000-00006C820000}"/>
    <cellStyle name="Normal 2 2 3 2 2 3 3 6 3" xfId="33390" xr:uid="{00000000-0005-0000-0000-00006D820000}"/>
    <cellStyle name="Normal 2 2 3 2 2 3 3 7" xfId="33391" xr:uid="{00000000-0005-0000-0000-00006E820000}"/>
    <cellStyle name="Normal 2 2 3 2 2 3 3 7 2" xfId="33392" xr:uid="{00000000-0005-0000-0000-00006F820000}"/>
    <cellStyle name="Normal 2 2 3 2 2 3 3 8" xfId="33393" xr:uid="{00000000-0005-0000-0000-000070820000}"/>
    <cellStyle name="Normal 2 2 3 2 2 3 4" xfId="33394" xr:uid="{00000000-0005-0000-0000-000071820000}"/>
    <cellStyle name="Normal 2 2 3 2 2 3 4 2" xfId="33395" xr:uid="{00000000-0005-0000-0000-000072820000}"/>
    <cellStyle name="Normal 2 2 3 2 2 3 4 2 2" xfId="33396" xr:uid="{00000000-0005-0000-0000-000073820000}"/>
    <cellStyle name="Normal 2 2 3 2 2 3 4 2 2 2" xfId="33397" xr:uid="{00000000-0005-0000-0000-000074820000}"/>
    <cellStyle name="Normal 2 2 3 2 2 3 4 2 2 2 2" xfId="33398" xr:uid="{00000000-0005-0000-0000-000075820000}"/>
    <cellStyle name="Normal 2 2 3 2 2 3 4 2 2 3" xfId="33399" xr:uid="{00000000-0005-0000-0000-000076820000}"/>
    <cellStyle name="Normal 2 2 3 2 2 3 4 2 3" xfId="33400" xr:uid="{00000000-0005-0000-0000-000077820000}"/>
    <cellStyle name="Normal 2 2 3 2 2 3 4 2 3 2" xfId="33401" xr:uid="{00000000-0005-0000-0000-000078820000}"/>
    <cellStyle name="Normal 2 2 3 2 2 3 4 2 4" xfId="33402" xr:uid="{00000000-0005-0000-0000-000079820000}"/>
    <cellStyle name="Normal 2 2 3 2 2 3 4 3" xfId="33403" xr:uid="{00000000-0005-0000-0000-00007A820000}"/>
    <cellStyle name="Normal 2 2 3 2 2 3 4 3 2" xfId="33404" xr:uid="{00000000-0005-0000-0000-00007B820000}"/>
    <cellStyle name="Normal 2 2 3 2 2 3 4 3 2 2" xfId="33405" xr:uid="{00000000-0005-0000-0000-00007C820000}"/>
    <cellStyle name="Normal 2 2 3 2 2 3 4 3 3" xfId="33406" xr:uid="{00000000-0005-0000-0000-00007D820000}"/>
    <cellStyle name="Normal 2 2 3 2 2 3 4 4" xfId="33407" xr:uid="{00000000-0005-0000-0000-00007E820000}"/>
    <cellStyle name="Normal 2 2 3 2 2 3 4 4 2" xfId="33408" xr:uid="{00000000-0005-0000-0000-00007F820000}"/>
    <cellStyle name="Normal 2 2 3 2 2 3 4 4 2 2" xfId="33409" xr:uid="{00000000-0005-0000-0000-000080820000}"/>
    <cellStyle name="Normal 2 2 3 2 2 3 4 4 3" xfId="33410" xr:uid="{00000000-0005-0000-0000-000081820000}"/>
    <cellStyle name="Normal 2 2 3 2 2 3 4 5" xfId="33411" xr:uid="{00000000-0005-0000-0000-000082820000}"/>
    <cellStyle name="Normal 2 2 3 2 2 3 4 5 2" xfId="33412" xr:uid="{00000000-0005-0000-0000-000083820000}"/>
    <cellStyle name="Normal 2 2 3 2 2 3 4 5 2 2" xfId="33413" xr:uid="{00000000-0005-0000-0000-000084820000}"/>
    <cellStyle name="Normal 2 2 3 2 2 3 4 5 3" xfId="33414" xr:uid="{00000000-0005-0000-0000-000085820000}"/>
    <cellStyle name="Normal 2 2 3 2 2 3 4 6" xfId="33415" xr:uid="{00000000-0005-0000-0000-000086820000}"/>
    <cellStyle name="Normal 2 2 3 2 2 3 4 6 2" xfId="33416" xr:uid="{00000000-0005-0000-0000-000087820000}"/>
    <cellStyle name="Normal 2 2 3 2 2 3 4 6 2 2" xfId="33417" xr:uid="{00000000-0005-0000-0000-000088820000}"/>
    <cellStyle name="Normal 2 2 3 2 2 3 4 6 3" xfId="33418" xr:uid="{00000000-0005-0000-0000-000089820000}"/>
    <cellStyle name="Normal 2 2 3 2 2 3 4 7" xfId="33419" xr:uid="{00000000-0005-0000-0000-00008A820000}"/>
    <cellStyle name="Normal 2 2 3 2 2 3 4 7 2" xfId="33420" xr:uid="{00000000-0005-0000-0000-00008B820000}"/>
    <cellStyle name="Normal 2 2 3 2 2 3 4 8" xfId="33421" xr:uid="{00000000-0005-0000-0000-00008C820000}"/>
    <cellStyle name="Normal 2 2 3 2 2 3 5" xfId="33422" xr:uid="{00000000-0005-0000-0000-00008D820000}"/>
    <cellStyle name="Normal 2 2 3 2 2 3 5 2" xfId="33423" xr:uid="{00000000-0005-0000-0000-00008E820000}"/>
    <cellStyle name="Normal 2 2 3 2 2 3 5 2 2" xfId="33424" xr:uid="{00000000-0005-0000-0000-00008F820000}"/>
    <cellStyle name="Normal 2 2 3 2 2 3 5 2 2 2" xfId="33425" xr:uid="{00000000-0005-0000-0000-000090820000}"/>
    <cellStyle name="Normal 2 2 3 2 2 3 5 2 2 2 2" xfId="33426" xr:uid="{00000000-0005-0000-0000-000091820000}"/>
    <cellStyle name="Normal 2 2 3 2 2 3 5 2 2 3" xfId="33427" xr:uid="{00000000-0005-0000-0000-000092820000}"/>
    <cellStyle name="Normal 2 2 3 2 2 3 5 2 3" xfId="33428" xr:uid="{00000000-0005-0000-0000-000093820000}"/>
    <cellStyle name="Normal 2 2 3 2 2 3 5 2 3 2" xfId="33429" xr:uid="{00000000-0005-0000-0000-000094820000}"/>
    <cellStyle name="Normal 2 2 3 2 2 3 5 2 4" xfId="33430" xr:uid="{00000000-0005-0000-0000-000095820000}"/>
    <cellStyle name="Normal 2 2 3 2 2 3 5 3" xfId="33431" xr:uid="{00000000-0005-0000-0000-000096820000}"/>
    <cellStyle name="Normal 2 2 3 2 2 3 5 3 2" xfId="33432" xr:uid="{00000000-0005-0000-0000-000097820000}"/>
    <cellStyle name="Normal 2 2 3 2 2 3 5 3 2 2" xfId="33433" xr:uid="{00000000-0005-0000-0000-000098820000}"/>
    <cellStyle name="Normal 2 2 3 2 2 3 5 3 3" xfId="33434" xr:uid="{00000000-0005-0000-0000-000099820000}"/>
    <cellStyle name="Normal 2 2 3 2 2 3 5 4" xfId="33435" xr:uid="{00000000-0005-0000-0000-00009A820000}"/>
    <cellStyle name="Normal 2 2 3 2 2 3 5 4 2" xfId="33436" xr:uid="{00000000-0005-0000-0000-00009B820000}"/>
    <cellStyle name="Normal 2 2 3 2 2 3 5 5" xfId="33437" xr:uid="{00000000-0005-0000-0000-00009C820000}"/>
    <cellStyle name="Normal 2 2 3 2 2 3 6" xfId="33438" xr:uid="{00000000-0005-0000-0000-00009D820000}"/>
    <cellStyle name="Normal 2 2 3 2 2 3 6 2" xfId="33439" xr:uid="{00000000-0005-0000-0000-00009E820000}"/>
    <cellStyle name="Normal 2 2 3 2 2 3 6 2 2" xfId="33440" xr:uid="{00000000-0005-0000-0000-00009F820000}"/>
    <cellStyle name="Normal 2 2 3 2 2 3 6 2 2 2" xfId="33441" xr:uid="{00000000-0005-0000-0000-0000A0820000}"/>
    <cellStyle name="Normal 2 2 3 2 2 3 6 2 2 2 2" xfId="33442" xr:uid="{00000000-0005-0000-0000-0000A1820000}"/>
    <cellStyle name="Normal 2 2 3 2 2 3 6 2 2 3" xfId="33443" xr:uid="{00000000-0005-0000-0000-0000A2820000}"/>
    <cellStyle name="Normal 2 2 3 2 2 3 6 2 3" xfId="33444" xr:uid="{00000000-0005-0000-0000-0000A3820000}"/>
    <cellStyle name="Normal 2 2 3 2 2 3 6 2 3 2" xfId="33445" xr:uid="{00000000-0005-0000-0000-0000A4820000}"/>
    <cellStyle name="Normal 2 2 3 2 2 3 6 2 4" xfId="33446" xr:uid="{00000000-0005-0000-0000-0000A5820000}"/>
    <cellStyle name="Normal 2 2 3 2 2 3 6 3" xfId="33447" xr:uid="{00000000-0005-0000-0000-0000A6820000}"/>
    <cellStyle name="Normal 2 2 3 2 2 3 6 3 2" xfId="33448" xr:uid="{00000000-0005-0000-0000-0000A7820000}"/>
    <cellStyle name="Normal 2 2 3 2 2 3 6 3 2 2" xfId="33449" xr:uid="{00000000-0005-0000-0000-0000A8820000}"/>
    <cellStyle name="Normal 2 2 3 2 2 3 6 3 3" xfId="33450" xr:uid="{00000000-0005-0000-0000-0000A9820000}"/>
    <cellStyle name="Normal 2 2 3 2 2 3 6 4" xfId="33451" xr:uid="{00000000-0005-0000-0000-0000AA820000}"/>
    <cellStyle name="Normal 2 2 3 2 2 3 6 4 2" xfId="33452" xr:uid="{00000000-0005-0000-0000-0000AB820000}"/>
    <cellStyle name="Normal 2 2 3 2 2 3 6 5" xfId="33453" xr:uid="{00000000-0005-0000-0000-0000AC820000}"/>
    <cellStyle name="Normal 2 2 3 2 2 3 7" xfId="33454" xr:uid="{00000000-0005-0000-0000-0000AD820000}"/>
    <cellStyle name="Normal 2 2 3 2 2 3 7 2" xfId="33455" xr:uid="{00000000-0005-0000-0000-0000AE820000}"/>
    <cellStyle name="Normal 2 2 3 2 2 3 7 2 2" xfId="33456" xr:uid="{00000000-0005-0000-0000-0000AF820000}"/>
    <cellStyle name="Normal 2 2 3 2 2 3 7 2 2 2" xfId="33457" xr:uid="{00000000-0005-0000-0000-0000B0820000}"/>
    <cellStyle name="Normal 2 2 3 2 2 3 7 2 3" xfId="33458" xr:uid="{00000000-0005-0000-0000-0000B1820000}"/>
    <cellStyle name="Normal 2 2 3 2 2 3 7 3" xfId="33459" xr:uid="{00000000-0005-0000-0000-0000B2820000}"/>
    <cellStyle name="Normal 2 2 3 2 2 3 7 3 2" xfId="33460" xr:uid="{00000000-0005-0000-0000-0000B3820000}"/>
    <cellStyle name="Normal 2 2 3 2 2 3 7 4" xfId="33461" xr:uid="{00000000-0005-0000-0000-0000B4820000}"/>
    <cellStyle name="Normal 2 2 3 2 2 3 8" xfId="33462" xr:uid="{00000000-0005-0000-0000-0000B5820000}"/>
    <cellStyle name="Normal 2 2 3 2 2 3 8 2" xfId="33463" xr:uid="{00000000-0005-0000-0000-0000B6820000}"/>
    <cellStyle name="Normal 2 2 3 2 2 3 8 2 2" xfId="33464" xr:uid="{00000000-0005-0000-0000-0000B7820000}"/>
    <cellStyle name="Normal 2 2 3 2 2 3 8 2 2 2" xfId="33465" xr:uid="{00000000-0005-0000-0000-0000B8820000}"/>
    <cellStyle name="Normal 2 2 3 2 2 3 8 2 3" xfId="33466" xr:uid="{00000000-0005-0000-0000-0000B9820000}"/>
    <cellStyle name="Normal 2 2 3 2 2 3 8 3" xfId="33467" xr:uid="{00000000-0005-0000-0000-0000BA820000}"/>
    <cellStyle name="Normal 2 2 3 2 2 3 8 3 2" xfId="33468" xr:uid="{00000000-0005-0000-0000-0000BB820000}"/>
    <cellStyle name="Normal 2 2 3 2 2 3 8 4" xfId="33469" xr:uid="{00000000-0005-0000-0000-0000BC820000}"/>
    <cellStyle name="Normal 2 2 3 2 2 3 9" xfId="33470" xr:uid="{00000000-0005-0000-0000-0000BD820000}"/>
    <cellStyle name="Normal 2 2 3 2 2 3 9 2" xfId="33471" xr:uid="{00000000-0005-0000-0000-0000BE820000}"/>
    <cellStyle name="Normal 2 2 3 2 2 3 9 2 2" xfId="33472" xr:uid="{00000000-0005-0000-0000-0000BF820000}"/>
    <cellStyle name="Normal 2 2 3 2 2 3 9 3" xfId="33473" xr:uid="{00000000-0005-0000-0000-0000C0820000}"/>
    <cellStyle name="Normal 2 2 3 2 2 4" xfId="33474" xr:uid="{00000000-0005-0000-0000-0000C1820000}"/>
    <cellStyle name="Normal 2 2 3 2 2 4 10" xfId="33475" xr:uid="{00000000-0005-0000-0000-0000C2820000}"/>
    <cellStyle name="Normal 2 2 3 2 2 4 10 2" xfId="33476" xr:uid="{00000000-0005-0000-0000-0000C3820000}"/>
    <cellStyle name="Normal 2 2 3 2 2 4 10 2 2" xfId="33477" xr:uid="{00000000-0005-0000-0000-0000C4820000}"/>
    <cellStyle name="Normal 2 2 3 2 2 4 10 3" xfId="33478" xr:uid="{00000000-0005-0000-0000-0000C5820000}"/>
    <cellStyle name="Normal 2 2 3 2 2 4 11" xfId="33479" xr:uid="{00000000-0005-0000-0000-0000C6820000}"/>
    <cellStyle name="Normal 2 2 3 2 2 4 11 2" xfId="33480" xr:uid="{00000000-0005-0000-0000-0000C7820000}"/>
    <cellStyle name="Normal 2 2 3 2 2 4 11 2 2" xfId="33481" xr:uid="{00000000-0005-0000-0000-0000C8820000}"/>
    <cellStyle name="Normal 2 2 3 2 2 4 11 3" xfId="33482" xr:uid="{00000000-0005-0000-0000-0000C9820000}"/>
    <cellStyle name="Normal 2 2 3 2 2 4 12" xfId="33483" xr:uid="{00000000-0005-0000-0000-0000CA820000}"/>
    <cellStyle name="Normal 2 2 3 2 2 4 12 2" xfId="33484" xr:uid="{00000000-0005-0000-0000-0000CB820000}"/>
    <cellStyle name="Normal 2 2 3 2 2 4 12 2 2" xfId="33485" xr:uid="{00000000-0005-0000-0000-0000CC820000}"/>
    <cellStyle name="Normal 2 2 3 2 2 4 12 3" xfId="33486" xr:uid="{00000000-0005-0000-0000-0000CD820000}"/>
    <cellStyle name="Normal 2 2 3 2 2 4 13" xfId="33487" xr:uid="{00000000-0005-0000-0000-0000CE820000}"/>
    <cellStyle name="Normal 2 2 3 2 2 4 13 2" xfId="33488" xr:uid="{00000000-0005-0000-0000-0000CF820000}"/>
    <cellStyle name="Normal 2 2 3 2 2 4 14" xfId="33489" xr:uid="{00000000-0005-0000-0000-0000D0820000}"/>
    <cellStyle name="Normal 2 2 3 2 2 4 2" xfId="33490" xr:uid="{00000000-0005-0000-0000-0000D1820000}"/>
    <cellStyle name="Normal 2 2 3 2 2 4 2 2" xfId="33491" xr:uid="{00000000-0005-0000-0000-0000D2820000}"/>
    <cellStyle name="Normal 2 2 3 2 2 4 2 2 2" xfId="33492" xr:uid="{00000000-0005-0000-0000-0000D3820000}"/>
    <cellStyle name="Normal 2 2 3 2 2 4 2 2 2 2" xfId="33493" xr:uid="{00000000-0005-0000-0000-0000D4820000}"/>
    <cellStyle name="Normal 2 2 3 2 2 4 2 2 2 2 2" xfId="33494" xr:uid="{00000000-0005-0000-0000-0000D5820000}"/>
    <cellStyle name="Normal 2 2 3 2 2 4 2 2 2 3" xfId="33495" xr:uid="{00000000-0005-0000-0000-0000D6820000}"/>
    <cellStyle name="Normal 2 2 3 2 2 4 2 2 3" xfId="33496" xr:uid="{00000000-0005-0000-0000-0000D7820000}"/>
    <cellStyle name="Normal 2 2 3 2 2 4 2 2 3 2" xfId="33497" xr:uid="{00000000-0005-0000-0000-0000D8820000}"/>
    <cellStyle name="Normal 2 2 3 2 2 4 2 2 4" xfId="33498" xr:uid="{00000000-0005-0000-0000-0000D9820000}"/>
    <cellStyle name="Normal 2 2 3 2 2 4 2 3" xfId="33499" xr:uid="{00000000-0005-0000-0000-0000DA820000}"/>
    <cellStyle name="Normal 2 2 3 2 2 4 2 3 2" xfId="33500" xr:uid="{00000000-0005-0000-0000-0000DB820000}"/>
    <cellStyle name="Normal 2 2 3 2 2 4 2 3 2 2" xfId="33501" xr:uid="{00000000-0005-0000-0000-0000DC820000}"/>
    <cellStyle name="Normal 2 2 3 2 2 4 2 3 3" xfId="33502" xr:uid="{00000000-0005-0000-0000-0000DD820000}"/>
    <cellStyle name="Normal 2 2 3 2 2 4 2 4" xfId="33503" xr:uid="{00000000-0005-0000-0000-0000DE820000}"/>
    <cellStyle name="Normal 2 2 3 2 2 4 2 4 2" xfId="33504" xr:uid="{00000000-0005-0000-0000-0000DF820000}"/>
    <cellStyle name="Normal 2 2 3 2 2 4 2 4 2 2" xfId="33505" xr:uid="{00000000-0005-0000-0000-0000E0820000}"/>
    <cellStyle name="Normal 2 2 3 2 2 4 2 4 3" xfId="33506" xr:uid="{00000000-0005-0000-0000-0000E1820000}"/>
    <cellStyle name="Normal 2 2 3 2 2 4 2 5" xfId="33507" xr:uid="{00000000-0005-0000-0000-0000E2820000}"/>
    <cellStyle name="Normal 2 2 3 2 2 4 2 5 2" xfId="33508" xr:uid="{00000000-0005-0000-0000-0000E3820000}"/>
    <cellStyle name="Normal 2 2 3 2 2 4 2 5 2 2" xfId="33509" xr:uid="{00000000-0005-0000-0000-0000E4820000}"/>
    <cellStyle name="Normal 2 2 3 2 2 4 2 5 3" xfId="33510" xr:uid="{00000000-0005-0000-0000-0000E5820000}"/>
    <cellStyle name="Normal 2 2 3 2 2 4 2 6" xfId="33511" xr:uid="{00000000-0005-0000-0000-0000E6820000}"/>
    <cellStyle name="Normal 2 2 3 2 2 4 2 6 2" xfId="33512" xr:uid="{00000000-0005-0000-0000-0000E7820000}"/>
    <cellStyle name="Normal 2 2 3 2 2 4 2 6 2 2" xfId="33513" xr:uid="{00000000-0005-0000-0000-0000E8820000}"/>
    <cellStyle name="Normal 2 2 3 2 2 4 2 6 3" xfId="33514" xr:uid="{00000000-0005-0000-0000-0000E9820000}"/>
    <cellStyle name="Normal 2 2 3 2 2 4 2 7" xfId="33515" xr:uid="{00000000-0005-0000-0000-0000EA820000}"/>
    <cellStyle name="Normal 2 2 3 2 2 4 2 7 2" xfId="33516" xr:uid="{00000000-0005-0000-0000-0000EB820000}"/>
    <cellStyle name="Normal 2 2 3 2 2 4 2 8" xfId="33517" xr:uid="{00000000-0005-0000-0000-0000EC820000}"/>
    <cellStyle name="Normal 2 2 3 2 2 4 3" xfId="33518" xr:uid="{00000000-0005-0000-0000-0000ED820000}"/>
    <cellStyle name="Normal 2 2 3 2 2 4 3 2" xfId="33519" xr:uid="{00000000-0005-0000-0000-0000EE820000}"/>
    <cellStyle name="Normal 2 2 3 2 2 4 3 2 2" xfId="33520" xr:uid="{00000000-0005-0000-0000-0000EF820000}"/>
    <cellStyle name="Normal 2 2 3 2 2 4 3 2 2 2" xfId="33521" xr:uid="{00000000-0005-0000-0000-0000F0820000}"/>
    <cellStyle name="Normal 2 2 3 2 2 4 3 2 2 2 2" xfId="33522" xr:uid="{00000000-0005-0000-0000-0000F1820000}"/>
    <cellStyle name="Normal 2 2 3 2 2 4 3 2 2 3" xfId="33523" xr:uid="{00000000-0005-0000-0000-0000F2820000}"/>
    <cellStyle name="Normal 2 2 3 2 2 4 3 2 3" xfId="33524" xr:uid="{00000000-0005-0000-0000-0000F3820000}"/>
    <cellStyle name="Normal 2 2 3 2 2 4 3 2 3 2" xfId="33525" xr:uid="{00000000-0005-0000-0000-0000F4820000}"/>
    <cellStyle name="Normal 2 2 3 2 2 4 3 2 4" xfId="33526" xr:uid="{00000000-0005-0000-0000-0000F5820000}"/>
    <cellStyle name="Normal 2 2 3 2 2 4 3 3" xfId="33527" xr:uid="{00000000-0005-0000-0000-0000F6820000}"/>
    <cellStyle name="Normal 2 2 3 2 2 4 3 3 2" xfId="33528" xr:uid="{00000000-0005-0000-0000-0000F7820000}"/>
    <cellStyle name="Normal 2 2 3 2 2 4 3 3 2 2" xfId="33529" xr:uid="{00000000-0005-0000-0000-0000F8820000}"/>
    <cellStyle name="Normal 2 2 3 2 2 4 3 3 3" xfId="33530" xr:uid="{00000000-0005-0000-0000-0000F9820000}"/>
    <cellStyle name="Normal 2 2 3 2 2 4 3 4" xfId="33531" xr:uid="{00000000-0005-0000-0000-0000FA820000}"/>
    <cellStyle name="Normal 2 2 3 2 2 4 3 4 2" xfId="33532" xr:uid="{00000000-0005-0000-0000-0000FB820000}"/>
    <cellStyle name="Normal 2 2 3 2 2 4 3 4 2 2" xfId="33533" xr:uid="{00000000-0005-0000-0000-0000FC820000}"/>
    <cellStyle name="Normal 2 2 3 2 2 4 3 4 3" xfId="33534" xr:uid="{00000000-0005-0000-0000-0000FD820000}"/>
    <cellStyle name="Normal 2 2 3 2 2 4 3 5" xfId="33535" xr:uid="{00000000-0005-0000-0000-0000FE820000}"/>
    <cellStyle name="Normal 2 2 3 2 2 4 3 5 2" xfId="33536" xr:uid="{00000000-0005-0000-0000-0000FF820000}"/>
    <cellStyle name="Normal 2 2 3 2 2 4 3 5 2 2" xfId="33537" xr:uid="{00000000-0005-0000-0000-000000830000}"/>
    <cellStyle name="Normal 2 2 3 2 2 4 3 5 3" xfId="33538" xr:uid="{00000000-0005-0000-0000-000001830000}"/>
    <cellStyle name="Normal 2 2 3 2 2 4 3 6" xfId="33539" xr:uid="{00000000-0005-0000-0000-000002830000}"/>
    <cellStyle name="Normal 2 2 3 2 2 4 3 6 2" xfId="33540" xr:uid="{00000000-0005-0000-0000-000003830000}"/>
    <cellStyle name="Normal 2 2 3 2 2 4 3 6 2 2" xfId="33541" xr:uid="{00000000-0005-0000-0000-000004830000}"/>
    <cellStyle name="Normal 2 2 3 2 2 4 3 6 3" xfId="33542" xr:uid="{00000000-0005-0000-0000-000005830000}"/>
    <cellStyle name="Normal 2 2 3 2 2 4 3 7" xfId="33543" xr:uid="{00000000-0005-0000-0000-000006830000}"/>
    <cellStyle name="Normal 2 2 3 2 2 4 3 7 2" xfId="33544" xr:uid="{00000000-0005-0000-0000-000007830000}"/>
    <cellStyle name="Normal 2 2 3 2 2 4 3 8" xfId="33545" xr:uid="{00000000-0005-0000-0000-000008830000}"/>
    <cellStyle name="Normal 2 2 3 2 2 4 4" xfId="33546" xr:uid="{00000000-0005-0000-0000-000009830000}"/>
    <cellStyle name="Normal 2 2 3 2 2 4 4 2" xfId="33547" xr:uid="{00000000-0005-0000-0000-00000A830000}"/>
    <cellStyle name="Normal 2 2 3 2 2 4 4 2 2" xfId="33548" xr:uid="{00000000-0005-0000-0000-00000B830000}"/>
    <cellStyle name="Normal 2 2 3 2 2 4 4 2 2 2" xfId="33549" xr:uid="{00000000-0005-0000-0000-00000C830000}"/>
    <cellStyle name="Normal 2 2 3 2 2 4 4 2 2 2 2" xfId="33550" xr:uid="{00000000-0005-0000-0000-00000D830000}"/>
    <cellStyle name="Normal 2 2 3 2 2 4 4 2 2 3" xfId="33551" xr:uid="{00000000-0005-0000-0000-00000E830000}"/>
    <cellStyle name="Normal 2 2 3 2 2 4 4 2 3" xfId="33552" xr:uid="{00000000-0005-0000-0000-00000F830000}"/>
    <cellStyle name="Normal 2 2 3 2 2 4 4 2 3 2" xfId="33553" xr:uid="{00000000-0005-0000-0000-000010830000}"/>
    <cellStyle name="Normal 2 2 3 2 2 4 4 2 4" xfId="33554" xr:uid="{00000000-0005-0000-0000-000011830000}"/>
    <cellStyle name="Normal 2 2 3 2 2 4 4 3" xfId="33555" xr:uid="{00000000-0005-0000-0000-000012830000}"/>
    <cellStyle name="Normal 2 2 3 2 2 4 4 3 2" xfId="33556" xr:uid="{00000000-0005-0000-0000-000013830000}"/>
    <cellStyle name="Normal 2 2 3 2 2 4 4 3 2 2" xfId="33557" xr:uid="{00000000-0005-0000-0000-000014830000}"/>
    <cellStyle name="Normal 2 2 3 2 2 4 4 3 3" xfId="33558" xr:uid="{00000000-0005-0000-0000-000015830000}"/>
    <cellStyle name="Normal 2 2 3 2 2 4 4 4" xfId="33559" xr:uid="{00000000-0005-0000-0000-000016830000}"/>
    <cellStyle name="Normal 2 2 3 2 2 4 4 4 2" xfId="33560" xr:uid="{00000000-0005-0000-0000-000017830000}"/>
    <cellStyle name="Normal 2 2 3 2 2 4 4 4 2 2" xfId="33561" xr:uid="{00000000-0005-0000-0000-000018830000}"/>
    <cellStyle name="Normal 2 2 3 2 2 4 4 4 3" xfId="33562" xr:uid="{00000000-0005-0000-0000-000019830000}"/>
    <cellStyle name="Normal 2 2 3 2 2 4 4 5" xfId="33563" xr:uid="{00000000-0005-0000-0000-00001A830000}"/>
    <cellStyle name="Normal 2 2 3 2 2 4 4 5 2" xfId="33564" xr:uid="{00000000-0005-0000-0000-00001B830000}"/>
    <cellStyle name="Normal 2 2 3 2 2 4 4 5 2 2" xfId="33565" xr:uid="{00000000-0005-0000-0000-00001C830000}"/>
    <cellStyle name="Normal 2 2 3 2 2 4 4 5 3" xfId="33566" xr:uid="{00000000-0005-0000-0000-00001D830000}"/>
    <cellStyle name="Normal 2 2 3 2 2 4 4 6" xfId="33567" xr:uid="{00000000-0005-0000-0000-00001E830000}"/>
    <cellStyle name="Normal 2 2 3 2 2 4 4 6 2" xfId="33568" xr:uid="{00000000-0005-0000-0000-00001F830000}"/>
    <cellStyle name="Normal 2 2 3 2 2 4 4 6 2 2" xfId="33569" xr:uid="{00000000-0005-0000-0000-000020830000}"/>
    <cellStyle name="Normal 2 2 3 2 2 4 4 6 3" xfId="33570" xr:uid="{00000000-0005-0000-0000-000021830000}"/>
    <cellStyle name="Normal 2 2 3 2 2 4 4 7" xfId="33571" xr:uid="{00000000-0005-0000-0000-000022830000}"/>
    <cellStyle name="Normal 2 2 3 2 2 4 4 7 2" xfId="33572" xr:uid="{00000000-0005-0000-0000-000023830000}"/>
    <cellStyle name="Normal 2 2 3 2 2 4 4 8" xfId="33573" xr:uid="{00000000-0005-0000-0000-000024830000}"/>
    <cellStyle name="Normal 2 2 3 2 2 4 5" xfId="33574" xr:uid="{00000000-0005-0000-0000-000025830000}"/>
    <cellStyle name="Normal 2 2 3 2 2 4 5 2" xfId="33575" xr:uid="{00000000-0005-0000-0000-000026830000}"/>
    <cellStyle name="Normal 2 2 3 2 2 4 5 2 2" xfId="33576" xr:uid="{00000000-0005-0000-0000-000027830000}"/>
    <cellStyle name="Normal 2 2 3 2 2 4 5 2 2 2" xfId="33577" xr:uid="{00000000-0005-0000-0000-000028830000}"/>
    <cellStyle name="Normal 2 2 3 2 2 4 5 2 2 2 2" xfId="33578" xr:uid="{00000000-0005-0000-0000-000029830000}"/>
    <cellStyle name="Normal 2 2 3 2 2 4 5 2 2 3" xfId="33579" xr:uid="{00000000-0005-0000-0000-00002A830000}"/>
    <cellStyle name="Normal 2 2 3 2 2 4 5 2 3" xfId="33580" xr:uid="{00000000-0005-0000-0000-00002B830000}"/>
    <cellStyle name="Normal 2 2 3 2 2 4 5 2 3 2" xfId="33581" xr:uid="{00000000-0005-0000-0000-00002C830000}"/>
    <cellStyle name="Normal 2 2 3 2 2 4 5 2 4" xfId="33582" xr:uid="{00000000-0005-0000-0000-00002D830000}"/>
    <cellStyle name="Normal 2 2 3 2 2 4 5 3" xfId="33583" xr:uid="{00000000-0005-0000-0000-00002E830000}"/>
    <cellStyle name="Normal 2 2 3 2 2 4 5 3 2" xfId="33584" xr:uid="{00000000-0005-0000-0000-00002F830000}"/>
    <cellStyle name="Normal 2 2 3 2 2 4 5 3 2 2" xfId="33585" xr:uid="{00000000-0005-0000-0000-000030830000}"/>
    <cellStyle name="Normal 2 2 3 2 2 4 5 3 3" xfId="33586" xr:uid="{00000000-0005-0000-0000-000031830000}"/>
    <cellStyle name="Normal 2 2 3 2 2 4 5 4" xfId="33587" xr:uid="{00000000-0005-0000-0000-000032830000}"/>
    <cellStyle name="Normal 2 2 3 2 2 4 5 4 2" xfId="33588" xr:uid="{00000000-0005-0000-0000-000033830000}"/>
    <cellStyle name="Normal 2 2 3 2 2 4 5 5" xfId="33589" xr:uid="{00000000-0005-0000-0000-000034830000}"/>
    <cellStyle name="Normal 2 2 3 2 2 4 6" xfId="33590" xr:uid="{00000000-0005-0000-0000-000035830000}"/>
    <cellStyle name="Normal 2 2 3 2 2 4 6 2" xfId="33591" xr:uid="{00000000-0005-0000-0000-000036830000}"/>
    <cellStyle name="Normal 2 2 3 2 2 4 6 2 2" xfId="33592" xr:uid="{00000000-0005-0000-0000-000037830000}"/>
    <cellStyle name="Normal 2 2 3 2 2 4 6 2 2 2" xfId="33593" xr:uid="{00000000-0005-0000-0000-000038830000}"/>
    <cellStyle name="Normal 2 2 3 2 2 4 6 2 2 2 2" xfId="33594" xr:uid="{00000000-0005-0000-0000-000039830000}"/>
    <cellStyle name="Normal 2 2 3 2 2 4 6 2 2 3" xfId="33595" xr:uid="{00000000-0005-0000-0000-00003A830000}"/>
    <cellStyle name="Normal 2 2 3 2 2 4 6 2 3" xfId="33596" xr:uid="{00000000-0005-0000-0000-00003B830000}"/>
    <cellStyle name="Normal 2 2 3 2 2 4 6 2 3 2" xfId="33597" xr:uid="{00000000-0005-0000-0000-00003C830000}"/>
    <cellStyle name="Normal 2 2 3 2 2 4 6 2 4" xfId="33598" xr:uid="{00000000-0005-0000-0000-00003D830000}"/>
    <cellStyle name="Normal 2 2 3 2 2 4 6 3" xfId="33599" xr:uid="{00000000-0005-0000-0000-00003E830000}"/>
    <cellStyle name="Normal 2 2 3 2 2 4 6 3 2" xfId="33600" xr:uid="{00000000-0005-0000-0000-00003F830000}"/>
    <cellStyle name="Normal 2 2 3 2 2 4 6 3 2 2" xfId="33601" xr:uid="{00000000-0005-0000-0000-000040830000}"/>
    <cellStyle name="Normal 2 2 3 2 2 4 6 3 3" xfId="33602" xr:uid="{00000000-0005-0000-0000-000041830000}"/>
    <cellStyle name="Normal 2 2 3 2 2 4 6 4" xfId="33603" xr:uid="{00000000-0005-0000-0000-000042830000}"/>
    <cellStyle name="Normal 2 2 3 2 2 4 6 4 2" xfId="33604" xr:uid="{00000000-0005-0000-0000-000043830000}"/>
    <cellStyle name="Normal 2 2 3 2 2 4 6 5" xfId="33605" xr:uid="{00000000-0005-0000-0000-000044830000}"/>
    <cellStyle name="Normal 2 2 3 2 2 4 7" xfId="33606" xr:uid="{00000000-0005-0000-0000-000045830000}"/>
    <cellStyle name="Normal 2 2 3 2 2 4 7 2" xfId="33607" xr:uid="{00000000-0005-0000-0000-000046830000}"/>
    <cellStyle name="Normal 2 2 3 2 2 4 7 2 2" xfId="33608" xr:uid="{00000000-0005-0000-0000-000047830000}"/>
    <cellStyle name="Normal 2 2 3 2 2 4 7 2 2 2" xfId="33609" xr:uid="{00000000-0005-0000-0000-000048830000}"/>
    <cellStyle name="Normal 2 2 3 2 2 4 7 2 3" xfId="33610" xr:uid="{00000000-0005-0000-0000-000049830000}"/>
    <cellStyle name="Normal 2 2 3 2 2 4 7 3" xfId="33611" xr:uid="{00000000-0005-0000-0000-00004A830000}"/>
    <cellStyle name="Normal 2 2 3 2 2 4 7 3 2" xfId="33612" xr:uid="{00000000-0005-0000-0000-00004B830000}"/>
    <cellStyle name="Normal 2 2 3 2 2 4 7 4" xfId="33613" xr:uid="{00000000-0005-0000-0000-00004C830000}"/>
    <cellStyle name="Normal 2 2 3 2 2 4 8" xfId="33614" xr:uid="{00000000-0005-0000-0000-00004D830000}"/>
    <cellStyle name="Normal 2 2 3 2 2 4 8 2" xfId="33615" xr:uid="{00000000-0005-0000-0000-00004E830000}"/>
    <cellStyle name="Normal 2 2 3 2 2 4 8 2 2" xfId="33616" xr:uid="{00000000-0005-0000-0000-00004F830000}"/>
    <cellStyle name="Normal 2 2 3 2 2 4 8 2 2 2" xfId="33617" xr:uid="{00000000-0005-0000-0000-000050830000}"/>
    <cellStyle name="Normal 2 2 3 2 2 4 8 2 3" xfId="33618" xr:uid="{00000000-0005-0000-0000-000051830000}"/>
    <cellStyle name="Normal 2 2 3 2 2 4 8 3" xfId="33619" xr:uid="{00000000-0005-0000-0000-000052830000}"/>
    <cellStyle name="Normal 2 2 3 2 2 4 8 3 2" xfId="33620" xr:uid="{00000000-0005-0000-0000-000053830000}"/>
    <cellStyle name="Normal 2 2 3 2 2 4 8 4" xfId="33621" xr:uid="{00000000-0005-0000-0000-000054830000}"/>
    <cellStyle name="Normal 2 2 3 2 2 4 9" xfId="33622" xr:uid="{00000000-0005-0000-0000-000055830000}"/>
    <cellStyle name="Normal 2 2 3 2 2 4 9 2" xfId="33623" xr:uid="{00000000-0005-0000-0000-000056830000}"/>
    <cellStyle name="Normal 2 2 3 2 2 4 9 2 2" xfId="33624" xr:uid="{00000000-0005-0000-0000-000057830000}"/>
    <cellStyle name="Normal 2 2 3 2 2 4 9 3" xfId="33625" xr:uid="{00000000-0005-0000-0000-000058830000}"/>
    <cellStyle name="Normal 2 2 3 2 2 5" xfId="33626" xr:uid="{00000000-0005-0000-0000-000059830000}"/>
    <cellStyle name="Normal 2 2 3 2 2 5 10" xfId="33627" xr:uid="{00000000-0005-0000-0000-00005A830000}"/>
    <cellStyle name="Normal 2 2 3 2 2 5 10 2" xfId="33628" xr:uid="{00000000-0005-0000-0000-00005B830000}"/>
    <cellStyle name="Normal 2 2 3 2 2 5 10 2 2" xfId="33629" xr:uid="{00000000-0005-0000-0000-00005C830000}"/>
    <cellStyle name="Normal 2 2 3 2 2 5 10 3" xfId="33630" xr:uid="{00000000-0005-0000-0000-00005D830000}"/>
    <cellStyle name="Normal 2 2 3 2 2 5 11" xfId="33631" xr:uid="{00000000-0005-0000-0000-00005E830000}"/>
    <cellStyle name="Normal 2 2 3 2 2 5 11 2" xfId="33632" xr:uid="{00000000-0005-0000-0000-00005F830000}"/>
    <cellStyle name="Normal 2 2 3 2 2 5 11 2 2" xfId="33633" xr:uid="{00000000-0005-0000-0000-000060830000}"/>
    <cellStyle name="Normal 2 2 3 2 2 5 11 3" xfId="33634" xr:uid="{00000000-0005-0000-0000-000061830000}"/>
    <cellStyle name="Normal 2 2 3 2 2 5 12" xfId="33635" xr:uid="{00000000-0005-0000-0000-000062830000}"/>
    <cellStyle name="Normal 2 2 3 2 2 5 12 2" xfId="33636" xr:uid="{00000000-0005-0000-0000-000063830000}"/>
    <cellStyle name="Normal 2 2 3 2 2 5 12 2 2" xfId="33637" xr:uid="{00000000-0005-0000-0000-000064830000}"/>
    <cellStyle name="Normal 2 2 3 2 2 5 12 3" xfId="33638" xr:uid="{00000000-0005-0000-0000-000065830000}"/>
    <cellStyle name="Normal 2 2 3 2 2 5 13" xfId="33639" xr:uid="{00000000-0005-0000-0000-000066830000}"/>
    <cellStyle name="Normal 2 2 3 2 2 5 13 2" xfId="33640" xr:uid="{00000000-0005-0000-0000-000067830000}"/>
    <cellStyle name="Normal 2 2 3 2 2 5 14" xfId="33641" xr:uid="{00000000-0005-0000-0000-000068830000}"/>
    <cellStyle name="Normal 2 2 3 2 2 5 2" xfId="33642" xr:uid="{00000000-0005-0000-0000-000069830000}"/>
    <cellStyle name="Normal 2 2 3 2 2 5 2 2" xfId="33643" xr:uid="{00000000-0005-0000-0000-00006A830000}"/>
    <cellStyle name="Normal 2 2 3 2 2 5 2 2 2" xfId="33644" xr:uid="{00000000-0005-0000-0000-00006B830000}"/>
    <cellStyle name="Normal 2 2 3 2 2 5 2 2 2 2" xfId="33645" xr:uid="{00000000-0005-0000-0000-00006C830000}"/>
    <cellStyle name="Normal 2 2 3 2 2 5 2 2 2 2 2" xfId="33646" xr:uid="{00000000-0005-0000-0000-00006D830000}"/>
    <cellStyle name="Normal 2 2 3 2 2 5 2 2 2 3" xfId="33647" xr:uid="{00000000-0005-0000-0000-00006E830000}"/>
    <cellStyle name="Normal 2 2 3 2 2 5 2 2 3" xfId="33648" xr:uid="{00000000-0005-0000-0000-00006F830000}"/>
    <cellStyle name="Normal 2 2 3 2 2 5 2 2 3 2" xfId="33649" xr:uid="{00000000-0005-0000-0000-000070830000}"/>
    <cellStyle name="Normal 2 2 3 2 2 5 2 2 4" xfId="33650" xr:uid="{00000000-0005-0000-0000-000071830000}"/>
    <cellStyle name="Normal 2 2 3 2 2 5 2 3" xfId="33651" xr:uid="{00000000-0005-0000-0000-000072830000}"/>
    <cellStyle name="Normal 2 2 3 2 2 5 2 3 2" xfId="33652" xr:uid="{00000000-0005-0000-0000-000073830000}"/>
    <cellStyle name="Normal 2 2 3 2 2 5 2 3 2 2" xfId="33653" xr:uid="{00000000-0005-0000-0000-000074830000}"/>
    <cellStyle name="Normal 2 2 3 2 2 5 2 3 3" xfId="33654" xr:uid="{00000000-0005-0000-0000-000075830000}"/>
    <cellStyle name="Normal 2 2 3 2 2 5 2 4" xfId="33655" xr:uid="{00000000-0005-0000-0000-000076830000}"/>
    <cellStyle name="Normal 2 2 3 2 2 5 2 4 2" xfId="33656" xr:uid="{00000000-0005-0000-0000-000077830000}"/>
    <cellStyle name="Normal 2 2 3 2 2 5 2 4 2 2" xfId="33657" xr:uid="{00000000-0005-0000-0000-000078830000}"/>
    <cellStyle name="Normal 2 2 3 2 2 5 2 4 3" xfId="33658" xr:uid="{00000000-0005-0000-0000-000079830000}"/>
    <cellStyle name="Normal 2 2 3 2 2 5 2 5" xfId="33659" xr:uid="{00000000-0005-0000-0000-00007A830000}"/>
    <cellStyle name="Normal 2 2 3 2 2 5 2 5 2" xfId="33660" xr:uid="{00000000-0005-0000-0000-00007B830000}"/>
    <cellStyle name="Normal 2 2 3 2 2 5 2 5 2 2" xfId="33661" xr:uid="{00000000-0005-0000-0000-00007C830000}"/>
    <cellStyle name="Normal 2 2 3 2 2 5 2 5 3" xfId="33662" xr:uid="{00000000-0005-0000-0000-00007D830000}"/>
    <cellStyle name="Normal 2 2 3 2 2 5 2 6" xfId="33663" xr:uid="{00000000-0005-0000-0000-00007E830000}"/>
    <cellStyle name="Normal 2 2 3 2 2 5 2 6 2" xfId="33664" xr:uid="{00000000-0005-0000-0000-00007F830000}"/>
    <cellStyle name="Normal 2 2 3 2 2 5 2 6 2 2" xfId="33665" xr:uid="{00000000-0005-0000-0000-000080830000}"/>
    <cellStyle name="Normal 2 2 3 2 2 5 2 6 3" xfId="33666" xr:uid="{00000000-0005-0000-0000-000081830000}"/>
    <cellStyle name="Normal 2 2 3 2 2 5 2 7" xfId="33667" xr:uid="{00000000-0005-0000-0000-000082830000}"/>
    <cellStyle name="Normal 2 2 3 2 2 5 2 7 2" xfId="33668" xr:uid="{00000000-0005-0000-0000-000083830000}"/>
    <cellStyle name="Normal 2 2 3 2 2 5 2 8" xfId="33669" xr:uid="{00000000-0005-0000-0000-000084830000}"/>
    <cellStyle name="Normal 2 2 3 2 2 5 3" xfId="33670" xr:uid="{00000000-0005-0000-0000-000085830000}"/>
    <cellStyle name="Normal 2 2 3 2 2 5 3 2" xfId="33671" xr:uid="{00000000-0005-0000-0000-000086830000}"/>
    <cellStyle name="Normal 2 2 3 2 2 5 3 2 2" xfId="33672" xr:uid="{00000000-0005-0000-0000-000087830000}"/>
    <cellStyle name="Normal 2 2 3 2 2 5 3 2 2 2" xfId="33673" xr:uid="{00000000-0005-0000-0000-000088830000}"/>
    <cellStyle name="Normal 2 2 3 2 2 5 3 2 2 2 2" xfId="33674" xr:uid="{00000000-0005-0000-0000-000089830000}"/>
    <cellStyle name="Normal 2 2 3 2 2 5 3 2 2 3" xfId="33675" xr:uid="{00000000-0005-0000-0000-00008A830000}"/>
    <cellStyle name="Normal 2 2 3 2 2 5 3 2 3" xfId="33676" xr:uid="{00000000-0005-0000-0000-00008B830000}"/>
    <cellStyle name="Normal 2 2 3 2 2 5 3 2 3 2" xfId="33677" xr:uid="{00000000-0005-0000-0000-00008C830000}"/>
    <cellStyle name="Normal 2 2 3 2 2 5 3 2 4" xfId="33678" xr:uid="{00000000-0005-0000-0000-00008D830000}"/>
    <cellStyle name="Normal 2 2 3 2 2 5 3 3" xfId="33679" xr:uid="{00000000-0005-0000-0000-00008E830000}"/>
    <cellStyle name="Normal 2 2 3 2 2 5 3 3 2" xfId="33680" xr:uid="{00000000-0005-0000-0000-00008F830000}"/>
    <cellStyle name="Normal 2 2 3 2 2 5 3 3 2 2" xfId="33681" xr:uid="{00000000-0005-0000-0000-000090830000}"/>
    <cellStyle name="Normal 2 2 3 2 2 5 3 3 3" xfId="33682" xr:uid="{00000000-0005-0000-0000-000091830000}"/>
    <cellStyle name="Normal 2 2 3 2 2 5 3 4" xfId="33683" xr:uid="{00000000-0005-0000-0000-000092830000}"/>
    <cellStyle name="Normal 2 2 3 2 2 5 3 4 2" xfId="33684" xr:uid="{00000000-0005-0000-0000-000093830000}"/>
    <cellStyle name="Normal 2 2 3 2 2 5 3 4 2 2" xfId="33685" xr:uid="{00000000-0005-0000-0000-000094830000}"/>
    <cellStyle name="Normal 2 2 3 2 2 5 3 4 3" xfId="33686" xr:uid="{00000000-0005-0000-0000-000095830000}"/>
    <cellStyle name="Normal 2 2 3 2 2 5 3 5" xfId="33687" xr:uid="{00000000-0005-0000-0000-000096830000}"/>
    <cellStyle name="Normal 2 2 3 2 2 5 3 5 2" xfId="33688" xr:uid="{00000000-0005-0000-0000-000097830000}"/>
    <cellStyle name="Normal 2 2 3 2 2 5 3 5 2 2" xfId="33689" xr:uid="{00000000-0005-0000-0000-000098830000}"/>
    <cellStyle name="Normal 2 2 3 2 2 5 3 5 3" xfId="33690" xr:uid="{00000000-0005-0000-0000-000099830000}"/>
    <cellStyle name="Normal 2 2 3 2 2 5 3 6" xfId="33691" xr:uid="{00000000-0005-0000-0000-00009A830000}"/>
    <cellStyle name="Normal 2 2 3 2 2 5 3 6 2" xfId="33692" xr:uid="{00000000-0005-0000-0000-00009B830000}"/>
    <cellStyle name="Normal 2 2 3 2 2 5 3 6 2 2" xfId="33693" xr:uid="{00000000-0005-0000-0000-00009C830000}"/>
    <cellStyle name="Normal 2 2 3 2 2 5 3 6 3" xfId="33694" xr:uid="{00000000-0005-0000-0000-00009D830000}"/>
    <cellStyle name="Normal 2 2 3 2 2 5 3 7" xfId="33695" xr:uid="{00000000-0005-0000-0000-00009E830000}"/>
    <cellStyle name="Normal 2 2 3 2 2 5 3 7 2" xfId="33696" xr:uid="{00000000-0005-0000-0000-00009F830000}"/>
    <cellStyle name="Normal 2 2 3 2 2 5 3 8" xfId="33697" xr:uid="{00000000-0005-0000-0000-0000A0830000}"/>
    <cellStyle name="Normal 2 2 3 2 2 5 4" xfId="33698" xr:uid="{00000000-0005-0000-0000-0000A1830000}"/>
    <cellStyle name="Normal 2 2 3 2 2 5 4 2" xfId="33699" xr:uid="{00000000-0005-0000-0000-0000A2830000}"/>
    <cellStyle name="Normal 2 2 3 2 2 5 4 2 2" xfId="33700" xr:uid="{00000000-0005-0000-0000-0000A3830000}"/>
    <cellStyle name="Normal 2 2 3 2 2 5 4 2 2 2" xfId="33701" xr:uid="{00000000-0005-0000-0000-0000A4830000}"/>
    <cellStyle name="Normal 2 2 3 2 2 5 4 2 2 2 2" xfId="33702" xr:uid="{00000000-0005-0000-0000-0000A5830000}"/>
    <cellStyle name="Normal 2 2 3 2 2 5 4 2 2 3" xfId="33703" xr:uid="{00000000-0005-0000-0000-0000A6830000}"/>
    <cellStyle name="Normal 2 2 3 2 2 5 4 2 3" xfId="33704" xr:uid="{00000000-0005-0000-0000-0000A7830000}"/>
    <cellStyle name="Normal 2 2 3 2 2 5 4 2 3 2" xfId="33705" xr:uid="{00000000-0005-0000-0000-0000A8830000}"/>
    <cellStyle name="Normal 2 2 3 2 2 5 4 2 4" xfId="33706" xr:uid="{00000000-0005-0000-0000-0000A9830000}"/>
    <cellStyle name="Normal 2 2 3 2 2 5 4 3" xfId="33707" xr:uid="{00000000-0005-0000-0000-0000AA830000}"/>
    <cellStyle name="Normal 2 2 3 2 2 5 4 3 2" xfId="33708" xr:uid="{00000000-0005-0000-0000-0000AB830000}"/>
    <cellStyle name="Normal 2 2 3 2 2 5 4 3 2 2" xfId="33709" xr:uid="{00000000-0005-0000-0000-0000AC830000}"/>
    <cellStyle name="Normal 2 2 3 2 2 5 4 3 3" xfId="33710" xr:uid="{00000000-0005-0000-0000-0000AD830000}"/>
    <cellStyle name="Normal 2 2 3 2 2 5 4 4" xfId="33711" xr:uid="{00000000-0005-0000-0000-0000AE830000}"/>
    <cellStyle name="Normal 2 2 3 2 2 5 4 4 2" xfId="33712" xr:uid="{00000000-0005-0000-0000-0000AF830000}"/>
    <cellStyle name="Normal 2 2 3 2 2 5 4 4 2 2" xfId="33713" xr:uid="{00000000-0005-0000-0000-0000B0830000}"/>
    <cellStyle name="Normal 2 2 3 2 2 5 4 4 3" xfId="33714" xr:uid="{00000000-0005-0000-0000-0000B1830000}"/>
    <cellStyle name="Normal 2 2 3 2 2 5 4 5" xfId="33715" xr:uid="{00000000-0005-0000-0000-0000B2830000}"/>
    <cellStyle name="Normal 2 2 3 2 2 5 4 5 2" xfId="33716" xr:uid="{00000000-0005-0000-0000-0000B3830000}"/>
    <cellStyle name="Normal 2 2 3 2 2 5 4 5 2 2" xfId="33717" xr:uid="{00000000-0005-0000-0000-0000B4830000}"/>
    <cellStyle name="Normal 2 2 3 2 2 5 4 5 3" xfId="33718" xr:uid="{00000000-0005-0000-0000-0000B5830000}"/>
    <cellStyle name="Normal 2 2 3 2 2 5 4 6" xfId="33719" xr:uid="{00000000-0005-0000-0000-0000B6830000}"/>
    <cellStyle name="Normal 2 2 3 2 2 5 4 6 2" xfId="33720" xr:uid="{00000000-0005-0000-0000-0000B7830000}"/>
    <cellStyle name="Normal 2 2 3 2 2 5 4 6 2 2" xfId="33721" xr:uid="{00000000-0005-0000-0000-0000B8830000}"/>
    <cellStyle name="Normal 2 2 3 2 2 5 4 6 3" xfId="33722" xr:uid="{00000000-0005-0000-0000-0000B9830000}"/>
    <cellStyle name="Normal 2 2 3 2 2 5 4 7" xfId="33723" xr:uid="{00000000-0005-0000-0000-0000BA830000}"/>
    <cellStyle name="Normal 2 2 3 2 2 5 4 7 2" xfId="33724" xr:uid="{00000000-0005-0000-0000-0000BB830000}"/>
    <cellStyle name="Normal 2 2 3 2 2 5 4 8" xfId="33725" xr:uid="{00000000-0005-0000-0000-0000BC830000}"/>
    <cellStyle name="Normal 2 2 3 2 2 5 5" xfId="33726" xr:uid="{00000000-0005-0000-0000-0000BD830000}"/>
    <cellStyle name="Normal 2 2 3 2 2 5 5 2" xfId="33727" xr:uid="{00000000-0005-0000-0000-0000BE830000}"/>
    <cellStyle name="Normal 2 2 3 2 2 5 5 2 2" xfId="33728" xr:uid="{00000000-0005-0000-0000-0000BF830000}"/>
    <cellStyle name="Normal 2 2 3 2 2 5 5 2 2 2" xfId="33729" xr:uid="{00000000-0005-0000-0000-0000C0830000}"/>
    <cellStyle name="Normal 2 2 3 2 2 5 5 2 2 2 2" xfId="33730" xr:uid="{00000000-0005-0000-0000-0000C1830000}"/>
    <cellStyle name="Normal 2 2 3 2 2 5 5 2 2 3" xfId="33731" xr:uid="{00000000-0005-0000-0000-0000C2830000}"/>
    <cellStyle name="Normal 2 2 3 2 2 5 5 2 3" xfId="33732" xr:uid="{00000000-0005-0000-0000-0000C3830000}"/>
    <cellStyle name="Normal 2 2 3 2 2 5 5 2 3 2" xfId="33733" xr:uid="{00000000-0005-0000-0000-0000C4830000}"/>
    <cellStyle name="Normal 2 2 3 2 2 5 5 2 4" xfId="33734" xr:uid="{00000000-0005-0000-0000-0000C5830000}"/>
    <cellStyle name="Normal 2 2 3 2 2 5 5 3" xfId="33735" xr:uid="{00000000-0005-0000-0000-0000C6830000}"/>
    <cellStyle name="Normal 2 2 3 2 2 5 5 3 2" xfId="33736" xr:uid="{00000000-0005-0000-0000-0000C7830000}"/>
    <cellStyle name="Normal 2 2 3 2 2 5 5 3 2 2" xfId="33737" xr:uid="{00000000-0005-0000-0000-0000C8830000}"/>
    <cellStyle name="Normal 2 2 3 2 2 5 5 3 3" xfId="33738" xr:uid="{00000000-0005-0000-0000-0000C9830000}"/>
    <cellStyle name="Normal 2 2 3 2 2 5 5 4" xfId="33739" xr:uid="{00000000-0005-0000-0000-0000CA830000}"/>
    <cellStyle name="Normal 2 2 3 2 2 5 5 4 2" xfId="33740" xr:uid="{00000000-0005-0000-0000-0000CB830000}"/>
    <cellStyle name="Normal 2 2 3 2 2 5 5 5" xfId="33741" xr:uid="{00000000-0005-0000-0000-0000CC830000}"/>
    <cellStyle name="Normal 2 2 3 2 2 5 6" xfId="33742" xr:uid="{00000000-0005-0000-0000-0000CD830000}"/>
    <cellStyle name="Normal 2 2 3 2 2 5 6 2" xfId="33743" xr:uid="{00000000-0005-0000-0000-0000CE830000}"/>
    <cellStyle name="Normal 2 2 3 2 2 5 6 2 2" xfId="33744" xr:uid="{00000000-0005-0000-0000-0000CF830000}"/>
    <cellStyle name="Normal 2 2 3 2 2 5 6 2 2 2" xfId="33745" xr:uid="{00000000-0005-0000-0000-0000D0830000}"/>
    <cellStyle name="Normal 2 2 3 2 2 5 6 2 2 2 2" xfId="33746" xr:uid="{00000000-0005-0000-0000-0000D1830000}"/>
    <cellStyle name="Normal 2 2 3 2 2 5 6 2 2 3" xfId="33747" xr:uid="{00000000-0005-0000-0000-0000D2830000}"/>
    <cellStyle name="Normal 2 2 3 2 2 5 6 2 3" xfId="33748" xr:uid="{00000000-0005-0000-0000-0000D3830000}"/>
    <cellStyle name="Normal 2 2 3 2 2 5 6 2 3 2" xfId="33749" xr:uid="{00000000-0005-0000-0000-0000D4830000}"/>
    <cellStyle name="Normal 2 2 3 2 2 5 6 2 4" xfId="33750" xr:uid="{00000000-0005-0000-0000-0000D5830000}"/>
    <cellStyle name="Normal 2 2 3 2 2 5 6 3" xfId="33751" xr:uid="{00000000-0005-0000-0000-0000D6830000}"/>
    <cellStyle name="Normal 2 2 3 2 2 5 6 3 2" xfId="33752" xr:uid="{00000000-0005-0000-0000-0000D7830000}"/>
    <cellStyle name="Normal 2 2 3 2 2 5 6 3 2 2" xfId="33753" xr:uid="{00000000-0005-0000-0000-0000D8830000}"/>
    <cellStyle name="Normal 2 2 3 2 2 5 6 3 3" xfId="33754" xr:uid="{00000000-0005-0000-0000-0000D9830000}"/>
    <cellStyle name="Normal 2 2 3 2 2 5 6 4" xfId="33755" xr:uid="{00000000-0005-0000-0000-0000DA830000}"/>
    <cellStyle name="Normal 2 2 3 2 2 5 6 4 2" xfId="33756" xr:uid="{00000000-0005-0000-0000-0000DB830000}"/>
    <cellStyle name="Normal 2 2 3 2 2 5 6 5" xfId="33757" xr:uid="{00000000-0005-0000-0000-0000DC830000}"/>
    <cellStyle name="Normal 2 2 3 2 2 5 7" xfId="33758" xr:uid="{00000000-0005-0000-0000-0000DD830000}"/>
    <cellStyle name="Normal 2 2 3 2 2 5 7 2" xfId="33759" xr:uid="{00000000-0005-0000-0000-0000DE830000}"/>
    <cellStyle name="Normal 2 2 3 2 2 5 7 2 2" xfId="33760" xr:uid="{00000000-0005-0000-0000-0000DF830000}"/>
    <cellStyle name="Normal 2 2 3 2 2 5 7 2 2 2" xfId="33761" xr:uid="{00000000-0005-0000-0000-0000E0830000}"/>
    <cellStyle name="Normal 2 2 3 2 2 5 7 2 3" xfId="33762" xr:uid="{00000000-0005-0000-0000-0000E1830000}"/>
    <cellStyle name="Normal 2 2 3 2 2 5 7 3" xfId="33763" xr:uid="{00000000-0005-0000-0000-0000E2830000}"/>
    <cellStyle name="Normal 2 2 3 2 2 5 7 3 2" xfId="33764" xr:uid="{00000000-0005-0000-0000-0000E3830000}"/>
    <cellStyle name="Normal 2 2 3 2 2 5 7 4" xfId="33765" xr:uid="{00000000-0005-0000-0000-0000E4830000}"/>
    <cellStyle name="Normal 2 2 3 2 2 5 8" xfId="33766" xr:uid="{00000000-0005-0000-0000-0000E5830000}"/>
    <cellStyle name="Normal 2 2 3 2 2 5 8 2" xfId="33767" xr:uid="{00000000-0005-0000-0000-0000E6830000}"/>
    <cellStyle name="Normal 2 2 3 2 2 5 8 2 2" xfId="33768" xr:uid="{00000000-0005-0000-0000-0000E7830000}"/>
    <cellStyle name="Normal 2 2 3 2 2 5 8 2 2 2" xfId="33769" xr:uid="{00000000-0005-0000-0000-0000E8830000}"/>
    <cellStyle name="Normal 2 2 3 2 2 5 8 2 3" xfId="33770" xr:uid="{00000000-0005-0000-0000-0000E9830000}"/>
    <cellStyle name="Normal 2 2 3 2 2 5 8 3" xfId="33771" xr:uid="{00000000-0005-0000-0000-0000EA830000}"/>
    <cellStyle name="Normal 2 2 3 2 2 5 8 3 2" xfId="33772" xr:uid="{00000000-0005-0000-0000-0000EB830000}"/>
    <cellStyle name="Normal 2 2 3 2 2 5 8 4" xfId="33773" xr:uid="{00000000-0005-0000-0000-0000EC830000}"/>
    <cellStyle name="Normal 2 2 3 2 2 5 9" xfId="33774" xr:uid="{00000000-0005-0000-0000-0000ED830000}"/>
    <cellStyle name="Normal 2 2 3 2 2 5 9 2" xfId="33775" xr:uid="{00000000-0005-0000-0000-0000EE830000}"/>
    <cellStyle name="Normal 2 2 3 2 2 5 9 2 2" xfId="33776" xr:uid="{00000000-0005-0000-0000-0000EF830000}"/>
    <cellStyle name="Normal 2 2 3 2 2 5 9 3" xfId="33777" xr:uid="{00000000-0005-0000-0000-0000F0830000}"/>
    <cellStyle name="Normal 2 2 3 2 2 6" xfId="33778" xr:uid="{00000000-0005-0000-0000-0000F1830000}"/>
    <cellStyle name="Normal 2 2 3 2 2 6 10" xfId="33779" xr:uid="{00000000-0005-0000-0000-0000F2830000}"/>
    <cellStyle name="Normal 2 2 3 2 2 6 10 2" xfId="33780" xr:uid="{00000000-0005-0000-0000-0000F3830000}"/>
    <cellStyle name="Normal 2 2 3 2 2 6 10 2 2" xfId="33781" xr:uid="{00000000-0005-0000-0000-0000F4830000}"/>
    <cellStyle name="Normal 2 2 3 2 2 6 10 3" xfId="33782" xr:uid="{00000000-0005-0000-0000-0000F5830000}"/>
    <cellStyle name="Normal 2 2 3 2 2 6 11" xfId="33783" xr:uid="{00000000-0005-0000-0000-0000F6830000}"/>
    <cellStyle name="Normal 2 2 3 2 2 6 11 2" xfId="33784" xr:uid="{00000000-0005-0000-0000-0000F7830000}"/>
    <cellStyle name="Normal 2 2 3 2 2 6 11 2 2" xfId="33785" xr:uid="{00000000-0005-0000-0000-0000F8830000}"/>
    <cellStyle name="Normal 2 2 3 2 2 6 11 3" xfId="33786" xr:uid="{00000000-0005-0000-0000-0000F9830000}"/>
    <cellStyle name="Normal 2 2 3 2 2 6 12" xfId="33787" xr:uid="{00000000-0005-0000-0000-0000FA830000}"/>
    <cellStyle name="Normal 2 2 3 2 2 6 12 2" xfId="33788" xr:uid="{00000000-0005-0000-0000-0000FB830000}"/>
    <cellStyle name="Normal 2 2 3 2 2 6 12 2 2" xfId="33789" xr:uid="{00000000-0005-0000-0000-0000FC830000}"/>
    <cellStyle name="Normal 2 2 3 2 2 6 12 3" xfId="33790" xr:uid="{00000000-0005-0000-0000-0000FD830000}"/>
    <cellStyle name="Normal 2 2 3 2 2 6 13" xfId="33791" xr:uid="{00000000-0005-0000-0000-0000FE830000}"/>
    <cellStyle name="Normal 2 2 3 2 2 6 13 2" xfId="33792" xr:uid="{00000000-0005-0000-0000-0000FF830000}"/>
    <cellStyle name="Normal 2 2 3 2 2 6 14" xfId="33793" xr:uid="{00000000-0005-0000-0000-000000840000}"/>
    <cellStyle name="Normal 2 2 3 2 2 6 2" xfId="33794" xr:uid="{00000000-0005-0000-0000-000001840000}"/>
    <cellStyle name="Normal 2 2 3 2 2 6 2 2" xfId="33795" xr:uid="{00000000-0005-0000-0000-000002840000}"/>
    <cellStyle name="Normal 2 2 3 2 2 6 2 2 2" xfId="33796" xr:uid="{00000000-0005-0000-0000-000003840000}"/>
    <cellStyle name="Normal 2 2 3 2 2 6 2 2 2 2" xfId="33797" xr:uid="{00000000-0005-0000-0000-000004840000}"/>
    <cellStyle name="Normal 2 2 3 2 2 6 2 2 2 2 2" xfId="33798" xr:uid="{00000000-0005-0000-0000-000005840000}"/>
    <cellStyle name="Normal 2 2 3 2 2 6 2 2 2 3" xfId="33799" xr:uid="{00000000-0005-0000-0000-000006840000}"/>
    <cellStyle name="Normal 2 2 3 2 2 6 2 2 3" xfId="33800" xr:uid="{00000000-0005-0000-0000-000007840000}"/>
    <cellStyle name="Normal 2 2 3 2 2 6 2 2 3 2" xfId="33801" xr:uid="{00000000-0005-0000-0000-000008840000}"/>
    <cellStyle name="Normal 2 2 3 2 2 6 2 2 4" xfId="33802" xr:uid="{00000000-0005-0000-0000-000009840000}"/>
    <cellStyle name="Normal 2 2 3 2 2 6 2 3" xfId="33803" xr:uid="{00000000-0005-0000-0000-00000A840000}"/>
    <cellStyle name="Normal 2 2 3 2 2 6 2 3 2" xfId="33804" xr:uid="{00000000-0005-0000-0000-00000B840000}"/>
    <cellStyle name="Normal 2 2 3 2 2 6 2 3 2 2" xfId="33805" xr:uid="{00000000-0005-0000-0000-00000C840000}"/>
    <cellStyle name="Normal 2 2 3 2 2 6 2 3 3" xfId="33806" xr:uid="{00000000-0005-0000-0000-00000D840000}"/>
    <cellStyle name="Normal 2 2 3 2 2 6 2 4" xfId="33807" xr:uid="{00000000-0005-0000-0000-00000E840000}"/>
    <cellStyle name="Normal 2 2 3 2 2 6 2 4 2" xfId="33808" xr:uid="{00000000-0005-0000-0000-00000F840000}"/>
    <cellStyle name="Normal 2 2 3 2 2 6 2 4 2 2" xfId="33809" xr:uid="{00000000-0005-0000-0000-000010840000}"/>
    <cellStyle name="Normal 2 2 3 2 2 6 2 4 3" xfId="33810" xr:uid="{00000000-0005-0000-0000-000011840000}"/>
    <cellStyle name="Normal 2 2 3 2 2 6 2 5" xfId="33811" xr:uid="{00000000-0005-0000-0000-000012840000}"/>
    <cellStyle name="Normal 2 2 3 2 2 6 2 5 2" xfId="33812" xr:uid="{00000000-0005-0000-0000-000013840000}"/>
    <cellStyle name="Normal 2 2 3 2 2 6 2 5 2 2" xfId="33813" xr:uid="{00000000-0005-0000-0000-000014840000}"/>
    <cellStyle name="Normal 2 2 3 2 2 6 2 5 3" xfId="33814" xr:uid="{00000000-0005-0000-0000-000015840000}"/>
    <cellStyle name="Normal 2 2 3 2 2 6 2 6" xfId="33815" xr:uid="{00000000-0005-0000-0000-000016840000}"/>
    <cellStyle name="Normal 2 2 3 2 2 6 2 6 2" xfId="33816" xr:uid="{00000000-0005-0000-0000-000017840000}"/>
    <cellStyle name="Normal 2 2 3 2 2 6 2 6 2 2" xfId="33817" xr:uid="{00000000-0005-0000-0000-000018840000}"/>
    <cellStyle name="Normal 2 2 3 2 2 6 2 6 3" xfId="33818" xr:uid="{00000000-0005-0000-0000-000019840000}"/>
    <cellStyle name="Normal 2 2 3 2 2 6 2 7" xfId="33819" xr:uid="{00000000-0005-0000-0000-00001A840000}"/>
    <cellStyle name="Normal 2 2 3 2 2 6 2 7 2" xfId="33820" xr:uid="{00000000-0005-0000-0000-00001B840000}"/>
    <cellStyle name="Normal 2 2 3 2 2 6 2 8" xfId="33821" xr:uid="{00000000-0005-0000-0000-00001C840000}"/>
    <cellStyle name="Normal 2 2 3 2 2 6 3" xfId="33822" xr:uid="{00000000-0005-0000-0000-00001D840000}"/>
    <cellStyle name="Normal 2 2 3 2 2 6 3 2" xfId="33823" xr:uid="{00000000-0005-0000-0000-00001E840000}"/>
    <cellStyle name="Normal 2 2 3 2 2 6 3 2 2" xfId="33824" xr:uid="{00000000-0005-0000-0000-00001F840000}"/>
    <cellStyle name="Normal 2 2 3 2 2 6 3 2 2 2" xfId="33825" xr:uid="{00000000-0005-0000-0000-000020840000}"/>
    <cellStyle name="Normal 2 2 3 2 2 6 3 2 2 2 2" xfId="33826" xr:uid="{00000000-0005-0000-0000-000021840000}"/>
    <cellStyle name="Normal 2 2 3 2 2 6 3 2 2 3" xfId="33827" xr:uid="{00000000-0005-0000-0000-000022840000}"/>
    <cellStyle name="Normal 2 2 3 2 2 6 3 2 3" xfId="33828" xr:uid="{00000000-0005-0000-0000-000023840000}"/>
    <cellStyle name="Normal 2 2 3 2 2 6 3 2 3 2" xfId="33829" xr:uid="{00000000-0005-0000-0000-000024840000}"/>
    <cellStyle name="Normal 2 2 3 2 2 6 3 2 4" xfId="33830" xr:uid="{00000000-0005-0000-0000-000025840000}"/>
    <cellStyle name="Normal 2 2 3 2 2 6 3 3" xfId="33831" xr:uid="{00000000-0005-0000-0000-000026840000}"/>
    <cellStyle name="Normal 2 2 3 2 2 6 3 3 2" xfId="33832" xr:uid="{00000000-0005-0000-0000-000027840000}"/>
    <cellStyle name="Normal 2 2 3 2 2 6 3 3 2 2" xfId="33833" xr:uid="{00000000-0005-0000-0000-000028840000}"/>
    <cellStyle name="Normal 2 2 3 2 2 6 3 3 3" xfId="33834" xr:uid="{00000000-0005-0000-0000-000029840000}"/>
    <cellStyle name="Normal 2 2 3 2 2 6 3 4" xfId="33835" xr:uid="{00000000-0005-0000-0000-00002A840000}"/>
    <cellStyle name="Normal 2 2 3 2 2 6 3 4 2" xfId="33836" xr:uid="{00000000-0005-0000-0000-00002B840000}"/>
    <cellStyle name="Normal 2 2 3 2 2 6 3 4 2 2" xfId="33837" xr:uid="{00000000-0005-0000-0000-00002C840000}"/>
    <cellStyle name="Normal 2 2 3 2 2 6 3 4 3" xfId="33838" xr:uid="{00000000-0005-0000-0000-00002D840000}"/>
    <cellStyle name="Normal 2 2 3 2 2 6 3 5" xfId="33839" xr:uid="{00000000-0005-0000-0000-00002E840000}"/>
    <cellStyle name="Normal 2 2 3 2 2 6 3 5 2" xfId="33840" xr:uid="{00000000-0005-0000-0000-00002F840000}"/>
    <cellStyle name="Normal 2 2 3 2 2 6 3 5 2 2" xfId="33841" xr:uid="{00000000-0005-0000-0000-000030840000}"/>
    <cellStyle name="Normal 2 2 3 2 2 6 3 5 3" xfId="33842" xr:uid="{00000000-0005-0000-0000-000031840000}"/>
    <cellStyle name="Normal 2 2 3 2 2 6 3 6" xfId="33843" xr:uid="{00000000-0005-0000-0000-000032840000}"/>
    <cellStyle name="Normal 2 2 3 2 2 6 3 6 2" xfId="33844" xr:uid="{00000000-0005-0000-0000-000033840000}"/>
    <cellStyle name="Normal 2 2 3 2 2 6 3 6 2 2" xfId="33845" xr:uid="{00000000-0005-0000-0000-000034840000}"/>
    <cellStyle name="Normal 2 2 3 2 2 6 3 6 3" xfId="33846" xr:uid="{00000000-0005-0000-0000-000035840000}"/>
    <cellStyle name="Normal 2 2 3 2 2 6 3 7" xfId="33847" xr:uid="{00000000-0005-0000-0000-000036840000}"/>
    <cellStyle name="Normal 2 2 3 2 2 6 3 7 2" xfId="33848" xr:uid="{00000000-0005-0000-0000-000037840000}"/>
    <cellStyle name="Normal 2 2 3 2 2 6 3 8" xfId="33849" xr:uid="{00000000-0005-0000-0000-000038840000}"/>
    <cellStyle name="Normal 2 2 3 2 2 6 4" xfId="33850" xr:uid="{00000000-0005-0000-0000-000039840000}"/>
    <cellStyle name="Normal 2 2 3 2 2 6 4 2" xfId="33851" xr:uid="{00000000-0005-0000-0000-00003A840000}"/>
    <cellStyle name="Normal 2 2 3 2 2 6 4 2 2" xfId="33852" xr:uid="{00000000-0005-0000-0000-00003B840000}"/>
    <cellStyle name="Normal 2 2 3 2 2 6 4 2 2 2" xfId="33853" xr:uid="{00000000-0005-0000-0000-00003C840000}"/>
    <cellStyle name="Normal 2 2 3 2 2 6 4 2 2 2 2" xfId="33854" xr:uid="{00000000-0005-0000-0000-00003D840000}"/>
    <cellStyle name="Normal 2 2 3 2 2 6 4 2 2 3" xfId="33855" xr:uid="{00000000-0005-0000-0000-00003E840000}"/>
    <cellStyle name="Normal 2 2 3 2 2 6 4 2 3" xfId="33856" xr:uid="{00000000-0005-0000-0000-00003F840000}"/>
    <cellStyle name="Normal 2 2 3 2 2 6 4 2 3 2" xfId="33857" xr:uid="{00000000-0005-0000-0000-000040840000}"/>
    <cellStyle name="Normal 2 2 3 2 2 6 4 2 4" xfId="33858" xr:uid="{00000000-0005-0000-0000-000041840000}"/>
    <cellStyle name="Normal 2 2 3 2 2 6 4 3" xfId="33859" xr:uid="{00000000-0005-0000-0000-000042840000}"/>
    <cellStyle name="Normal 2 2 3 2 2 6 4 3 2" xfId="33860" xr:uid="{00000000-0005-0000-0000-000043840000}"/>
    <cellStyle name="Normal 2 2 3 2 2 6 4 3 2 2" xfId="33861" xr:uid="{00000000-0005-0000-0000-000044840000}"/>
    <cellStyle name="Normal 2 2 3 2 2 6 4 3 3" xfId="33862" xr:uid="{00000000-0005-0000-0000-000045840000}"/>
    <cellStyle name="Normal 2 2 3 2 2 6 4 4" xfId="33863" xr:uid="{00000000-0005-0000-0000-000046840000}"/>
    <cellStyle name="Normal 2 2 3 2 2 6 4 4 2" xfId="33864" xr:uid="{00000000-0005-0000-0000-000047840000}"/>
    <cellStyle name="Normal 2 2 3 2 2 6 4 4 2 2" xfId="33865" xr:uid="{00000000-0005-0000-0000-000048840000}"/>
    <cellStyle name="Normal 2 2 3 2 2 6 4 4 3" xfId="33866" xr:uid="{00000000-0005-0000-0000-000049840000}"/>
    <cellStyle name="Normal 2 2 3 2 2 6 4 5" xfId="33867" xr:uid="{00000000-0005-0000-0000-00004A840000}"/>
    <cellStyle name="Normal 2 2 3 2 2 6 4 5 2" xfId="33868" xr:uid="{00000000-0005-0000-0000-00004B840000}"/>
    <cellStyle name="Normal 2 2 3 2 2 6 4 5 2 2" xfId="33869" xr:uid="{00000000-0005-0000-0000-00004C840000}"/>
    <cellStyle name="Normal 2 2 3 2 2 6 4 5 3" xfId="33870" xr:uid="{00000000-0005-0000-0000-00004D840000}"/>
    <cellStyle name="Normal 2 2 3 2 2 6 4 6" xfId="33871" xr:uid="{00000000-0005-0000-0000-00004E840000}"/>
    <cellStyle name="Normal 2 2 3 2 2 6 4 6 2" xfId="33872" xr:uid="{00000000-0005-0000-0000-00004F840000}"/>
    <cellStyle name="Normal 2 2 3 2 2 6 4 6 2 2" xfId="33873" xr:uid="{00000000-0005-0000-0000-000050840000}"/>
    <cellStyle name="Normal 2 2 3 2 2 6 4 6 3" xfId="33874" xr:uid="{00000000-0005-0000-0000-000051840000}"/>
    <cellStyle name="Normal 2 2 3 2 2 6 4 7" xfId="33875" xr:uid="{00000000-0005-0000-0000-000052840000}"/>
    <cellStyle name="Normal 2 2 3 2 2 6 4 7 2" xfId="33876" xr:uid="{00000000-0005-0000-0000-000053840000}"/>
    <cellStyle name="Normal 2 2 3 2 2 6 4 8" xfId="33877" xr:uid="{00000000-0005-0000-0000-000054840000}"/>
    <cellStyle name="Normal 2 2 3 2 2 6 5" xfId="33878" xr:uid="{00000000-0005-0000-0000-000055840000}"/>
    <cellStyle name="Normal 2 2 3 2 2 6 5 2" xfId="33879" xr:uid="{00000000-0005-0000-0000-000056840000}"/>
    <cellStyle name="Normal 2 2 3 2 2 6 5 2 2" xfId="33880" xr:uid="{00000000-0005-0000-0000-000057840000}"/>
    <cellStyle name="Normal 2 2 3 2 2 6 5 2 2 2" xfId="33881" xr:uid="{00000000-0005-0000-0000-000058840000}"/>
    <cellStyle name="Normal 2 2 3 2 2 6 5 2 2 2 2" xfId="33882" xr:uid="{00000000-0005-0000-0000-000059840000}"/>
    <cellStyle name="Normal 2 2 3 2 2 6 5 2 2 3" xfId="33883" xr:uid="{00000000-0005-0000-0000-00005A840000}"/>
    <cellStyle name="Normal 2 2 3 2 2 6 5 2 3" xfId="33884" xr:uid="{00000000-0005-0000-0000-00005B840000}"/>
    <cellStyle name="Normal 2 2 3 2 2 6 5 2 3 2" xfId="33885" xr:uid="{00000000-0005-0000-0000-00005C840000}"/>
    <cellStyle name="Normal 2 2 3 2 2 6 5 2 4" xfId="33886" xr:uid="{00000000-0005-0000-0000-00005D840000}"/>
    <cellStyle name="Normal 2 2 3 2 2 6 5 3" xfId="33887" xr:uid="{00000000-0005-0000-0000-00005E840000}"/>
    <cellStyle name="Normal 2 2 3 2 2 6 5 3 2" xfId="33888" xr:uid="{00000000-0005-0000-0000-00005F840000}"/>
    <cellStyle name="Normal 2 2 3 2 2 6 5 3 2 2" xfId="33889" xr:uid="{00000000-0005-0000-0000-000060840000}"/>
    <cellStyle name="Normal 2 2 3 2 2 6 5 3 3" xfId="33890" xr:uid="{00000000-0005-0000-0000-000061840000}"/>
    <cellStyle name="Normal 2 2 3 2 2 6 5 4" xfId="33891" xr:uid="{00000000-0005-0000-0000-000062840000}"/>
    <cellStyle name="Normal 2 2 3 2 2 6 5 4 2" xfId="33892" xr:uid="{00000000-0005-0000-0000-000063840000}"/>
    <cellStyle name="Normal 2 2 3 2 2 6 5 5" xfId="33893" xr:uid="{00000000-0005-0000-0000-000064840000}"/>
    <cellStyle name="Normal 2 2 3 2 2 6 6" xfId="33894" xr:uid="{00000000-0005-0000-0000-000065840000}"/>
    <cellStyle name="Normal 2 2 3 2 2 6 6 2" xfId="33895" xr:uid="{00000000-0005-0000-0000-000066840000}"/>
    <cellStyle name="Normal 2 2 3 2 2 6 6 2 2" xfId="33896" xr:uid="{00000000-0005-0000-0000-000067840000}"/>
    <cellStyle name="Normal 2 2 3 2 2 6 6 2 2 2" xfId="33897" xr:uid="{00000000-0005-0000-0000-000068840000}"/>
    <cellStyle name="Normal 2 2 3 2 2 6 6 2 2 2 2" xfId="33898" xr:uid="{00000000-0005-0000-0000-000069840000}"/>
    <cellStyle name="Normal 2 2 3 2 2 6 6 2 2 3" xfId="33899" xr:uid="{00000000-0005-0000-0000-00006A840000}"/>
    <cellStyle name="Normal 2 2 3 2 2 6 6 2 3" xfId="33900" xr:uid="{00000000-0005-0000-0000-00006B840000}"/>
    <cellStyle name="Normal 2 2 3 2 2 6 6 2 3 2" xfId="33901" xr:uid="{00000000-0005-0000-0000-00006C840000}"/>
    <cellStyle name="Normal 2 2 3 2 2 6 6 2 4" xfId="33902" xr:uid="{00000000-0005-0000-0000-00006D840000}"/>
    <cellStyle name="Normal 2 2 3 2 2 6 6 3" xfId="33903" xr:uid="{00000000-0005-0000-0000-00006E840000}"/>
    <cellStyle name="Normal 2 2 3 2 2 6 6 3 2" xfId="33904" xr:uid="{00000000-0005-0000-0000-00006F840000}"/>
    <cellStyle name="Normal 2 2 3 2 2 6 6 3 2 2" xfId="33905" xr:uid="{00000000-0005-0000-0000-000070840000}"/>
    <cellStyle name="Normal 2 2 3 2 2 6 6 3 3" xfId="33906" xr:uid="{00000000-0005-0000-0000-000071840000}"/>
    <cellStyle name="Normal 2 2 3 2 2 6 6 4" xfId="33907" xr:uid="{00000000-0005-0000-0000-000072840000}"/>
    <cellStyle name="Normal 2 2 3 2 2 6 6 4 2" xfId="33908" xr:uid="{00000000-0005-0000-0000-000073840000}"/>
    <cellStyle name="Normal 2 2 3 2 2 6 6 5" xfId="33909" xr:uid="{00000000-0005-0000-0000-000074840000}"/>
    <cellStyle name="Normal 2 2 3 2 2 6 7" xfId="33910" xr:uid="{00000000-0005-0000-0000-000075840000}"/>
    <cellStyle name="Normal 2 2 3 2 2 6 7 2" xfId="33911" xr:uid="{00000000-0005-0000-0000-000076840000}"/>
    <cellStyle name="Normal 2 2 3 2 2 6 7 2 2" xfId="33912" xr:uid="{00000000-0005-0000-0000-000077840000}"/>
    <cellStyle name="Normal 2 2 3 2 2 6 7 2 2 2" xfId="33913" xr:uid="{00000000-0005-0000-0000-000078840000}"/>
    <cellStyle name="Normal 2 2 3 2 2 6 7 2 3" xfId="33914" xr:uid="{00000000-0005-0000-0000-000079840000}"/>
    <cellStyle name="Normal 2 2 3 2 2 6 7 3" xfId="33915" xr:uid="{00000000-0005-0000-0000-00007A840000}"/>
    <cellStyle name="Normal 2 2 3 2 2 6 7 3 2" xfId="33916" xr:uid="{00000000-0005-0000-0000-00007B840000}"/>
    <cellStyle name="Normal 2 2 3 2 2 6 7 4" xfId="33917" xr:uid="{00000000-0005-0000-0000-00007C840000}"/>
    <cellStyle name="Normal 2 2 3 2 2 6 8" xfId="33918" xr:uid="{00000000-0005-0000-0000-00007D840000}"/>
    <cellStyle name="Normal 2 2 3 2 2 6 8 2" xfId="33919" xr:uid="{00000000-0005-0000-0000-00007E840000}"/>
    <cellStyle name="Normal 2 2 3 2 2 6 8 2 2" xfId="33920" xr:uid="{00000000-0005-0000-0000-00007F840000}"/>
    <cellStyle name="Normal 2 2 3 2 2 6 8 2 2 2" xfId="33921" xr:uid="{00000000-0005-0000-0000-000080840000}"/>
    <cellStyle name="Normal 2 2 3 2 2 6 8 2 3" xfId="33922" xr:uid="{00000000-0005-0000-0000-000081840000}"/>
    <cellStyle name="Normal 2 2 3 2 2 6 8 3" xfId="33923" xr:uid="{00000000-0005-0000-0000-000082840000}"/>
    <cellStyle name="Normal 2 2 3 2 2 6 8 3 2" xfId="33924" xr:uid="{00000000-0005-0000-0000-000083840000}"/>
    <cellStyle name="Normal 2 2 3 2 2 6 8 4" xfId="33925" xr:uid="{00000000-0005-0000-0000-000084840000}"/>
    <cellStyle name="Normal 2 2 3 2 2 6 9" xfId="33926" xr:uid="{00000000-0005-0000-0000-000085840000}"/>
    <cellStyle name="Normal 2 2 3 2 2 6 9 2" xfId="33927" xr:uid="{00000000-0005-0000-0000-000086840000}"/>
    <cellStyle name="Normal 2 2 3 2 2 6 9 2 2" xfId="33928" xr:uid="{00000000-0005-0000-0000-000087840000}"/>
    <cellStyle name="Normal 2 2 3 2 2 6 9 3" xfId="33929" xr:uid="{00000000-0005-0000-0000-000088840000}"/>
    <cellStyle name="Normal 2 2 3 2 2 7" xfId="33930" xr:uid="{00000000-0005-0000-0000-000089840000}"/>
    <cellStyle name="Normal 2 2 3 2 2 7 2" xfId="33931" xr:uid="{00000000-0005-0000-0000-00008A840000}"/>
    <cellStyle name="Normal 2 2 3 2 2 7 2 2" xfId="33932" xr:uid="{00000000-0005-0000-0000-00008B840000}"/>
    <cellStyle name="Normal 2 2 3 2 2 7 2 2 2" xfId="33933" xr:uid="{00000000-0005-0000-0000-00008C840000}"/>
    <cellStyle name="Normal 2 2 3 2 2 7 2 2 2 2" xfId="33934" xr:uid="{00000000-0005-0000-0000-00008D840000}"/>
    <cellStyle name="Normal 2 2 3 2 2 7 2 2 3" xfId="33935" xr:uid="{00000000-0005-0000-0000-00008E840000}"/>
    <cellStyle name="Normal 2 2 3 2 2 7 2 3" xfId="33936" xr:uid="{00000000-0005-0000-0000-00008F840000}"/>
    <cellStyle name="Normal 2 2 3 2 2 7 2 3 2" xfId="33937" xr:uid="{00000000-0005-0000-0000-000090840000}"/>
    <cellStyle name="Normal 2 2 3 2 2 7 2 4" xfId="33938" xr:uid="{00000000-0005-0000-0000-000091840000}"/>
    <cellStyle name="Normal 2 2 3 2 2 7 3" xfId="33939" xr:uid="{00000000-0005-0000-0000-000092840000}"/>
    <cellStyle name="Normal 2 2 3 2 2 7 3 2" xfId="33940" xr:uid="{00000000-0005-0000-0000-000093840000}"/>
    <cellStyle name="Normal 2 2 3 2 2 7 3 2 2" xfId="33941" xr:uid="{00000000-0005-0000-0000-000094840000}"/>
    <cellStyle name="Normal 2 2 3 2 2 7 3 3" xfId="33942" xr:uid="{00000000-0005-0000-0000-000095840000}"/>
    <cellStyle name="Normal 2 2 3 2 2 7 4" xfId="33943" xr:uid="{00000000-0005-0000-0000-000096840000}"/>
    <cellStyle name="Normal 2 2 3 2 2 7 4 2" xfId="33944" xr:uid="{00000000-0005-0000-0000-000097840000}"/>
    <cellStyle name="Normal 2 2 3 2 2 7 4 2 2" xfId="33945" xr:uid="{00000000-0005-0000-0000-000098840000}"/>
    <cellStyle name="Normal 2 2 3 2 2 7 4 3" xfId="33946" xr:uid="{00000000-0005-0000-0000-000099840000}"/>
    <cellStyle name="Normal 2 2 3 2 2 7 5" xfId="33947" xr:uid="{00000000-0005-0000-0000-00009A840000}"/>
    <cellStyle name="Normal 2 2 3 2 2 7 5 2" xfId="33948" xr:uid="{00000000-0005-0000-0000-00009B840000}"/>
    <cellStyle name="Normal 2 2 3 2 2 7 5 2 2" xfId="33949" xr:uid="{00000000-0005-0000-0000-00009C840000}"/>
    <cellStyle name="Normal 2 2 3 2 2 7 5 3" xfId="33950" xr:uid="{00000000-0005-0000-0000-00009D840000}"/>
    <cellStyle name="Normal 2 2 3 2 2 7 6" xfId="33951" xr:uid="{00000000-0005-0000-0000-00009E840000}"/>
    <cellStyle name="Normal 2 2 3 2 2 7 6 2" xfId="33952" xr:uid="{00000000-0005-0000-0000-00009F840000}"/>
    <cellStyle name="Normal 2 2 3 2 2 7 6 2 2" xfId="33953" xr:uid="{00000000-0005-0000-0000-0000A0840000}"/>
    <cellStyle name="Normal 2 2 3 2 2 7 6 3" xfId="33954" xr:uid="{00000000-0005-0000-0000-0000A1840000}"/>
    <cellStyle name="Normal 2 2 3 2 2 7 7" xfId="33955" xr:uid="{00000000-0005-0000-0000-0000A2840000}"/>
    <cellStyle name="Normal 2 2 3 2 2 7 7 2" xfId="33956" xr:uid="{00000000-0005-0000-0000-0000A3840000}"/>
    <cellStyle name="Normal 2 2 3 2 2 7 8" xfId="33957" xr:uid="{00000000-0005-0000-0000-0000A4840000}"/>
    <cellStyle name="Normal 2 2 3 2 2 8" xfId="33958" xr:uid="{00000000-0005-0000-0000-0000A5840000}"/>
    <cellStyle name="Normal 2 2 3 2 2 8 2" xfId="33959" xr:uid="{00000000-0005-0000-0000-0000A6840000}"/>
    <cellStyle name="Normal 2 2 3 2 2 8 2 2" xfId="33960" xr:uid="{00000000-0005-0000-0000-0000A7840000}"/>
    <cellStyle name="Normal 2 2 3 2 2 8 2 2 2" xfId="33961" xr:uid="{00000000-0005-0000-0000-0000A8840000}"/>
    <cellStyle name="Normal 2 2 3 2 2 8 2 2 2 2" xfId="33962" xr:uid="{00000000-0005-0000-0000-0000A9840000}"/>
    <cellStyle name="Normal 2 2 3 2 2 8 2 2 3" xfId="33963" xr:uid="{00000000-0005-0000-0000-0000AA840000}"/>
    <cellStyle name="Normal 2 2 3 2 2 8 2 3" xfId="33964" xr:uid="{00000000-0005-0000-0000-0000AB840000}"/>
    <cellStyle name="Normal 2 2 3 2 2 8 2 3 2" xfId="33965" xr:uid="{00000000-0005-0000-0000-0000AC840000}"/>
    <cellStyle name="Normal 2 2 3 2 2 8 2 4" xfId="33966" xr:uid="{00000000-0005-0000-0000-0000AD840000}"/>
    <cellStyle name="Normal 2 2 3 2 2 8 3" xfId="33967" xr:uid="{00000000-0005-0000-0000-0000AE840000}"/>
    <cellStyle name="Normal 2 2 3 2 2 8 3 2" xfId="33968" xr:uid="{00000000-0005-0000-0000-0000AF840000}"/>
    <cellStyle name="Normal 2 2 3 2 2 8 3 2 2" xfId="33969" xr:uid="{00000000-0005-0000-0000-0000B0840000}"/>
    <cellStyle name="Normal 2 2 3 2 2 8 3 3" xfId="33970" xr:uid="{00000000-0005-0000-0000-0000B1840000}"/>
    <cellStyle name="Normal 2 2 3 2 2 8 4" xfId="33971" xr:uid="{00000000-0005-0000-0000-0000B2840000}"/>
    <cellStyle name="Normal 2 2 3 2 2 8 4 2" xfId="33972" xr:uid="{00000000-0005-0000-0000-0000B3840000}"/>
    <cellStyle name="Normal 2 2 3 2 2 8 4 2 2" xfId="33973" xr:uid="{00000000-0005-0000-0000-0000B4840000}"/>
    <cellStyle name="Normal 2 2 3 2 2 8 4 3" xfId="33974" xr:uid="{00000000-0005-0000-0000-0000B5840000}"/>
    <cellStyle name="Normal 2 2 3 2 2 8 5" xfId="33975" xr:uid="{00000000-0005-0000-0000-0000B6840000}"/>
    <cellStyle name="Normal 2 2 3 2 2 8 5 2" xfId="33976" xr:uid="{00000000-0005-0000-0000-0000B7840000}"/>
    <cellStyle name="Normal 2 2 3 2 2 8 5 2 2" xfId="33977" xr:uid="{00000000-0005-0000-0000-0000B8840000}"/>
    <cellStyle name="Normal 2 2 3 2 2 8 5 3" xfId="33978" xr:uid="{00000000-0005-0000-0000-0000B9840000}"/>
    <cellStyle name="Normal 2 2 3 2 2 8 6" xfId="33979" xr:uid="{00000000-0005-0000-0000-0000BA840000}"/>
    <cellStyle name="Normal 2 2 3 2 2 8 6 2" xfId="33980" xr:uid="{00000000-0005-0000-0000-0000BB840000}"/>
    <cellStyle name="Normal 2 2 3 2 2 8 6 2 2" xfId="33981" xr:uid="{00000000-0005-0000-0000-0000BC840000}"/>
    <cellStyle name="Normal 2 2 3 2 2 8 6 3" xfId="33982" xr:uid="{00000000-0005-0000-0000-0000BD840000}"/>
    <cellStyle name="Normal 2 2 3 2 2 8 7" xfId="33983" xr:uid="{00000000-0005-0000-0000-0000BE840000}"/>
    <cellStyle name="Normal 2 2 3 2 2 8 7 2" xfId="33984" xr:uid="{00000000-0005-0000-0000-0000BF840000}"/>
    <cellStyle name="Normal 2 2 3 2 2 8 8" xfId="33985" xr:uid="{00000000-0005-0000-0000-0000C0840000}"/>
    <cellStyle name="Normal 2 2 3 2 2 9" xfId="33986" xr:uid="{00000000-0005-0000-0000-0000C1840000}"/>
    <cellStyle name="Normal 2 2 3 2 2 9 2" xfId="33987" xr:uid="{00000000-0005-0000-0000-0000C2840000}"/>
    <cellStyle name="Normal 2 2 3 2 2 9 2 2" xfId="33988" xr:uid="{00000000-0005-0000-0000-0000C3840000}"/>
    <cellStyle name="Normal 2 2 3 2 2 9 2 2 2" xfId="33989" xr:uid="{00000000-0005-0000-0000-0000C4840000}"/>
    <cellStyle name="Normal 2 2 3 2 2 9 2 2 2 2" xfId="33990" xr:uid="{00000000-0005-0000-0000-0000C5840000}"/>
    <cellStyle name="Normal 2 2 3 2 2 9 2 2 3" xfId="33991" xr:uid="{00000000-0005-0000-0000-0000C6840000}"/>
    <cellStyle name="Normal 2 2 3 2 2 9 2 3" xfId="33992" xr:uid="{00000000-0005-0000-0000-0000C7840000}"/>
    <cellStyle name="Normal 2 2 3 2 2 9 2 3 2" xfId="33993" xr:uid="{00000000-0005-0000-0000-0000C8840000}"/>
    <cellStyle name="Normal 2 2 3 2 2 9 2 4" xfId="33994" xr:uid="{00000000-0005-0000-0000-0000C9840000}"/>
    <cellStyle name="Normal 2 2 3 2 2 9 3" xfId="33995" xr:uid="{00000000-0005-0000-0000-0000CA840000}"/>
    <cellStyle name="Normal 2 2 3 2 2 9 3 2" xfId="33996" xr:uid="{00000000-0005-0000-0000-0000CB840000}"/>
    <cellStyle name="Normal 2 2 3 2 2 9 3 2 2" xfId="33997" xr:uid="{00000000-0005-0000-0000-0000CC840000}"/>
    <cellStyle name="Normal 2 2 3 2 2 9 3 3" xfId="33998" xr:uid="{00000000-0005-0000-0000-0000CD840000}"/>
    <cellStyle name="Normal 2 2 3 2 2 9 4" xfId="33999" xr:uid="{00000000-0005-0000-0000-0000CE840000}"/>
    <cellStyle name="Normal 2 2 3 2 2 9 4 2" xfId="34000" xr:uid="{00000000-0005-0000-0000-0000CF840000}"/>
    <cellStyle name="Normal 2 2 3 2 2 9 4 2 2" xfId="34001" xr:uid="{00000000-0005-0000-0000-0000D0840000}"/>
    <cellStyle name="Normal 2 2 3 2 2 9 4 3" xfId="34002" xr:uid="{00000000-0005-0000-0000-0000D1840000}"/>
    <cellStyle name="Normal 2 2 3 2 2 9 5" xfId="34003" xr:uid="{00000000-0005-0000-0000-0000D2840000}"/>
    <cellStyle name="Normal 2 2 3 2 2 9 5 2" xfId="34004" xr:uid="{00000000-0005-0000-0000-0000D3840000}"/>
    <cellStyle name="Normal 2 2 3 2 2 9 5 2 2" xfId="34005" xr:uid="{00000000-0005-0000-0000-0000D4840000}"/>
    <cellStyle name="Normal 2 2 3 2 2 9 5 3" xfId="34006" xr:uid="{00000000-0005-0000-0000-0000D5840000}"/>
    <cellStyle name="Normal 2 2 3 2 2 9 6" xfId="34007" xr:uid="{00000000-0005-0000-0000-0000D6840000}"/>
    <cellStyle name="Normal 2 2 3 2 2 9 6 2" xfId="34008" xr:uid="{00000000-0005-0000-0000-0000D7840000}"/>
    <cellStyle name="Normal 2 2 3 2 2 9 6 2 2" xfId="34009" xr:uid="{00000000-0005-0000-0000-0000D8840000}"/>
    <cellStyle name="Normal 2 2 3 2 2 9 6 3" xfId="34010" xr:uid="{00000000-0005-0000-0000-0000D9840000}"/>
    <cellStyle name="Normal 2 2 3 2 2 9 7" xfId="34011" xr:uid="{00000000-0005-0000-0000-0000DA840000}"/>
    <cellStyle name="Normal 2 2 3 2 2 9 7 2" xfId="34012" xr:uid="{00000000-0005-0000-0000-0000DB840000}"/>
    <cellStyle name="Normal 2 2 3 2 2 9 8" xfId="34013" xr:uid="{00000000-0005-0000-0000-0000DC840000}"/>
    <cellStyle name="Normal 2 2 3 2 20" xfId="34014" xr:uid="{00000000-0005-0000-0000-0000DD840000}"/>
    <cellStyle name="Normal 2 2 3 2 20 2" xfId="34015" xr:uid="{00000000-0005-0000-0000-0000DE840000}"/>
    <cellStyle name="Normal 2 2 3 2 21" xfId="34016" xr:uid="{00000000-0005-0000-0000-0000DF840000}"/>
    <cellStyle name="Normal 2 2 3 2 3" xfId="34017" xr:uid="{00000000-0005-0000-0000-0000E0840000}"/>
    <cellStyle name="Normal 2 2 3 2 3 10" xfId="34018" xr:uid="{00000000-0005-0000-0000-0000E1840000}"/>
    <cellStyle name="Normal 2 2 3 2 3 10 2" xfId="34019" xr:uid="{00000000-0005-0000-0000-0000E2840000}"/>
    <cellStyle name="Normal 2 2 3 2 3 10 2 2" xfId="34020" xr:uid="{00000000-0005-0000-0000-0000E3840000}"/>
    <cellStyle name="Normal 2 2 3 2 3 10 3" xfId="34021" xr:uid="{00000000-0005-0000-0000-0000E4840000}"/>
    <cellStyle name="Normal 2 2 3 2 3 11" xfId="34022" xr:uid="{00000000-0005-0000-0000-0000E5840000}"/>
    <cellStyle name="Normal 2 2 3 2 3 11 2" xfId="34023" xr:uid="{00000000-0005-0000-0000-0000E6840000}"/>
    <cellStyle name="Normal 2 2 3 2 3 11 2 2" xfId="34024" xr:uid="{00000000-0005-0000-0000-0000E7840000}"/>
    <cellStyle name="Normal 2 2 3 2 3 11 3" xfId="34025" xr:uid="{00000000-0005-0000-0000-0000E8840000}"/>
    <cellStyle name="Normal 2 2 3 2 3 12" xfId="34026" xr:uid="{00000000-0005-0000-0000-0000E9840000}"/>
    <cellStyle name="Normal 2 2 3 2 3 12 2" xfId="34027" xr:uid="{00000000-0005-0000-0000-0000EA840000}"/>
    <cellStyle name="Normal 2 2 3 2 3 12 2 2" xfId="34028" xr:uid="{00000000-0005-0000-0000-0000EB840000}"/>
    <cellStyle name="Normal 2 2 3 2 3 12 3" xfId="34029" xr:uid="{00000000-0005-0000-0000-0000EC840000}"/>
    <cellStyle name="Normal 2 2 3 2 3 13" xfId="34030" xr:uid="{00000000-0005-0000-0000-0000ED840000}"/>
    <cellStyle name="Normal 2 2 3 2 3 13 2" xfId="34031" xr:uid="{00000000-0005-0000-0000-0000EE840000}"/>
    <cellStyle name="Normal 2 2 3 2 3 14" xfId="34032" xr:uid="{00000000-0005-0000-0000-0000EF840000}"/>
    <cellStyle name="Normal 2 2 3 2 3 2" xfId="34033" xr:uid="{00000000-0005-0000-0000-0000F0840000}"/>
    <cellStyle name="Normal 2 2 3 2 3 2 2" xfId="34034" xr:uid="{00000000-0005-0000-0000-0000F1840000}"/>
    <cellStyle name="Normal 2 2 3 2 3 2 2 2" xfId="34035" xr:uid="{00000000-0005-0000-0000-0000F2840000}"/>
    <cellStyle name="Normal 2 2 3 2 3 2 2 2 2" xfId="34036" xr:uid="{00000000-0005-0000-0000-0000F3840000}"/>
    <cellStyle name="Normal 2 2 3 2 3 2 2 2 2 2" xfId="34037" xr:uid="{00000000-0005-0000-0000-0000F4840000}"/>
    <cellStyle name="Normal 2 2 3 2 3 2 2 2 3" xfId="34038" xr:uid="{00000000-0005-0000-0000-0000F5840000}"/>
    <cellStyle name="Normal 2 2 3 2 3 2 2 3" xfId="34039" xr:uid="{00000000-0005-0000-0000-0000F6840000}"/>
    <cellStyle name="Normal 2 2 3 2 3 2 2 3 2" xfId="34040" xr:uid="{00000000-0005-0000-0000-0000F7840000}"/>
    <cellStyle name="Normal 2 2 3 2 3 2 2 4" xfId="34041" xr:uid="{00000000-0005-0000-0000-0000F8840000}"/>
    <cellStyle name="Normal 2 2 3 2 3 2 3" xfId="34042" xr:uid="{00000000-0005-0000-0000-0000F9840000}"/>
    <cellStyle name="Normal 2 2 3 2 3 2 3 2" xfId="34043" xr:uid="{00000000-0005-0000-0000-0000FA840000}"/>
    <cellStyle name="Normal 2 2 3 2 3 2 3 2 2" xfId="34044" xr:uid="{00000000-0005-0000-0000-0000FB840000}"/>
    <cellStyle name="Normal 2 2 3 2 3 2 3 3" xfId="34045" xr:uid="{00000000-0005-0000-0000-0000FC840000}"/>
    <cellStyle name="Normal 2 2 3 2 3 2 4" xfId="34046" xr:uid="{00000000-0005-0000-0000-0000FD840000}"/>
    <cellStyle name="Normal 2 2 3 2 3 2 4 2" xfId="34047" xr:uid="{00000000-0005-0000-0000-0000FE840000}"/>
    <cellStyle name="Normal 2 2 3 2 3 2 4 2 2" xfId="34048" xr:uid="{00000000-0005-0000-0000-0000FF840000}"/>
    <cellStyle name="Normal 2 2 3 2 3 2 4 3" xfId="34049" xr:uid="{00000000-0005-0000-0000-000000850000}"/>
    <cellStyle name="Normal 2 2 3 2 3 2 5" xfId="34050" xr:uid="{00000000-0005-0000-0000-000001850000}"/>
    <cellStyle name="Normal 2 2 3 2 3 2 5 2" xfId="34051" xr:uid="{00000000-0005-0000-0000-000002850000}"/>
    <cellStyle name="Normal 2 2 3 2 3 2 5 2 2" xfId="34052" xr:uid="{00000000-0005-0000-0000-000003850000}"/>
    <cellStyle name="Normal 2 2 3 2 3 2 5 3" xfId="34053" xr:uid="{00000000-0005-0000-0000-000004850000}"/>
    <cellStyle name="Normal 2 2 3 2 3 2 6" xfId="34054" xr:uid="{00000000-0005-0000-0000-000005850000}"/>
    <cellStyle name="Normal 2 2 3 2 3 2 6 2" xfId="34055" xr:uid="{00000000-0005-0000-0000-000006850000}"/>
    <cellStyle name="Normal 2 2 3 2 3 2 6 2 2" xfId="34056" xr:uid="{00000000-0005-0000-0000-000007850000}"/>
    <cellStyle name="Normal 2 2 3 2 3 2 6 3" xfId="34057" xr:uid="{00000000-0005-0000-0000-000008850000}"/>
    <cellStyle name="Normal 2 2 3 2 3 2 7" xfId="34058" xr:uid="{00000000-0005-0000-0000-000009850000}"/>
    <cellStyle name="Normal 2 2 3 2 3 2 7 2" xfId="34059" xr:uid="{00000000-0005-0000-0000-00000A850000}"/>
    <cellStyle name="Normal 2 2 3 2 3 2 8" xfId="34060" xr:uid="{00000000-0005-0000-0000-00000B850000}"/>
    <cellStyle name="Normal 2 2 3 2 3 3" xfId="34061" xr:uid="{00000000-0005-0000-0000-00000C850000}"/>
    <cellStyle name="Normal 2 2 3 2 3 3 2" xfId="34062" xr:uid="{00000000-0005-0000-0000-00000D850000}"/>
    <cellStyle name="Normal 2 2 3 2 3 3 2 2" xfId="34063" xr:uid="{00000000-0005-0000-0000-00000E850000}"/>
    <cellStyle name="Normal 2 2 3 2 3 3 2 2 2" xfId="34064" xr:uid="{00000000-0005-0000-0000-00000F850000}"/>
    <cellStyle name="Normal 2 2 3 2 3 3 2 2 2 2" xfId="34065" xr:uid="{00000000-0005-0000-0000-000010850000}"/>
    <cellStyle name="Normal 2 2 3 2 3 3 2 2 3" xfId="34066" xr:uid="{00000000-0005-0000-0000-000011850000}"/>
    <cellStyle name="Normal 2 2 3 2 3 3 2 3" xfId="34067" xr:uid="{00000000-0005-0000-0000-000012850000}"/>
    <cellStyle name="Normal 2 2 3 2 3 3 2 3 2" xfId="34068" xr:uid="{00000000-0005-0000-0000-000013850000}"/>
    <cellStyle name="Normal 2 2 3 2 3 3 2 4" xfId="34069" xr:uid="{00000000-0005-0000-0000-000014850000}"/>
    <cellStyle name="Normal 2 2 3 2 3 3 3" xfId="34070" xr:uid="{00000000-0005-0000-0000-000015850000}"/>
    <cellStyle name="Normal 2 2 3 2 3 3 3 2" xfId="34071" xr:uid="{00000000-0005-0000-0000-000016850000}"/>
    <cellStyle name="Normal 2 2 3 2 3 3 3 2 2" xfId="34072" xr:uid="{00000000-0005-0000-0000-000017850000}"/>
    <cellStyle name="Normal 2 2 3 2 3 3 3 3" xfId="34073" xr:uid="{00000000-0005-0000-0000-000018850000}"/>
    <cellStyle name="Normal 2 2 3 2 3 3 4" xfId="34074" xr:uid="{00000000-0005-0000-0000-000019850000}"/>
    <cellStyle name="Normal 2 2 3 2 3 3 4 2" xfId="34075" xr:uid="{00000000-0005-0000-0000-00001A850000}"/>
    <cellStyle name="Normal 2 2 3 2 3 3 4 2 2" xfId="34076" xr:uid="{00000000-0005-0000-0000-00001B850000}"/>
    <cellStyle name="Normal 2 2 3 2 3 3 4 3" xfId="34077" xr:uid="{00000000-0005-0000-0000-00001C850000}"/>
    <cellStyle name="Normal 2 2 3 2 3 3 5" xfId="34078" xr:uid="{00000000-0005-0000-0000-00001D850000}"/>
    <cellStyle name="Normal 2 2 3 2 3 3 5 2" xfId="34079" xr:uid="{00000000-0005-0000-0000-00001E850000}"/>
    <cellStyle name="Normal 2 2 3 2 3 3 5 2 2" xfId="34080" xr:uid="{00000000-0005-0000-0000-00001F850000}"/>
    <cellStyle name="Normal 2 2 3 2 3 3 5 3" xfId="34081" xr:uid="{00000000-0005-0000-0000-000020850000}"/>
    <cellStyle name="Normal 2 2 3 2 3 3 6" xfId="34082" xr:uid="{00000000-0005-0000-0000-000021850000}"/>
    <cellStyle name="Normal 2 2 3 2 3 3 6 2" xfId="34083" xr:uid="{00000000-0005-0000-0000-000022850000}"/>
    <cellStyle name="Normal 2 2 3 2 3 3 6 2 2" xfId="34084" xr:uid="{00000000-0005-0000-0000-000023850000}"/>
    <cellStyle name="Normal 2 2 3 2 3 3 6 3" xfId="34085" xr:uid="{00000000-0005-0000-0000-000024850000}"/>
    <cellStyle name="Normal 2 2 3 2 3 3 7" xfId="34086" xr:uid="{00000000-0005-0000-0000-000025850000}"/>
    <cellStyle name="Normal 2 2 3 2 3 3 7 2" xfId="34087" xr:uid="{00000000-0005-0000-0000-000026850000}"/>
    <cellStyle name="Normal 2 2 3 2 3 3 8" xfId="34088" xr:uid="{00000000-0005-0000-0000-000027850000}"/>
    <cellStyle name="Normal 2 2 3 2 3 4" xfId="34089" xr:uid="{00000000-0005-0000-0000-000028850000}"/>
    <cellStyle name="Normal 2 2 3 2 3 4 2" xfId="34090" xr:uid="{00000000-0005-0000-0000-000029850000}"/>
    <cellStyle name="Normal 2 2 3 2 3 4 2 2" xfId="34091" xr:uid="{00000000-0005-0000-0000-00002A850000}"/>
    <cellStyle name="Normal 2 2 3 2 3 4 2 2 2" xfId="34092" xr:uid="{00000000-0005-0000-0000-00002B850000}"/>
    <cellStyle name="Normal 2 2 3 2 3 4 2 2 2 2" xfId="34093" xr:uid="{00000000-0005-0000-0000-00002C850000}"/>
    <cellStyle name="Normal 2 2 3 2 3 4 2 2 3" xfId="34094" xr:uid="{00000000-0005-0000-0000-00002D850000}"/>
    <cellStyle name="Normal 2 2 3 2 3 4 2 3" xfId="34095" xr:uid="{00000000-0005-0000-0000-00002E850000}"/>
    <cellStyle name="Normal 2 2 3 2 3 4 2 3 2" xfId="34096" xr:uid="{00000000-0005-0000-0000-00002F850000}"/>
    <cellStyle name="Normal 2 2 3 2 3 4 2 4" xfId="34097" xr:uid="{00000000-0005-0000-0000-000030850000}"/>
    <cellStyle name="Normal 2 2 3 2 3 4 3" xfId="34098" xr:uid="{00000000-0005-0000-0000-000031850000}"/>
    <cellStyle name="Normal 2 2 3 2 3 4 3 2" xfId="34099" xr:uid="{00000000-0005-0000-0000-000032850000}"/>
    <cellStyle name="Normal 2 2 3 2 3 4 3 2 2" xfId="34100" xr:uid="{00000000-0005-0000-0000-000033850000}"/>
    <cellStyle name="Normal 2 2 3 2 3 4 3 3" xfId="34101" xr:uid="{00000000-0005-0000-0000-000034850000}"/>
    <cellStyle name="Normal 2 2 3 2 3 4 4" xfId="34102" xr:uid="{00000000-0005-0000-0000-000035850000}"/>
    <cellStyle name="Normal 2 2 3 2 3 4 4 2" xfId="34103" xr:uid="{00000000-0005-0000-0000-000036850000}"/>
    <cellStyle name="Normal 2 2 3 2 3 4 4 2 2" xfId="34104" xr:uid="{00000000-0005-0000-0000-000037850000}"/>
    <cellStyle name="Normal 2 2 3 2 3 4 4 3" xfId="34105" xr:uid="{00000000-0005-0000-0000-000038850000}"/>
    <cellStyle name="Normal 2 2 3 2 3 4 5" xfId="34106" xr:uid="{00000000-0005-0000-0000-000039850000}"/>
    <cellStyle name="Normal 2 2 3 2 3 4 5 2" xfId="34107" xr:uid="{00000000-0005-0000-0000-00003A850000}"/>
    <cellStyle name="Normal 2 2 3 2 3 4 5 2 2" xfId="34108" xr:uid="{00000000-0005-0000-0000-00003B850000}"/>
    <cellStyle name="Normal 2 2 3 2 3 4 5 3" xfId="34109" xr:uid="{00000000-0005-0000-0000-00003C850000}"/>
    <cellStyle name="Normal 2 2 3 2 3 4 6" xfId="34110" xr:uid="{00000000-0005-0000-0000-00003D850000}"/>
    <cellStyle name="Normal 2 2 3 2 3 4 6 2" xfId="34111" xr:uid="{00000000-0005-0000-0000-00003E850000}"/>
    <cellStyle name="Normal 2 2 3 2 3 4 6 2 2" xfId="34112" xr:uid="{00000000-0005-0000-0000-00003F850000}"/>
    <cellStyle name="Normal 2 2 3 2 3 4 6 3" xfId="34113" xr:uid="{00000000-0005-0000-0000-000040850000}"/>
    <cellStyle name="Normal 2 2 3 2 3 4 7" xfId="34114" xr:uid="{00000000-0005-0000-0000-000041850000}"/>
    <cellStyle name="Normal 2 2 3 2 3 4 7 2" xfId="34115" xr:uid="{00000000-0005-0000-0000-000042850000}"/>
    <cellStyle name="Normal 2 2 3 2 3 4 8" xfId="34116" xr:uid="{00000000-0005-0000-0000-000043850000}"/>
    <cellStyle name="Normal 2 2 3 2 3 5" xfId="34117" xr:uid="{00000000-0005-0000-0000-000044850000}"/>
    <cellStyle name="Normal 2 2 3 2 3 5 2" xfId="34118" xr:uid="{00000000-0005-0000-0000-000045850000}"/>
    <cellStyle name="Normal 2 2 3 2 3 5 2 2" xfId="34119" xr:uid="{00000000-0005-0000-0000-000046850000}"/>
    <cellStyle name="Normal 2 2 3 2 3 5 2 2 2" xfId="34120" xr:uid="{00000000-0005-0000-0000-000047850000}"/>
    <cellStyle name="Normal 2 2 3 2 3 5 2 2 2 2" xfId="34121" xr:uid="{00000000-0005-0000-0000-000048850000}"/>
    <cellStyle name="Normal 2 2 3 2 3 5 2 2 3" xfId="34122" xr:uid="{00000000-0005-0000-0000-000049850000}"/>
    <cellStyle name="Normal 2 2 3 2 3 5 2 3" xfId="34123" xr:uid="{00000000-0005-0000-0000-00004A850000}"/>
    <cellStyle name="Normal 2 2 3 2 3 5 2 3 2" xfId="34124" xr:uid="{00000000-0005-0000-0000-00004B850000}"/>
    <cellStyle name="Normal 2 2 3 2 3 5 2 4" xfId="34125" xr:uid="{00000000-0005-0000-0000-00004C850000}"/>
    <cellStyle name="Normal 2 2 3 2 3 5 3" xfId="34126" xr:uid="{00000000-0005-0000-0000-00004D850000}"/>
    <cellStyle name="Normal 2 2 3 2 3 5 3 2" xfId="34127" xr:uid="{00000000-0005-0000-0000-00004E850000}"/>
    <cellStyle name="Normal 2 2 3 2 3 5 3 2 2" xfId="34128" xr:uid="{00000000-0005-0000-0000-00004F850000}"/>
    <cellStyle name="Normal 2 2 3 2 3 5 3 3" xfId="34129" xr:uid="{00000000-0005-0000-0000-000050850000}"/>
    <cellStyle name="Normal 2 2 3 2 3 5 4" xfId="34130" xr:uid="{00000000-0005-0000-0000-000051850000}"/>
    <cellStyle name="Normal 2 2 3 2 3 5 4 2" xfId="34131" xr:uid="{00000000-0005-0000-0000-000052850000}"/>
    <cellStyle name="Normal 2 2 3 2 3 5 5" xfId="34132" xr:uid="{00000000-0005-0000-0000-000053850000}"/>
    <cellStyle name="Normal 2 2 3 2 3 6" xfId="34133" xr:uid="{00000000-0005-0000-0000-000054850000}"/>
    <cellStyle name="Normal 2 2 3 2 3 6 2" xfId="34134" xr:uid="{00000000-0005-0000-0000-000055850000}"/>
    <cellStyle name="Normal 2 2 3 2 3 6 2 2" xfId="34135" xr:uid="{00000000-0005-0000-0000-000056850000}"/>
    <cellStyle name="Normal 2 2 3 2 3 6 2 2 2" xfId="34136" xr:uid="{00000000-0005-0000-0000-000057850000}"/>
    <cellStyle name="Normal 2 2 3 2 3 6 2 2 2 2" xfId="34137" xr:uid="{00000000-0005-0000-0000-000058850000}"/>
    <cellStyle name="Normal 2 2 3 2 3 6 2 2 3" xfId="34138" xr:uid="{00000000-0005-0000-0000-000059850000}"/>
    <cellStyle name="Normal 2 2 3 2 3 6 2 3" xfId="34139" xr:uid="{00000000-0005-0000-0000-00005A850000}"/>
    <cellStyle name="Normal 2 2 3 2 3 6 2 3 2" xfId="34140" xr:uid="{00000000-0005-0000-0000-00005B850000}"/>
    <cellStyle name="Normal 2 2 3 2 3 6 2 4" xfId="34141" xr:uid="{00000000-0005-0000-0000-00005C850000}"/>
    <cellStyle name="Normal 2 2 3 2 3 6 3" xfId="34142" xr:uid="{00000000-0005-0000-0000-00005D850000}"/>
    <cellStyle name="Normal 2 2 3 2 3 6 3 2" xfId="34143" xr:uid="{00000000-0005-0000-0000-00005E850000}"/>
    <cellStyle name="Normal 2 2 3 2 3 6 3 2 2" xfId="34144" xr:uid="{00000000-0005-0000-0000-00005F850000}"/>
    <cellStyle name="Normal 2 2 3 2 3 6 3 3" xfId="34145" xr:uid="{00000000-0005-0000-0000-000060850000}"/>
    <cellStyle name="Normal 2 2 3 2 3 6 4" xfId="34146" xr:uid="{00000000-0005-0000-0000-000061850000}"/>
    <cellStyle name="Normal 2 2 3 2 3 6 4 2" xfId="34147" xr:uid="{00000000-0005-0000-0000-000062850000}"/>
    <cellStyle name="Normal 2 2 3 2 3 6 5" xfId="34148" xr:uid="{00000000-0005-0000-0000-000063850000}"/>
    <cellStyle name="Normal 2 2 3 2 3 7" xfId="34149" xr:uid="{00000000-0005-0000-0000-000064850000}"/>
    <cellStyle name="Normal 2 2 3 2 3 7 2" xfId="34150" xr:uid="{00000000-0005-0000-0000-000065850000}"/>
    <cellStyle name="Normal 2 2 3 2 3 7 2 2" xfId="34151" xr:uid="{00000000-0005-0000-0000-000066850000}"/>
    <cellStyle name="Normal 2 2 3 2 3 7 2 2 2" xfId="34152" xr:uid="{00000000-0005-0000-0000-000067850000}"/>
    <cellStyle name="Normal 2 2 3 2 3 7 2 3" xfId="34153" xr:uid="{00000000-0005-0000-0000-000068850000}"/>
    <cellStyle name="Normal 2 2 3 2 3 7 3" xfId="34154" xr:uid="{00000000-0005-0000-0000-000069850000}"/>
    <cellStyle name="Normal 2 2 3 2 3 7 3 2" xfId="34155" xr:uid="{00000000-0005-0000-0000-00006A850000}"/>
    <cellStyle name="Normal 2 2 3 2 3 7 4" xfId="34156" xr:uid="{00000000-0005-0000-0000-00006B850000}"/>
    <cellStyle name="Normal 2 2 3 2 3 8" xfId="34157" xr:uid="{00000000-0005-0000-0000-00006C850000}"/>
    <cellStyle name="Normal 2 2 3 2 3 8 2" xfId="34158" xr:uid="{00000000-0005-0000-0000-00006D850000}"/>
    <cellStyle name="Normal 2 2 3 2 3 8 2 2" xfId="34159" xr:uid="{00000000-0005-0000-0000-00006E850000}"/>
    <cellStyle name="Normal 2 2 3 2 3 8 2 2 2" xfId="34160" xr:uid="{00000000-0005-0000-0000-00006F850000}"/>
    <cellStyle name="Normal 2 2 3 2 3 8 2 3" xfId="34161" xr:uid="{00000000-0005-0000-0000-000070850000}"/>
    <cellStyle name="Normal 2 2 3 2 3 8 3" xfId="34162" xr:uid="{00000000-0005-0000-0000-000071850000}"/>
    <cellStyle name="Normal 2 2 3 2 3 8 3 2" xfId="34163" xr:uid="{00000000-0005-0000-0000-000072850000}"/>
    <cellStyle name="Normal 2 2 3 2 3 8 4" xfId="34164" xr:uid="{00000000-0005-0000-0000-000073850000}"/>
    <cellStyle name="Normal 2 2 3 2 3 9" xfId="34165" xr:uid="{00000000-0005-0000-0000-000074850000}"/>
    <cellStyle name="Normal 2 2 3 2 3 9 2" xfId="34166" xr:uid="{00000000-0005-0000-0000-000075850000}"/>
    <cellStyle name="Normal 2 2 3 2 3 9 2 2" xfId="34167" xr:uid="{00000000-0005-0000-0000-000076850000}"/>
    <cellStyle name="Normal 2 2 3 2 3 9 3" xfId="34168" xr:uid="{00000000-0005-0000-0000-000077850000}"/>
    <cellStyle name="Normal 2 2 3 2 4" xfId="34169" xr:uid="{00000000-0005-0000-0000-000078850000}"/>
    <cellStyle name="Normal 2 2 3 2 4 10" xfId="34170" xr:uid="{00000000-0005-0000-0000-000079850000}"/>
    <cellStyle name="Normal 2 2 3 2 4 10 2" xfId="34171" xr:uid="{00000000-0005-0000-0000-00007A850000}"/>
    <cellStyle name="Normal 2 2 3 2 4 10 2 2" xfId="34172" xr:uid="{00000000-0005-0000-0000-00007B850000}"/>
    <cellStyle name="Normal 2 2 3 2 4 10 3" xfId="34173" xr:uid="{00000000-0005-0000-0000-00007C850000}"/>
    <cellStyle name="Normal 2 2 3 2 4 11" xfId="34174" xr:uid="{00000000-0005-0000-0000-00007D850000}"/>
    <cellStyle name="Normal 2 2 3 2 4 11 2" xfId="34175" xr:uid="{00000000-0005-0000-0000-00007E850000}"/>
    <cellStyle name="Normal 2 2 3 2 4 11 2 2" xfId="34176" xr:uid="{00000000-0005-0000-0000-00007F850000}"/>
    <cellStyle name="Normal 2 2 3 2 4 11 3" xfId="34177" xr:uid="{00000000-0005-0000-0000-000080850000}"/>
    <cellStyle name="Normal 2 2 3 2 4 12" xfId="34178" xr:uid="{00000000-0005-0000-0000-000081850000}"/>
    <cellStyle name="Normal 2 2 3 2 4 12 2" xfId="34179" xr:uid="{00000000-0005-0000-0000-000082850000}"/>
    <cellStyle name="Normal 2 2 3 2 4 12 2 2" xfId="34180" xr:uid="{00000000-0005-0000-0000-000083850000}"/>
    <cellStyle name="Normal 2 2 3 2 4 12 3" xfId="34181" xr:uid="{00000000-0005-0000-0000-000084850000}"/>
    <cellStyle name="Normal 2 2 3 2 4 13" xfId="34182" xr:uid="{00000000-0005-0000-0000-000085850000}"/>
    <cellStyle name="Normal 2 2 3 2 4 13 2" xfId="34183" xr:uid="{00000000-0005-0000-0000-000086850000}"/>
    <cellStyle name="Normal 2 2 3 2 4 14" xfId="34184" xr:uid="{00000000-0005-0000-0000-000087850000}"/>
    <cellStyle name="Normal 2 2 3 2 4 2" xfId="34185" xr:uid="{00000000-0005-0000-0000-000088850000}"/>
    <cellStyle name="Normal 2 2 3 2 4 2 2" xfId="34186" xr:uid="{00000000-0005-0000-0000-000089850000}"/>
    <cellStyle name="Normal 2 2 3 2 4 2 2 2" xfId="34187" xr:uid="{00000000-0005-0000-0000-00008A850000}"/>
    <cellStyle name="Normal 2 2 3 2 4 2 2 2 2" xfId="34188" xr:uid="{00000000-0005-0000-0000-00008B850000}"/>
    <cellStyle name="Normal 2 2 3 2 4 2 2 2 2 2" xfId="34189" xr:uid="{00000000-0005-0000-0000-00008C850000}"/>
    <cellStyle name="Normal 2 2 3 2 4 2 2 2 3" xfId="34190" xr:uid="{00000000-0005-0000-0000-00008D850000}"/>
    <cellStyle name="Normal 2 2 3 2 4 2 2 3" xfId="34191" xr:uid="{00000000-0005-0000-0000-00008E850000}"/>
    <cellStyle name="Normal 2 2 3 2 4 2 2 3 2" xfId="34192" xr:uid="{00000000-0005-0000-0000-00008F850000}"/>
    <cellStyle name="Normal 2 2 3 2 4 2 2 4" xfId="34193" xr:uid="{00000000-0005-0000-0000-000090850000}"/>
    <cellStyle name="Normal 2 2 3 2 4 2 3" xfId="34194" xr:uid="{00000000-0005-0000-0000-000091850000}"/>
    <cellStyle name="Normal 2 2 3 2 4 2 3 2" xfId="34195" xr:uid="{00000000-0005-0000-0000-000092850000}"/>
    <cellStyle name="Normal 2 2 3 2 4 2 3 2 2" xfId="34196" xr:uid="{00000000-0005-0000-0000-000093850000}"/>
    <cellStyle name="Normal 2 2 3 2 4 2 3 3" xfId="34197" xr:uid="{00000000-0005-0000-0000-000094850000}"/>
    <cellStyle name="Normal 2 2 3 2 4 2 4" xfId="34198" xr:uid="{00000000-0005-0000-0000-000095850000}"/>
    <cellStyle name="Normal 2 2 3 2 4 2 4 2" xfId="34199" xr:uid="{00000000-0005-0000-0000-000096850000}"/>
    <cellStyle name="Normal 2 2 3 2 4 2 4 2 2" xfId="34200" xr:uid="{00000000-0005-0000-0000-000097850000}"/>
    <cellStyle name="Normal 2 2 3 2 4 2 4 3" xfId="34201" xr:uid="{00000000-0005-0000-0000-000098850000}"/>
    <cellStyle name="Normal 2 2 3 2 4 2 5" xfId="34202" xr:uid="{00000000-0005-0000-0000-000099850000}"/>
    <cellStyle name="Normal 2 2 3 2 4 2 5 2" xfId="34203" xr:uid="{00000000-0005-0000-0000-00009A850000}"/>
    <cellStyle name="Normal 2 2 3 2 4 2 5 2 2" xfId="34204" xr:uid="{00000000-0005-0000-0000-00009B850000}"/>
    <cellStyle name="Normal 2 2 3 2 4 2 5 3" xfId="34205" xr:uid="{00000000-0005-0000-0000-00009C850000}"/>
    <cellStyle name="Normal 2 2 3 2 4 2 6" xfId="34206" xr:uid="{00000000-0005-0000-0000-00009D850000}"/>
    <cellStyle name="Normal 2 2 3 2 4 2 6 2" xfId="34207" xr:uid="{00000000-0005-0000-0000-00009E850000}"/>
    <cellStyle name="Normal 2 2 3 2 4 2 6 2 2" xfId="34208" xr:uid="{00000000-0005-0000-0000-00009F850000}"/>
    <cellStyle name="Normal 2 2 3 2 4 2 6 3" xfId="34209" xr:uid="{00000000-0005-0000-0000-0000A0850000}"/>
    <cellStyle name="Normal 2 2 3 2 4 2 7" xfId="34210" xr:uid="{00000000-0005-0000-0000-0000A1850000}"/>
    <cellStyle name="Normal 2 2 3 2 4 2 7 2" xfId="34211" xr:uid="{00000000-0005-0000-0000-0000A2850000}"/>
    <cellStyle name="Normal 2 2 3 2 4 2 8" xfId="34212" xr:uid="{00000000-0005-0000-0000-0000A3850000}"/>
    <cellStyle name="Normal 2 2 3 2 4 3" xfId="34213" xr:uid="{00000000-0005-0000-0000-0000A4850000}"/>
    <cellStyle name="Normal 2 2 3 2 4 3 2" xfId="34214" xr:uid="{00000000-0005-0000-0000-0000A5850000}"/>
    <cellStyle name="Normal 2 2 3 2 4 3 2 2" xfId="34215" xr:uid="{00000000-0005-0000-0000-0000A6850000}"/>
    <cellStyle name="Normal 2 2 3 2 4 3 2 2 2" xfId="34216" xr:uid="{00000000-0005-0000-0000-0000A7850000}"/>
    <cellStyle name="Normal 2 2 3 2 4 3 2 2 2 2" xfId="34217" xr:uid="{00000000-0005-0000-0000-0000A8850000}"/>
    <cellStyle name="Normal 2 2 3 2 4 3 2 2 3" xfId="34218" xr:uid="{00000000-0005-0000-0000-0000A9850000}"/>
    <cellStyle name="Normal 2 2 3 2 4 3 2 3" xfId="34219" xr:uid="{00000000-0005-0000-0000-0000AA850000}"/>
    <cellStyle name="Normal 2 2 3 2 4 3 2 3 2" xfId="34220" xr:uid="{00000000-0005-0000-0000-0000AB850000}"/>
    <cellStyle name="Normal 2 2 3 2 4 3 2 4" xfId="34221" xr:uid="{00000000-0005-0000-0000-0000AC850000}"/>
    <cellStyle name="Normal 2 2 3 2 4 3 3" xfId="34222" xr:uid="{00000000-0005-0000-0000-0000AD850000}"/>
    <cellStyle name="Normal 2 2 3 2 4 3 3 2" xfId="34223" xr:uid="{00000000-0005-0000-0000-0000AE850000}"/>
    <cellStyle name="Normal 2 2 3 2 4 3 3 2 2" xfId="34224" xr:uid="{00000000-0005-0000-0000-0000AF850000}"/>
    <cellStyle name="Normal 2 2 3 2 4 3 3 3" xfId="34225" xr:uid="{00000000-0005-0000-0000-0000B0850000}"/>
    <cellStyle name="Normal 2 2 3 2 4 3 4" xfId="34226" xr:uid="{00000000-0005-0000-0000-0000B1850000}"/>
    <cellStyle name="Normal 2 2 3 2 4 3 4 2" xfId="34227" xr:uid="{00000000-0005-0000-0000-0000B2850000}"/>
    <cellStyle name="Normal 2 2 3 2 4 3 4 2 2" xfId="34228" xr:uid="{00000000-0005-0000-0000-0000B3850000}"/>
    <cellStyle name="Normal 2 2 3 2 4 3 4 3" xfId="34229" xr:uid="{00000000-0005-0000-0000-0000B4850000}"/>
    <cellStyle name="Normal 2 2 3 2 4 3 5" xfId="34230" xr:uid="{00000000-0005-0000-0000-0000B5850000}"/>
    <cellStyle name="Normal 2 2 3 2 4 3 5 2" xfId="34231" xr:uid="{00000000-0005-0000-0000-0000B6850000}"/>
    <cellStyle name="Normal 2 2 3 2 4 3 5 2 2" xfId="34232" xr:uid="{00000000-0005-0000-0000-0000B7850000}"/>
    <cellStyle name="Normal 2 2 3 2 4 3 5 3" xfId="34233" xr:uid="{00000000-0005-0000-0000-0000B8850000}"/>
    <cellStyle name="Normal 2 2 3 2 4 3 6" xfId="34234" xr:uid="{00000000-0005-0000-0000-0000B9850000}"/>
    <cellStyle name="Normal 2 2 3 2 4 3 6 2" xfId="34235" xr:uid="{00000000-0005-0000-0000-0000BA850000}"/>
    <cellStyle name="Normal 2 2 3 2 4 3 6 2 2" xfId="34236" xr:uid="{00000000-0005-0000-0000-0000BB850000}"/>
    <cellStyle name="Normal 2 2 3 2 4 3 6 3" xfId="34237" xr:uid="{00000000-0005-0000-0000-0000BC850000}"/>
    <cellStyle name="Normal 2 2 3 2 4 3 7" xfId="34238" xr:uid="{00000000-0005-0000-0000-0000BD850000}"/>
    <cellStyle name="Normal 2 2 3 2 4 3 7 2" xfId="34239" xr:uid="{00000000-0005-0000-0000-0000BE850000}"/>
    <cellStyle name="Normal 2 2 3 2 4 3 8" xfId="34240" xr:uid="{00000000-0005-0000-0000-0000BF850000}"/>
    <cellStyle name="Normal 2 2 3 2 4 4" xfId="34241" xr:uid="{00000000-0005-0000-0000-0000C0850000}"/>
    <cellStyle name="Normal 2 2 3 2 4 4 2" xfId="34242" xr:uid="{00000000-0005-0000-0000-0000C1850000}"/>
    <cellStyle name="Normal 2 2 3 2 4 4 2 2" xfId="34243" xr:uid="{00000000-0005-0000-0000-0000C2850000}"/>
    <cellStyle name="Normal 2 2 3 2 4 4 2 2 2" xfId="34244" xr:uid="{00000000-0005-0000-0000-0000C3850000}"/>
    <cellStyle name="Normal 2 2 3 2 4 4 2 2 2 2" xfId="34245" xr:uid="{00000000-0005-0000-0000-0000C4850000}"/>
    <cellStyle name="Normal 2 2 3 2 4 4 2 2 3" xfId="34246" xr:uid="{00000000-0005-0000-0000-0000C5850000}"/>
    <cellStyle name="Normal 2 2 3 2 4 4 2 3" xfId="34247" xr:uid="{00000000-0005-0000-0000-0000C6850000}"/>
    <cellStyle name="Normal 2 2 3 2 4 4 2 3 2" xfId="34248" xr:uid="{00000000-0005-0000-0000-0000C7850000}"/>
    <cellStyle name="Normal 2 2 3 2 4 4 2 4" xfId="34249" xr:uid="{00000000-0005-0000-0000-0000C8850000}"/>
    <cellStyle name="Normal 2 2 3 2 4 4 3" xfId="34250" xr:uid="{00000000-0005-0000-0000-0000C9850000}"/>
    <cellStyle name="Normal 2 2 3 2 4 4 3 2" xfId="34251" xr:uid="{00000000-0005-0000-0000-0000CA850000}"/>
    <cellStyle name="Normal 2 2 3 2 4 4 3 2 2" xfId="34252" xr:uid="{00000000-0005-0000-0000-0000CB850000}"/>
    <cellStyle name="Normal 2 2 3 2 4 4 3 3" xfId="34253" xr:uid="{00000000-0005-0000-0000-0000CC850000}"/>
    <cellStyle name="Normal 2 2 3 2 4 4 4" xfId="34254" xr:uid="{00000000-0005-0000-0000-0000CD850000}"/>
    <cellStyle name="Normal 2 2 3 2 4 4 4 2" xfId="34255" xr:uid="{00000000-0005-0000-0000-0000CE850000}"/>
    <cellStyle name="Normal 2 2 3 2 4 4 4 2 2" xfId="34256" xr:uid="{00000000-0005-0000-0000-0000CF850000}"/>
    <cellStyle name="Normal 2 2 3 2 4 4 4 3" xfId="34257" xr:uid="{00000000-0005-0000-0000-0000D0850000}"/>
    <cellStyle name="Normal 2 2 3 2 4 4 5" xfId="34258" xr:uid="{00000000-0005-0000-0000-0000D1850000}"/>
    <cellStyle name="Normal 2 2 3 2 4 4 5 2" xfId="34259" xr:uid="{00000000-0005-0000-0000-0000D2850000}"/>
    <cellStyle name="Normal 2 2 3 2 4 4 5 2 2" xfId="34260" xr:uid="{00000000-0005-0000-0000-0000D3850000}"/>
    <cellStyle name="Normal 2 2 3 2 4 4 5 3" xfId="34261" xr:uid="{00000000-0005-0000-0000-0000D4850000}"/>
    <cellStyle name="Normal 2 2 3 2 4 4 6" xfId="34262" xr:uid="{00000000-0005-0000-0000-0000D5850000}"/>
    <cellStyle name="Normal 2 2 3 2 4 4 6 2" xfId="34263" xr:uid="{00000000-0005-0000-0000-0000D6850000}"/>
    <cellStyle name="Normal 2 2 3 2 4 4 6 2 2" xfId="34264" xr:uid="{00000000-0005-0000-0000-0000D7850000}"/>
    <cellStyle name="Normal 2 2 3 2 4 4 6 3" xfId="34265" xr:uid="{00000000-0005-0000-0000-0000D8850000}"/>
    <cellStyle name="Normal 2 2 3 2 4 4 7" xfId="34266" xr:uid="{00000000-0005-0000-0000-0000D9850000}"/>
    <cellStyle name="Normal 2 2 3 2 4 4 7 2" xfId="34267" xr:uid="{00000000-0005-0000-0000-0000DA850000}"/>
    <cellStyle name="Normal 2 2 3 2 4 4 8" xfId="34268" xr:uid="{00000000-0005-0000-0000-0000DB850000}"/>
    <cellStyle name="Normal 2 2 3 2 4 5" xfId="34269" xr:uid="{00000000-0005-0000-0000-0000DC850000}"/>
    <cellStyle name="Normal 2 2 3 2 4 5 2" xfId="34270" xr:uid="{00000000-0005-0000-0000-0000DD850000}"/>
    <cellStyle name="Normal 2 2 3 2 4 5 2 2" xfId="34271" xr:uid="{00000000-0005-0000-0000-0000DE850000}"/>
    <cellStyle name="Normal 2 2 3 2 4 5 2 2 2" xfId="34272" xr:uid="{00000000-0005-0000-0000-0000DF850000}"/>
    <cellStyle name="Normal 2 2 3 2 4 5 2 2 2 2" xfId="34273" xr:uid="{00000000-0005-0000-0000-0000E0850000}"/>
    <cellStyle name="Normal 2 2 3 2 4 5 2 2 3" xfId="34274" xr:uid="{00000000-0005-0000-0000-0000E1850000}"/>
    <cellStyle name="Normal 2 2 3 2 4 5 2 3" xfId="34275" xr:uid="{00000000-0005-0000-0000-0000E2850000}"/>
    <cellStyle name="Normal 2 2 3 2 4 5 2 3 2" xfId="34276" xr:uid="{00000000-0005-0000-0000-0000E3850000}"/>
    <cellStyle name="Normal 2 2 3 2 4 5 2 4" xfId="34277" xr:uid="{00000000-0005-0000-0000-0000E4850000}"/>
    <cellStyle name="Normal 2 2 3 2 4 5 3" xfId="34278" xr:uid="{00000000-0005-0000-0000-0000E5850000}"/>
    <cellStyle name="Normal 2 2 3 2 4 5 3 2" xfId="34279" xr:uid="{00000000-0005-0000-0000-0000E6850000}"/>
    <cellStyle name="Normal 2 2 3 2 4 5 3 2 2" xfId="34280" xr:uid="{00000000-0005-0000-0000-0000E7850000}"/>
    <cellStyle name="Normal 2 2 3 2 4 5 3 3" xfId="34281" xr:uid="{00000000-0005-0000-0000-0000E8850000}"/>
    <cellStyle name="Normal 2 2 3 2 4 5 4" xfId="34282" xr:uid="{00000000-0005-0000-0000-0000E9850000}"/>
    <cellStyle name="Normal 2 2 3 2 4 5 4 2" xfId="34283" xr:uid="{00000000-0005-0000-0000-0000EA850000}"/>
    <cellStyle name="Normal 2 2 3 2 4 5 5" xfId="34284" xr:uid="{00000000-0005-0000-0000-0000EB850000}"/>
    <cellStyle name="Normal 2 2 3 2 4 6" xfId="34285" xr:uid="{00000000-0005-0000-0000-0000EC850000}"/>
    <cellStyle name="Normal 2 2 3 2 4 6 2" xfId="34286" xr:uid="{00000000-0005-0000-0000-0000ED850000}"/>
    <cellStyle name="Normal 2 2 3 2 4 6 2 2" xfId="34287" xr:uid="{00000000-0005-0000-0000-0000EE850000}"/>
    <cellStyle name="Normal 2 2 3 2 4 6 2 2 2" xfId="34288" xr:uid="{00000000-0005-0000-0000-0000EF850000}"/>
    <cellStyle name="Normal 2 2 3 2 4 6 2 2 2 2" xfId="34289" xr:uid="{00000000-0005-0000-0000-0000F0850000}"/>
    <cellStyle name="Normal 2 2 3 2 4 6 2 2 3" xfId="34290" xr:uid="{00000000-0005-0000-0000-0000F1850000}"/>
    <cellStyle name="Normal 2 2 3 2 4 6 2 3" xfId="34291" xr:uid="{00000000-0005-0000-0000-0000F2850000}"/>
    <cellStyle name="Normal 2 2 3 2 4 6 2 3 2" xfId="34292" xr:uid="{00000000-0005-0000-0000-0000F3850000}"/>
    <cellStyle name="Normal 2 2 3 2 4 6 2 4" xfId="34293" xr:uid="{00000000-0005-0000-0000-0000F4850000}"/>
    <cellStyle name="Normal 2 2 3 2 4 6 3" xfId="34294" xr:uid="{00000000-0005-0000-0000-0000F5850000}"/>
    <cellStyle name="Normal 2 2 3 2 4 6 3 2" xfId="34295" xr:uid="{00000000-0005-0000-0000-0000F6850000}"/>
    <cellStyle name="Normal 2 2 3 2 4 6 3 2 2" xfId="34296" xr:uid="{00000000-0005-0000-0000-0000F7850000}"/>
    <cellStyle name="Normal 2 2 3 2 4 6 3 3" xfId="34297" xr:uid="{00000000-0005-0000-0000-0000F8850000}"/>
    <cellStyle name="Normal 2 2 3 2 4 6 4" xfId="34298" xr:uid="{00000000-0005-0000-0000-0000F9850000}"/>
    <cellStyle name="Normal 2 2 3 2 4 6 4 2" xfId="34299" xr:uid="{00000000-0005-0000-0000-0000FA850000}"/>
    <cellStyle name="Normal 2 2 3 2 4 6 5" xfId="34300" xr:uid="{00000000-0005-0000-0000-0000FB850000}"/>
    <cellStyle name="Normal 2 2 3 2 4 7" xfId="34301" xr:uid="{00000000-0005-0000-0000-0000FC850000}"/>
    <cellStyle name="Normal 2 2 3 2 4 7 2" xfId="34302" xr:uid="{00000000-0005-0000-0000-0000FD850000}"/>
    <cellStyle name="Normal 2 2 3 2 4 7 2 2" xfId="34303" xr:uid="{00000000-0005-0000-0000-0000FE850000}"/>
    <cellStyle name="Normal 2 2 3 2 4 7 2 2 2" xfId="34304" xr:uid="{00000000-0005-0000-0000-0000FF850000}"/>
    <cellStyle name="Normal 2 2 3 2 4 7 2 3" xfId="34305" xr:uid="{00000000-0005-0000-0000-000000860000}"/>
    <cellStyle name="Normal 2 2 3 2 4 7 3" xfId="34306" xr:uid="{00000000-0005-0000-0000-000001860000}"/>
    <cellStyle name="Normal 2 2 3 2 4 7 3 2" xfId="34307" xr:uid="{00000000-0005-0000-0000-000002860000}"/>
    <cellStyle name="Normal 2 2 3 2 4 7 4" xfId="34308" xr:uid="{00000000-0005-0000-0000-000003860000}"/>
    <cellStyle name="Normal 2 2 3 2 4 8" xfId="34309" xr:uid="{00000000-0005-0000-0000-000004860000}"/>
    <cellStyle name="Normal 2 2 3 2 4 8 2" xfId="34310" xr:uid="{00000000-0005-0000-0000-000005860000}"/>
    <cellStyle name="Normal 2 2 3 2 4 8 2 2" xfId="34311" xr:uid="{00000000-0005-0000-0000-000006860000}"/>
    <cellStyle name="Normal 2 2 3 2 4 8 2 2 2" xfId="34312" xr:uid="{00000000-0005-0000-0000-000007860000}"/>
    <cellStyle name="Normal 2 2 3 2 4 8 2 3" xfId="34313" xr:uid="{00000000-0005-0000-0000-000008860000}"/>
    <cellStyle name="Normal 2 2 3 2 4 8 3" xfId="34314" xr:uid="{00000000-0005-0000-0000-000009860000}"/>
    <cellStyle name="Normal 2 2 3 2 4 8 3 2" xfId="34315" xr:uid="{00000000-0005-0000-0000-00000A860000}"/>
    <cellStyle name="Normal 2 2 3 2 4 8 4" xfId="34316" xr:uid="{00000000-0005-0000-0000-00000B860000}"/>
    <cellStyle name="Normal 2 2 3 2 4 9" xfId="34317" xr:uid="{00000000-0005-0000-0000-00000C860000}"/>
    <cellStyle name="Normal 2 2 3 2 4 9 2" xfId="34318" xr:uid="{00000000-0005-0000-0000-00000D860000}"/>
    <cellStyle name="Normal 2 2 3 2 4 9 2 2" xfId="34319" xr:uid="{00000000-0005-0000-0000-00000E860000}"/>
    <cellStyle name="Normal 2 2 3 2 4 9 3" xfId="34320" xr:uid="{00000000-0005-0000-0000-00000F860000}"/>
    <cellStyle name="Normal 2 2 3 2 5" xfId="34321" xr:uid="{00000000-0005-0000-0000-000010860000}"/>
    <cellStyle name="Normal 2 2 3 2 5 10" xfId="34322" xr:uid="{00000000-0005-0000-0000-000011860000}"/>
    <cellStyle name="Normal 2 2 3 2 5 10 2" xfId="34323" xr:uid="{00000000-0005-0000-0000-000012860000}"/>
    <cellStyle name="Normal 2 2 3 2 5 10 2 2" xfId="34324" xr:uid="{00000000-0005-0000-0000-000013860000}"/>
    <cellStyle name="Normal 2 2 3 2 5 10 3" xfId="34325" xr:uid="{00000000-0005-0000-0000-000014860000}"/>
    <cellStyle name="Normal 2 2 3 2 5 11" xfId="34326" xr:uid="{00000000-0005-0000-0000-000015860000}"/>
    <cellStyle name="Normal 2 2 3 2 5 11 2" xfId="34327" xr:uid="{00000000-0005-0000-0000-000016860000}"/>
    <cellStyle name="Normal 2 2 3 2 5 11 2 2" xfId="34328" xr:uid="{00000000-0005-0000-0000-000017860000}"/>
    <cellStyle name="Normal 2 2 3 2 5 11 3" xfId="34329" xr:uid="{00000000-0005-0000-0000-000018860000}"/>
    <cellStyle name="Normal 2 2 3 2 5 12" xfId="34330" xr:uid="{00000000-0005-0000-0000-000019860000}"/>
    <cellStyle name="Normal 2 2 3 2 5 12 2" xfId="34331" xr:uid="{00000000-0005-0000-0000-00001A860000}"/>
    <cellStyle name="Normal 2 2 3 2 5 12 2 2" xfId="34332" xr:uid="{00000000-0005-0000-0000-00001B860000}"/>
    <cellStyle name="Normal 2 2 3 2 5 12 3" xfId="34333" xr:uid="{00000000-0005-0000-0000-00001C860000}"/>
    <cellStyle name="Normal 2 2 3 2 5 13" xfId="34334" xr:uid="{00000000-0005-0000-0000-00001D860000}"/>
    <cellStyle name="Normal 2 2 3 2 5 13 2" xfId="34335" xr:uid="{00000000-0005-0000-0000-00001E860000}"/>
    <cellStyle name="Normal 2 2 3 2 5 14" xfId="34336" xr:uid="{00000000-0005-0000-0000-00001F860000}"/>
    <cellStyle name="Normal 2 2 3 2 5 2" xfId="34337" xr:uid="{00000000-0005-0000-0000-000020860000}"/>
    <cellStyle name="Normal 2 2 3 2 5 2 2" xfId="34338" xr:uid="{00000000-0005-0000-0000-000021860000}"/>
    <cellStyle name="Normal 2 2 3 2 5 2 2 2" xfId="34339" xr:uid="{00000000-0005-0000-0000-000022860000}"/>
    <cellStyle name="Normal 2 2 3 2 5 2 2 2 2" xfId="34340" xr:uid="{00000000-0005-0000-0000-000023860000}"/>
    <cellStyle name="Normal 2 2 3 2 5 2 2 2 2 2" xfId="34341" xr:uid="{00000000-0005-0000-0000-000024860000}"/>
    <cellStyle name="Normal 2 2 3 2 5 2 2 2 3" xfId="34342" xr:uid="{00000000-0005-0000-0000-000025860000}"/>
    <cellStyle name="Normal 2 2 3 2 5 2 2 3" xfId="34343" xr:uid="{00000000-0005-0000-0000-000026860000}"/>
    <cellStyle name="Normal 2 2 3 2 5 2 2 3 2" xfId="34344" xr:uid="{00000000-0005-0000-0000-000027860000}"/>
    <cellStyle name="Normal 2 2 3 2 5 2 2 4" xfId="34345" xr:uid="{00000000-0005-0000-0000-000028860000}"/>
    <cellStyle name="Normal 2 2 3 2 5 2 3" xfId="34346" xr:uid="{00000000-0005-0000-0000-000029860000}"/>
    <cellStyle name="Normal 2 2 3 2 5 2 3 2" xfId="34347" xr:uid="{00000000-0005-0000-0000-00002A860000}"/>
    <cellStyle name="Normal 2 2 3 2 5 2 3 2 2" xfId="34348" xr:uid="{00000000-0005-0000-0000-00002B860000}"/>
    <cellStyle name="Normal 2 2 3 2 5 2 3 3" xfId="34349" xr:uid="{00000000-0005-0000-0000-00002C860000}"/>
    <cellStyle name="Normal 2 2 3 2 5 2 4" xfId="34350" xr:uid="{00000000-0005-0000-0000-00002D860000}"/>
    <cellStyle name="Normal 2 2 3 2 5 2 4 2" xfId="34351" xr:uid="{00000000-0005-0000-0000-00002E860000}"/>
    <cellStyle name="Normal 2 2 3 2 5 2 4 2 2" xfId="34352" xr:uid="{00000000-0005-0000-0000-00002F860000}"/>
    <cellStyle name="Normal 2 2 3 2 5 2 4 3" xfId="34353" xr:uid="{00000000-0005-0000-0000-000030860000}"/>
    <cellStyle name="Normal 2 2 3 2 5 2 5" xfId="34354" xr:uid="{00000000-0005-0000-0000-000031860000}"/>
    <cellStyle name="Normal 2 2 3 2 5 2 5 2" xfId="34355" xr:uid="{00000000-0005-0000-0000-000032860000}"/>
    <cellStyle name="Normal 2 2 3 2 5 2 5 2 2" xfId="34356" xr:uid="{00000000-0005-0000-0000-000033860000}"/>
    <cellStyle name="Normal 2 2 3 2 5 2 5 3" xfId="34357" xr:uid="{00000000-0005-0000-0000-000034860000}"/>
    <cellStyle name="Normal 2 2 3 2 5 2 6" xfId="34358" xr:uid="{00000000-0005-0000-0000-000035860000}"/>
    <cellStyle name="Normal 2 2 3 2 5 2 6 2" xfId="34359" xr:uid="{00000000-0005-0000-0000-000036860000}"/>
    <cellStyle name="Normal 2 2 3 2 5 2 6 2 2" xfId="34360" xr:uid="{00000000-0005-0000-0000-000037860000}"/>
    <cellStyle name="Normal 2 2 3 2 5 2 6 3" xfId="34361" xr:uid="{00000000-0005-0000-0000-000038860000}"/>
    <cellStyle name="Normal 2 2 3 2 5 2 7" xfId="34362" xr:uid="{00000000-0005-0000-0000-000039860000}"/>
    <cellStyle name="Normal 2 2 3 2 5 2 7 2" xfId="34363" xr:uid="{00000000-0005-0000-0000-00003A860000}"/>
    <cellStyle name="Normal 2 2 3 2 5 2 8" xfId="34364" xr:uid="{00000000-0005-0000-0000-00003B860000}"/>
    <cellStyle name="Normal 2 2 3 2 5 3" xfId="34365" xr:uid="{00000000-0005-0000-0000-00003C860000}"/>
    <cellStyle name="Normal 2 2 3 2 5 3 2" xfId="34366" xr:uid="{00000000-0005-0000-0000-00003D860000}"/>
    <cellStyle name="Normal 2 2 3 2 5 3 2 2" xfId="34367" xr:uid="{00000000-0005-0000-0000-00003E860000}"/>
    <cellStyle name="Normal 2 2 3 2 5 3 2 2 2" xfId="34368" xr:uid="{00000000-0005-0000-0000-00003F860000}"/>
    <cellStyle name="Normal 2 2 3 2 5 3 2 2 2 2" xfId="34369" xr:uid="{00000000-0005-0000-0000-000040860000}"/>
    <cellStyle name="Normal 2 2 3 2 5 3 2 2 3" xfId="34370" xr:uid="{00000000-0005-0000-0000-000041860000}"/>
    <cellStyle name="Normal 2 2 3 2 5 3 2 3" xfId="34371" xr:uid="{00000000-0005-0000-0000-000042860000}"/>
    <cellStyle name="Normal 2 2 3 2 5 3 2 3 2" xfId="34372" xr:uid="{00000000-0005-0000-0000-000043860000}"/>
    <cellStyle name="Normal 2 2 3 2 5 3 2 4" xfId="34373" xr:uid="{00000000-0005-0000-0000-000044860000}"/>
    <cellStyle name="Normal 2 2 3 2 5 3 3" xfId="34374" xr:uid="{00000000-0005-0000-0000-000045860000}"/>
    <cellStyle name="Normal 2 2 3 2 5 3 3 2" xfId="34375" xr:uid="{00000000-0005-0000-0000-000046860000}"/>
    <cellStyle name="Normal 2 2 3 2 5 3 3 2 2" xfId="34376" xr:uid="{00000000-0005-0000-0000-000047860000}"/>
    <cellStyle name="Normal 2 2 3 2 5 3 3 3" xfId="34377" xr:uid="{00000000-0005-0000-0000-000048860000}"/>
    <cellStyle name="Normal 2 2 3 2 5 3 4" xfId="34378" xr:uid="{00000000-0005-0000-0000-000049860000}"/>
    <cellStyle name="Normal 2 2 3 2 5 3 4 2" xfId="34379" xr:uid="{00000000-0005-0000-0000-00004A860000}"/>
    <cellStyle name="Normal 2 2 3 2 5 3 4 2 2" xfId="34380" xr:uid="{00000000-0005-0000-0000-00004B860000}"/>
    <cellStyle name="Normal 2 2 3 2 5 3 4 3" xfId="34381" xr:uid="{00000000-0005-0000-0000-00004C860000}"/>
    <cellStyle name="Normal 2 2 3 2 5 3 5" xfId="34382" xr:uid="{00000000-0005-0000-0000-00004D860000}"/>
    <cellStyle name="Normal 2 2 3 2 5 3 5 2" xfId="34383" xr:uid="{00000000-0005-0000-0000-00004E860000}"/>
    <cellStyle name="Normal 2 2 3 2 5 3 5 2 2" xfId="34384" xr:uid="{00000000-0005-0000-0000-00004F860000}"/>
    <cellStyle name="Normal 2 2 3 2 5 3 5 3" xfId="34385" xr:uid="{00000000-0005-0000-0000-000050860000}"/>
    <cellStyle name="Normal 2 2 3 2 5 3 6" xfId="34386" xr:uid="{00000000-0005-0000-0000-000051860000}"/>
    <cellStyle name="Normal 2 2 3 2 5 3 6 2" xfId="34387" xr:uid="{00000000-0005-0000-0000-000052860000}"/>
    <cellStyle name="Normal 2 2 3 2 5 3 6 2 2" xfId="34388" xr:uid="{00000000-0005-0000-0000-000053860000}"/>
    <cellStyle name="Normal 2 2 3 2 5 3 6 3" xfId="34389" xr:uid="{00000000-0005-0000-0000-000054860000}"/>
    <cellStyle name="Normal 2 2 3 2 5 3 7" xfId="34390" xr:uid="{00000000-0005-0000-0000-000055860000}"/>
    <cellStyle name="Normal 2 2 3 2 5 3 7 2" xfId="34391" xr:uid="{00000000-0005-0000-0000-000056860000}"/>
    <cellStyle name="Normal 2 2 3 2 5 3 8" xfId="34392" xr:uid="{00000000-0005-0000-0000-000057860000}"/>
    <cellStyle name="Normal 2 2 3 2 5 4" xfId="34393" xr:uid="{00000000-0005-0000-0000-000058860000}"/>
    <cellStyle name="Normal 2 2 3 2 5 4 2" xfId="34394" xr:uid="{00000000-0005-0000-0000-000059860000}"/>
    <cellStyle name="Normal 2 2 3 2 5 4 2 2" xfId="34395" xr:uid="{00000000-0005-0000-0000-00005A860000}"/>
    <cellStyle name="Normal 2 2 3 2 5 4 2 2 2" xfId="34396" xr:uid="{00000000-0005-0000-0000-00005B860000}"/>
    <cellStyle name="Normal 2 2 3 2 5 4 2 2 2 2" xfId="34397" xr:uid="{00000000-0005-0000-0000-00005C860000}"/>
    <cellStyle name="Normal 2 2 3 2 5 4 2 2 3" xfId="34398" xr:uid="{00000000-0005-0000-0000-00005D860000}"/>
    <cellStyle name="Normal 2 2 3 2 5 4 2 3" xfId="34399" xr:uid="{00000000-0005-0000-0000-00005E860000}"/>
    <cellStyle name="Normal 2 2 3 2 5 4 2 3 2" xfId="34400" xr:uid="{00000000-0005-0000-0000-00005F860000}"/>
    <cellStyle name="Normal 2 2 3 2 5 4 2 4" xfId="34401" xr:uid="{00000000-0005-0000-0000-000060860000}"/>
    <cellStyle name="Normal 2 2 3 2 5 4 3" xfId="34402" xr:uid="{00000000-0005-0000-0000-000061860000}"/>
    <cellStyle name="Normal 2 2 3 2 5 4 3 2" xfId="34403" xr:uid="{00000000-0005-0000-0000-000062860000}"/>
    <cellStyle name="Normal 2 2 3 2 5 4 3 2 2" xfId="34404" xr:uid="{00000000-0005-0000-0000-000063860000}"/>
    <cellStyle name="Normal 2 2 3 2 5 4 3 3" xfId="34405" xr:uid="{00000000-0005-0000-0000-000064860000}"/>
    <cellStyle name="Normal 2 2 3 2 5 4 4" xfId="34406" xr:uid="{00000000-0005-0000-0000-000065860000}"/>
    <cellStyle name="Normal 2 2 3 2 5 4 4 2" xfId="34407" xr:uid="{00000000-0005-0000-0000-000066860000}"/>
    <cellStyle name="Normal 2 2 3 2 5 4 4 2 2" xfId="34408" xr:uid="{00000000-0005-0000-0000-000067860000}"/>
    <cellStyle name="Normal 2 2 3 2 5 4 4 3" xfId="34409" xr:uid="{00000000-0005-0000-0000-000068860000}"/>
    <cellStyle name="Normal 2 2 3 2 5 4 5" xfId="34410" xr:uid="{00000000-0005-0000-0000-000069860000}"/>
    <cellStyle name="Normal 2 2 3 2 5 4 5 2" xfId="34411" xr:uid="{00000000-0005-0000-0000-00006A860000}"/>
    <cellStyle name="Normal 2 2 3 2 5 4 5 2 2" xfId="34412" xr:uid="{00000000-0005-0000-0000-00006B860000}"/>
    <cellStyle name="Normal 2 2 3 2 5 4 5 3" xfId="34413" xr:uid="{00000000-0005-0000-0000-00006C860000}"/>
    <cellStyle name="Normal 2 2 3 2 5 4 6" xfId="34414" xr:uid="{00000000-0005-0000-0000-00006D860000}"/>
    <cellStyle name="Normal 2 2 3 2 5 4 6 2" xfId="34415" xr:uid="{00000000-0005-0000-0000-00006E860000}"/>
    <cellStyle name="Normal 2 2 3 2 5 4 6 2 2" xfId="34416" xr:uid="{00000000-0005-0000-0000-00006F860000}"/>
    <cellStyle name="Normal 2 2 3 2 5 4 6 3" xfId="34417" xr:uid="{00000000-0005-0000-0000-000070860000}"/>
    <cellStyle name="Normal 2 2 3 2 5 4 7" xfId="34418" xr:uid="{00000000-0005-0000-0000-000071860000}"/>
    <cellStyle name="Normal 2 2 3 2 5 4 7 2" xfId="34419" xr:uid="{00000000-0005-0000-0000-000072860000}"/>
    <cellStyle name="Normal 2 2 3 2 5 4 8" xfId="34420" xr:uid="{00000000-0005-0000-0000-000073860000}"/>
    <cellStyle name="Normal 2 2 3 2 5 5" xfId="34421" xr:uid="{00000000-0005-0000-0000-000074860000}"/>
    <cellStyle name="Normal 2 2 3 2 5 5 2" xfId="34422" xr:uid="{00000000-0005-0000-0000-000075860000}"/>
    <cellStyle name="Normal 2 2 3 2 5 5 2 2" xfId="34423" xr:uid="{00000000-0005-0000-0000-000076860000}"/>
    <cellStyle name="Normal 2 2 3 2 5 5 2 2 2" xfId="34424" xr:uid="{00000000-0005-0000-0000-000077860000}"/>
    <cellStyle name="Normal 2 2 3 2 5 5 2 2 2 2" xfId="34425" xr:uid="{00000000-0005-0000-0000-000078860000}"/>
    <cellStyle name="Normal 2 2 3 2 5 5 2 2 3" xfId="34426" xr:uid="{00000000-0005-0000-0000-000079860000}"/>
    <cellStyle name="Normal 2 2 3 2 5 5 2 3" xfId="34427" xr:uid="{00000000-0005-0000-0000-00007A860000}"/>
    <cellStyle name="Normal 2 2 3 2 5 5 2 3 2" xfId="34428" xr:uid="{00000000-0005-0000-0000-00007B860000}"/>
    <cellStyle name="Normal 2 2 3 2 5 5 2 4" xfId="34429" xr:uid="{00000000-0005-0000-0000-00007C860000}"/>
    <cellStyle name="Normal 2 2 3 2 5 5 3" xfId="34430" xr:uid="{00000000-0005-0000-0000-00007D860000}"/>
    <cellStyle name="Normal 2 2 3 2 5 5 3 2" xfId="34431" xr:uid="{00000000-0005-0000-0000-00007E860000}"/>
    <cellStyle name="Normal 2 2 3 2 5 5 3 2 2" xfId="34432" xr:uid="{00000000-0005-0000-0000-00007F860000}"/>
    <cellStyle name="Normal 2 2 3 2 5 5 3 3" xfId="34433" xr:uid="{00000000-0005-0000-0000-000080860000}"/>
    <cellStyle name="Normal 2 2 3 2 5 5 4" xfId="34434" xr:uid="{00000000-0005-0000-0000-000081860000}"/>
    <cellStyle name="Normal 2 2 3 2 5 5 4 2" xfId="34435" xr:uid="{00000000-0005-0000-0000-000082860000}"/>
    <cellStyle name="Normal 2 2 3 2 5 5 5" xfId="34436" xr:uid="{00000000-0005-0000-0000-000083860000}"/>
    <cellStyle name="Normal 2 2 3 2 5 6" xfId="34437" xr:uid="{00000000-0005-0000-0000-000084860000}"/>
    <cellStyle name="Normal 2 2 3 2 5 6 2" xfId="34438" xr:uid="{00000000-0005-0000-0000-000085860000}"/>
    <cellStyle name="Normal 2 2 3 2 5 6 2 2" xfId="34439" xr:uid="{00000000-0005-0000-0000-000086860000}"/>
    <cellStyle name="Normal 2 2 3 2 5 6 2 2 2" xfId="34440" xr:uid="{00000000-0005-0000-0000-000087860000}"/>
    <cellStyle name="Normal 2 2 3 2 5 6 2 2 2 2" xfId="34441" xr:uid="{00000000-0005-0000-0000-000088860000}"/>
    <cellStyle name="Normal 2 2 3 2 5 6 2 2 3" xfId="34442" xr:uid="{00000000-0005-0000-0000-000089860000}"/>
    <cellStyle name="Normal 2 2 3 2 5 6 2 3" xfId="34443" xr:uid="{00000000-0005-0000-0000-00008A860000}"/>
    <cellStyle name="Normal 2 2 3 2 5 6 2 3 2" xfId="34444" xr:uid="{00000000-0005-0000-0000-00008B860000}"/>
    <cellStyle name="Normal 2 2 3 2 5 6 2 4" xfId="34445" xr:uid="{00000000-0005-0000-0000-00008C860000}"/>
    <cellStyle name="Normal 2 2 3 2 5 6 3" xfId="34446" xr:uid="{00000000-0005-0000-0000-00008D860000}"/>
    <cellStyle name="Normal 2 2 3 2 5 6 3 2" xfId="34447" xr:uid="{00000000-0005-0000-0000-00008E860000}"/>
    <cellStyle name="Normal 2 2 3 2 5 6 3 2 2" xfId="34448" xr:uid="{00000000-0005-0000-0000-00008F860000}"/>
    <cellStyle name="Normal 2 2 3 2 5 6 3 3" xfId="34449" xr:uid="{00000000-0005-0000-0000-000090860000}"/>
    <cellStyle name="Normal 2 2 3 2 5 6 4" xfId="34450" xr:uid="{00000000-0005-0000-0000-000091860000}"/>
    <cellStyle name="Normal 2 2 3 2 5 6 4 2" xfId="34451" xr:uid="{00000000-0005-0000-0000-000092860000}"/>
    <cellStyle name="Normal 2 2 3 2 5 6 5" xfId="34452" xr:uid="{00000000-0005-0000-0000-000093860000}"/>
    <cellStyle name="Normal 2 2 3 2 5 7" xfId="34453" xr:uid="{00000000-0005-0000-0000-000094860000}"/>
    <cellStyle name="Normal 2 2 3 2 5 7 2" xfId="34454" xr:uid="{00000000-0005-0000-0000-000095860000}"/>
    <cellStyle name="Normal 2 2 3 2 5 7 2 2" xfId="34455" xr:uid="{00000000-0005-0000-0000-000096860000}"/>
    <cellStyle name="Normal 2 2 3 2 5 7 2 2 2" xfId="34456" xr:uid="{00000000-0005-0000-0000-000097860000}"/>
    <cellStyle name="Normal 2 2 3 2 5 7 2 3" xfId="34457" xr:uid="{00000000-0005-0000-0000-000098860000}"/>
    <cellStyle name="Normal 2 2 3 2 5 7 3" xfId="34458" xr:uid="{00000000-0005-0000-0000-000099860000}"/>
    <cellStyle name="Normal 2 2 3 2 5 7 3 2" xfId="34459" xr:uid="{00000000-0005-0000-0000-00009A860000}"/>
    <cellStyle name="Normal 2 2 3 2 5 7 4" xfId="34460" xr:uid="{00000000-0005-0000-0000-00009B860000}"/>
    <cellStyle name="Normal 2 2 3 2 5 8" xfId="34461" xr:uid="{00000000-0005-0000-0000-00009C860000}"/>
    <cellStyle name="Normal 2 2 3 2 5 8 2" xfId="34462" xr:uid="{00000000-0005-0000-0000-00009D860000}"/>
    <cellStyle name="Normal 2 2 3 2 5 8 2 2" xfId="34463" xr:uid="{00000000-0005-0000-0000-00009E860000}"/>
    <cellStyle name="Normal 2 2 3 2 5 8 2 2 2" xfId="34464" xr:uid="{00000000-0005-0000-0000-00009F860000}"/>
    <cellStyle name="Normal 2 2 3 2 5 8 2 3" xfId="34465" xr:uid="{00000000-0005-0000-0000-0000A0860000}"/>
    <cellStyle name="Normal 2 2 3 2 5 8 3" xfId="34466" xr:uid="{00000000-0005-0000-0000-0000A1860000}"/>
    <cellStyle name="Normal 2 2 3 2 5 8 3 2" xfId="34467" xr:uid="{00000000-0005-0000-0000-0000A2860000}"/>
    <cellStyle name="Normal 2 2 3 2 5 8 4" xfId="34468" xr:uid="{00000000-0005-0000-0000-0000A3860000}"/>
    <cellStyle name="Normal 2 2 3 2 5 9" xfId="34469" xr:uid="{00000000-0005-0000-0000-0000A4860000}"/>
    <cellStyle name="Normal 2 2 3 2 5 9 2" xfId="34470" xr:uid="{00000000-0005-0000-0000-0000A5860000}"/>
    <cellStyle name="Normal 2 2 3 2 5 9 2 2" xfId="34471" xr:uid="{00000000-0005-0000-0000-0000A6860000}"/>
    <cellStyle name="Normal 2 2 3 2 5 9 3" xfId="34472" xr:uid="{00000000-0005-0000-0000-0000A7860000}"/>
    <cellStyle name="Normal 2 2 3 2 6" xfId="34473" xr:uid="{00000000-0005-0000-0000-0000A8860000}"/>
    <cellStyle name="Normal 2 2 3 2 6 10" xfId="34474" xr:uid="{00000000-0005-0000-0000-0000A9860000}"/>
    <cellStyle name="Normal 2 2 3 2 6 10 2" xfId="34475" xr:uid="{00000000-0005-0000-0000-0000AA860000}"/>
    <cellStyle name="Normal 2 2 3 2 6 10 2 2" xfId="34476" xr:uid="{00000000-0005-0000-0000-0000AB860000}"/>
    <cellStyle name="Normal 2 2 3 2 6 10 3" xfId="34477" xr:uid="{00000000-0005-0000-0000-0000AC860000}"/>
    <cellStyle name="Normal 2 2 3 2 6 11" xfId="34478" xr:uid="{00000000-0005-0000-0000-0000AD860000}"/>
    <cellStyle name="Normal 2 2 3 2 6 11 2" xfId="34479" xr:uid="{00000000-0005-0000-0000-0000AE860000}"/>
    <cellStyle name="Normal 2 2 3 2 6 11 2 2" xfId="34480" xr:uid="{00000000-0005-0000-0000-0000AF860000}"/>
    <cellStyle name="Normal 2 2 3 2 6 11 3" xfId="34481" xr:uid="{00000000-0005-0000-0000-0000B0860000}"/>
    <cellStyle name="Normal 2 2 3 2 6 12" xfId="34482" xr:uid="{00000000-0005-0000-0000-0000B1860000}"/>
    <cellStyle name="Normal 2 2 3 2 6 12 2" xfId="34483" xr:uid="{00000000-0005-0000-0000-0000B2860000}"/>
    <cellStyle name="Normal 2 2 3 2 6 12 2 2" xfId="34484" xr:uid="{00000000-0005-0000-0000-0000B3860000}"/>
    <cellStyle name="Normal 2 2 3 2 6 12 3" xfId="34485" xr:uid="{00000000-0005-0000-0000-0000B4860000}"/>
    <cellStyle name="Normal 2 2 3 2 6 13" xfId="34486" xr:uid="{00000000-0005-0000-0000-0000B5860000}"/>
    <cellStyle name="Normal 2 2 3 2 6 13 2" xfId="34487" xr:uid="{00000000-0005-0000-0000-0000B6860000}"/>
    <cellStyle name="Normal 2 2 3 2 6 14" xfId="34488" xr:uid="{00000000-0005-0000-0000-0000B7860000}"/>
    <cellStyle name="Normal 2 2 3 2 6 2" xfId="34489" xr:uid="{00000000-0005-0000-0000-0000B8860000}"/>
    <cellStyle name="Normal 2 2 3 2 6 2 2" xfId="34490" xr:uid="{00000000-0005-0000-0000-0000B9860000}"/>
    <cellStyle name="Normal 2 2 3 2 6 2 2 2" xfId="34491" xr:uid="{00000000-0005-0000-0000-0000BA860000}"/>
    <cellStyle name="Normal 2 2 3 2 6 2 2 2 2" xfId="34492" xr:uid="{00000000-0005-0000-0000-0000BB860000}"/>
    <cellStyle name="Normal 2 2 3 2 6 2 2 2 2 2" xfId="34493" xr:uid="{00000000-0005-0000-0000-0000BC860000}"/>
    <cellStyle name="Normal 2 2 3 2 6 2 2 2 3" xfId="34494" xr:uid="{00000000-0005-0000-0000-0000BD860000}"/>
    <cellStyle name="Normal 2 2 3 2 6 2 2 3" xfId="34495" xr:uid="{00000000-0005-0000-0000-0000BE860000}"/>
    <cellStyle name="Normal 2 2 3 2 6 2 2 3 2" xfId="34496" xr:uid="{00000000-0005-0000-0000-0000BF860000}"/>
    <cellStyle name="Normal 2 2 3 2 6 2 2 4" xfId="34497" xr:uid="{00000000-0005-0000-0000-0000C0860000}"/>
    <cellStyle name="Normal 2 2 3 2 6 2 3" xfId="34498" xr:uid="{00000000-0005-0000-0000-0000C1860000}"/>
    <cellStyle name="Normal 2 2 3 2 6 2 3 2" xfId="34499" xr:uid="{00000000-0005-0000-0000-0000C2860000}"/>
    <cellStyle name="Normal 2 2 3 2 6 2 3 2 2" xfId="34500" xr:uid="{00000000-0005-0000-0000-0000C3860000}"/>
    <cellStyle name="Normal 2 2 3 2 6 2 3 3" xfId="34501" xr:uid="{00000000-0005-0000-0000-0000C4860000}"/>
    <cellStyle name="Normal 2 2 3 2 6 2 4" xfId="34502" xr:uid="{00000000-0005-0000-0000-0000C5860000}"/>
    <cellStyle name="Normal 2 2 3 2 6 2 4 2" xfId="34503" xr:uid="{00000000-0005-0000-0000-0000C6860000}"/>
    <cellStyle name="Normal 2 2 3 2 6 2 4 2 2" xfId="34504" xr:uid="{00000000-0005-0000-0000-0000C7860000}"/>
    <cellStyle name="Normal 2 2 3 2 6 2 4 3" xfId="34505" xr:uid="{00000000-0005-0000-0000-0000C8860000}"/>
    <cellStyle name="Normal 2 2 3 2 6 2 5" xfId="34506" xr:uid="{00000000-0005-0000-0000-0000C9860000}"/>
    <cellStyle name="Normal 2 2 3 2 6 2 5 2" xfId="34507" xr:uid="{00000000-0005-0000-0000-0000CA860000}"/>
    <cellStyle name="Normal 2 2 3 2 6 2 5 2 2" xfId="34508" xr:uid="{00000000-0005-0000-0000-0000CB860000}"/>
    <cellStyle name="Normal 2 2 3 2 6 2 5 3" xfId="34509" xr:uid="{00000000-0005-0000-0000-0000CC860000}"/>
    <cellStyle name="Normal 2 2 3 2 6 2 6" xfId="34510" xr:uid="{00000000-0005-0000-0000-0000CD860000}"/>
    <cellStyle name="Normal 2 2 3 2 6 2 6 2" xfId="34511" xr:uid="{00000000-0005-0000-0000-0000CE860000}"/>
    <cellStyle name="Normal 2 2 3 2 6 2 6 2 2" xfId="34512" xr:uid="{00000000-0005-0000-0000-0000CF860000}"/>
    <cellStyle name="Normal 2 2 3 2 6 2 6 3" xfId="34513" xr:uid="{00000000-0005-0000-0000-0000D0860000}"/>
    <cellStyle name="Normal 2 2 3 2 6 2 7" xfId="34514" xr:uid="{00000000-0005-0000-0000-0000D1860000}"/>
    <cellStyle name="Normal 2 2 3 2 6 2 7 2" xfId="34515" xr:uid="{00000000-0005-0000-0000-0000D2860000}"/>
    <cellStyle name="Normal 2 2 3 2 6 2 8" xfId="34516" xr:uid="{00000000-0005-0000-0000-0000D3860000}"/>
    <cellStyle name="Normal 2 2 3 2 6 3" xfId="34517" xr:uid="{00000000-0005-0000-0000-0000D4860000}"/>
    <cellStyle name="Normal 2 2 3 2 6 3 2" xfId="34518" xr:uid="{00000000-0005-0000-0000-0000D5860000}"/>
    <cellStyle name="Normal 2 2 3 2 6 3 2 2" xfId="34519" xr:uid="{00000000-0005-0000-0000-0000D6860000}"/>
    <cellStyle name="Normal 2 2 3 2 6 3 2 2 2" xfId="34520" xr:uid="{00000000-0005-0000-0000-0000D7860000}"/>
    <cellStyle name="Normal 2 2 3 2 6 3 2 2 2 2" xfId="34521" xr:uid="{00000000-0005-0000-0000-0000D8860000}"/>
    <cellStyle name="Normal 2 2 3 2 6 3 2 2 3" xfId="34522" xr:uid="{00000000-0005-0000-0000-0000D9860000}"/>
    <cellStyle name="Normal 2 2 3 2 6 3 2 3" xfId="34523" xr:uid="{00000000-0005-0000-0000-0000DA860000}"/>
    <cellStyle name="Normal 2 2 3 2 6 3 2 3 2" xfId="34524" xr:uid="{00000000-0005-0000-0000-0000DB860000}"/>
    <cellStyle name="Normal 2 2 3 2 6 3 2 4" xfId="34525" xr:uid="{00000000-0005-0000-0000-0000DC860000}"/>
    <cellStyle name="Normal 2 2 3 2 6 3 3" xfId="34526" xr:uid="{00000000-0005-0000-0000-0000DD860000}"/>
    <cellStyle name="Normal 2 2 3 2 6 3 3 2" xfId="34527" xr:uid="{00000000-0005-0000-0000-0000DE860000}"/>
    <cellStyle name="Normal 2 2 3 2 6 3 3 2 2" xfId="34528" xr:uid="{00000000-0005-0000-0000-0000DF860000}"/>
    <cellStyle name="Normal 2 2 3 2 6 3 3 3" xfId="34529" xr:uid="{00000000-0005-0000-0000-0000E0860000}"/>
    <cellStyle name="Normal 2 2 3 2 6 3 4" xfId="34530" xr:uid="{00000000-0005-0000-0000-0000E1860000}"/>
    <cellStyle name="Normal 2 2 3 2 6 3 4 2" xfId="34531" xr:uid="{00000000-0005-0000-0000-0000E2860000}"/>
    <cellStyle name="Normal 2 2 3 2 6 3 4 2 2" xfId="34532" xr:uid="{00000000-0005-0000-0000-0000E3860000}"/>
    <cellStyle name="Normal 2 2 3 2 6 3 4 3" xfId="34533" xr:uid="{00000000-0005-0000-0000-0000E4860000}"/>
    <cellStyle name="Normal 2 2 3 2 6 3 5" xfId="34534" xr:uid="{00000000-0005-0000-0000-0000E5860000}"/>
    <cellStyle name="Normal 2 2 3 2 6 3 5 2" xfId="34535" xr:uid="{00000000-0005-0000-0000-0000E6860000}"/>
    <cellStyle name="Normal 2 2 3 2 6 3 5 2 2" xfId="34536" xr:uid="{00000000-0005-0000-0000-0000E7860000}"/>
    <cellStyle name="Normal 2 2 3 2 6 3 5 3" xfId="34537" xr:uid="{00000000-0005-0000-0000-0000E8860000}"/>
    <cellStyle name="Normal 2 2 3 2 6 3 6" xfId="34538" xr:uid="{00000000-0005-0000-0000-0000E9860000}"/>
    <cellStyle name="Normal 2 2 3 2 6 3 6 2" xfId="34539" xr:uid="{00000000-0005-0000-0000-0000EA860000}"/>
    <cellStyle name="Normal 2 2 3 2 6 3 6 2 2" xfId="34540" xr:uid="{00000000-0005-0000-0000-0000EB860000}"/>
    <cellStyle name="Normal 2 2 3 2 6 3 6 3" xfId="34541" xr:uid="{00000000-0005-0000-0000-0000EC860000}"/>
    <cellStyle name="Normal 2 2 3 2 6 3 7" xfId="34542" xr:uid="{00000000-0005-0000-0000-0000ED860000}"/>
    <cellStyle name="Normal 2 2 3 2 6 3 7 2" xfId="34543" xr:uid="{00000000-0005-0000-0000-0000EE860000}"/>
    <cellStyle name="Normal 2 2 3 2 6 3 8" xfId="34544" xr:uid="{00000000-0005-0000-0000-0000EF860000}"/>
    <cellStyle name="Normal 2 2 3 2 6 4" xfId="34545" xr:uid="{00000000-0005-0000-0000-0000F0860000}"/>
    <cellStyle name="Normal 2 2 3 2 6 4 2" xfId="34546" xr:uid="{00000000-0005-0000-0000-0000F1860000}"/>
    <cellStyle name="Normal 2 2 3 2 6 4 2 2" xfId="34547" xr:uid="{00000000-0005-0000-0000-0000F2860000}"/>
    <cellStyle name="Normal 2 2 3 2 6 4 2 2 2" xfId="34548" xr:uid="{00000000-0005-0000-0000-0000F3860000}"/>
    <cellStyle name="Normal 2 2 3 2 6 4 2 2 2 2" xfId="34549" xr:uid="{00000000-0005-0000-0000-0000F4860000}"/>
    <cellStyle name="Normal 2 2 3 2 6 4 2 2 3" xfId="34550" xr:uid="{00000000-0005-0000-0000-0000F5860000}"/>
    <cellStyle name="Normal 2 2 3 2 6 4 2 3" xfId="34551" xr:uid="{00000000-0005-0000-0000-0000F6860000}"/>
    <cellStyle name="Normal 2 2 3 2 6 4 2 3 2" xfId="34552" xr:uid="{00000000-0005-0000-0000-0000F7860000}"/>
    <cellStyle name="Normal 2 2 3 2 6 4 2 4" xfId="34553" xr:uid="{00000000-0005-0000-0000-0000F8860000}"/>
    <cellStyle name="Normal 2 2 3 2 6 4 3" xfId="34554" xr:uid="{00000000-0005-0000-0000-0000F9860000}"/>
    <cellStyle name="Normal 2 2 3 2 6 4 3 2" xfId="34555" xr:uid="{00000000-0005-0000-0000-0000FA860000}"/>
    <cellStyle name="Normal 2 2 3 2 6 4 3 2 2" xfId="34556" xr:uid="{00000000-0005-0000-0000-0000FB860000}"/>
    <cellStyle name="Normal 2 2 3 2 6 4 3 3" xfId="34557" xr:uid="{00000000-0005-0000-0000-0000FC860000}"/>
    <cellStyle name="Normal 2 2 3 2 6 4 4" xfId="34558" xr:uid="{00000000-0005-0000-0000-0000FD860000}"/>
    <cellStyle name="Normal 2 2 3 2 6 4 4 2" xfId="34559" xr:uid="{00000000-0005-0000-0000-0000FE860000}"/>
    <cellStyle name="Normal 2 2 3 2 6 4 4 2 2" xfId="34560" xr:uid="{00000000-0005-0000-0000-0000FF860000}"/>
    <cellStyle name="Normal 2 2 3 2 6 4 4 3" xfId="34561" xr:uid="{00000000-0005-0000-0000-000000870000}"/>
    <cellStyle name="Normal 2 2 3 2 6 4 5" xfId="34562" xr:uid="{00000000-0005-0000-0000-000001870000}"/>
    <cellStyle name="Normal 2 2 3 2 6 4 5 2" xfId="34563" xr:uid="{00000000-0005-0000-0000-000002870000}"/>
    <cellStyle name="Normal 2 2 3 2 6 4 5 2 2" xfId="34564" xr:uid="{00000000-0005-0000-0000-000003870000}"/>
    <cellStyle name="Normal 2 2 3 2 6 4 5 3" xfId="34565" xr:uid="{00000000-0005-0000-0000-000004870000}"/>
    <cellStyle name="Normal 2 2 3 2 6 4 6" xfId="34566" xr:uid="{00000000-0005-0000-0000-000005870000}"/>
    <cellStyle name="Normal 2 2 3 2 6 4 6 2" xfId="34567" xr:uid="{00000000-0005-0000-0000-000006870000}"/>
    <cellStyle name="Normal 2 2 3 2 6 4 6 2 2" xfId="34568" xr:uid="{00000000-0005-0000-0000-000007870000}"/>
    <cellStyle name="Normal 2 2 3 2 6 4 6 3" xfId="34569" xr:uid="{00000000-0005-0000-0000-000008870000}"/>
    <cellStyle name="Normal 2 2 3 2 6 4 7" xfId="34570" xr:uid="{00000000-0005-0000-0000-000009870000}"/>
    <cellStyle name="Normal 2 2 3 2 6 4 7 2" xfId="34571" xr:uid="{00000000-0005-0000-0000-00000A870000}"/>
    <cellStyle name="Normal 2 2 3 2 6 4 8" xfId="34572" xr:uid="{00000000-0005-0000-0000-00000B870000}"/>
    <cellStyle name="Normal 2 2 3 2 6 5" xfId="34573" xr:uid="{00000000-0005-0000-0000-00000C870000}"/>
    <cellStyle name="Normal 2 2 3 2 6 5 2" xfId="34574" xr:uid="{00000000-0005-0000-0000-00000D870000}"/>
    <cellStyle name="Normal 2 2 3 2 6 5 2 2" xfId="34575" xr:uid="{00000000-0005-0000-0000-00000E870000}"/>
    <cellStyle name="Normal 2 2 3 2 6 5 2 2 2" xfId="34576" xr:uid="{00000000-0005-0000-0000-00000F870000}"/>
    <cellStyle name="Normal 2 2 3 2 6 5 2 2 2 2" xfId="34577" xr:uid="{00000000-0005-0000-0000-000010870000}"/>
    <cellStyle name="Normal 2 2 3 2 6 5 2 2 3" xfId="34578" xr:uid="{00000000-0005-0000-0000-000011870000}"/>
    <cellStyle name="Normal 2 2 3 2 6 5 2 3" xfId="34579" xr:uid="{00000000-0005-0000-0000-000012870000}"/>
    <cellStyle name="Normal 2 2 3 2 6 5 2 3 2" xfId="34580" xr:uid="{00000000-0005-0000-0000-000013870000}"/>
    <cellStyle name="Normal 2 2 3 2 6 5 2 4" xfId="34581" xr:uid="{00000000-0005-0000-0000-000014870000}"/>
    <cellStyle name="Normal 2 2 3 2 6 5 3" xfId="34582" xr:uid="{00000000-0005-0000-0000-000015870000}"/>
    <cellStyle name="Normal 2 2 3 2 6 5 3 2" xfId="34583" xr:uid="{00000000-0005-0000-0000-000016870000}"/>
    <cellStyle name="Normal 2 2 3 2 6 5 3 2 2" xfId="34584" xr:uid="{00000000-0005-0000-0000-000017870000}"/>
    <cellStyle name="Normal 2 2 3 2 6 5 3 3" xfId="34585" xr:uid="{00000000-0005-0000-0000-000018870000}"/>
    <cellStyle name="Normal 2 2 3 2 6 5 4" xfId="34586" xr:uid="{00000000-0005-0000-0000-000019870000}"/>
    <cellStyle name="Normal 2 2 3 2 6 5 4 2" xfId="34587" xr:uid="{00000000-0005-0000-0000-00001A870000}"/>
    <cellStyle name="Normal 2 2 3 2 6 5 5" xfId="34588" xr:uid="{00000000-0005-0000-0000-00001B870000}"/>
    <cellStyle name="Normal 2 2 3 2 6 6" xfId="34589" xr:uid="{00000000-0005-0000-0000-00001C870000}"/>
    <cellStyle name="Normal 2 2 3 2 6 6 2" xfId="34590" xr:uid="{00000000-0005-0000-0000-00001D870000}"/>
    <cellStyle name="Normal 2 2 3 2 6 6 2 2" xfId="34591" xr:uid="{00000000-0005-0000-0000-00001E870000}"/>
    <cellStyle name="Normal 2 2 3 2 6 6 2 2 2" xfId="34592" xr:uid="{00000000-0005-0000-0000-00001F870000}"/>
    <cellStyle name="Normal 2 2 3 2 6 6 2 2 2 2" xfId="34593" xr:uid="{00000000-0005-0000-0000-000020870000}"/>
    <cellStyle name="Normal 2 2 3 2 6 6 2 2 3" xfId="34594" xr:uid="{00000000-0005-0000-0000-000021870000}"/>
    <cellStyle name="Normal 2 2 3 2 6 6 2 3" xfId="34595" xr:uid="{00000000-0005-0000-0000-000022870000}"/>
    <cellStyle name="Normal 2 2 3 2 6 6 2 3 2" xfId="34596" xr:uid="{00000000-0005-0000-0000-000023870000}"/>
    <cellStyle name="Normal 2 2 3 2 6 6 2 4" xfId="34597" xr:uid="{00000000-0005-0000-0000-000024870000}"/>
    <cellStyle name="Normal 2 2 3 2 6 6 3" xfId="34598" xr:uid="{00000000-0005-0000-0000-000025870000}"/>
    <cellStyle name="Normal 2 2 3 2 6 6 3 2" xfId="34599" xr:uid="{00000000-0005-0000-0000-000026870000}"/>
    <cellStyle name="Normal 2 2 3 2 6 6 3 2 2" xfId="34600" xr:uid="{00000000-0005-0000-0000-000027870000}"/>
    <cellStyle name="Normal 2 2 3 2 6 6 3 3" xfId="34601" xr:uid="{00000000-0005-0000-0000-000028870000}"/>
    <cellStyle name="Normal 2 2 3 2 6 6 4" xfId="34602" xr:uid="{00000000-0005-0000-0000-000029870000}"/>
    <cellStyle name="Normal 2 2 3 2 6 6 4 2" xfId="34603" xr:uid="{00000000-0005-0000-0000-00002A870000}"/>
    <cellStyle name="Normal 2 2 3 2 6 6 5" xfId="34604" xr:uid="{00000000-0005-0000-0000-00002B870000}"/>
    <cellStyle name="Normal 2 2 3 2 6 7" xfId="34605" xr:uid="{00000000-0005-0000-0000-00002C870000}"/>
    <cellStyle name="Normal 2 2 3 2 6 7 2" xfId="34606" xr:uid="{00000000-0005-0000-0000-00002D870000}"/>
    <cellStyle name="Normal 2 2 3 2 6 7 2 2" xfId="34607" xr:uid="{00000000-0005-0000-0000-00002E870000}"/>
    <cellStyle name="Normal 2 2 3 2 6 7 2 2 2" xfId="34608" xr:uid="{00000000-0005-0000-0000-00002F870000}"/>
    <cellStyle name="Normal 2 2 3 2 6 7 2 3" xfId="34609" xr:uid="{00000000-0005-0000-0000-000030870000}"/>
    <cellStyle name="Normal 2 2 3 2 6 7 3" xfId="34610" xr:uid="{00000000-0005-0000-0000-000031870000}"/>
    <cellStyle name="Normal 2 2 3 2 6 7 3 2" xfId="34611" xr:uid="{00000000-0005-0000-0000-000032870000}"/>
    <cellStyle name="Normal 2 2 3 2 6 7 4" xfId="34612" xr:uid="{00000000-0005-0000-0000-000033870000}"/>
    <cellStyle name="Normal 2 2 3 2 6 8" xfId="34613" xr:uid="{00000000-0005-0000-0000-000034870000}"/>
    <cellStyle name="Normal 2 2 3 2 6 8 2" xfId="34614" xr:uid="{00000000-0005-0000-0000-000035870000}"/>
    <cellStyle name="Normal 2 2 3 2 6 8 2 2" xfId="34615" xr:uid="{00000000-0005-0000-0000-000036870000}"/>
    <cellStyle name="Normal 2 2 3 2 6 8 2 2 2" xfId="34616" xr:uid="{00000000-0005-0000-0000-000037870000}"/>
    <cellStyle name="Normal 2 2 3 2 6 8 2 3" xfId="34617" xr:uid="{00000000-0005-0000-0000-000038870000}"/>
    <cellStyle name="Normal 2 2 3 2 6 8 3" xfId="34618" xr:uid="{00000000-0005-0000-0000-000039870000}"/>
    <cellStyle name="Normal 2 2 3 2 6 8 3 2" xfId="34619" xr:uid="{00000000-0005-0000-0000-00003A870000}"/>
    <cellStyle name="Normal 2 2 3 2 6 8 4" xfId="34620" xr:uid="{00000000-0005-0000-0000-00003B870000}"/>
    <cellStyle name="Normal 2 2 3 2 6 9" xfId="34621" xr:uid="{00000000-0005-0000-0000-00003C870000}"/>
    <cellStyle name="Normal 2 2 3 2 6 9 2" xfId="34622" xr:uid="{00000000-0005-0000-0000-00003D870000}"/>
    <cellStyle name="Normal 2 2 3 2 6 9 2 2" xfId="34623" xr:uid="{00000000-0005-0000-0000-00003E870000}"/>
    <cellStyle name="Normal 2 2 3 2 6 9 3" xfId="34624" xr:uid="{00000000-0005-0000-0000-00003F870000}"/>
    <cellStyle name="Normal 2 2 3 2 7" xfId="34625" xr:uid="{00000000-0005-0000-0000-000040870000}"/>
    <cellStyle name="Normal 2 2 3 2 7 10" xfId="34626" xr:uid="{00000000-0005-0000-0000-000041870000}"/>
    <cellStyle name="Normal 2 2 3 2 7 10 2" xfId="34627" xr:uid="{00000000-0005-0000-0000-000042870000}"/>
    <cellStyle name="Normal 2 2 3 2 7 10 2 2" xfId="34628" xr:uid="{00000000-0005-0000-0000-000043870000}"/>
    <cellStyle name="Normal 2 2 3 2 7 10 3" xfId="34629" xr:uid="{00000000-0005-0000-0000-000044870000}"/>
    <cellStyle name="Normal 2 2 3 2 7 11" xfId="34630" xr:uid="{00000000-0005-0000-0000-000045870000}"/>
    <cellStyle name="Normal 2 2 3 2 7 11 2" xfId="34631" xr:uid="{00000000-0005-0000-0000-000046870000}"/>
    <cellStyle name="Normal 2 2 3 2 7 11 2 2" xfId="34632" xr:uid="{00000000-0005-0000-0000-000047870000}"/>
    <cellStyle name="Normal 2 2 3 2 7 11 3" xfId="34633" xr:uid="{00000000-0005-0000-0000-000048870000}"/>
    <cellStyle name="Normal 2 2 3 2 7 12" xfId="34634" xr:uid="{00000000-0005-0000-0000-000049870000}"/>
    <cellStyle name="Normal 2 2 3 2 7 12 2" xfId="34635" xr:uid="{00000000-0005-0000-0000-00004A870000}"/>
    <cellStyle name="Normal 2 2 3 2 7 12 2 2" xfId="34636" xr:uid="{00000000-0005-0000-0000-00004B870000}"/>
    <cellStyle name="Normal 2 2 3 2 7 12 3" xfId="34637" xr:uid="{00000000-0005-0000-0000-00004C870000}"/>
    <cellStyle name="Normal 2 2 3 2 7 13" xfId="34638" xr:uid="{00000000-0005-0000-0000-00004D870000}"/>
    <cellStyle name="Normal 2 2 3 2 7 13 2" xfId="34639" xr:uid="{00000000-0005-0000-0000-00004E870000}"/>
    <cellStyle name="Normal 2 2 3 2 7 14" xfId="34640" xr:uid="{00000000-0005-0000-0000-00004F870000}"/>
    <cellStyle name="Normal 2 2 3 2 7 2" xfId="34641" xr:uid="{00000000-0005-0000-0000-000050870000}"/>
    <cellStyle name="Normal 2 2 3 2 7 2 2" xfId="34642" xr:uid="{00000000-0005-0000-0000-000051870000}"/>
    <cellStyle name="Normal 2 2 3 2 7 2 2 2" xfId="34643" xr:uid="{00000000-0005-0000-0000-000052870000}"/>
    <cellStyle name="Normal 2 2 3 2 7 2 2 2 2" xfId="34644" xr:uid="{00000000-0005-0000-0000-000053870000}"/>
    <cellStyle name="Normal 2 2 3 2 7 2 2 2 2 2" xfId="34645" xr:uid="{00000000-0005-0000-0000-000054870000}"/>
    <cellStyle name="Normal 2 2 3 2 7 2 2 2 3" xfId="34646" xr:uid="{00000000-0005-0000-0000-000055870000}"/>
    <cellStyle name="Normal 2 2 3 2 7 2 2 3" xfId="34647" xr:uid="{00000000-0005-0000-0000-000056870000}"/>
    <cellStyle name="Normal 2 2 3 2 7 2 2 3 2" xfId="34648" xr:uid="{00000000-0005-0000-0000-000057870000}"/>
    <cellStyle name="Normal 2 2 3 2 7 2 2 4" xfId="34649" xr:uid="{00000000-0005-0000-0000-000058870000}"/>
    <cellStyle name="Normal 2 2 3 2 7 2 3" xfId="34650" xr:uid="{00000000-0005-0000-0000-000059870000}"/>
    <cellStyle name="Normal 2 2 3 2 7 2 3 2" xfId="34651" xr:uid="{00000000-0005-0000-0000-00005A870000}"/>
    <cellStyle name="Normal 2 2 3 2 7 2 3 2 2" xfId="34652" xr:uid="{00000000-0005-0000-0000-00005B870000}"/>
    <cellStyle name="Normal 2 2 3 2 7 2 3 3" xfId="34653" xr:uid="{00000000-0005-0000-0000-00005C870000}"/>
    <cellStyle name="Normal 2 2 3 2 7 2 4" xfId="34654" xr:uid="{00000000-0005-0000-0000-00005D870000}"/>
    <cellStyle name="Normal 2 2 3 2 7 2 4 2" xfId="34655" xr:uid="{00000000-0005-0000-0000-00005E870000}"/>
    <cellStyle name="Normal 2 2 3 2 7 2 4 2 2" xfId="34656" xr:uid="{00000000-0005-0000-0000-00005F870000}"/>
    <cellStyle name="Normal 2 2 3 2 7 2 4 3" xfId="34657" xr:uid="{00000000-0005-0000-0000-000060870000}"/>
    <cellStyle name="Normal 2 2 3 2 7 2 5" xfId="34658" xr:uid="{00000000-0005-0000-0000-000061870000}"/>
    <cellStyle name="Normal 2 2 3 2 7 2 5 2" xfId="34659" xr:uid="{00000000-0005-0000-0000-000062870000}"/>
    <cellStyle name="Normal 2 2 3 2 7 2 5 2 2" xfId="34660" xr:uid="{00000000-0005-0000-0000-000063870000}"/>
    <cellStyle name="Normal 2 2 3 2 7 2 5 3" xfId="34661" xr:uid="{00000000-0005-0000-0000-000064870000}"/>
    <cellStyle name="Normal 2 2 3 2 7 2 6" xfId="34662" xr:uid="{00000000-0005-0000-0000-000065870000}"/>
    <cellStyle name="Normal 2 2 3 2 7 2 6 2" xfId="34663" xr:uid="{00000000-0005-0000-0000-000066870000}"/>
    <cellStyle name="Normal 2 2 3 2 7 2 6 2 2" xfId="34664" xr:uid="{00000000-0005-0000-0000-000067870000}"/>
    <cellStyle name="Normal 2 2 3 2 7 2 6 3" xfId="34665" xr:uid="{00000000-0005-0000-0000-000068870000}"/>
    <cellStyle name="Normal 2 2 3 2 7 2 7" xfId="34666" xr:uid="{00000000-0005-0000-0000-000069870000}"/>
    <cellStyle name="Normal 2 2 3 2 7 2 7 2" xfId="34667" xr:uid="{00000000-0005-0000-0000-00006A870000}"/>
    <cellStyle name="Normal 2 2 3 2 7 2 8" xfId="34668" xr:uid="{00000000-0005-0000-0000-00006B870000}"/>
    <cellStyle name="Normal 2 2 3 2 7 3" xfId="34669" xr:uid="{00000000-0005-0000-0000-00006C870000}"/>
    <cellStyle name="Normal 2 2 3 2 7 3 2" xfId="34670" xr:uid="{00000000-0005-0000-0000-00006D870000}"/>
    <cellStyle name="Normal 2 2 3 2 7 3 2 2" xfId="34671" xr:uid="{00000000-0005-0000-0000-00006E870000}"/>
    <cellStyle name="Normal 2 2 3 2 7 3 2 2 2" xfId="34672" xr:uid="{00000000-0005-0000-0000-00006F870000}"/>
    <cellStyle name="Normal 2 2 3 2 7 3 2 2 2 2" xfId="34673" xr:uid="{00000000-0005-0000-0000-000070870000}"/>
    <cellStyle name="Normal 2 2 3 2 7 3 2 2 3" xfId="34674" xr:uid="{00000000-0005-0000-0000-000071870000}"/>
    <cellStyle name="Normal 2 2 3 2 7 3 2 3" xfId="34675" xr:uid="{00000000-0005-0000-0000-000072870000}"/>
    <cellStyle name="Normal 2 2 3 2 7 3 2 3 2" xfId="34676" xr:uid="{00000000-0005-0000-0000-000073870000}"/>
    <cellStyle name="Normal 2 2 3 2 7 3 2 4" xfId="34677" xr:uid="{00000000-0005-0000-0000-000074870000}"/>
    <cellStyle name="Normal 2 2 3 2 7 3 3" xfId="34678" xr:uid="{00000000-0005-0000-0000-000075870000}"/>
    <cellStyle name="Normal 2 2 3 2 7 3 3 2" xfId="34679" xr:uid="{00000000-0005-0000-0000-000076870000}"/>
    <cellStyle name="Normal 2 2 3 2 7 3 3 2 2" xfId="34680" xr:uid="{00000000-0005-0000-0000-000077870000}"/>
    <cellStyle name="Normal 2 2 3 2 7 3 3 3" xfId="34681" xr:uid="{00000000-0005-0000-0000-000078870000}"/>
    <cellStyle name="Normal 2 2 3 2 7 3 4" xfId="34682" xr:uid="{00000000-0005-0000-0000-000079870000}"/>
    <cellStyle name="Normal 2 2 3 2 7 3 4 2" xfId="34683" xr:uid="{00000000-0005-0000-0000-00007A870000}"/>
    <cellStyle name="Normal 2 2 3 2 7 3 4 2 2" xfId="34684" xr:uid="{00000000-0005-0000-0000-00007B870000}"/>
    <cellStyle name="Normal 2 2 3 2 7 3 4 3" xfId="34685" xr:uid="{00000000-0005-0000-0000-00007C870000}"/>
    <cellStyle name="Normal 2 2 3 2 7 3 5" xfId="34686" xr:uid="{00000000-0005-0000-0000-00007D870000}"/>
    <cellStyle name="Normal 2 2 3 2 7 3 5 2" xfId="34687" xr:uid="{00000000-0005-0000-0000-00007E870000}"/>
    <cellStyle name="Normal 2 2 3 2 7 3 5 2 2" xfId="34688" xr:uid="{00000000-0005-0000-0000-00007F870000}"/>
    <cellStyle name="Normal 2 2 3 2 7 3 5 3" xfId="34689" xr:uid="{00000000-0005-0000-0000-000080870000}"/>
    <cellStyle name="Normal 2 2 3 2 7 3 6" xfId="34690" xr:uid="{00000000-0005-0000-0000-000081870000}"/>
    <cellStyle name="Normal 2 2 3 2 7 3 6 2" xfId="34691" xr:uid="{00000000-0005-0000-0000-000082870000}"/>
    <cellStyle name="Normal 2 2 3 2 7 3 6 2 2" xfId="34692" xr:uid="{00000000-0005-0000-0000-000083870000}"/>
    <cellStyle name="Normal 2 2 3 2 7 3 6 3" xfId="34693" xr:uid="{00000000-0005-0000-0000-000084870000}"/>
    <cellStyle name="Normal 2 2 3 2 7 3 7" xfId="34694" xr:uid="{00000000-0005-0000-0000-000085870000}"/>
    <cellStyle name="Normal 2 2 3 2 7 3 7 2" xfId="34695" xr:uid="{00000000-0005-0000-0000-000086870000}"/>
    <cellStyle name="Normal 2 2 3 2 7 3 8" xfId="34696" xr:uid="{00000000-0005-0000-0000-000087870000}"/>
    <cellStyle name="Normal 2 2 3 2 7 4" xfId="34697" xr:uid="{00000000-0005-0000-0000-000088870000}"/>
    <cellStyle name="Normal 2 2 3 2 7 4 2" xfId="34698" xr:uid="{00000000-0005-0000-0000-000089870000}"/>
    <cellStyle name="Normal 2 2 3 2 7 4 2 2" xfId="34699" xr:uid="{00000000-0005-0000-0000-00008A870000}"/>
    <cellStyle name="Normal 2 2 3 2 7 4 2 2 2" xfId="34700" xr:uid="{00000000-0005-0000-0000-00008B870000}"/>
    <cellStyle name="Normal 2 2 3 2 7 4 2 2 2 2" xfId="34701" xr:uid="{00000000-0005-0000-0000-00008C870000}"/>
    <cellStyle name="Normal 2 2 3 2 7 4 2 2 3" xfId="34702" xr:uid="{00000000-0005-0000-0000-00008D870000}"/>
    <cellStyle name="Normal 2 2 3 2 7 4 2 3" xfId="34703" xr:uid="{00000000-0005-0000-0000-00008E870000}"/>
    <cellStyle name="Normal 2 2 3 2 7 4 2 3 2" xfId="34704" xr:uid="{00000000-0005-0000-0000-00008F870000}"/>
    <cellStyle name="Normal 2 2 3 2 7 4 2 4" xfId="34705" xr:uid="{00000000-0005-0000-0000-000090870000}"/>
    <cellStyle name="Normal 2 2 3 2 7 4 3" xfId="34706" xr:uid="{00000000-0005-0000-0000-000091870000}"/>
    <cellStyle name="Normal 2 2 3 2 7 4 3 2" xfId="34707" xr:uid="{00000000-0005-0000-0000-000092870000}"/>
    <cellStyle name="Normal 2 2 3 2 7 4 3 2 2" xfId="34708" xr:uid="{00000000-0005-0000-0000-000093870000}"/>
    <cellStyle name="Normal 2 2 3 2 7 4 3 3" xfId="34709" xr:uid="{00000000-0005-0000-0000-000094870000}"/>
    <cellStyle name="Normal 2 2 3 2 7 4 4" xfId="34710" xr:uid="{00000000-0005-0000-0000-000095870000}"/>
    <cellStyle name="Normal 2 2 3 2 7 4 4 2" xfId="34711" xr:uid="{00000000-0005-0000-0000-000096870000}"/>
    <cellStyle name="Normal 2 2 3 2 7 4 4 2 2" xfId="34712" xr:uid="{00000000-0005-0000-0000-000097870000}"/>
    <cellStyle name="Normal 2 2 3 2 7 4 4 3" xfId="34713" xr:uid="{00000000-0005-0000-0000-000098870000}"/>
    <cellStyle name="Normal 2 2 3 2 7 4 5" xfId="34714" xr:uid="{00000000-0005-0000-0000-000099870000}"/>
    <cellStyle name="Normal 2 2 3 2 7 4 5 2" xfId="34715" xr:uid="{00000000-0005-0000-0000-00009A870000}"/>
    <cellStyle name="Normal 2 2 3 2 7 4 5 2 2" xfId="34716" xr:uid="{00000000-0005-0000-0000-00009B870000}"/>
    <cellStyle name="Normal 2 2 3 2 7 4 5 3" xfId="34717" xr:uid="{00000000-0005-0000-0000-00009C870000}"/>
    <cellStyle name="Normal 2 2 3 2 7 4 6" xfId="34718" xr:uid="{00000000-0005-0000-0000-00009D870000}"/>
    <cellStyle name="Normal 2 2 3 2 7 4 6 2" xfId="34719" xr:uid="{00000000-0005-0000-0000-00009E870000}"/>
    <cellStyle name="Normal 2 2 3 2 7 4 6 2 2" xfId="34720" xr:uid="{00000000-0005-0000-0000-00009F870000}"/>
    <cellStyle name="Normal 2 2 3 2 7 4 6 3" xfId="34721" xr:uid="{00000000-0005-0000-0000-0000A0870000}"/>
    <cellStyle name="Normal 2 2 3 2 7 4 7" xfId="34722" xr:uid="{00000000-0005-0000-0000-0000A1870000}"/>
    <cellStyle name="Normal 2 2 3 2 7 4 7 2" xfId="34723" xr:uid="{00000000-0005-0000-0000-0000A2870000}"/>
    <cellStyle name="Normal 2 2 3 2 7 4 8" xfId="34724" xr:uid="{00000000-0005-0000-0000-0000A3870000}"/>
    <cellStyle name="Normal 2 2 3 2 7 5" xfId="34725" xr:uid="{00000000-0005-0000-0000-0000A4870000}"/>
    <cellStyle name="Normal 2 2 3 2 7 5 2" xfId="34726" xr:uid="{00000000-0005-0000-0000-0000A5870000}"/>
    <cellStyle name="Normal 2 2 3 2 7 5 2 2" xfId="34727" xr:uid="{00000000-0005-0000-0000-0000A6870000}"/>
    <cellStyle name="Normal 2 2 3 2 7 5 2 2 2" xfId="34728" xr:uid="{00000000-0005-0000-0000-0000A7870000}"/>
    <cellStyle name="Normal 2 2 3 2 7 5 2 2 2 2" xfId="34729" xr:uid="{00000000-0005-0000-0000-0000A8870000}"/>
    <cellStyle name="Normal 2 2 3 2 7 5 2 2 3" xfId="34730" xr:uid="{00000000-0005-0000-0000-0000A9870000}"/>
    <cellStyle name="Normal 2 2 3 2 7 5 2 3" xfId="34731" xr:uid="{00000000-0005-0000-0000-0000AA870000}"/>
    <cellStyle name="Normal 2 2 3 2 7 5 2 3 2" xfId="34732" xr:uid="{00000000-0005-0000-0000-0000AB870000}"/>
    <cellStyle name="Normal 2 2 3 2 7 5 2 4" xfId="34733" xr:uid="{00000000-0005-0000-0000-0000AC870000}"/>
    <cellStyle name="Normal 2 2 3 2 7 5 3" xfId="34734" xr:uid="{00000000-0005-0000-0000-0000AD870000}"/>
    <cellStyle name="Normal 2 2 3 2 7 5 3 2" xfId="34735" xr:uid="{00000000-0005-0000-0000-0000AE870000}"/>
    <cellStyle name="Normal 2 2 3 2 7 5 3 2 2" xfId="34736" xr:uid="{00000000-0005-0000-0000-0000AF870000}"/>
    <cellStyle name="Normal 2 2 3 2 7 5 3 3" xfId="34737" xr:uid="{00000000-0005-0000-0000-0000B0870000}"/>
    <cellStyle name="Normal 2 2 3 2 7 5 4" xfId="34738" xr:uid="{00000000-0005-0000-0000-0000B1870000}"/>
    <cellStyle name="Normal 2 2 3 2 7 5 4 2" xfId="34739" xr:uid="{00000000-0005-0000-0000-0000B2870000}"/>
    <cellStyle name="Normal 2 2 3 2 7 5 5" xfId="34740" xr:uid="{00000000-0005-0000-0000-0000B3870000}"/>
    <cellStyle name="Normal 2 2 3 2 7 6" xfId="34741" xr:uid="{00000000-0005-0000-0000-0000B4870000}"/>
    <cellStyle name="Normal 2 2 3 2 7 6 2" xfId="34742" xr:uid="{00000000-0005-0000-0000-0000B5870000}"/>
    <cellStyle name="Normal 2 2 3 2 7 6 2 2" xfId="34743" xr:uid="{00000000-0005-0000-0000-0000B6870000}"/>
    <cellStyle name="Normal 2 2 3 2 7 6 2 2 2" xfId="34744" xr:uid="{00000000-0005-0000-0000-0000B7870000}"/>
    <cellStyle name="Normal 2 2 3 2 7 6 2 2 2 2" xfId="34745" xr:uid="{00000000-0005-0000-0000-0000B8870000}"/>
    <cellStyle name="Normal 2 2 3 2 7 6 2 2 3" xfId="34746" xr:uid="{00000000-0005-0000-0000-0000B9870000}"/>
    <cellStyle name="Normal 2 2 3 2 7 6 2 3" xfId="34747" xr:uid="{00000000-0005-0000-0000-0000BA870000}"/>
    <cellStyle name="Normal 2 2 3 2 7 6 2 3 2" xfId="34748" xr:uid="{00000000-0005-0000-0000-0000BB870000}"/>
    <cellStyle name="Normal 2 2 3 2 7 6 2 4" xfId="34749" xr:uid="{00000000-0005-0000-0000-0000BC870000}"/>
    <cellStyle name="Normal 2 2 3 2 7 6 3" xfId="34750" xr:uid="{00000000-0005-0000-0000-0000BD870000}"/>
    <cellStyle name="Normal 2 2 3 2 7 6 3 2" xfId="34751" xr:uid="{00000000-0005-0000-0000-0000BE870000}"/>
    <cellStyle name="Normal 2 2 3 2 7 6 3 2 2" xfId="34752" xr:uid="{00000000-0005-0000-0000-0000BF870000}"/>
    <cellStyle name="Normal 2 2 3 2 7 6 3 3" xfId="34753" xr:uid="{00000000-0005-0000-0000-0000C0870000}"/>
    <cellStyle name="Normal 2 2 3 2 7 6 4" xfId="34754" xr:uid="{00000000-0005-0000-0000-0000C1870000}"/>
    <cellStyle name="Normal 2 2 3 2 7 6 4 2" xfId="34755" xr:uid="{00000000-0005-0000-0000-0000C2870000}"/>
    <cellStyle name="Normal 2 2 3 2 7 6 5" xfId="34756" xr:uid="{00000000-0005-0000-0000-0000C3870000}"/>
    <cellStyle name="Normal 2 2 3 2 7 7" xfId="34757" xr:uid="{00000000-0005-0000-0000-0000C4870000}"/>
    <cellStyle name="Normal 2 2 3 2 7 7 2" xfId="34758" xr:uid="{00000000-0005-0000-0000-0000C5870000}"/>
    <cellStyle name="Normal 2 2 3 2 7 7 2 2" xfId="34759" xr:uid="{00000000-0005-0000-0000-0000C6870000}"/>
    <cellStyle name="Normal 2 2 3 2 7 7 2 2 2" xfId="34760" xr:uid="{00000000-0005-0000-0000-0000C7870000}"/>
    <cellStyle name="Normal 2 2 3 2 7 7 2 3" xfId="34761" xr:uid="{00000000-0005-0000-0000-0000C8870000}"/>
    <cellStyle name="Normal 2 2 3 2 7 7 3" xfId="34762" xr:uid="{00000000-0005-0000-0000-0000C9870000}"/>
    <cellStyle name="Normal 2 2 3 2 7 7 3 2" xfId="34763" xr:uid="{00000000-0005-0000-0000-0000CA870000}"/>
    <cellStyle name="Normal 2 2 3 2 7 7 4" xfId="34764" xr:uid="{00000000-0005-0000-0000-0000CB870000}"/>
    <cellStyle name="Normal 2 2 3 2 7 8" xfId="34765" xr:uid="{00000000-0005-0000-0000-0000CC870000}"/>
    <cellStyle name="Normal 2 2 3 2 7 8 2" xfId="34766" xr:uid="{00000000-0005-0000-0000-0000CD870000}"/>
    <cellStyle name="Normal 2 2 3 2 7 8 2 2" xfId="34767" xr:uid="{00000000-0005-0000-0000-0000CE870000}"/>
    <cellStyle name="Normal 2 2 3 2 7 8 2 2 2" xfId="34768" xr:uid="{00000000-0005-0000-0000-0000CF870000}"/>
    <cellStyle name="Normal 2 2 3 2 7 8 2 3" xfId="34769" xr:uid="{00000000-0005-0000-0000-0000D0870000}"/>
    <cellStyle name="Normal 2 2 3 2 7 8 3" xfId="34770" xr:uid="{00000000-0005-0000-0000-0000D1870000}"/>
    <cellStyle name="Normal 2 2 3 2 7 8 3 2" xfId="34771" xr:uid="{00000000-0005-0000-0000-0000D2870000}"/>
    <cellStyle name="Normal 2 2 3 2 7 8 4" xfId="34772" xr:uid="{00000000-0005-0000-0000-0000D3870000}"/>
    <cellStyle name="Normal 2 2 3 2 7 9" xfId="34773" xr:uid="{00000000-0005-0000-0000-0000D4870000}"/>
    <cellStyle name="Normal 2 2 3 2 7 9 2" xfId="34774" xr:uid="{00000000-0005-0000-0000-0000D5870000}"/>
    <cellStyle name="Normal 2 2 3 2 7 9 2 2" xfId="34775" xr:uid="{00000000-0005-0000-0000-0000D6870000}"/>
    <cellStyle name="Normal 2 2 3 2 7 9 3" xfId="34776" xr:uid="{00000000-0005-0000-0000-0000D7870000}"/>
    <cellStyle name="Normal 2 2 3 2 8" xfId="34777" xr:uid="{00000000-0005-0000-0000-0000D8870000}"/>
    <cellStyle name="Normal 2 2 3 2 8 2" xfId="34778" xr:uid="{00000000-0005-0000-0000-0000D9870000}"/>
    <cellStyle name="Normal 2 2 3 2 8 2 2" xfId="34779" xr:uid="{00000000-0005-0000-0000-0000DA870000}"/>
    <cellStyle name="Normal 2 2 3 2 8 2 2 2" xfId="34780" xr:uid="{00000000-0005-0000-0000-0000DB870000}"/>
    <cellStyle name="Normal 2 2 3 2 8 2 2 2 2" xfId="34781" xr:uid="{00000000-0005-0000-0000-0000DC870000}"/>
    <cellStyle name="Normal 2 2 3 2 8 2 2 3" xfId="34782" xr:uid="{00000000-0005-0000-0000-0000DD870000}"/>
    <cellStyle name="Normal 2 2 3 2 8 2 3" xfId="34783" xr:uid="{00000000-0005-0000-0000-0000DE870000}"/>
    <cellStyle name="Normal 2 2 3 2 8 2 3 2" xfId="34784" xr:uid="{00000000-0005-0000-0000-0000DF870000}"/>
    <cellStyle name="Normal 2 2 3 2 8 2 4" xfId="34785" xr:uid="{00000000-0005-0000-0000-0000E0870000}"/>
    <cellStyle name="Normal 2 2 3 2 8 3" xfId="34786" xr:uid="{00000000-0005-0000-0000-0000E1870000}"/>
    <cellStyle name="Normal 2 2 3 2 8 3 2" xfId="34787" xr:uid="{00000000-0005-0000-0000-0000E2870000}"/>
    <cellStyle name="Normal 2 2 3 2 8 3 2 2" xfId="34788" xr:uid="{00000000-0005-0000-0000-0000E3870000}"/>
    <cellStyle name="Normal 2 2 3 2 8 3 3" xfId="34789" xr:uid="{00000000-0005-0000-0000-0000E4870000}"/>
    <cellStyle name="Normal 2 2 3 2 8 4" xfId="34790" xr:uid="{00000000-0005-0000-0000-0000E5870000}"/>
    <cellStyle name="Normal 2 2 3 2 8 4 2" xfId="34791" xr:uid="{00000000-0005-0000-0000-0000E6870000}"/>
    <cellStyle name="Normal 2 2 3 2 8 4 2 2" xfId="34792" xr:uid="{00000000-0005-0000-0000-0000E7870000}"/>
    <cellStyle name="Normal 2 2 3 2 8 4 3" xfId="34793" xr:uid="{00000000-0005-0000-0000-0000E8870000}"/>
    <cellStyle name="Normal 2 2 3 2 8 5" xfId="34794" xr:uid="{00000000-0005-0000-0000-0000E9870000}"/>
    <cellStyle name="Normal 2 2 3 2 8 5 2" xfId="34795" xr:uid="{00000000-0005-0000-0000-0000EA870000}"/>
    <cellStyle name="Normal 2 2 3 2 8 5 2 2" xfId="34796" xr:uid="{00000000-0005-0000-0000-0000EB870000}"/>
    <cellStyle name="Normal 2 2 3 2 8 5 3" xfId="34797" xr:uid="{00000000-0005-0000-0000-0000EC870000}"/>
    <cellStyle name="Normal 2 2 3 2 8 6" xfId="34798" xr:uid="{00000000-0005-0000-0000-0000ED870000}"/>
    <cellStyle name="Normal 2 2 3 2 8 6 2" xfId="34799" xr:uid="{00000000-0005-0000-0000-0000EE870000}"/>
    <cellStyle name="Normal 2 2 3 2 8 6 2 2" xfId="34800" xr:uid="{00000000-0005-0000-0000-0000EF870000}"/>
    <cellStyle name="Normal 2 2 3 2 8 6 3" xfId="34801" xr:uid="{00000000-0005-0000-0000-0000F0870000}"/>
    <cellStyle name="Normal 2 2 3 2 8 7" xfId="34802" xr:uid="{00000000-0005-0000-0000-0000F1870000}"/>
    <cellStyle name="Normal 2 2 3 2 8 7 2" xfId="34803" xr:uid="{00000000-0005-0000-0000-0000F2870000}"/>
    <cellStyle name="Normal 2 2 3 2 8 8" xfId="34804" xr:uid="{00000000-0005-0000-0000-0000F3870000}"/>
    <cellStyle name="Normal 2 2 3 2 9" xfId="34805" xr:uid="{00000000-0005-0000-0000-0000F4870000}"/>
    <cellStyle name="Normal 2 2 3 2 9 2" xfId="34806" xr:uid="{00000000-0005-0000-0000-0000F5870000}"/>
    <cellStyle name="Normal 2 2 3 2 9 2 2" xfId="34807" xr:uid="{00000000-0005-0000-0000-0000F6870000}"/>
    <cellStyle name="Normal 2 2 3 2 9 2 2 2" xfId="34808" xr:uid="{00000000-0005-0000-0000-0000F7870000}"/>
    <cellStyle name="Normal 2 2 3 2 9 2 2 2 2" xfId="34809" xr:uid="{00000000-0005-0000-0000-0000F8870000}"/>
    <cellStyle name="Normal 2 2 3 2 9 2 2 3" xfId="34810" xr:uid="{00000000-0005-0000-0000-0000F9870000}"/>
    <cellStyle name="Normal 2 2 3 2 9 2 3" xfId="34811" xr:uid="{00000000-0005-0000-0000-0000FA870000}"/>
    <cellStyle name="Normal 2 2 3 2 9 2 3 2" xfId="34812" xr:uid="{00000000-0005-0000-0000-0000FB870000}"/>
    <cellStyle name="Normal 2 2 3 2 9 2 4" xfId="34813" xr:uid="{00000000-0005-0000-0000-0000FC870000}"/>
    <cellStyle name="Normal 2 2 3 2 9 3" xfId="34814" xr:uid="{00000000-0005-0000-0000-0000FD870000}"/>
    <cellStyle name="Normal 2 2 3 2 9 3 2" xfId="34815" xr:uid="{00000000-0005-0000-0000-0000FE870000}"/>
    <cellStyle name="Normal 2 2 3 2 9 3 2 2" xfId="34816" xr:uid="{00000000-0005-0000-0000-0000FF870000}"/>
    <cellStyle name="Normal 2 2 3 2 9 3 3" xfId="34817" xr:uid="{00000000-0005-0000-0000-000000880000}"/>
    <cellStyle name="Normal 2 2 3 2 9 4" xfId="34818" xr:uid="{00000000-0005-0000-0000-000001880000}"/>
    <cellStyle name="Normal 2 2 3 2 9 4 2" xfId="34819" xr:uid="{00000000-0005-0000-0000-000002880000}"/>
    <cellStyle name="Normal 2 2 3 2 9 4 2 2" xfId="34820" xr:uid="{00000000-0005-0000-0000-000003880000}"/>
    <cellStyle name="Normal 2 2 3 2 9 4 3" xfId="34821" xr:uid="{00000000-0005-0000-0000-000004880000}"/>
    <cellStyle name="Normal 2 2 3 2 9 5" xfId="34822" xr:uid="{00000000-0005-0000-0000-000005880000}"/>
    <cellStyle name="Normal 2 2 3 2 9 5 2" xfId="34823" xr:uid="{00000000-0005-0000-0000-000006880000}"/>
    <cellStyle name="Normal 2 2 3 2 9 5 2 2" xfId="34824" xr:uid="{00000000-0005-0000-0000-000007880000}"/>
    <cellStyle name="Normal 2 2 3 2 9 5 3" xfId="34825" xr:uid="{00000000-0005-0000-0000-000008880000}"/>
    <cellStyle name="Normal 2 2 3 2 9 6" xfId="34826" xr:uid="{00000000-0005-0000-0000-000009880000}"/>
    <cellStyle name="Normal 2 2 3 2 9 6 2" xfId="34827" xr:uid="{00000000-0005-0000-0000-00000A880000}"/>
    <cellStyle name="Normal 2 2 3 2 9 6 2 2" xfId="34828" xr:uid="{00000000-0005-0000-0000-00000B880000}"/>
    <cellStyle name="Normal 2 2 3 2 9 6 3" xfId="34829" xr:uid="{00000000-0005-0000-0000-00000C880000}"/>
    <cellStyle name="Normal 2 2 3 2 9 7" xfId="34830" xr:uid="{00000000-0005-0000-0000-00000D880000}"/>
    <cellStyle name="Normal 2 2 3 2 9 7 2" xfId="34831" xr:uid="{00000000-0005-0000-0000-00000E880000}"/>
    <cellStyle name="Normal 2 2 3 2 9 8" xfId="34832" xr:uid="{00000000-0005-0000-0000-00000F880000}"/>
    <cellStyle name="Normal 2 2 3 20" xfId="34833" xr:uid="{00000000-0005-0000-0000-000010880000}"/>
    <cellStyle name="Normal 2 2 3 20 2" xfId="34834" xr:uid="{00000000-0005-0000-0000-000011880000}"/>
    <cellStyle name="Normal 2 2 3 20 2 2" xfId="34835" xr:uid="{00000000-0005-0000-0000-000012880000}"/>
    <cellStyle name="Normal 2 2 3 20 3" xfId="34836" xr:uid="{00000000-0005-0000-0000-000013880000}"/>
    <cellStyle name="Normal 2 2 3 21" xfId="34837" xr:uid="{00000000-0005-0000-0000-000014880000}"/>
    <cellStyle name="Normal 2 2 3 21 2" xfId="34838" xr:uid="{00000000-0005-0000-0000-000015880000}"/>
    <cellStyle name="Normal 2 2 3 22" xfId="34839" xr:uid="{00000000-0005-0000-0000-000016880000}"/>
    <cellStyle name="Normal 2 2 3 3" xfId="34840" xr:uid="{00000000-0005-0000-0000-000017880000}"/>
    <cellStyle name="Normal 2 2 3 3 10" xfId="34841" xr:uid="{00000000-0005-0000-0000-000018880000}"/>
    <cellStyle name="Normal 2 2 3 3 10 2" xfId="34842" xr:uid="{00000000-0005-0000-0000-000019880000}"/>
    <cellStyle name="Normal 2 2 3 3 10 2 2" xfId="34843" xr:uid="{00000000-0005-0000-0000-00001A880000}"/>
    <cellStyle name="Normal 2 2 3 3 10 2 2 2" xfId="34844" xr:uid="{00000000-0005-0000-0000-00001B880000}"/>
    <cellStyle name="Normal 2 2 3 3 10 2 2 2 2" xfId="34845" xr:uid="{00000000-0005-0000-0000-00001C880000}"/>
    <cellStyle name="Normal 2 2 3 3 10 2 2 3" xfId="34846" xr:uid="{00000000-0005-0000-0000-00001D880000}"/>
    <cellStyle name="Normal 2 2 3 3 10 2 3" xfId="34847" xr:uid="{00000000-0005-0000-0000-00001E880000}"/>
    <cellStyle name="Normal 2 2 3 3 10 2 3 2" xfId="34848" xr:uid="{00000000-0005-0000-0000-00001F880000}"/>
    <cellStyle name="Normal 2 2 3 3 10 2 4" xfId="34849" xr:uid="{00000000-0005-0000-0000-000020880000}"/>
    <cellStyle name="Normal 2 2 3 3 10 3" xfId="34850" xr:uid="{00000000-0005-0000-0000-000021880000}"/>
    <cellStyle name="Normal 2 2 3 3 10 3 2" xfId="34851" xr:uid="{00000000-0005-0000-0000-000022880000}"/>
    <cellStyle name="Normal 2 2 3 3 10 3 2 2" xfId="34852" xr:uid="{00000000-0005-0000-0000-000023880000}"/>
    <cellStyle name="Normal 2 2 3 3 10 3 3" xfId="34853" xr:uid="{00000000-0005-0000-0000-000024880000}"/>
    <cellStyle name="Normal 2 2 3 3 10 4" xfId="34854" xr:uid="{00000000-0005-0000-0000-000025880000}"/>
    <cellStyle name="Normal 2 2 3 3 10 4 2" xfId="34855" xr:uid="{00000000-0005-0000-0000-000026880000}"/>
    <cellStyle name="Normal 2 2 3 3 10 5" xfId="34856" xr:uid="{00000000-0005-0000-0000-000027880000}"/>
    <cellStyle name="Normal 2 2 3 3 11" xfId="34857" xr:uid="{00000000-0005-0000-0000-000028880000}"/>
    <cellStyle name="Normal 2 2 3 3 11 2" xfId="34858" xr:uid="{00000000-0005-0000-0000-000029880000}"/>
    <cellStyle name="Normal 2 2 3 3 11 2 2" xfId="34859" xr:uid="{00000000-0005-0000-0000-00002A880000}"/>
    <cellStyle name="Normal 2 2 3 3 11 2 2 2" xfId="34860" xr:uid="{00000000-0005-0000-0000-00002B880000}"/>
    <cellStyle name="Normal 2 2 3 3 11 2 2 2 2" xfId="34861" xr:uid="{00000000-0005-0000-0000-00002C880000}"/>
    <cellStyle name="Normal 2 2 3 3 11 2 2 3" xfId="34862" xr:uid="{00000000-0005-0000-0000-00002D880000}"/>
    <cellStyle name="Normal 2 2 3 3 11 2 3" xfId="34863" xr:uid="{00000000-0005-0000-0000-00002E880000}"/>
    <cellStyle name="Normal 2 2 3 3 11 2 3 2" xfId="34864" xr:uid="{00000000-0005-0000-0000-00002F880000}"/>
    <cellStyle name="Normal 2 2 3 3 11 2 4" xfId="34865" xr:uid="{00000000-0005-0000-0000-000030880000}"/>
    <cellStyle name="Normal 2 2 3 3 11 3" xfId="34866" xr:uid="{00000000-0005-0000-0000-000031880000}"/>
    <cellStyle name="Normal 2 2 3 3 11 3 2" xfId="34867" xr:uid="{00000000-0005-0000-0000-000032880000}"/>
    <cellStyle name="Normal 2 2 3 3 11 3 2 2" xfId="34868" xr:uid="{00000000-0005-0000-0000-000033880000}"/>
    <cellStyle name="Normal 2 2 3 3 11 3 3" xfId="34869" xr:uid="{00000000-0005-0000-0000-000034880000}"/>
    <cellStyle name="Normal 2 2 3 3 11 4" xfId="34870" xr:uid="{00000000-0005-0000-0000-000035880000}"/>
    <cellStyle name="Normal 2 2 3 3 11 4 2" xfId="34871" xr:uid="{00000000-0005-0000-0000-000036880000}"/>
    <cellStyle name="Normal 2 2 3 3 11 5" xfId="34872" xr:uid="{00000000-0005-0000-0000-000037880000}"/>
    <cellStyle name="Normal 2 2 3 3 12" xfId="34873" xr:uid="{00000000-0005-0000-0000-000038880000}"/>
    <cellStyle name="Normal 2 2 3 3 12 2" xfId="34874" xr:uid="{00000000-0005-0000-0000-000039880000}"/>
    <cellStyle name="Normal 2 2 3 3 12 2 2" xfId="34875" xr:uid="{00000000-0005-0000-0000-00003A880000}"/>
    <cellStyle name="Normal 2 2 3 3 12 2 2 2" xfId="34876" xr:uid="{00000000-0005-0000-0000-00003B880000}"/>
    <cellStyle name="Normal 2 2 3 3 12 2 2 2 2" xfId="34877" xr:uid="{00000000-0005-0000-0000-00003C880000}"/>
    <cellStyle name="Normal 2 2 3 3 12 2 2 3" xfId="34878" xr:uid="{00000000-0005-0000-0000-00003D880000}"/>
    <cellStyle name="Normal 2 2 3 3 12 2 3" xfId="34879" xr:uid="{00000000-0005-0000-0000-00003E880000}"/>
    <cellStyle name="Normal 2 2 3 3 12 2 3 2" xfId="34880" xr:uid="{00000000-0005-0000-0000-00003F880000}"/>
    <cellStyle name="Normal 2 2 3 3 12 2 4" xfId="34881" xr:uid="{00000000-0005-0000-0000-000040880000}"/>
    <cellStyle name="Normal 2 2 3 3 12 3" xfId="34882" xr:uid="{00000000-0005-0000-0000-000041880000}"/>
    <cellStyle name="Normal 2 2 3 3 12 3 2" xfId="34883" xr:uid="{00000000-0005-0000-0000-000042880000}"/>
    <cellStyle name="Normal 2 2 3 3 12 3 2 2" xfId="34884" xr:uid="{00000000-0005-0000-0000-000043880000}"/>
    <cellStyle name="Normal 2 2 3 3 12 3 3" xfId="34885" xr:uid="{00000000-0005-0000-0000-000044880000}"/>
    <cellStyle name="Normal 2 2 3 3 12 4" xfId="34886" xr:uid="{00000000-0005-0000-0000-000045880000}"/>
    <cellStyle name="Normal 2 2 3 3 12 4 2" xfId="34887" xr:uid="{00000000-0005-0000-0000-000046880000}"/>
    <cellStyle name="Normal 2 2 3 3 12 5" xfId="34888" xr:uid="{00000000-0005-0000-0000-000047880000}"/>
    <cellStyle name="Normal 2 2 3 3 13" xfId="34889" xr:uid="{00000000-0005-0000-0000-000048880000}"/>
    <cellStyle name="Normal 2 2 3 3 13 2" xfId="34890" xr:uid="{00000000-0005-0000-0000-000049880000}"/>
    <cellStyle name="Normal 2 2 3 3 13 2 2" xfId="34891" xr:uid="{00000000-0005-0000-0000-00004A880000}"/>
    <cellStyle name="Normal 2 2 3 3 13 2 2 2" xfId="34892" xr:uid="{00000000-0005-0000-0000-00004B880000}"/>
    <cellStyle name="Normal 2 2 3 3 13 2 3" xfId="34893" xr:uid="{00000000-0005-0000-0000-00004C880000}"/>
    <cellStyle name="Normal 2 2 3 3 13 3" xfId="34894" xr:uid="{00000000-0005-0000-0000-00004D880000}"/>
    <cellStyle name="Normal 2 2 3 3 13 3 2" xfId="34895" xr:uid="{00000000-0005-0000-0000-00004E880000}"/>
    <cellStyle name="Normal 2 2 3 3 13 4" xfId="34896" xr:uid="{00000000-0005-0000-0000-00004F880000}"/>
    <cellStyle name="Normal 2 2 3 3 14" xfId="34897" xr:uid="{00000000-0005-0000-0000-000050880000}"/>
    <cellStyle name="Normal 2 2 3 3 14 2" xfId="34898" xr:uid="{00000000-0005-0000-0000-000051880000}"/>
    <cellStyle name="Normal 2 2 3 3 14 2 2" xfId="34899" xr:uid="{00000000-0005-0000-0000-000052880000}"/>
    <cellStyle name="Normal 2 2 3 3 14 2 2 2" xfId="34900" xr:uid="{00000000-0005-0000-0000-000053880000}"/>
    <cellStyle name="Normal 2 2 3 3 14 2 3" xfId="34901" xr:uid="{00000000-0005-0000-0000-000054880000}"/>
    <cellStyle name="Normal 2 2 3 3 14 3" xfId="34902" xr:uid="{00000000-0005-0000-0000-000055880000}"/>
    <cellStyle name="Normal 2 2 3 3 14 3 2" xfId="34903" xr:uid="{00000000-0005-0000-0000-000056880000}"/>
    <cellStyle name="Normal 2 2 3 3 14 4" xfId="34904" xr:uid="{00000000-0005-0000-0000-000057880000}"/>
    <cellStyle name="Normal 2 2 3 3 15" xfId="34905" xr:uid="{00000000-0005-0000-0000-000058880000}"/>
    <cellStyle name="Normal 2 2 3 3 15 2" xfId="34906" xr:uid="{00000000-0005-0000-0000-000059880000}"/>
    <cellStyle name="Normal 2 2 3 3 15 2 2" xfId="34907" xr:uid="{00000000-0005-0000-0000-00005A880000}"/>
    <cellStyle name="Normal 2 2 3 3 15 3" xfId="34908" xr:uid="{00000000-0005-0000-0000-00005B880000}"/>
    <cellStyle name="Normal 2 2 3 3 16" xfId="34909" xr:uid="{00000000-0005-0000-0000-00005C880000}"/>
    <cellStyle name="Normal 2 2 3 3 16 2" xfId="34910" xr:uid="{00000000-0005-0000-0000-00005D880000}"/>
    <cellStyle name="Normal 2 2 3 3 16 2 2" xfId="34911" xr:uid="{00000000-0005-0000-0000-00005E880000}"/>
    <cellStyle name="Normal 2 2 3 3 16 3" xfId="34912" xr:uid="{00000000-0005-0000-0000-00005F880000}"/>
    <cellStyle name="Normal 2 2 3 3 17" xfId="34913" xr:uid="{00000000-0005-0000-0000-000060880000}"/>
    <cellStyle name="Normal 2 2 3 3 17 2" xfId="34914" xr:uid="{00000000-0005-0000-0000-000061880000}"/>
    <cellStyle name="Normal 2 2 3 3 17 2 2" xfId="34915" xr:uid="{00000000-0005-0000-0000-000062880000}"/>
    <cellStyle name="Normal 2 2 3 3 17 3" xfId="34916" xr:uid="{00000000-0005-0000-0000-000063880000}"/>
    <cellStyle name="Normal 2 2 3 3 18" xfId="34917" xr:uid="{00000000-0005-0000-0000-000064880000}"/>
    <cellStyle name="Normal 2 2 3 3 18 2" xfId="34918" xr:uid="{00000000-0005-0000-0000-000065880000}"/>
    <cellStyle name="Normal 2 2 3 3 18 2 2" xfId="34919" xr:uid="{00000000-0005-0000-0000-000066880000}"/>
    <cellStyle name="Normal 2 2 3 3 18 3" xfId="34920" xr:uid="{00000000-0005-0000-0000-000067880000}"/>
    <cellStyle name="Normal 2 2 3 3 19" xfId="34921" xr:uid="{00000000-0005-0000-0000-000068880000}"/>
    <cellStyle name="Normal 2 2 3 3 19 2" xfId="34922" xr:uid="{00000000-0005-0000-0000-000069880000}"/>
    <cellStyle name="Normal 2 2 3 3 2" xfId="34923" xr:uid="{00000000-0005-0000-0000-00006A880000}"/>
    <cellStyle name="Normal 2 2 3 3 2 10" xfId="34924" xr:uid="{00000000-0005-0000-0000-00006B880000}"/>
    <cellStyle name="Normal 2 2 3 3 2 10 2" xfId="34925" xr:uid="{00000000-0005-0000-0000-00006C880000}"/>
    <cellStyle name="Normal 2 2 3 3 2 10 2 2" xfId="34926" xr:uid="{00000000-0005-0000-0000-00006D880000}"/>
    <cellStyle name="Normal 2 2 3 3 2 10 3" xfId="34927" xr:uid="{00000000-0005-0000-0000-00006E880000}"/>
    <cellStyle name="Normal 2 2 3 3 2 11" xfId="34928" xr:uid="{00000000-0005-0000-0000-00006F880000}"/>
    <cellStyle name="Normal 2 2 3 3 2 11 2" xfId="34929" xr:uid="{00000000-0005-0000-0000-000070880000}"/>
    <cellStyle name="Normal 2 2 3 3 2 11 2 2" xfId="34930" xr:uid="{00000000-0005-0000-0000-000071880000}"/>
    <cellStyle name="Normal 2 2 3 3 2 11 3" xfId="34931" xr:uid="{00000000-0005-0000-0000-000072880000}"/>
    <cellStyle name="Normal 2 2 3 3 2 12" xfId="34932" xr:uid="{00000000-0005-0000-0000-000073880000}"/>
    <cellStyle name="Normal 2 2 3 3 2 12 2" xfId="34933" xr:uid="{00000000-0005-0000-0000-000074880000}"/>
    <cellStyle name="Normal 2 2 3 3 2 12 2 2" xfId="34934" xr:uid="{00000000-0005-0000-0000-000075880000}"/>
    <cellStyle name="Normal 2 2 3 3 2 12 3" xfId="34935" xr:uid="{00000000-0005-0000-0000-000076880000}"/>
    <cellStyle name="Normal 2 2 3 3 2 13" xfId="34936" xr:uid="{00000000-0005-0000-0000-000077880000}"/>
    <cellStyle name="Normal 2 2 3 3 2 13 2" xfId="34937" xr:uid="{00000000-0005-0000-0000-000078880000}"/>
    <cellStyle name="Normal 2 2 3 3 2 14" xfId="34938" xr:uid="{00000000-0005-0000-0000-000079880000}"/>
    <cellStyle name="Normal 2 2 3 3 2 2" xfId="34939" xr:uid="{00000000-0005-0000-0000-00007A880000}"/>
    <cellStyle name="Normal 2 2 3 3 2 2 2" xfId="34940" xr:uid="{00000000-0005-0000-0000-00007B880000}"/>
    <cellStyle name="Normal 2 2 3 3 2 2 2 2" xfId="34941" xr:uid="{00000000-0005-0000-0000-00007C880000}"/>
    <cellStyle name="Normal 2 2 3 3 2 2 2 2 2" xfId="34942" xr:uid="{00000000-0005-0000-0000-00007D880000}"/>
    <cellStyle name="Normal 2 2 3 3 2 2 2 2 2 2" xfId="34943" xr:uid="{00000000-0005-0000-0000-00007E880000}"/>
    <cellStyle name="Normal 2 2 3 3 2 2 2 2 3" xfId="34944" xr:uid="{00000000-0005-0000-0000-00007F880000}"/>
    <cellStyle name="Normal 2 2 3 3 2 2 2 3" xfId="34945" xr:uid="{00000000-0005-0000-0000-000080880000}"/>
    <cellStyle name="Normal 2 2 3 3 2 2 2 3 2" xfId="34946" xr:uid="{00000000-0005-0000-0000-000081880000}"/>
    <cellStyle name="Normal 2 2 3 3 2 2 2 4" xfId="34947" xr:uid="{00000000-0005-0000-0000-000082880000}"/>
    <cellStyle name="Normal 2 2 3 3 2 2 3" xfId="34948" xr:uid="{00000000-0005-0000-0000-000083880000}"/>
    <cellStyle name="Normal 2 2 3 3 2 2 3 2" xfId="34949" xr:uid="{00000000-0005-0000-0000-000084880000}"/>
    <cellStyle name="Normal 2 2 3 3 2 2 3 2 2" xfId="34950" xr:uid="{00000000-0005-0000-0000-000085880000}"/>
    <cellStyle name="Normal 2 2 3 3 2 2 3 3" xfId="34951" xr:uid="{00000000-0005-0000-0000-000086880000}"/>
    <cellStyle name="Normal 2 2 3 3 2 2 4" xfId="34952" xr:uid="{00000000-0005-0000-0000-000087880000}"/>
    <cellStyle name="Normal 2 2 3 3 2 2 4 2" xfId="34953" xr:uid="{00000000-0005-0000-0000-000088880000}"/>
    <cellStyle name="Normal 2 2 3 3 2 2 4 2 2" xfId="34954" xr:uid="{00000000-0005-0000-0000-000089880000}"/>
    <cellStyle name="Normal 2 2 3 3 2 2 4 3" xfId="34955" xr:uid="{00000000-0005-0000-0000-00008A880000}"/>
    <cellStyle name="Normal 2 2 3 3 2 2 5" xfId="34956" xr:uid="{00000000-0005-0000-0000-00008B880000}"/>
    <cellStyle name="Normal 2 2 3 3 2 2 5 2" xfId="34957" xr:uid="{00000000-0005-0000-0000-00008C880000}"/>
    <cellStyle name="Normal 2 2 3 3 2 2 5 2 2" xfId="34958" xr:uid="{00000000-0005-0000-0000-00008D880000}"/>
    <cellStyle name="Normal 2 2 3 3 2 2 5 3" xfId="34959" xr:uid="{00000000-0005-0000-0000-00008E880000}"/>
    <cellStyle name="Normal 2 2 3 3 2 2 6" xfId="34960" xr:uid="{00000000-0005-0000-0000-00008F880000}"/>
    <cellStyle name="Normal 2 2 3 3 2 2 6 2" xfId="34961" xr:uid="{00000000-0005-0000-0000-000090880000}"/>
    <cellStyle name="Normal 2 2 3 3 2 2 6 2 2" xfId="34962" xr:uid="{00000000-0005-0000-0000-000091880000}"/>
    <cellStyle name="Normal 2 2 3 3 2 2 6 3" xfId="34963" xr:uid="{00000000-0005-0000-0000-000092880000}"/>
    <cellStyle name="Normal 2 2 3 3 2 2 7" xfId="34964" xr:uid="{00000000-0005-0000-0000-000093880000}"/>
    <cellStyle name="Normal 2 2 3 3 2 2 7 2" xfId="34965" xr:uid="{00000000-0005-0000-0000-000094880000}"/>
    <cellStyle name="Normal 2 2 3 3 2 2 8" xfId="34966" xr:uid="{00000000-0005-0000-0000-000095880000}"/>
    <cellStyle name="Normal 2 2 3 3 2 3" xfId="34967" xr:uid="{00000000-0005-0000-0000-000096880000}"/>
    <cellStyle name="Normal 2 2 3 3 2 3 2" xfId="34968" xr:uid="{00000000-0005-0000-0000-000097880000}"/>
    <cellStyle name="Normal 2 2 3 3 2 3 2 2" xfId="34969" xr:uid="{00000000-0005-0000-0000-000098880000}"/>
    <cellStyle name="Normal 2 2 3 3 2 3 2 2 2" xfId="34970" xr:uid="{00000000-0005-0000-0000-000099880000}"/>
    <cellStyle name="Normal 2 2 3 3 2 3 2 2 2 2" xfId="34971" xr:uid="{00000000-0005-0000-0000-00009A880000}"/>
    <cellStyle name="Normal 2 2 3 3 2 3 2 2 3" xfId="34972" xr:uid="{00000000-0005-0000-0000-00009B880000}"/>
    <cellStyle name="Normal 2 2 3 3 2 3 2 3" xfId="34973" xr:uid="{00000000-0005-0000-0000-00009C880000}"/>
    <cellStyle name="Normal 2 2 3 3 2 3 2 3 2" xfId="34974" xr:uid="{00000000-0005-0000-0000-00009D880000}"/>
    <cellStyle name="Normal 2 2 3 3 2 3 2 4" xfId="34975" xr:uid="{00000000-0005-0000-0000-00009E880000}"/>
    <cellStyle name="Normal 2 2 3 3 2 3 3" xfId="34976" xr:uid="{00000000-0005-0000-0000-00009F880000}"/>
    <cellStyle name="Normal 2 2 3 3 2 3 3 2" xfId="34977" xr:uid="{00000000-0005-0000-0000-0000A0880000}"/>
    <cellStyle name="Normal 2 2 3 3 2 3 3 2 2" xfId="34978" xr:uid="{00000000-0005-0000-0000-0000A1880000}"/>
    <cellStyle name="Normal 2 2 3 3 2 3 3 3" xfId="34979" xr:uid="{00000000-0005-0000-0000-0000A2880000}"/>
    <cellStyle name="Normal 2 2 3 3 2 3 4" xfId="34980" xr:uid="{00000000-0005-0000-0000-0000A3880000}"/>
    <cellStyle name="Normal 2 2 3 3 2 3 4 2" xfId="34981" xr:uid="{00000000-0005-0000-0000-0000A4880000}"/>
    <cellStyle name="Normal 2 2 3 3 2 3 4 2 2" xfId="34982" xr:uid="{00000000-0005-0000-0000-0000A5880000}"/>
    <cellStyle name="Normal 2 2 3 3 2 3 4 3" xfId="34983" xr:uid="{00000000-0005-0000-0000-0000A6880000}"/>
    <cellStyle name="Normal 2 2 3 3 2 3 5" xfId="34984" xr:uid="{00000000-0005-0000-0000-0000A7880000}"/>
    <cellStyle name="Normal 2 2 3 3 2 3 5 2" xfId="34985" xr:uid="{00000000-0005-0000-0000-0000A8880000}"/>
    <cellStyle name="Normal 2 2 3 3 2 3 5 2 2" xfId="34986" xr:uid="{00000000-0005-0000-0000-0000A9880000}"/>
    <cellStyle name="Normal 2 2 3 3 2 3 5 3" xfId="34987" xr:uid="{00000000-0005-0000-0000-0000AA880000}"/>
    <cellStyle name="Normal 2 2 3 3 2 3 6" xfId="34988" xr:uid="{00000000-0005-0000-0000-0000AB880000}"/>
    <cellStyle name="Normal 2 2 3 3 2 3 6 2" xfId="34989" xr:uid="{00000000-0005-0000-0000-0000AC880000}"/>
    <cellStyle name="Normal 2 2 3 3 2 3 6 2 2" xfId="34990" xr:uid="{00000000-0005-0000-0000-0000AD880000}"/>
    <cellStyle name="Normal 2 2 3 3 2 3 6 3" xfId="34991" xr:uid="{00000000-0005-0000-0000-0000AE880000}"/>
    <cellStyle name="Normal 2 2 3 3 2 3 7" xfId="34992" xr:uid="{00000000-0005-0000-0000-0000AF880000}"/>
    <cellStyle name="Normal 2 2 3 3 2 3 7 2" xfId="34993" xr:uid="{00000000-0005-0000-0000-0000B0880000}"/>
    <cellStyle name="Normal 2 2 3 3 2 3 8" xfId="34994" xr:uid="{00000000-0005-0000-0000-0000B1880000}"/>
    <cellStyle name="Normal 2 2 3 3 2 4" xfId="34995" xr:uid="{00000000-0005-0000-0000-0000B2880000}"/>
    <cellStyle name="Normal 2 2 3 3 2 4 2" xfId="34996" xr:uid="{00000000-0005-0000-0000-0000B3880000}"/>
    <cellStyle name="Normal 2 2 3 3 2 4 2 2" xfId="34997" xr:uid="{00000000-0005-0000-0000-0000B4880000}"/>
    <cellStyle name="Normal 2 2 3 3 2 4 2 2 2" xfId="34998" xr:uid="{00000000-0005-0000-0000-0000B5880000}"/>
    <cellStyle name="Normal 2 2 3 3 2 4 2 2 2 2" xfId="34999" xr:uid="{00000000-0005-0000-0000-0000B6880000}"/>
    <cellStyle name="Normal 2 2 3 3 2 4 2 2 3" xfId="35000" xr:uid="{00000000-0005-0000-0000-0000B7880000}"/>
    <cellStyle name="Normal 2 2 3 3 2 4 2 3" xfId="35001" xr:uid="{00000000-0005-0000-0000-0000B8880000}"/>
    <cellStyle name="Normal 2 2 3 3 2 4 2 3 2" xfId="35002" xr:uid="{00000000-0005-0000-0000-0000B9880000}"/>
    <cellStyle name="Normal 2 2 3 3 2 4 2 4" xfId="35003" xr:uid="{00000000-0005-0000-0000-0000BA880000}"/>
    <cellStyle name="Normal 2 2 3 3 2 4 3" xfId="35004" xr:uid="{00000000-0005-0000-0000-0000BB880000}"/>
    <cellStyle name="Normal 2 2 3 3 2 4 3 2" xfId="35005" xr:uid="{00000000-0005-0000-0000-0000BC880000}"/>
    <cellStyle name="Normal 2 2 3 3 2 4 3 2 2" xfId="35006" xr:uid="{00000000-0005-0000-0000-0000BD880000}"/>
    <cellStyle name="Normal 2 2 3 3 2 4 3 3" xfId="35007" xr:uid="{00000000-0005-0000-0000-0000BE880000}"/>
    <cellStyle name="Normal 2 2 3 3 2 4 4" xfId="35008" xr:uid="{00000000-0005-0000-0000-0000BF880000}"/>
    <cellStyle name="Normal 2 2 3 3 2 4 4 2" xfId="35009" xr:uid="{00000000-0005-0000-0000-0000C0880000}"/>
    <cellStyle name="Normal 2 2 3 3 2 4 4 2 2" xfId="35010" xr:uid="{00000000-0005-0000-0000-0000C1880000}"/>
    <cellStyle name="Normal 2 2 3 3 2 4 4 3" xfId="35011" xr:uid="{00000000-0005-0000-0000-0000C2880000}"/>
    <cellStyle name="Normal 2 2 3 3 2 4 5" xfId="35012" xr:uid="{00000000-0005-0000-0000-0000C3880000}"/>
    <cellStyle name="Normal 2 2 3 3 2 4 5 2" xfId="35013" xr:uid="{00000000-0005-0000-0000-0000C4880000}"/>
    <cellStyle name="Normal 2 2 3 3 2 4 5 2 2" xfId="35014" xr:uid="{00000000-0005-0000-0000-0000C5880000}"/>
    <cellStyle name="Normal 2 2 3 3 2 4 5 3" xfId="35015" xr:uid="{00000000-0005-0000-0000-0000C6880000}"/>
    <cellStyle name="Normal 2 2 3 3 2 4 6" xfId="35016" xr:uid="{00000000-0005-0000-0000-0000C7880000}"/>
    <cellStyle name="Normal 2 2 3 3 2 4 6 2" xfId="35017" xr:uid="{00000000-0005-0000-0000-0000C8880000}"/>
    <cellStyle name="Normal 2 2 3 3 2 4 6 2 2" xfId="35018" xr:uid="{00000000-0005-0000-0000-0000C9880000}"/>
    <cellStyle name="Normal 2 2 3 3 2 4 6 3" xfId="35019" xr:uid="{00000000-0005-0000-0000-0000CA880000}"/>
    <cellStyle name="Normal 2 2 3 3 2 4 7" xfId="35020" xr:uid="{00000000-0005-0000-0000-0000CB880000}"/>
    <cellStyle name="Normal 2 2 3 3 2 4 7 2" xfId="35021" xr:uid="{00000000-0005-0000-0000-0000CC880000}"/>
    <cellStyle name="Normal 2 2 3 3 2 4 8" xfId="35022" xr:uid="{00000000-0005-0000-0000-0000CD880000}"/>
    <cellStyle name="Normal 2 2 3 3 2 5" xfId="35023" xr:uid="{00000000-0005-0000-0000-0000CE880000}"/>
    <cellStyle name="Normal 2 2 3 3 2 5 2" xfId="35024" xr:uid="{00000000-0005-0000-0000-0000CF880000}"/>
    <cellStyle name="Normal 2 2 3 3 2 5 2 2" xfId="35025" xr:uid="{00000000-0005-0000-0000-0000D0880000}"/>
    <cellStyle name="Normal 2 2 3 3 2 5 2 2 2" xfId="35026" xr:uid="{00000000-0005-0000-0000-0000D1880000}"/>
    <cellStyle name="Normal 2 2 3 3 2 5 2 2 2 2" xfId="35027" xr:uid="{00000000-0005-0000-0000-0000D2880000}"/>
    <cellStyle name="Normal 2 2 3 3 2 5 2 2 3" xfId="35028" xr:uid="{00000000-0005-0000-0000-0000D3880000}"/>
    <cellStyle name="Normal 2 2 3 3 2 5 2 3" xfId="35029" xr:uid="{00000000-0005-0000-0000-0000D4880000}"/>
    <cellStyle name="Normal 2 2 3 3 2 5 2 3 2" xfId="35030" xr:uid="{00000000-0005-0000-0000-0000D5880000}"/>
    <cellStyle name="Normal 2 2 3 3 2 5 2 4" xfId="35031" xr:uid="{00000000-0005-0000-0000-0000D6880000}"/>
    <cellStyle name="Normal 2 2 3 3 2 5 3" xfId="35032" xr:uid="{00000000-0005-0000-0000-0000D7880000}"/>
    <cellStyle name="Normal 2 2 3 3 2 5 3 2" xfId="35033" xr:uid="{00000000-0005-0000-0000-0000D8880000}"/>
    <cellStyle name="Normal 2 2 3 3 2 5 3 2 2" xfId="35034" xr:uid="{00000000-0005-0000-0000-0000D9880000}"/>
    <cellStyle name="Normal 2 2 3 3 2 5 3 3" xfId="35035" xr:uid="{00000000-0005-0000-0000-0000DA880000}"/>
    <cellStyle name="Normal 2 2 3 3 2 5 4" xfId="35036" xr:uid="{00000000-0005-0000-0000-0000DB880000}"/>
    <cellStyle name="Normal 2 2 3 3 2 5 4 2" xfId="35037" xr:uid="{00000000-0005-0000-0000-0000DC880000}"/>
    <cellStyle name="Normal 2 2 3 3 2 5 5" xfId="35038" xr:uid="{00000000-0005-0000-0000-0000DD880000}"/>
    <cellStyle name="Normal 2 2 3 3 2 6" xfId="35039" xr:uid="{00000000-0005-0000-0000-0000DE880000}"/>
    <cellStyle name="Normal 2 2 3 3 2 6 2" xfId="35040" xr:uid="{00000000-0005-0000-0000-0000DF880000}"/>
    <cellStyle name="Normal 2 2 3 3 2 6 2 2" xfId="35041" xr:uid="{00000000-0005-0000-0000-0000E0880000}"/>
    <cellStyle name="Normal 2 2 3 3 2 6 2 2 2" xfId="35042" xr:uid="{00000000-0005-0000-0000-0000E1880000}"/>
    <cellStyle name="Normal 2 2 3 3 2 6 2 2 2 2" xfId="35043" xr:uid="{00000000-0005-0000-0000-0000E2880000}"/>
    <cellStyle name="Normal 2 2 3 3 2 6 2 2 3" xfId="35044" xr:uid="{00000000-0005-0000-0000-0000E3880000}"/>
    <cellStyle name="Normal 2 2 3 3 2 6 2 3" xfId="35045" xr:uid="{00000000-0005-0000-0000-0000E4880000}"/>
    <cellStyle name="Normal 2 2 3 3 2 6 2 3 2" xfId="35046" xr:uid="{00000000-0005-0000-0000-0000E5880000}"/>
    <cellStyle name="Normal 2 2 3 3 2 6 2 4" xfId="35047" xr:uid="{00000000-0005-0000-0000-0000E6880000}"/>
    <cellStyle name="Normal 2 2 3 3 2 6 3" xfId="35048" xr:uid="{00000000-0005-0000-0000-0000E7880000}"/>
    <cellStyle name="Normal 2 2 3 3 2 6 3 2" xfId="35049" xr:uid="{00000000-0005-0000-0000-0000E8880000}"/>
    <cellStyle name="Normal 2 2 3 3 2 6 3 2 2" xfId="35050" xr:uid="{00000000-0005-0000-0000-0000E9880000}"/>
    <cellStyle name="Normal 2 2 3 3 2 6 3 3" xfId="35051" xr:uid="{00000000-0005-0000-0000-0000EA880000}"/>
    <cellStyle name="Normal 2 2 3 3 2 6 4" xfId="35052" xr:uid="{00000000-0005-0000-0000-0000EB880000}"/>
    <cellStyle name="Normal 2 2 3 3 2 6 4 2" xfId="35053" xr:uid="{00000000-0005-0000-0000-0000EC880000}"/>
    <cellStyle name="Normal 2 2 3 3 2 6 5" xfId="35054" xr:uid="{00000000-0005-0000-0000-0000ED880000}"/>
    <cellStyle name="Normal 2 2 3 3 2 7" xfId="35055" xr:uid="{00000000-0005-0000-0000-0000EE880000}"/>
    <cellStyle name="Normal 2 2 3 3 2 7 2" xfId="35056" xr:uid="{00000000-0005-0000-0000-0000EF880000}"/>
    <cellStyle name="Normal 2 2 3 3 2 7 2 2" xfId="35057" xr:uid="{00000000-0005-0000-0000-0000F0880000}"/>
    <cellStyle name="Normal 2 2 3 3 2 7 2 2 2" xfId="35058" xr:uid="{00000000-0005-0000-0000-0000F1880000}"/>
    <cellStyle name="Normal 2 2 3 3 2 7 2 3" xfId="35059" xr:uid="{00000000-0005-0000-0000-0000F2880000}"/>
    <cellStyle name="Normal 2 2 3 3 2 7 3" xfId="35060" xr:uid="{00000000-0005-0000-0000-0000F3880000}"/>
    <cellStyle name="Normal 2 2 3 3 2 7 3 2" xfId="35061" xr:uid="{00000000-0005-0000-0000-0000F4880000}"/>
    <cellStyle name="Normal 2 2 3 3 2 7 4" xfId="35062" xr:uid="{00000000-0005-0000-0000-0000F5880000}"/>
    <cellStyle name="Normal 2 2 3 3 2 8" xfId="35063" xr:uid="{00000000-0005-0000-0000-0000F6880000}"/>
    <cellStyle name="Normal 2 2 3 3 2 8 2" xfId="35064" xr:uid="{00000000-0005-0000-0000-0000F7880000}"/>
    <cellStyle name="Normal 2 2 3 3 2 8 2 2" xfId="35065" xr:uid="{00000000-0005-0000-0000-0000F8880000}"/>
    <cellStyle name="Normal 2 2 3 3 2 8 2 2 2" xfId="35066" xr:uid="{00000000-0005-0000-0000-0000F9880000}"/>
    <cellStyle name="Normal 2 2 3 3 2 8 2 3" xfId="35067" xr:uid="{00000000-0005-0000-0000-0000FA880000}"/>
    <cellStyle name="Normal 2 2 3 3 2 8 3" xfId="35068" xr:uid="{00000000-0005-0000-0000-0000FB880000}"/>
    <cellStyle name="Normal 2 2 3 3 2 8 3 2" xfId="35069" xr:uid="{00000000-0005-0000-0000-0000FC880000}"/>
    <cellStyle name="Normal 2 2 3 3 2 8 4" xfId="35070" xr:uid="{00000000-0005-0000-0000-0000FD880000}"/>
    <cellStyle name="Normal 2 2 3 3 2 9" xfId="35071" xr:uid="{00000000-0005-0000-0000-0000FE880000}"/>
    <cellStyle name="Normal 2 2 3 3 2 9 2" xfId="35072" xr:uid="{00000000-0005-0000-0000-0000FF880000}"/>
    <cellStyle name="Normal 2 2 3 3 2 9 2 2" xfId="35073" xr:uid="{00000000-0005-0000-0000-000000890000}"/>
    <cellStyle name="Normal 2 2 3 3 2 9 3" xfId="35074" xr:uid="{00000000-0005-0000-0000-000001890000}"/>
    <cellStyle name="Normal 2 2 3 3 20" xfId="35075" xr:uid="{00000000-0005-0000-0000-000002890000}"/>
    <cellStyle name="Normal 2 2 3 3 3" xfId="35076" xr:uid="{00000000-0005-0000-0000-000003890000}"/>
    <cellStyle name="Normal 2 2 3 3 3 10" xfId="35077" xr:uid="{00000000-0005-0000-0000-000004890000}"/>
    <cellStyle name="Normal 2 2 3 3 3 10 2" xfId="35078" xr:uid="{00000000-0005-0000-0000-000005890000}"/>
    <cellStyle name="Normal 2 2 3 3 3 10 2 2" xfId="35079" xr:uid="{00000000-0005-0000-0000-000006890000}"/>
    <cellStyle name="Normal 2 2 3 3 3 10 3" xfId="35080" xr:uid="{00000000-0005-0000-0000-000007890000}"/>
    <cellStyle name="Normal 2 2 3 3 3 11" xfId="35081" xr:uid="{00000000-0005-0000-0000-000008890000}"/>
    <cellStyle name="Normal 2 2 3 3 3 11 2" xfId="35082" xr:uid="{00000000-0005-0000-0000-000009890000}"/>
    <cellStyle name="Normal 2 2 3 3 3 11 2 2" xfId="35083" xr:uid="{00000000-0005-0000-0000-00000A890000}"/>
    <cellStyle name="Normal 2 2 3 3 3 11 3" xfId="35084" xr:uid="{00000000-0005-0000-0000-00000B890000}"/>
    <cellStyle name="Normal 2 2 3 3 3 12" xfId="35085" xr:uid="{00000000-0005-0000-0000-00000C890000}"/>
    <cellStyle name="Normal 2 2 3 3 3 12 2" xfId="35086" xr:uid="{00000000-0005-0000-0000-00000D890000}"/>
    <cellStyle name="Normal 2 2 3 3 3 12 2 2" xfId="35087" xr:uid="{00000000-0005-0000-0000-00000E890000}"/>
    <cellStyle name="Normal 2 2 3 3 3 12 3" xfId="35088" xr:uid="{00000000-0005-0000-0000-00000F890000}"/>
    <cellStyle name="Normal 2 2 3 3 3 13" xfId="35089" xr:uid="{00000000-0005-0000-0000-000010890000}"/>
    <cellStyle name="Normal 2 2 3 3 3 13 2" xfId="35090" xr:uid="{00000000-0005-0000-0000-000011890000}"/>
    <cellStyle name="Normal 2 2 3 3 3 14" xfId="35091" xr:uid="{00000000-0005-0000-0000-000012890000}"/>
    <cellStyle name="Normal 2 2 3 3 3 2" xfId="35092" xr:uid="{00000000-0005-0000-0000-000013890000}"/>
    <cellStyle name="Normal 2 2 3 3 3 2 2" xfId="35093" xr:uid="{00000000-0005-0000-0000-000014890000}"/>
    <cellStyle name="Normal 2 2 3 3 3 2 2 2" xfId="35094" xr:uid="{00000000-0005-0000-0000-000015890000}"/>
    <cellStyle name="Normal 2 2 3 3 3 2 2 2 2" xfId="35095" xr:uid="{00000000-0005-0000-0000-000016890000}"/>
    <cellStyle name="Normal 2 2 3 3 3 2 2 2 2 2" xfId="35096" xr:uid="{00000000-0005-0000-0000-000017890000}"/>
    <cellStyle name="Normal 2 2 3 3 3 2 2 2 3" xfId="35097" xr:uid="{00000000-0005-0000-0000-000018890000}"/>
    <cellStyle name="Normal 2 2 3 3 3 2 2 3" xfId="35098" xr:uid="{00000000-0005-0000-0000-000019890000}"/>
    <cellStyle name="Normal 2 2 3 3 3 2 2 3 2" xfId="35099" xr:uid="{00000000-0005-0000-0000-00001A890000}"/>
    <cellStyle name="Normal 2 2 3 3 3 2 2 4" xfId="35100" xr:uid="{00000000-0005-0000-0000-00001B890000}"/>
    <cellStyle name="Normal 2 2 3 3 3 2 3" xfId="35101" xr:uid="{00000000-0005-0000-0000-00001C890000}"/>
    <cellStyle name="Normal 2 2 3 3 3 2 3 2" xfId="35102" xr:uid="{00000000-0005-0000-0000-00001D890000}"/>
    <cellStyle name="Normal 2 2 3 3 3 2 3 2 2" xfId="35103" xr:uid="{00000000-0005-0000-0000-00001E890000}"/>
    <cellStyle name="Normal 2 2 3 3 3 2 3 3" xfId="35104" xr:uid="{00000000-0005-0000-0000-00001F890000}"/>
    <cellStyle name="Normal 2 2 3 3 3 2 4" xfId="35105" xr:uid="{00000000-0005-0000-0000-000020890000}"/>
    <cellStyle name="Normal 2 2 3 3 3 2 4 2" xfId="35106" xr:uid="{00000000-0005-0000-0000-000021890000}"/>
    <cellStyle name="Normal 2 2 3 3 3 2 4 2 2" xfId="35107" xr:uid="{00000000-0005-0000-0000-000022890000}"/>
    <cellStyle name="Normal 2 2 3 3 3 2 4 3" xfId="35108" xr:uid="{00000000-0005-0000-0000-000023890000}"/>
    <cellStyle name="Normal 2 2 3 3 3 2 5" xfId="35109" xr:uid="{00000000-0005-0000-0000-000024890000}"/>
    <cellStyle name="Normal 2 2 3 3 3 2 5 2" xfId="35110" xr:uid="{00000000-0005-0000-0000-000025890000}"/>
    <cellStyle name="Normal 2 2 3 3 3 2 5 2 2" xfId="35111" xr:uid="{00000000-0005-0000-0000-000026890000}"/>
    <cellStyle name="Normal 2 2 3 3 3 2 5 3" xfId="35112" xr:uid="{00000000-0005-0000-0000-000027890000}"/>
    <cellStyle name="Normal 2 2 3 3 3 2 6" xfId="35113" xr:uid="{00000000-0005-0000-0000-000028890000}"/>
    <cellStyle name="Normal 2 2 3 3 3 2 6 2" xfId="35114" xr:uid="{00000000-0005-0000-0000-000029890000}"/>
    <cellStyle name="Normal 2 2 3 3 3 2 6 2 2" xfId="35115" xr:uid="{00000000-0005-0000-0000-00002A890000}"/>
    <cellStyle name="Normal 2 2 3 3 3 2 6 3" xfId="35116" xr:uid="{00000000-0005-0000-0000-00002B890000}"/>
    <cellStyle name="Normal 2 2 3 3 3 2 7" xfId="35117" xr:uid="{00000000-0005-0000-0000-00002C890000}"/>
    <cellStyle name="Normal 2 2 3 3 3 2 7 2" xfId="35118" xr:uid="{00000000-0005-0000-0000-00002D890000}"/>
    <cellStyle name="Normal 2 2 3 3 3 2 8" xfId="35119" xr:uid="{00000000-0005-0000-0000-00002E890000}"/>
    <cellStyle name="Normal 2 2 3 3 3 3" xfId="35120" xr:uid="{00000000-0005-0000-0000-00002F890000}"/>
    <cellStyle name="Normal 2 2 3 3 3 3 2" xfId="35121" xr:uid="{00000000-0005-0000-0000-000030890000}"/>
    <cellStyle name="Normal 2 2 3 3 3 3 2 2" xfId="35122" xr:uid="{00000000-0005-0000-0000-000031890000}"/>
    <cellStyle name="Normal 2 2 3 3 3 3 2 2 2" xfId="35123" xr:uid="{00000000-0005-0000-0000-000032890000}"/>
    <cellStyle name="Normal 2 2 3 3 3 3 2 2 2 2" xfId="35124" xr:uid="{00000000-0005-0000-0000-000033890000}"/>
    <cellStyle name="Normal 2 2 3 3 3 3 2 2 3" xfId="35125" xr:uid="{00000000-0005-0000-0000-000034890000}"/>
    <cellStyle name="Normal 2 2 3 3 3 3 2 3" xfId="35126" xr:uid="{00000000-0005-0000-0000-000035890000}"/>
    <cellStyle name="Normal 2 2 3 3 3 3 2 3 2" xfId="35127" xr:uid="{00000000-0005-0000-0000-000036890000}"/>
    <cellStyle name="Normal 2 2 3 3 3 3 2 4" xfId="35128" xr:uid="{00000000-0005-0000-0000-000037890000}"/>
    <cellStyle name="Normal 2 2 3 3 3 3 3" xfId="35129" xr:uid="{00000000-0005-0000-0000-000038890000}"/>
    <cellStyle name="Normal 2 2 3 3 3 3 3 2" xfId="35130" xr:uid="{00000000-0005-0000-0000-000039890000}"/>
    <cellStyle name="Normal 2 2 3 3 3 3 3 2 2" xfId="35131" xr:uid="{00000000-0005-0000-0000-00003A890000}"/>
    <cellStyle name="Normal 2 2 3 3 3 3 3 3" xfId="35132" xr:uid="{00000000-0005-0000-0000-00003B890000}"/>
    <cellStyle name="Normal 2 2 3 3 3 3 4" xfId="35133" xr:uid="{00000000-0005-0000-0000-00003C890000}"/>
    <cellStyle name="Normal 2 2 3 3 3 3 4 2" xfId="35134" xr:uid="{00000000-0005-0000-0000-00003D890000}"/>
    <cellStyle name="Normal 2 2 3 3 3 3 4 2 2" xfId="35135" xr:uid="{00000000-0005-0000-0000-00003E890000}"/>
    <cellStyle name="Normal 2 2 3 3 3 3 4 3" xfId="35136" xr:uid="{00000000-0005-0000-0000-00003F890000}"/>
    <cellStyle name="Normal 2 2 3 3 3 3 5" xfId="35137" xr:uid="{00000000-0005-0000-0000-000040890000}"/>
    <cellStyle name="Normal 2 2 3 3 3 3 5 2" xfId="35138" xr:uid="{00000000-0005-0000-0000-000041890000}"/>
    <cellStyle name="Normal 2 2 3 3 3 3 5 2 2" xfId="35139" xr:uid="{00000000-0005-0000-0000-000042890000}"/>
    <cellStyle name="Normal 2 2 3 3 3 3 5 3" xfId="35140" xr:uid="{00000000-0005-0000-0000-000043890000}"/>
    <cellStyle name="Normal 2 2 3 3 3 3 6" xfId="35141" xr:uid="{00000000-0005-0000-0000-000044890000}"/>
    <cellStyle name="Normal 2 2 3 3 3 3 6 2" xfId="35142" xr:uid="{00000000-0005-0000-0000-000045890000}"/>
    <cellStyle name="Normal 2 2 3 3 3 3 6 2 2" xfId="35143" xr:uid="{00000000-0005-0000-0000-000046890000}"/>
    <cellStyle name="Normal 2 2 3 3 3 3 6 3" xfId="35144" xr:uid="{00000000-0005-0000-0000-000047890000}"/>
    <cellStyle name="Normal 2 2 3 3 3 3 7" xfId="35145" xr:uid="{00000000-0005-0000-0000-000048890000}"/>
    <cellStyle name="Normal 2 2 3 3 3 3 7 2" xfId="35146" xr:uid="{00000000-0005-0000-0000-000049890000}"/>
    <cellStyle name="Normal 2 2 3 3 3 3 8" xfId="35147" xr:uid="{00000000-0005-0000-0000-00004A890000}"/>
    <cellStyle name="Normal 2 2 3 3 3 4" xfId="35148" xr:uid="{00000000-0005-0000-0000-00004B890000}"/>
    <cellStyle name="Normal 2 2 3 3 3 4 2" xfId="35149" xr:uid="{00000000-0005-0000-0000-00004C890000}"/>
    <cellStyle name="Normal 2 2 3 3 3 4 2 2" xfId="35150" xr:uid="{00000000-0005-0000-0000-00004D890000}"/>
    <cellStyle name="Normal 2 2 3 3 3 4 2 2 2" xfId="35151" xr:uid="{00000000-0005-0000-0000-00004E890000}"/>
    <cellStyle name="Normal 2 2 3 3 3 4 2 2 2 2" xfId="35152" xr:uid="{00000000-0005-0000-0000-00004F890000}"/>
    <cellStyle name="Normal 2 2 3 3 3 4 2 2 3" xfId="35153" xr:uid="{00000000-0005-0000-0000-000050890000}"/>
    <cellStyle name="Normal 2 2 3 3 3 4 2 3" xfId="35154" xr:uid="{00000000-0005-0000-0000-000051890000}"/>
    <cellStyle name="Normal 2 2 3 3 3 4 2 3 2" xfId="35155" xr:uid="{00000000-0005-0000-0000-000052890000}"/>
    <cellStyle name="Normal 2 2 3 3 3 4 2 4" xfId="35156" xr:uid="{00000000-0005-0000-0000-000053890000}"/>
    <cellStyle name="Normal 2 2 3 3 3 4 3" xfId="35157" xr:uid="{00000000-0005-0000-0000-000054890000}"/>
    <cellStyle name="Normal 2 2 3 3 3 4 3 2" xfId="35158" xr:uid="{00000000-0005-0000-0000-000055890000}"/>
    <cellStyle name="Normal 2 2 3 3 3 4 3 2 2" xfId="35159" xr:uid="{00000000-0005-0000-0000-000056890000}"/>
    <cellStyle name="Normal 2 2 3 3 3 4 3 3" xfId="35160" xr:uid="{00000000-0005-0000-0000-000057890000}"/>
    <cellStyle name="Normal 2 2 3 3 3 4 4" xfId="35161" xr:uid="{00000000-0005-0000-0000-000058890000}"/>
    <cellStyle name="Normal 2 2 3 3 3 4 4 2" xfId="35162" xr:uid="{00000000-0005-0000-0000-000059890000}"/>
    <cellStyle name="Normal 2 2 3 3 3 4 4 2 2" xfId="35163" xr:uid="{00000000-0005-0000-0000-00005A890000}"/>
    <cellStyle name="Normal 2 2 3 3 3 4 4 3" xfId="35164" xr:uid="{00000000-0005-0000-0000-00005B890000}"/>
    <cellStyle name="Normal 2 2 3 3 3 4 5" xfId="35165" xr:uid="{00000000-0005-0000-0000-00005C890000}"/>
    <cellStyle name="Normal 2 2 3 3 3 4 5 2" xfId="35166" xr:uid="{00000000-0005-0000-0000-00005D890000}"/>
    <cellStyle name="Normal 2 2 3 3 3 4 5 2 2" xfId="35167" xr:uid="{00000000-0005-0000-0000-00005E890000}"/>
    <cellStyle name="Normal 2 2 3 3 3 4 5 3" xfId="35168" xr:uid="{00000000-0005-0000-0000-00005F890000}"/>
    <cellStyle name="Normal 2 2 3 3 3 4 6" xfId="35169" xr:uid="{00000000-0005-0000-0000-000060890000}"/>
    <cellStyle name="Normal 2 2 3 3 3 4 6 2" xfId="35170" xr:uid="{00000000-0005-0000-0000-000061890000}"/>
    <cellStyle name="Normal 2 2 3 3 3 4 6 2 2" xfId="35171" xr:uid="{00000000-0005-0000-0000-000062890000}"/>
    <cellStyle name="Normal 2 2 3 3 3 4 6 3" xfId="35172" xr:uid="{00000000-0005-0000-0000-000063890000}"/>
    <cellStyle name="Normal 2 2 3 3 3 4 7" xfId="35173" xr:uid="{00000000-0005-0000-0000-000064890000}"/>
    <cellStyle name="Normal 2 2 3 3 3 4 7 2" xfId="35174" xr:uid="{00000000-0005-0000-0000-000065890000}"/>
    <cellStyle name="Normal 2 2 3 3 3 4 8" xfId="35175" xr:uid="{00000000-0005-0000-0000-000066890000}"/>
    <cellStyle name="Normal 2 2 3 3 3 5" xfId="35176" xr:uid="{00000000-0005-0000-0000-000067890000}"/>
    <cellStyle name="Normal 2 2 3 3 3 5 2" xfId="35177" xr:uid="{00000000-0005-0000-0000-000068890000}"/>
    <cellStyle name="Normal 2 2 3 3 3 5 2 2" xfId="35178" xr:uid="{00000000-0005-0000-0000-000069890000}"/>
    <cellStyle name="Normal 2 2 3 3 3 5 2 2 2" xfId="35179" xr:uid="{00000000-0005-0000-0000-00006A890000}"/>
    <cellStyle name="Normal 2 2 3 3 3 5 2 2 2 2" xfId="35180" xr:uid="{00000000-0005-0000-0000-00006B890000}"/>
    <cellStyle name="Normal 2 2 3 3 3 5 2 2 3" xfId="35181" xr:uid="{00000000-0005-0000-0000-00006C890000}"/>
    <cellStyle name="Normal 2 2 3 3 3 5 2 3" xfId="35182" xr:uid="{00000000-0005-0000-0000-00006D890000}"/>
    <cellStyle name="Normal 2 2 3 3 3 5 2 3 2" xfId="35183" xr:uid="{00000000-0005-0000-0000-00006E890000}"/>
    <cellStyle name="Normal 2 2 3 3 3 5 2 4" xfId="35184" xr:uid="{00000000-0005-0000-0000-00006F890000}"/>
    <cellStyle name="Normal 2 2 3 3 3 5 3" xfId="35185" xr:uid="{00000000-0005-0000-0000-000070890000}"/>
    <cellStyle name="Normal 2 2 3 3 3 5 3 2" xfId="35186" xr:uid="{00000000-0005-0000-0000-000071890000}"/>
    <cellStyle name="Normal 2 2 3 3 3 5 3 2 2" xfId="35187" xr:uid="{00000000-0005-0000-0000-000072890000}"/>
    <cellStyle name="Normal 2 2 3 3 3 5 3 3" xfId="35188" xr:uid="{00000000-0005-0000-0000-000073890000}"/>
    <cellStyle name="Normal 2 2 3 3 3 5 4" xfId="35189" xr:uid="{00000000-0005-0000-0000-000074890000}"/>
    <cellStyle name="Normal 2 2 3 3 3 5 4 2" xfId="35190" xr:uid="{00000000-0005-0000-0000-000075890000}"/>
    <cellStyle name="Normal 2 2 3 3 3 5 5" xfId="35191" xr:uid="{00000000-0005-0000-0000-000076890000}"/>
    <cellStyle name="Normal 2 2 3 3 3 6" xfId="35192" xr:uid="{00000000-0005-0000-0000-000077890000}"/>
    <cellStyle name="Normal 2 2 3 3 3 6 2" xfId="35193" xr:uid="{00000000-0005-0000-0000-000078890000}"/>
    <cellStyle name="Normal 2 2 3 3 3 6 2 2" xfId="35194" xr:uid="{00000000-0005-0000-0000-000079890000}"/>
    <cellStyle name="Normal 2 2 3 3 3 6 2 2 2" xfId="35195" xr:uid="{00000000-0005-0000-0000-00007A890000}"/>
    <cellStyle name="Normal 2 2 3 3 3 6 2 2 2 2" xfId="35196" xr:uid="{00000000-0005-0000-0000-00007B890000}"/>
    <cellStyle name="Normal 2 2 3 3 3 6 2 2 3" xfId="35197" xr:uid="{00000000-0005-0000-0000-00007C890000}"/>
    <cellStyle name="Normal 2 2 3 3 3 6 2 3" xfId="35198" xr:uid="{00000000-0005-0000-0000-00007D890000}"/>
    <cellStyle name="Normal 2 2 3 3 3 6 2 3 2" xfId="35199" xr:uid="{00000000-0005-0000-0000-00007E890000}"/>
    <cellStyle name="Normal 2 2 3 3 3 6 2 4" xfId="35200" xr:uid="{00000000-0005-0000-0000-00007F890000}"/>
    <cellStyle name="Normal 2 2 3 3 3 6 3" xfId="35201" xr:uid="{00000000-0005-0000-0000-000080890000}"/>
    <cellStyle name="Normal 2 2 3 3 3 6 3 2" xfId="35202" xr:uid="{00000000-0005-0000-0000-000081890000}"/>
    <cellStyle name="Normal 2 2 3 3 3 6 3 2 2" xfId="35203" xr:uid="{00000000-0005-0000-0000-000082890000}"/>
    <cellStyle name="Normal 2 2 3 3 3 6 3 3" xfId="35204" xr:uid="{00000000-0005-0000-0000-000083890000}"/>
    <cellStyle name="Normal 2 2 3 3 3 6 4" xfId="35205" xr:uid="{00000000-0005-0000-0000-000084890000}"/>
    <cellStyle name="Normal 2 2 3 3 3 6 4 2" xfId="35206" xr:uid="{00000000-0005-0000-0000-000085890000}"/>
    <cellStyle name="Normal 2 2 3 3 3 6 5" xfId="35207" xr:uid="{00000000-0005-0000-0000-000086890000}"/>
    <cellStyle name="Normal 2 2 3 3 3 7" xfId="35208" xr:uid="{00000000-0005-0000-0000-000087890000}"/>
    <cellStyle name="Normal 2 2 3 3 3 7 2" xfId="35209" xr:uid="{00000000-0005-0000-0000-000088890000}"/>
    <cellStyle name="Normal 2 2 3 3 3 7 2 2" xfId="35210" xr:uid="{00000000-0005-0000-0000-000089890000}"/>
    <cellStyle name="Normal 2 2 3 3 3 7 2 2 2" xfId="35211" xr:uid="{00000000-0005-0000-0000-00008A890000}"/>
    <cellStyle name="Normal 2 2 3 3 3 7 2 3" xfId="35212" xr:uid="{00000000-0005-0000-0000-00008B890000}"/>
    <cellStyle name="Normal 2 2 3 3 3 7 3" xfId="35213" xr:uid="{00000000-0005-0000-0000-00008C890000}"/>
    <cellStyle name="Normal 2 2 3 3 3 7 3 2" xfId="35214" xr:uid="{00000000-0005-0000-0000-00008D890000}"/>
    <cellStyle name="Normal 2 2 3 3 3 7 4" xfId="35215" xr:uid="{00000000-0005-0000-0000-00008E890000}"/>
    <cellStyle name="Normal 2 2 3 3 3 8" xfId="35216" xr:uid="{00000000-0005-0000-0000-00008F890000}"/>
    <cellStyle name="Normal 2 2 3 3 3 8 2" xfId="35217" xr:uid="{00000000-0005-0000-0000-000090890000}"/>
    <cellStyle name="Normal 2 2 3 3 3 8 2 2" xfId="35218" xr:uid="{00000000-0005-0000-0000-000091890000}"/>
    <cellStyle name="Normal 2 2 3 3 3 8 2 2 2" xfId="35219" xr:uid="{00000000-0005-0000-0000-000092890000}"/>
    <cellStyle name="Normal 2 2 3 3 3 8 2 3" xfId="35220" xr:uid="{00000000-0005-0000-0000-000093890000}"/>
    <cellStyle name="Normal 2 2 3 3 3 8 3" xfId="35221" xr:uid="{00000000-0005-0000-0000-000094890000}"/>
    <cellStyle name="Normal 2 2 3 3 3 8 3 2" xfId="35222" xr:uid="{00000000-0005-0000-0000-000095890000}"/>
    <cellStyle name="Normal 2 2 3 3 3 8 4" xfId="35223" xr:uid="{00000000-0005-0000-0000-000096890000}"/>
    <cellStyle name="Normal 2 2 3 3 3 9" xfId="35224" xr:uid="{00000000-0005-0000-0000-000097890000}"/>
    <cellStyle name="Normal 2 2 3 3 3 9 2" xfId="35225" xr:uid="{00000000-0005-0000-0000-000098890000}"/>
    <cellStyle name="Normal 2 2 3 3 3 9 2 2" xfId="35226" xr:uid="{00000000-0005-0000-0000-000099890000}"/>
    <cellStyle name="Normal 2 2 3 3 3 9 3" xfId="35227" xr:uid="{00000000-0005-0000-0000-00009A890000}"/>
    <cellStyle name="Normal 2 2 3 3 4" xfId="35228" xr:uid="{00000000-0005-0000-0000-00009B890000}"/>
    <cellStyle name="Normal 2 2 3 3 4 10" xfId="35229" xr:uid="{00000000-0005-0000-0000-00009C890000}"/>
    <cellStyle name="Normal 2 2 3 3 4 10 2" xfId="35230" xr:uid="{00000000-0005-0000-0000-00009D890000}"/>
    <cellStyle name="Normal 2 2 3 3 4 10 2 2" xfId="35231" xr:uid="{00000000-0005-0000-0000-00009E890000}"/>
    <cellStyle name="Normal 2 2 3 3 4 10 3" xfId="35232" xr:uid="{00000000-0005-0000-0000-00009F890000}"/>
    <cellStyle name="Normal 2 2 3 3 4 11" xfId="35233" xr:uid="{00000000-0005-0000-0000-0000A0890000}"/>
    <cellStyle name="Normal 2 2 3 3 4 11 2" xfId="35234" xr:uid="{00000000-0005-0000-0000-0000A1890000}"/>
    <cellStyle name="Normal 2 2 3 3 4 11 2 2" xfId="35235" xr:uid="{00000000-0005-0000-0000-0000A2890000}"/>
    <cellStyle name="Normal 2 2 3 3 4 11 3" xfId="35236" xr:uid="{00000000-0005-0000-0000-0000A3890000}"/>
    <cellStyle name="Normal 2 2 3 3 4 12" xfId="35237" xr:uid="{00000000-0005-0000-0000-0000A4890000}"/>
    <cellStyle name="Normal 2 2 3 3 4 12 2" xfId="35238" xr:uid="{00000000-0005-0000-0000-0000A5890000}"/>
    <cellStyle name="Normal 2 2 3 3 4 12 2 2" xfId="35239" xr:uid="{00000000-0005-0000-0000-0000A6890000}"/>
    <cellStyle name="Normal 2 2 3 3 4 12 3" xfId="35240" xr:uid="{00000000-0005-0000-0000-0000A7890000}"/>
    <cellStyle name="Normal 2 2 3 3 4 13" xfId="35241" xr:uid="{00000000-0005-0000-0000-0000A8890000}"/>
    <cellStyle name="Normal 2 2 3 3 4 13 2" xfId="35242" xr:uid="{00000000-0005-0000-0000-0000A9890000}"/>
    <cellStyle name="Normal 2 2 3 3 4 14" xfId="35243" xr:uid="{00000000-0005-0000-0000-0000AA890000}"/>
    <cellStyle name="Normal 2 2 3 3 4 2" xfId="35244" xr:uid="{00000000-0005-0000-0000-0000AB890000}"/>
    <cellStyle name="Normal 2 2 3 3 4 2 2" xfId="35245" xr:uid="{00000000-0005-0000-0000-0000AC890000}"/>
    <cellStyle name="Normal 2 2 3 3 4 2 2 2" xfId="35246" xr:uid="{00000000-0005-0000-0000-0000AD890000}"/>
    <cellStyle name="Normal 2 2 3 3 4 2 2 2 2" xfId="35247" xr:uid="{00000000-0005-0000-0000-0000AE890000}"/>
    <cellStyle name="Normal 2 2 3 3 4 2 2 2 2 2" xfId="35248" xr:uid="{00000000-0005-0000-0000-0000AF890000}"/>
    <cellStyle name="Normal 2 2 3 3 4 2 2 2 3" xfId="35249" xr:uid="{00000000-0005-0000-0000-0000B0890000}"/>
    <cellStyle name="Normal 2 2 3 3 4 2 2 3" xfId="35250" xr:uid="{00000000-0005-0000-0000-0000B1890000}"/>
    <cellStyle name="Normal 2 2 3 3 4 2 2 3 2" xfId="35251" xr:uid="{00000000-0005-0000-0000-0000B2890000}"/>
    <cellStyle name="Normal 2 2 3 3 4 2 2 4" xfId="35252" xr:uid="{00000000-0005-0000-0000-0000B3890000}"/>
    <cellStyle name="Normal 2 2 3 3 4 2 3" xfId="35253" xr:uid="{00000000-0005-0000-0000-0000B4890000}"/>
    <cellStyle name="Normal 2 2 3 3 4 2 3 2" xfId="35254" xr:uid="{00000000-0005-0000-0000-0000B5890000}"/>
    <cellStyle name="Normal 2 2 3 3 4 2 3 2 2" xfId="35255" xr:uid="{00000000-0005-0000-0000-0000B6890000}"/>
    <cellStyle name="Normal 2 2 3 3 4 2 3 3" xfId="35256" xr:uid="{00000000-0005-0000-0000-0000B7890000}"/>
    <cellStyle name="Normal 2 2 3 3 4 2 4" xfId="35257" xr:uid="{00000000-0005-0000-0000-0000B8890000}"/>
    <cellStyle name="Normal 2 2 3 3 4 2 4 2" xfId="35258" xr:uid="{00000000-0005-0000-0000-0000B9890000}"/>
    <cellStyle name="Normal 2 2 3 3 4 2 4 2 2" xfId="35259" xr:uid="{00000000-0005-0000-0000-0000BA890000}"/>
    <cellStyle name="Normal 2 2 3 3 4 2 4 3" xfId="35260" xr:uid="{00000000-0005-0000-0000-0000BB890000}"/>
    <cellStyle name="Normal 2 2 3 3 4 2 5" xfId="35261" xr:uid="{00000000-0005-0000-0000-0000BC890000}"/>
    <cellStyle name="Normal 2 2 3 3 4 2 5 2" xfId="35262" xr:uid="{00000000-0005-0000-0000-0000BD890000}"/>
    <cellStyle name="Normal 2 2 3 3 4 2 5 2 2" xfId="35263" xr:uid="{00000000-0005-0000-0000-0000BE890000}"/>
    <cellStyle name="Normal 2 2 3 3 4 2 5 3" xfId="35264" xr:uid="{00000000-0005-0000-0000-0000BF890000}"/>
    <cellStyle name="Normal 2 2 3 3 4 2 6" xfId="35265" xr:uid="{00000000-0005-0000-0000-0000C0890000}"/>
    <cellStyle name="Normal 2 2 3 3 4 2 6 2" xfId="35266" xr:uid="{00000000-0005-0000-0000-0000C1890000}"/>
    <cellStyle name="Normal 2 2 3 3 4 2 6 2 2" xfId="35267" xr:uid="{00000000-0005-0000-0000-0000C2890000}"/>
    <cellStyle name="Normal 2 2 3 3 4 2 6 3" xfId="35268" xr:uid="{00000000-0005-0000-0000-0000C3890000}"/>
    <cellStyle name="Normal 2 2 3 3 4 2 7" xfId="35269" xr:uid="{00000000-0005-0000-0000-0000C4890000}"/>
    <cellStyle name="Normal 2 2 3 3 4 2 7 2" xfId="35270" xr:uid="{00000000-0005-0000-0000-0000C5890000}"/>
    <cellStyle name="Normal 2 2 3 3 4 2 8" xfId="35271" xr:uid="{00000000-0005-0000-0000-0000C6890000}"/>
    <cellStyle name="Normal 2 2 3 3 4 3" xfId="35272" xr:uid="{00000000-0005-0000-0000-0000C7890000}"/>
    <cellStyle name="Normal 2 2 3 3 4 3 2" xfId="35273" xr:uid="{00000000-0005-0000-0000-0000C8890000}"/>
    <cellStyle name="Normal 2 2 3 3 4 3 2 2" xfId="35274" xr:uid="{00000000-0005-0000-0000-0000C9890000}"/>
    <cellStyle name="Normal 2 2 3 3 4 3 2 2 2" xfId="35275" xr:uid="{00000000-0005-0000-0000-0000CA890000}"/>
    <cellStyle name="Normal 2 2 3 3 4 3 2 2 2 2" xfId="35276" xr:uid="{00000000-0005-0000-0000-0000CB890000}"/>
    <cellStyle name="Normal 2 2 3 3 4 3 2 2 3" xfId="35277" xr:uid="{00000000-0005-0000-0000-0000CC890000}"/>
    <cellStyle name="Normal 2 2 3 3 4 3 2 3" xfId="35278" xr:uid="{00000000-0005-0000-0000-0000CD890000}"/>
    <cellStyle name="Normal 2 2 3 3 4 3 2 3 2" xfId="35279" xr:uid="{00000000-0005-0000-0000-0000CE890000}"/>
    <cellStyle name="Normal 2 2 3 3 4 3 2 4" xfId="35280" xr:uid="{00000000-0005-0000-0000-0000CF890000}"/>
    <cellStyle name="Normal 2 2 3 3 4 3 3" xfId="35281" xr:uid="{00000000-0005-0000-0000-0000D0890000}"/>
    <cellStyle name="Normal 2 2 3 3 4 3 3 2" xfId="35282" xr:uid="{00000000-0005-0000-0000-0000D1890000}"/>
    <cellStyle name="Normal 2 2 3 3 4 3 3 2 2" xfId="35283" xr:uid="{00000000-0005-0000-0000-0000D2890000}"/>
    <cellStyle name="Normal 2 2 3 3 4 3 3 3" xfId="35284" xr:uid="{00000000-0005-0000-0000-0000D3890000}"/>
    <cellStyle name="Normal 2 2 3 3 4 3 4" xfId="35285" xr:uid="{00000000-0005-0000-0000-0000D4890000}"/>
    <cellStyle name="Normal 2 2 3 3 4 3 4 2" xfId="35286" xr:uid="{00000000-0005-0000-0000-0000D5890000}"/>
    <cellStyle name="Normal 2 2 3 3 4 3 4 2 2" xfId="35287" xr:uid="{00000000-0005-0000-0000-0000D6890000}"/>
    <cellStyle name="Normal 2 2 3 3 4 3 4 3" xfId="35288" xr:uid="{00000000-0005-0000-0000-0000D7890000}"/>
    <cellStyle name="Normal 2 2 3 3 4 3 5" xfId="35289" xr:uid="{00000000-0005-0000-0000-0000D8890000}"/>
    <cellStyle name="Normal 2 2 3 3 4 3 5 2" xfId="35290" xr:uid="{00000000-0005-0000-0000-0000D9890000}"/>
    <cellStyle name="Normal 2 2 3 3 4 3 5 2 2" xfId="35291" xr:uid="{00000000-0005-0000-0000-0000DA890000}"/>
    <cellStyle name="Normal 2 2 3 3 4 3 5 3" xfId="35292" xr:uid="{00000000-0005-0000-0000-0000DB890000}"/>
    <cellStyle name="Normal 2 2 3 3 4 3 6" xfId="35293" xr:uid="{00000000-0005-0000-0000-0000DC890000}"/>
    <cellStyle name="Normal 2 2 3 3 4 3 6 2" xfId="35294" xr:uid="{00000000-0005-0000-0000-0000DD890000}"/>
    <cellStyle name="Normal 2 2 3 3 4 3 6 2 2" xfId="35295" xr:uid="{00000000-0005-0000-0000-0000DE890000}"/>
    <cellStyle name="Normal 2 2 3 3 4 3 6 3" xfId="35296" xr:uid="{00000000-0005-0000-0000-0000DF890000}"/>
    <cellStyle name="Normal 2 2 3 3 4 3 7" xfId="35297" xr:uid="{00000000-0005-0000-0000-0000E0890000}"/>
    <cellStyle name="Normal 2 2 3 3 4 3 7 2" xfId="35298" xr:uid="{00000000-0005-0000-0000-0000E1890000}"/>
    <cellStyle name="Normal 2 2 3 3 4 3 8" xfId="35299" xr:uid="{00000000-0005-0000-0000-0000E2890000}"/>
    <cellStyle name="Normal 2 2 3 3 4 4" xfId="35300" xr:uid="{00000000-0005-0000-0000-0000E3890000}"/>
    <cellStyle name="Normal 2 2 3 3 4 4 2" xfId="35301" xr:uid="{00000000-0005-0000-0000-0000E4890000}"/>
    <cellStyle name="Normal 2 2 3 3 4 4 2 2" xfId="35302" xr:uid="{00000000-0005-0000-0000-0000E5890000}"/>
    <cellStyle name="Normal 2 2 3 3 4 4 2 2 2" xfId="35303" xr:uid="{00000000-0005-0000-0000-0000E6890000}"/>
    <cellStyle name="Normal 2 2 3 3 4 4 2 2 2 2" xfId="35304" xr:uid="{00000000-0005-0000-0000-0000E7890000}"/>
    <cellStyle name="Normal 2 2 3 3 4 4 2 2 3" xfId="35305" xr:uid="{00000000-0005-0000-0000-0000E8890000}"/>
    <cellStyle name="Normal 2 2 3 3 4 4 2 3" xfId="35306" xr:uid="{00000000-0005-0000-0000-0000E9890000}"/>
    <cellStyle name="Normal 2 2 3 3 4 4 2 3 2" xfId="35307" xr:uid="{00000000-0005-0000-0000-0000EA890000}"/>
    <cellStyle name="Normal 2 2 3 3 4 4 2 4" xfId="35308" xr:uid="{00000000-0005-0000-0000-0000EB890000}"/>
    <cellStyle name="Normal 2 2 3 3 4 4 3" xfId="35309" xr:uid="{00000000-0005-0000-0000-0000EC890000}"/>
    <cellStyle name="Normal 2 2 3 3 4 4 3 2" xfId="35310" xr:uid="{00000000-0005-0000-0000-0000ED890000}"/>
    <cellStyle name="Normal 2 2 3 3 4 4 3 2 2" xfId="35311" xr:uid="{00000000-0005-0000-0000-0000EE890000}"/>
    <cellStyle name="Normal 2 2 3 3 4 4 3 3" xfId="35312" xr:uid="{00000000-0005-0000-0000-0000EF890000}"/>
    <cellStyle name="Normal 2 2 3 3 4 4 4" xfId="35313" xr:uid="{00000000-0005-0000-0000-0000F0890000}"/>
    <cellStyle name="Normal 2 2 3 3 4 4 4 2" xfId="35314" xr:uid="{00000000-0005-0000-0000-0000F1890000}"/>
    <cellStyle name="Normal 2 2 3 3 4 4 4 2 2" xfId="35315" xr:uid="{00000000-0005-0000-0000-0000F2890000}"/>
    <cellStyle name="Normal 2 2 3 3 4 4 4 3" xfId="35316" xr:uid="{00000000-0005-0000-0000-0000F3890000}"/>
    <cellStyle name="Normal 2 2 3 3 4 4 5" xfId="35317" xr:uid="{00000000-0005-0000-0000-0000F4890000}"/>
    <cellStyle name="Normal 2 2 3 3 4 4 5 2" xfId="35318" xr:uid="{00000000-0005-0000-0000-0000F5890000}"/>
    <cellStyle name="Normal 2 2 3 3 4 4 5 2 2" xfId="35319" xr:uid="{00000000-0005-0000-0000-0000F6890000}"/>
    <cellStyle name="Normal 2 2 3 3 4 4 5 3" xfId="35320" xr:uid="{00000000-0005-0000-0000-0000F7890000}"/>
    <cellStyle name="Normal 2 2 3 3 4 4 6" xfId="35321" xr:uid="{00000000-0005-0000-0000-0000F8890000}"/>
    <cellStyle name="Normal 2 2 3 3 4 4 6 2" xfId="35322" xr:uid="{00000000-0005-0000-0000-0000F9890000}"/>
    <cellStyle name="Normal 2 2 3 3 4 4 6 2 2" xfId="35323" xr:uid="{00000000-0005-0000-0000-0000FA890000}"/>
    <cellStyle name="Normal 2 2 3 3 4 4 6 3" xfId="35324" xr:uid="{00000000-0005-0000-0000-0000FB890000}"/>
    <cellStyle name="Normal 2 2 3 3 4 4 7" xfId="35325" xr:uid="{00000000-0005-0000-0000-0000FC890000}"/>
    <cellStyle name="Normal 2 2 3 3 4 4 7 2" xfId="35326" xr:uid="{00000000-0005-0000-0000-0000FD890000}"/>
    <cellStyle name="Normal 2 2 3 3 4 4 8" xfId="35327" xr:uid="{00000000-0005-0000-0000-0000FE890000}"/>
    <cellStyle name="Normal 2 2 3 3 4 5" xfId="35328" xr:uid="{00000000-0005-0000-0000-0000FF890000}"/>
    <cellStyle name="Normal 2 2 3 3 4 5 2" xfId="35329" xr:uid="{00000000-0005-0000-0000-0000008A0000}"/>
    <cellStyle name="Normal 2 2 3 3 4 5 2 2" xfId="35330" xr:uid="{00000000-0005-0000-0000-0000018A0000}"/>
    <cellStyle name="Normal 2 2 3 3 4 5 2 2 2" xfId="35331" xr:uid="{00000000-0005-0000-0000-0000028A0000}"/>
    <cellStyle name="Normal 2 2 3 3 4 5 2 2 2 2" xfId="35332" xr:uid="{00000000-0005-0000-0000-0000038A0000}"/>
    <cellStyle name="Normal 2 2 3 3 4 5 2 2 3" xfId="35333" xr:uid="{00000000-0005-0000-0000-0000048A0000}"/>
    <cellStyle name="Normal 2 2 3 3 4 5 2 3" xfId="35334" xr:uid="{00000000-0005-0000-0000-0000058A0000}"/>
    <cellStyle name="Normal 2 2 3 3 4 5 2 3 2" xfId="35335" xr:uid="{00000000-0005-0000-0000-0000068A0000}"/>
    <cellStyle name="Normal 2 2 3 3 4 5 2 4" xfId="35336" xr:uid="{00000000-0005-0000-0000-0000078A0000}"/>
    <cellStyle name="Normal 2 2 3 3 4 5 3" xfId="35337" xr:uid="{00000000-0005-0000-0000-0000088A0000}"/>
    <cellStyle name="Normal 2 2 3 3 4 5 3 2" xfId="35338" xr:uid="{00000000-0005-0000-0000-0000098A0000}"/>
    <cellStyle name="Normal 2 2 3 3 4 5 3 2 2" xfId="35339" xr:uid="{00000000-0005-0000-0000-00000A8A0000}"/>
    <cellStyle name="Normal 2 2 3 3 4 5 3 3" xfId="35340" xr:uid="{00000000-0005-0000-0000-00000B8A0000}"/>
    <cellStyle name="Normal 2 2 3 3 4 5 4" xfId="35341" xr:uid="{00000000-0005-0000-0000-00000C8A0000}"/>
    <cellStyle name="Normal 2 2 3 3 4 5 4 2" xfId="35342" xr:uid="{00000000-0005-0000-0000-00000D8A0000}"/>
    <cellStyle name="Normal 2 2 3 3 4 5 5" xfId="35343" xr:uid="{00000000-0005-0000-0000-00000E8A0000}"/>
    <cellStyle name="Normal 2 2 3 3 4 6" xfId="35344" xr:uid="{00000000-0005-0000-0000-00000F8A0000}"/>
    <cellStyle name="Normal 2 2 3 3 4 6 2" xfId="35345" xr:uid="{00000000-0005-0000-0000-0000108A0000}"/>
    <cellStyle name="Normal 2 2 3 3 4 6 2 2" xfId="35346" xr:uid="{00000000-0005-0000-0000-0000118A0000}"/>
    <cellStyle name="Normal 2 2 3 3 4 6 2 2 2" xfId="35347" xr:uid="{00000000-0005-0000-0000-0000128A0000}"/>
    <cellStyle name="Normal 2 2 3 3 4 6 2 2 2 2" xfId="35348" xr:uid="{00000000-0005-0000-0000-0000138A0000}"/>
    <cellStyle name="Normal 2 2 3 3 4 6 2 2 3" xfId="35349" xr:uid="{00000000-0005-0000-0000-0000148A0000}"/>
    <cellStyle name="Normal 2 2 3 3 4 6 2 3" xfId="35350" xr:uid="{00000000-0005-0000-0000-0000158A0000}"/>
    <cellStyle name="Normal 2 2 3 3 4 6 2 3 2" xfId="35351" xr:uid="{00000000-0005-0000-0000-0000168A0000}"/>
    <cellStyle name="Normal 2 2 3 3 4 6 2 4" xfId="35352" xr:uid="{00000000-0005-0000-0000-0000178A0000}"/>
    <cellStyle name="Normal 2 2 3 3 4 6 3" xfId="35353" xr:uid="{00000000-0005-0000-0000-0000188A0000}"/>
    <cellStyle name="Normal 2 2 3 3 4 6 3 2" xfId="35354" xr:uid="{00000000-0005-0000-0000-0000198A0000}"/>
    <cellStyle name="Normal 2 2 3 3 4 6 3 2 2" xfId="35355" xr:uid="{00000000-0005-0000-0000-00001A8A0000}"/>
    <cellStyle name="Normal 2 2 3 3 4 6 3 3" xfId="35356" xr:uid="{00000000-0005-0000-0000-00001B8A0000}"/>
    <cellStyle name="Normal 2 2 3 3 4 6 4" xfId="35357" xr:uid="{00000000-0005-0000-0000-00001C8A0000}"/>
    <cellStyle name="Normal 2 2 3 3 4 6 4 2" xfId="35358" xr:uid="{00000000-0005-0000-0000-00001D8A0000}"/>
    <cellStyle name="Normal 2 2 3 3 4 6 5" xfId="35359" xr:uid="{00000000-0005-0000-0000-00001E8A0000}"/>
    <cellStyle name="Normal 2 2 3 3 4 7" xfId="35360" xr:uid="{00000000-0005-0000-0000-00001F8A0000}"/>
    <cellStyle name="Normal 2 2 3 3 4 7 2" xfId="35361" xr:uid="{00000000-0005-0000-0000-0000208A0000}"/>
    <cellStyle name="Normal 2 2 3 3 4 7 2 2" xfId="35362" xr:uid="{00000000-0005-0000-0000-0000218A0000}"/>
    <cellStyle name="Normal 2 2 3 3 4 7 2 2 2" xfId="35363" xr:uid="{00000000-0005-0000-0000-0000228A0000}"/>
    <cellStyle name="Normal 2 2 3 3 4 7 2 3" xfId="35364" xr:uid="{00000000-0005-0000-0000-0000238A0000}"/>
    <cellStyle name="Normal 2 2 3 3 4 7 3" xfId="35365" xr:uid="{00000000-0005-0000-0000-0000248A0000}"/>
    <cellStyle name="Normal 2 2 3 3 4 7 3 2" xfId="35366" xr:uid="{00000000-0005-0000-0000-0000258A0000}"/>
    <cellStyle name="Normal 2 2 3 3 4 7 4" xfId="35367" xr:uid="{00000000-0005-0000-0000-0000268A0000}"/>
    <cellStyle name="Normal 2 2 3 3 4 8" xfId="35368" xr:uid="{00000000-0005-0000-0000-0000278A0000}"/>
    <cellStyle name="Normal 2 2 3 3 4 8 2" xfId="35369" xr:uid="{00000000-0005-0000-0000-0000288A0000}"/>
    <cellStyle name="Normal 2 2 3 3 4 8 2 2" xfId="35370" xr:uid="{00000000-0005-0000-0000-0000298A0000}"/>
    <cellStyle name="Normal 2 2 3 3 4 8 2 2 2" xfId="35371" xr:uid="{00000000-0005-0000-0000-00002A8A0000}"/>
    <cellStyle name="Normal 2 2 3 3 4 8 2 3" xfId="35372" xr:uid="{00000000-0005-0000-0000-00002B8A0000}"/>
    <cellStyle name="Normal 2 2 3 3 4 8 3" xfId="35373" xr:uid="{00000000-0005-0000-0000-00002C8A0000}"/>
    <cellStyle name="Normal 2 2 3 3 4 8 3 2" xfId="35374" xr:uid="{00000000-0005-0000-0000-00002D8A0000}"/>
    <cellStyle name="Normal 2 2 3 3 4 8 4" xfId="35375" xr:uid="{00000000-0005-0000-0000-00002E8A0000}"/>
    <cellStyle name="Normal 2 2 3 3 4 9" xfId="35376" xr:uid="{00000000-0005-0000-0000-00002F8A0000}"/>
    <cellStyle name="Normal 2 2 3 3 4 9 2" xfId="35377" xr:uid="{00000000-0005-0000-0000-0000308A0000}"/>
    <cellStyle name="Normal 2 2 3 3 4 9 2 2" xfId="35378" xr:uid="{00000000-0005-0000-0000-0000318A0000}"/>
    <cellStyle name="Normal 2 2 3 3 4 9 3" xfId="35379" xr:uid="{00000000-0005-0000-0000-0000328A0000}"/>
    <cellStyle name="Normal 2 2 3 3 5" xfId="35380" xr:uid="{00000000-0005-0000-0000-0000338A0000}"/>
    <cellStyle name="Normal 2 2 3 3 5 10" xfId="35381" xr:uid="{00000000-0005-0000-0000-0000348A0000}"/>
    <cellStyle name="Normal 2 2 3 3 5 10 2" xfId="35382" xr:uid="{00000000-0005-0000-0000-0000358A0000}"/>
    <cellStyle name="Normal 2 2 3 3 5 10 2 2" xfId="35383" xr:uid="{00000000-0005-0000-0000-0000368A0000}"/>
    <cellStyle name="Normal 2 2 3 3 5 10 3" xfId="35384" xr:uid="{00000000-0005-0000-0000-0000378A0000}"/>
    <cellStyle name="Normal 2 2 3 3 5 11" xfId="35385" xr:uid="{00000000-0005-0000-0000-0000388A0000}"/>
    <cellStyle name="Normal 2 2 3 3 5 11 2" xfId="35386" xr:uid="{00000000-0005-0000-0000-0000398A0000}"/>
    <cellStyle name="Normal 2 2 3 3 5 11 2 2" xfId="35387" xr:uid="{00000000-0005-0000-0000-00003A8A0000}"/>
    <cellStyle name="Normal 2 2 3 3 5 11 3" xfId="35388" xr:uid="{00000000-0005-0000-0000-00003B8A0000}"/>
    <cellStyle name="Normal 2 2 3 3 5 12" xfId="35389" xr:uid="{00000000-0005-0000-0000-00003C8A0000}"/>
    <cellStyle name="Normal 2 2 3 3 5 12 2" xfId="35390" xr:uid="{00000000-0005-0000-0000-00003D8A0000}"/>
    <cellStyle name="Normal 2 2 3 3 5 12 2 2" xfId="35391" xr:uid="{00000000-0005-0000-0000-00003E8A0000}"/>
    <cellStyle name="Normal 2 2 3 3 5 12 3" xfId="35392" xr:uid="{00000000-0005-0000-0000-00003F8A0000}"/>
    <cellStyle name="Normal 2 2 3 3 5 13" xfId="35393" xr:uid="{00000000-0005-0000-0000-0000408A0000}"/>
    <cellStyle name="Normal 2 2 3 3 5 13 2" xfId="35394" xr:uid="{00000000-0005-0000-0000-0000418A0000}"/>
    <cellStyle name="Normal 2 2 3 3 5 14" xfId="35395" xr:uid="{00000000-0005-0000-0000-0000428A0000}"/>
    <cellStyle name="Normal 2 2 3 3 5 2" xfId="35396" xr:uid="{00000000-0005-0000-0000-0000438A0000}"/>
    <cellStyle name="Normal 2 2 3 3 5 2 2" xfId="35397" xr:uid="{00000000-0005-0000-0000-0000448A0000}"/>
    <cellStyle name="Normal 2 2 3 3 5 2 2 2" xfId="35398" xr:uid="{00000000-0005-0000-0000-0000458A0000}"/>
    <cellStyle name="Normal 2 2 3 3 5 2 2 2 2" xfId="35399" xr:uid="{00000000-0005-0000-0000-0000468A0000}"/>
    <cellStyle name="Normal 2 2 3 3 5 2 2 2 2 2" xfId="35400" xr:uid="{00000000-0005-0000-0000-0000478A0000}"/>
    <cellStyle name="Normal 2 2 3 3 5 2 2 2 3" xfId="35401" xr:uid="{00000000-0005-0000-0000-0000488A0000}"/>
    <cellStyle name="Normal 2 2 3 3 5 2 2 3" xfId="35402" xr:uid="{00000000-0005-0000-0000-0000498A0000}"/>
    <cellStyle name="Normal 2 2 3 3 5 2 2 3 2" xfId="35403" xr:uid="{00000000-0005-0000-0000-00004A8A0000}"/>
    <cellStyle name="Normal 2 2 3 3 5 2 2 4" xfId="35404" xr:uid="{00000000-0005-0000-0000-00004B8A0000}"/>
    <cellStyle name="Normal 2 2 3 3 5 2 3" xfId="35405" xr:uid="{00000000-0005-0000-0000-00004C8A0000}"/>
    <cellStyle name="Normal 2 2 3 3 5 2 3 2" xfId="35406" xr:uid="{00000000-0005-0000-0000-00004D8A0000}"/>
    <cellStyle name="Normal 2 2 3 3 5 2 3 2 2" xfId="35407" xr:uid="{00000000-0005-0000-0000-00004E8A0000}"/>
    <cellStyle name="Normal 2 2 3 3 5 2 3 3" xfId="35408" xr:uid="{00000000-0005-0000-0000-00004F8A0000}"/>
    <cellStyle name="Normal 2 2 3 3 5 2 4" xfId="35409" xr:uid="{00000000-0005-0000-0000-0000508A0000}"/>
    <cellStyle name="Normal 2 2 3 3 5 2 4 2" xfId="35410" xr:uid="{00000000-0005-0000-0000-0000518A0000}"/>
    <cellStyle name="Normal 2 2 3 3 5 2 4 2 2" xfId="35411" xr:uid="{00000000-0005-0000-0000-0000528A0000}"/>
    <cellStyle name="Normal 2 2 3 3 5 2 4 3" xfId="35412" xr:uid="{00000000-0005-0000-0000-0000538A0000}"/>
    <cellStyle name="Normal 2 2 3 3 5 2 5" xfId="35413" xr:uid="{00000000-0005-0000-0000-0000548A0000}"/>
    <cellStyle name="Normal 2 2 3 3 5 2 5 2" xfId="35414" xr:uid="{00000000-0005-0000-0000-0000558A0000}"/>
    <cellStyle name="Normal 2 2 3 3 5 2 5 2 2" xfId="35415" xr:uid="{00000000-0005-0000-0000-0000568A0000}"/>
    <cellStyle name="Normal 2 2 3 3 5 2 5 3" xfId="35416" xr:uid="{00000000-0005-0000-0000-0000578A0000}"/>
    <cellStyle name="Normal 2 2 3 3 5 2 6" xfId="35417" xr:uid="{00000000-0005-0000-0000-0000588A0000}"/>
    <cellStyle name="Normal 2 2 3 3 5 2 6 2" xfId="35418" xr:uid="{00000000-0005-0000-0000-0000598A0000}"/>
    <cellStyle name="Normal 2 2 3 3 5 2 6 2 2" xfId="35419" xr:uid="{00000000-0005-0000-0000-00005A8A0000}"/>
    <cellStyle name="Normal 2 2 3 3 5 2 6 3" xfId="35420" xr:uid="{00000000-0005-0000-0000-00005B8A0000}"/>
    <cellStyle name="Normal 2 2 3 3 5 2 7" xfId="35421" xr:uid="{00000000-0005-0000-0000-00005C8A0000}"/>
    <cellStyle name="Normal 2 2 3 3 5 2 7 2" xfId="35422" xr:uid="{00000000-0005-0000-0000-00005D8A0000}"/>
    <cellStyle name="Normal 2 2 3 3 5 2 8" xfId="35423" xr:uid="{00000000-0005-0000-0000-00005E8A0000}"/>
    <cellStyle name="Normal 2 2 3 3 5 3" xfId="35424" xr:uid="{00000000-0005-0000-0000-00005F8A0000}"/>
    <cellStyle name="Normal 2 2 3 3 5 3 2" xfId="35425" xr:uid="{00000000-0005-0000-0000-0000608A0000}"/>
    <cellStyle name="Normal 2 2 3 3 5 3 2 2" xfId="35426" xr:uid="{00000000-0005-0000-0000-0000618A0000}"/>
    <cellStyle name="Normal 2 2 3 3 5 3 2 2 2" xfId="35427" xr:uid="{00000000-0005-0000-0000-0000628A0000}"/>
    <cellStyle name="Normal 2 2 3 3 5 3 2 2 2 2" xfId="35428" xr:uid="{00000000-0005-0000-0000-0000638A0000}"/>
    <cellStyle name="Normal 2 2 3 3 5 3 2 2 3" xfId="35429" xr:uid="{00000000-0005-0000-0000-0000648A0000}"/>
    <cellStyle name="Normal 2 2 3 3 5 3 2 3" xfId="35430" xr:uid="{00000000-0005-0000-0000-0000658A0000}"/>
    <cellStyle name="Normal 2 2 3 3 5 3 2 3 2" xfId="35431" xr:uid="{00000000-0005-0000-0000-0000668A0000}"/>
    <cellStyle name="Normal 2 2 3 3 5 3 2 4" xfId="35432" xr:uid="{00000000-0005-0000-0000-0000678A0000}"/>
    <cellStyle name="Normal 2 2 3 3 5 3 3" xfId="35433" xr:uid="{00000000-0005-0000-0000-0000688A0000}"/>
    <cellStyle name="Normal 2 2 3 3 5 3 3 2" xfId="35434" xr:uid="{00000000-0005-0000-0000-0000698A0000}"/>
    <cellStyle name="Normal 2 2 3 3 5 3 3 2 2" xfId="35435" xr:uid="{00000000-0005-0000-0000-00006A8A0000}"/>
    <cellStyle name="Normal 2 2 3 3 5 3 3 3" xfId="35436" xr:uid="{00000000-0005-0000-0000-00006B8A0000}"/>
    <cellStyle name="Normal 2 2 3 3 5 3 4" xfId="35437" xr:uid="{00000000-0005-0000-0000-00006C8A0000}"/>
    <cellStyle name="Normal 2 2 3 3 5 3 4 2" xfId="35438" xr:uid="{00000000-0005-0000-0000-00006D8A0000}"/>
    <cellStyle name="Normal 2 2 3 3 5 3 4 2 2" xfId="35439" xr:uid="{00000000-0005-0000-0000-00006E8A0000}"/>
    <cellStyle name="Normal 2 2 3 3 5 3 4 3" xfId="35440" xr:uid="{00000000-0005-0000-0000-00006F8A0000}"/>
    <cellStyle name="Normal 2 2 3 3 5 3 5" xfId="35441" xr:uid="{00000000-0005-0000-0000-0000708A0000}"/>
    <cellStyle name="Normal 2 2 3 3 5 3 5 2" xfId="35442" xr:uid="{00000000-0005-0000-0000-0000718A0000}"/>
    <cellStyle name="Normal 2 2 3 3 5 3 5 2 2" xfId="35443" xr:uid="{00000000-0005-0000-0000-0000728A0000}"/>
    <cellStyle name="Normal 2 2 3 3 5 3 5 3" xfId="35444" xr:uid="{00000000-0005-0000-0000-0000738A0000}"/>
    <cellStyle name="Normal 2 2 3 3 5 3 6" xfId="35445" xr:uid="{00000000-0005-0000-0000-0000748A0000}"/>
    <cellStyle name="Normal 2 2 3 3 5 3 6 2" xfId="35446" xr:uid="{00000000-0005-0000-0000-0000758A0000}"/>
    <cellStyle name="Normal 2 2 3 3 5 3 6 2 2" xfId="35447" xr:uid="{00000000-0005-0000-0000-0000768A0000}"/>
    <cellStyle name="Normal 2 2 3 3 5 3 6 3" xfId="35448" xr:uid="{00000000-0005-0000-0000-0000778A0000}"/>
    <cellStyle name="Normal 2 2 3 3 5 3 7" xfId="35449" xr:uid="{00000000-0005-0000-0000-0000788A0000}"/>
    <cellStyle name="Normal 2 2 3 3 5 3 7 2" xfId="35450" xr:uid="{00000000-0005-0000-0000-0000798A0000}"/>
    <cellStyle name="Normal 2 2 3 3 5 3 8" xfId="35451" xr:uid="{00000000-0005-0000-0000-00007A8A0000}"/>
    <cellStyle name="Normal 2 2 3 3 5 4" xfId="35452" xr:uid="{00000000-0005-0000-0000-00007B8A0000}"/>
    <cellStyle name="Normal 2 2 3 3 5 4 2" xfId="35453" xr:uid="{00000000-0005-0000-0000-00007C8A0000}"/>
    <cellStyle name="Normal 2 2 3 3 5 4 2 2" xfId="35454" xr:uid="{00000000-0005-0000-0000-00007D8A0000}"/>
    <cellStyle name="Normal 2 2 3 3 5 4 2 2 2" xfId="35455" xr:uid="{00000000-0005-0000-0000-00007E8A0000}"/>
    <cellStyle name="Normal 2 2 3 3 5 4 2 2 2 2" xfId="35456" xr:uid="{00000000-0005-0000-0000-00007F8A0000}"/>
    <cellStyle name="Normal 2 2 3 3 5 4 2 2 3" xfId="35457" xr:uid="{00000000-0005-0000-0000-0000808A0000}"/>
    <cellStyle name="Normal 2 2 3 3 5 4 2 3" xfId="35458" xr:uid="{00000000-0005-0000-0000-0000818A0000}"/>
    <cellStyle name="Normal 2 2 3 3 5 4 2 3 2" xfId="35459" xr:uid="{00000000-0005-0000-0000-0000828A0000}"/>
    <cellStyle name="Normal 2 2 3 3 5 4 2 4" xfId="35460" xr:uid="{00000000-0005-0000-0000-0000838A0000}"/>
    <cellStyle name="Normal 2 2 3 3 5 4 3" xfId="35461" xr:uid="{00000000-0005-0000-0000-0000848A0000}"/>
    <cellStyle name="Normal 2 2 3 3 5 4 3 2" xfId="35462" xr:uid="{00000000-0005-0000-0000-0000858A0000}"/>
    <cellStyle name="Normal 2 2 3 3 5 4 3 2 2" xfId="35463" xr:uid="{00000000-0005-0000-0000-0000868A0000}"/>
    <cellStyle name="Normal 2 2 3 3 5 4 3 3" xfId="35464" xr:uid="{00000000-0005-0000-0000-0000878A0000}"/>
    <cellStyle name="Normal 2 2 3 3 5 4 4" xfId="35465" xr:uid="{00000000-0005-0000-0000-0000888A0000}"/>
    <cellStyle name="Normal 2 2 3 3 5 4 4 2" xfId="35466" xr:uid="{00000000-0005-0000-0000-0000898A0000}"/>
    <cellStyle name="Normal 2 2 3 3 5 4 4 2 2" xfId="35467" xr:uid="{00000000-0005-0000-0000-00008A8A0000}"/>
    <cellStyle name="Normal 2 2 3 3 5 4 4 3" xfId="35468" xr:uid="{00000000-0005-0000-0000-00008B8A0000}"/>
    <cellStyle name="Normal 2 2 3 3 5 4 5" xfId="35469" xr:uid="{00000000-0005-0000-0000-00008C8A0000}"/>
    <cellStyle name="Normal 2 2 3 3 5 4 5 2" xfId="35470" xr:uid="{00000000-0005-0000-0000-00008D8A0000}"/>
    <cellStyle name="Normal 2 2 3 3 5 4 5 2 2" xfId="35471" xr:uid="{00000000-0005-0000-0000-00008E8A0000}"/>
    <cellStyle name="Normal 2 2 3 3 5 4 5 3" xfId="35472" xr:uid="{00000000-0005-0000-0000-00008F8A0000}"/>
    <cellStyle name="Normal 2 2 3 3 5 4 6" xfId="35473" xr:uid="{00000000-0005-0000-0000-0000908A0000}"/>
    <cellStyle name="Normal 2 2 3 3 5 4 6 2" xfId="35474" xr:uid="{00000000-0005-0000-0000-0000918A0000}"/>
    <cellStyle name="Normal 2 2 3 3 5 4 6 2 2" xfId="35475" xr:uid="{00000000-0005-0000-0000-0000928A0000}"/>
    <cellStyle name="Normal 2 2 3 3 5 4 6 3" xfId="35476" xr:uid="{00000000-0005-0000-0000-0000938A0000}"/>
    <cellStyle name="Normal 2 2 3 3 5 4 7" xfId="35477" xr:uid="{00000000-0005-0000-0000-0000948A0000}"/>
    <cellStyle name="Normal 2 2 3 3 5 4 7 2" xfId="35478" xr:uid="{00000000-0005-0000-0000-0000958A0000}"/>
    <cellStyle name="Normal 2 2 3 3 5 4 8" xfId="35479" xr:uid="{00000000-0005-0000-0000-0000968A0000}"/>
    <cellStyle name="Normal 2 2 3 3 5 5" xfId="35480" xr:uid="{00000000-0005-0000-0000-0000978A0000}"/>
    <cellStyle name="Normal 2 2 3 3 5 5 2" xfId="35481" xr:uid="{00000000-0005-0000-0000-0000988A0000}"/>
    <cellStyle name="Normal 2 2 3 3 5 5 2 2" xfId="35482" xr:uid="{00000000-0005-0000-0000-0000998A0000}"/>
    <cellStyle name="Normal 2 2 3 3 5 5 2 2 2" xfId="35483" xr:uid="{00000000-0005-0000-0000-00009A8A0000}"/>
    <cellStyle name="Normal 2 2 3 3 5 5 2 2 2 2" xfId="35484" xr:uid="{00000000-0005-0000-0000-00009B8A0000}"/>
    <cellStyle name="Normal 2 2 3 3 5 5 2 2 3" xfId="35485" xr:uid="{00000000-0005-0000-0000-00009C8A0000}"/>
    <cellStyle name="Normal 2 2 3 3 5 5 2 3" xfId="35486" xr:uid="{00000000-0005-0000-0000-00009D8A0000}"/>
    <cellStyle name="Normal 2 2 3 3 5 5 2 3 2" xfId="35487" xr:uid="{00000000-0005-0000-0000-00009E8A0000}"/>
    <cellStyle name="Normal 2 2 3 3 5 5 2 4" xfId="35488" xr:uid="{00000000-0005-0000-0000-00009F8A0000}"/>
    <cellStyle name="Normal 2 2 3 3 5 5 3" xfId="35489" xr:uid="{00000000-0005-0000-0000-0000A08A0000}"/>
    <cellStyle name="Normal 2 2 3 3 5 5 3 2" xfId="35490" xr:uid="{00000000-0005-0000-0000-0000A18A0000}"/>
    <cellStyle name="Normal 2 2 3 3 5 5 3 2 2" xfId="35491" xr:uid="{00000000-0005-0000-0000-0000A28A0000}"/>
    <cellStyle name="Normal 2 2 3 3 5 5 3 3" xfId="35492" xr:uid="{00000000-0005-0000-0000-0000A38A0000}"/>
    <cellStyle name="Normal 2 2 3 3 5 5 4" xfId="35493" xr:uid="{00000000-0005-0000-0000-0000A48A0000}"/>
    <cellStyle name="Normal 2 2 3 3 5 5 4 2" xfId="35494" xr:uid="{00000000-0005-0000-0000-0000A58A0000}"/>
    <cellStyle name="Normal 2 2 3 3 5 5 5" xfId="35495" xr:uid="{00000000-0005-0000-0000-0000A68A0000}"/>
    <cellStyle name="Normal 2 2 3 3 5 6" xfId="35496" xr:uid="{00000000-0005-0000-0000-0000A78A0000}"/>
    <cellStyle name="Normal 2 2 3 3 5 6 2" xfId="35497" xr:uid="{00000000-0005-0000-0000-0000A88A0000}"/>
    <cellStyle name="Normal 2 2 3 3 5 6 2 2" xfId="35498" xr:uid="{00000000-0005-0000-0000-0000A98A0000}"/>
    <cellStyle name="Normal 2 2 3 3 5 6 2 2 2" xfId="35499" xr:uid="{00000000-0005-0000-0000-0000AA8A0000}"/>
    <cellStyle name="Normal 2 2 3 3 5 6 2 2 2 2" xfId="35500" xr:uid="{00000000-0005-0000-0000-0000AB8A0000}"/>
    <cellStyle name="Normal 2 2 3 3 5 6 2 2 3" xfId="35501" xr:uid="{00000000-0005-0000-0000-0000AC8A0000}"/>
    <cellStyle name="Normal 2 2 3 3 5 6 2 3" xfId="35502" xr:uid="{00000000-0005-0000-0000-0000AD8A0000}"/>
    <cellStyle name="Normal 2 2 3 3 5 6 2 3 2" xfId="35503" xr:uid="{00000000-0005-0000-0000-0000AE8A0000}"/>
    <cellStyle name="Normal 2 2 3 3 5 6 2 4" xfId="35504" xr:uid="{00000000-0005-0000-0000-0000AF8A0000}"/>
    <cellStyle name="Normal 2 2 3 3 5 6 3" xfId="35505" xr:uid="{00000000-0005-0000-0000-0000B08A0000}"/>
    <cellStyle name="Normal 2 2 3 3 5 6 3 2" xfId="35506" xr:uid="{00000000-0005-0000-0000-0000B18A0000}"/>
    <cellStyle name="Normal 2 2 3 3 5 6 3 2 2" xfId="35507" xr:uid="{00000000-0005-0000-0000-0000B28A0000}"/>
    <cellStyle name="Normal 2 2 3 3 5 6 3 3" xfId="35508" xr:uid="{00000000-0005-0000-0000-0000B38A0000}"/>
    <cellStyle name="Normal 2 2 3 3 5 6 4" xfId="35509" xr:uid="{00000000-0005-0000-0000-0000B48A0000}"/>
    <cellStyle name="Normal 2 2 3 3 5 6 4 2" xfId="35510" xr:uid="{00000000-0005-0000-0000-0000B58A0000}"/>
    <cellStyle name="Normal 2 2 3 3 5 6 5" xfId="35511" xr:uid="{00000000-0005-0000-0000-0000B68A0000}"/>
    <cellStyle name="Normal 2 2 3 3 5 7" xfId="35512" xr:uid="{00000000-0005-0000-0000-0000B78A0000}"/>
    <cellStyle name="Normal 2 2 3 3 5 7 2" xfId="35513" xr:uid="{00000000-0005-0000-0000-0000B88A0000}"/>
    <cellStyle name="Normal 2 2 3 3 5 7 2 2" xfId="35514" xr:uid="{00000000-0005-0000-0000-0000B98A0000}"/>
    <cellStyle name="Normal 2 2 3 3 5 7 2 2 2" xfId="35515" xr:uid="{00000000-0005-0000-0000-0000BA8A0000}"/>
    <cellStyle name="Normal 2 2 3 3 5 7 2 3" xfId="35516" xr:uid="{00000000-0005-0000-0000-0000BB8A0000}"/>
    <cellStyle name="Normal 2 2 3 3 5 7 3" xfId="35517" xr:uid="{00000000-0005-0000-0000-0000BC8A0000}"/>
    <cellStyle name="Normal 2 2 3 3 5 7 3 2" xfId="35518" xr:uid="{00000000-0005-0000-0000-0000BD8A0000}"/>
    <cellStyle name="Normal 2 2 3 3 5 7 4" xfId="35519" xr:uid="{00000000-0005-0000-0000-0000BE8A0000}"/>
    <cellStyle name="Normal 2 2 3 3 5 8" xfId="35520" xr:uid="{00000000-0005-0000-0000-0000BF8A0000}"/>
    <cellStyle name="Normal 2 2 3 3 5 8 2" xfId="35521" xr:uid="{00000000-0005-0000-0000-0000C08A0000}"/>
    <cellStyle name="Normal 2 2 3 3 5 8 2 2" xfId="35522" xr:uid="{00000000-0005-0000-0000-0000C18A0000}"/>
    <cellStyle name="Normal 2 2 3 3 5 8 2 2 2" xfId="35523" xr:uid="{00000000-0005-0000-0000-0000C28A0000}"/>
    <cellStyle name="Normal 2 2 3 3 5 8 2 3" xfId="35524" xr:uid="{00000000-0005-0000-0000-0000C38A0000}"/>
    <cellStyle name="Normal 2 2 3 3 5 8 3" xfId="35525" xr:uid="{00000000-0005-0000-0000-0000C48A0000}"/>
    <cellStyle name="Normal 2 2 3 3 5 8 3 2" xfId="35526" xr:uid="{00000000-0005-0000-0000-0000C58A0000}"/>
    <cellStyle name="Normal 2 2 3 3 5 8 4" xfId="35527" xr:uid="{00000000-0005-0000-0000-0000C68A0000}"/>
    <cellStyle name="Normal 2 2 3 3 5 9" xfId="35528" xr:uid="{00000000-0005-0000-0000-0000C78A0000}"/>
    <cellStyle name="Normal 2 2 3 3 5 9 2" xfId="35529" xr:uid="{00000000-0005-0000-0000-0000C88A0000}"/>
    <cellStyle name="Normal 2 2 3 3 5 9 2 2" xfId="35530" xr:uid="{00000000-0005-0000-0000-0000C98A0000}"/>
    <cellStyle name="Normal 2 2 3 3 5 9 3" xfId="35531" xr:uid="{00000000-0005-0000-0000-0000CA8A0000}"/>
    <cellStyle name="Normal 2 2 3 3 6" xfId="35532" xr:uid="{00000000-0005-0000-0000-0000CB8A0000}"/>
    <cellStyle name="Normal 2 2 3 3 6 10" xfId="35533" xr:uid="{00000000-0005-0000-0000-0000CC8A0000}"/>
    <cellStyle name="Normal 2 2 3 3 6 10 2" xfId="35534" xr:uid="{00000000-0005-0000-0000-0000CD8A0000}"/>
    <cellStyle name="Normal 2 2 3 3 6 10 2 2" xfId="35535" xr:uid="{00000000-0005-0000-0000-0000CE8A0000}"/>
    <cellStyle name="Normal 2 2 3 3 6 10 3" xfId="35536" xr:uid="{00000000-0005-0000-0000-0000CF8A0000}"/>
    <cellStyle name="Normal 2 2 3 3 6 11" xfId="35537" xr:uid="{00000000-0005-0000-0000-0000D08A0000}"/>
    <cellStyle name="Normal 2 2 3 3 6 11 2" xfId="35538" xr:uid="{00000000-0005-0000-0000-0000D18A0000}"/>
    <cellStyle name="Normal 2 2 3 3 6 11 2 2" xfId="35539" xr:uid="{00000000-0005-0000-0000-0000D28A0000}"/>
    <cellStyle name="Normal 2 2 3 3 6 11 3" xfId="35540" xr:uid="{00000000-0005-0000-0000-0000D38A0000}"/>
    <cellStyle name="Normal 2 2 3 3 6 12" xfId="35541" xr:uid="{00000000-0005-0000-0000-0000D48A0000}"/>
    <cellStyle name="Normal 2 2 3 3 6 12 2" xfId="35542" xr:uid="{00000000-0005-0000-0000-0000D58A0000}"/>
    <cellStyle name="Normal 2 2 3 3 6 12 2 2" xfId="35543" xr:uid="{00000000-0005-0000-0000-0000D68A0000}"/>
    <cellStyle name="Normal 2 2 3 3 6 12 3" xfId="35544" xr:uid="{00000000-0005-0000-0000-0000D78A0000}"/>
    <cellStyle name="Normal 2 2 3 3 6 13" xfId="35545" xr:uid="{00000000-0005-0000-0000-0000D88A0000}"/>
    <cellStyle name="Normal 2 2 3 3 6 13 2" xfId="35546" xr:uid="{00000000-0005-0000-0000-0000D98A0000}"/>
    <cellStyle name="Normal 2 2 3 3 6 14" xfId="35547" xr:uid="{00000000-0005-0000-0000-0000DA8A0000}"/>
    <cellStyle name="Normal 2 2 3 3 6 2" xfId="35548" xr:uid="{00000000-0005-0000-0000-0000DB8A0000}"/>
    <cellStyle name="Normal 2 2 3 3 6 2 2" xfId="35549" xr:uid="{00000000-0005-0000-0000-0000DC8A0000}"/>
    <cellStyle name="Normal 2 2 3 3 6 2 2 2" xfId="35550" xr:uid="{00000000-0005-0000-0000-0000DD8A0000}"/>
    <cellStyle name="Normal 2 2 3 3 6 2 2 2 2" xfId="35551" xr:uid="{00000000-0005-0000-0000-0000DE8A0000}"/>
    <cellStyle name="Normal 2 2 3 3 6 2 2 2 2 2" xfId="35552" xr:uid="{00000000-0005-0000-0000-0000DF8A0000}"/>
    <cellStyle name="Normal 2 2 3 3 6 2 2 2 3" xfId="35553" xr:uid="{00000000-0005-0000-0000-0000E08A0000}"/>
    <cellStyle name="Normal 2 2 3 3 6 2 2 3" xfId="35554" xr:uid="{00000000-0005-0000-0000-0000E18A0000}"/>
    <cellStyle name="Normal 2 2 3 3 6 2 2 3 2" xfId="35555" xr:uid="{00000000-0005-0000-0000-0000E28A0000}"/>
    <cellStyle name="Normal 2 2 3 3 6 2 2 4" xfId="35556" xr:uid="{00000000-0005-0000-0000-0000E38A0000}"/>
    <cellStyle name="Normal 2 2 3 3 6 2 3" xfId="35557" xr:uid="{00000000-0005-0000-0000-0000E48A0000}"/>
    <cellStyle name="Normal 2 2 3 3 6 2 3 2" xfId="35558" xr:uid="{00000000-0005-0000-0000-0000E58A0000}"/>
    <cellStyle name="Normal 2 2 3 3 6 2 3 2 2" xfId="35559" xr:uid="{00000000-0005-0000-0000-0000E68A0000}"/>
    <cellStyle name="Normal 2 2 3 3 6 2 3 3" xfId="35560" xr:uid="{00000000-0005-0000-0000-0000E78A0000}"/>
    <cellStyle name="Normal 2 2 3 3 6 2 4" xfId="35561" xr:uid="{00000000-0005-0000-0000-0000E88A0000}"/>
    <cellStyle name="Normal 2 2 3 3 6 2 4 2" xfId="35562" xr:uid="{00000000-0005-0000-0000-0000E98A0000}"/>
    <cellStyle name="Normal 2 2 3 3 6 2 4 2 2" xfId="35563" xr:uid="{00000000-0005-0000-0000-0000EA8A0000}"/>
    <cellStyle name="Normal 2 2 3 3 6 2 4 3" xfId="35564" xr:uid="{00000000-0005-0000-0000-0000EB8A0000}"/>
    <cellStyle name="Normal 2 2 3 3 6 2 5" xfId="35565" xr:uid="{00000000-0005-0000-0000-0000EC8A0000}"/>
    <cellStyle name="Normal 2 2 3 3 6 2 5 2" xfId="35566" xr:uid="{00000000-0005-0000-0000-0000ED8A0000}"/>
    <cellStyle name="Normal 2 2 3 3 6 2 5 2 2" xfId="35567" xr:uid="{00000000-0005-0000-0000-0000EE8A0000}"/>
    <cellStyle name="Normal 2 2 3 3 6 2 5 3" xfId="35568" xr:uid="{00000000-0005-0000-0000-0000EF8A0000}"/>
    <cellStyle name="Normal 2 2 3 3 6 2 6" xfId="35569" xr:uid="{00000000-0005-0000-0000-0000F08A0000}"/>
    <cellStyle name="Normal 2 2 3 3 6 2 6 2" xfId="35570" xr:uid="{00000000-0005-0000-0000-0000F18A0000}"/>
    <cellStyle name="Normal 2 2 3 3 6 2 6 2 2" xfId="35571" xr:uid="{00000000-0005-0000-0000-0000F28A0000}"/>
    <cellStyle name="Normal 2 2 3 3 6 2 6 3" xfId="35572" xr:uid="{00000000-0005-0000-0000-0000F38A0000}"/>
    <cellStyle name="Normal 2 2 3 3 6 2 7" xfId="35573" xr:uid="{00000000-0005-0000-0000-0000F48A0000}"/>
    <cellStyle name="Normal 2 2 3 3 6 2 7 2" xfId="35574" xr:uid="{00000000-0005-0000-0000-0000F58A0000}"/>
    <cellStyle name="Normal 2 2 3 3 6 2 8" xfId="35575" xr:uid="{00000000-0005-0000-0000-0000F68A0000}"/>
    <cellStyle name="Normal 2 2 3 3 6 3" xfId="35576" xr:uid="{00000000-0005-0000-0000-0000F78A0000}"/>
    <cellStyle name="Normal 2 2 3 3 6 3 2" xfId="35577" xr:uid="{00000000-0005-0000-0000-0000F88A0000}"/>
    <cellStyle name="Normal 2 2 3 3 6 3 2 2" xfId="35578" xr:uid="{00000000-0005-0000-0000-0000F98A0000}"/>
    <cellStyle name="Normal 2 2 3 3 6 3 2 2 2" xfId="35579" xr:uid="{00000000-0005-0000-0000-0000FA8A0000}"/>
    <cellStyle name="Normal 2 2 3 3 6 3 2 2 2 2" xfId="35580" xr:uid="{00000000-0005-0000-0000-0000FB8A0000}"/>
    <cellStyle name="Normal 2 2 3 3 6 3 2 2 3" xfId="35581" xr:uid="{00000000-0005-0000-0000-0000FC8A0000}"/>
    <cellStyle name="Normal 2 2 3 3 6 3 2 3" xfId="35582" xr:uid="{00000000-0005-0000-0000-0000FD8A0000}"/>
    <cellStyle name="Normal 2 2 3 3 6 3 2 3 2" xfId="35583" xr:uid="{00000000-0005-0000-0000-0000FE8A0000}"/>
    <cellStyle name="Normal 2 2 3 3 6 3 2 4" xfId="35584" xr:uid="{00000000-0005-0000-0000-0000FF8A0000}"/>
    <cellStyle name="Normal 2 2 3 3 6 3 3" xfId="35585" xr:uid="{00000000-0005-0000-0000-0000008B0000}"/>
    <cellStyle name="Normal 2 2 3 3 6 3 3 2" xfId="35586" xr:uid="{00000000-0005-0000-0000-0000018B0000}"/>
    <cellStyle name="Normal 2 2 3 3 6 3 3 2 2" xfId="35587" xr:uid="{00000000-0005-0000-0000-0000028B0000}"/>
    <cellStyle name="Normal 2 2 3 3 6 3 3 3" xfId="35588" xr:uid="{00000000-0005-0000-0000-0000038B0000}"/>
    <cellStyle name="Normal 2 2 3 3 6 3 4" xfId="35589" xr:uid="{00000000-0005-0000-0000-0000048B0000}"/>
    <cellStyle name="Normal 2 2 3 3 6 3 4 2" xfId="35590" xr:uid="{00000000-0005-0000-0000-0000058B0000}"/>
    <cellStyle name="Normal 2 2 3 3 6 3 4 2 2" xfId="35591" xr:uid="{00000000-0005-0000-0000-0000068B0000}"/>
    <cellStyle name="Normal 2 2 3 3 6 3 4 3" xfId="35592" xr:uid="{00000000-0005-0000-0000-0000078B0000}"/>
    <cellStyle name="Normal 2 2 3 3 6 3 5" xfId="35593" xr:uid="{00000000-0005-0000-0000-0000088B0000}"/>
    <cellStyle name="Normal 2 2 3 3 6 3 5 2" xfId="35594" xr:uid="{00000000-0005-0000-0000-0000098B0000}"/>
    <cellStyle name="Normal 2 2 3 3 6 3 5 2 2" xfId="35595" xr:uid="{00000000-0005-0000-0000-00000A8B0000}"/>
    <cellStyle name="Normal 2 2 3 3 6 3 5 3" xfId="35596" xr:uid="{00000000-0005-0000-0000-00000B8B0000}"/>
    <cellStyle name="Normal 2 2 3 3 6 3 6" xfId="35597" xr:uid="{00000000-0005-0000-0000-00000C8B0000}"/>
    <cellStyle name="Normal 2 2 3 3 6 3 6 2" xfId="35598" xr:uid="{00000000-0005-0000-0000-00000D8B0000}"/>
    <cellStyle name="Normal 2 2 3 3 6 3 6 2 2" xfId="35599" xr:uid="{00000000-0005-0000-0000-00000E8B0000}"/>
    <cellStyle name="Normal 2 2 3 3 6 3 6 3" xfId="35600" xr:uid="{00000000-0005-0000-0000-00000F8B0000}"/>
    <cellStyle name="Normal 2 2 3 3 6 3 7" xfId="35601" xr:uid="{00000000-0005-0000-0000-0000108B0000}"/>
    <cellStyle name="Normal 2 2 3 3 6 3 7 2" xfId="35602" xr:uid="{00000000-0005-0000-0000-0000118B0000}"/>
    <cellStyle name="Normal 2 2 3 3 6 3 8" xfId="35603" xr:uid="{00000000-0005-0000-0000-0000128B0000}"/>
    <cellStyle name="Normal 2 2 3 3 6 4" xfId="35604" xr:uid="{00000000-0005-0000-0000-0000138B0000}"/>
    <cellStyle name="Normal 2 2 3 3 6 4 2" xfId="35605" xr:uid="{00000000-0005-0000-0000-0000148B0000}"/>
    <cellStyle name="Normal 2 2 3 3 6 4 2 2" xfId="35606" xr:uid="{00000000-0005-0000-0000-0000158B0000}"/>
    <cellStyle name="Normal 2 2 3 3 6 4 2 2 2" xfId="35607" xr:uid="{00000000-0005-0000-0000-0000168B0000}"/>
    <cellStyle name="Normal 2 2 3 3 6 4 2 2 2 2" xfId="35608" xr:uid="{00000000-0005-0000-0000-0000178B0000}"/>
    <cellStyle name="Normal 2 2 3 3 6 4 2 2 3" xfId="35609" xr:uid="{00000000-0005-0000-0000-0000188B0000}"/>
    <cellStyle name="Normal 2 2 3 3 6 4 2 3" xfId="35610" xr:uid="{00000000-0005-0000-0000-0000198B0000}"/>
    <cellStyle name="Normal 2 2 3 3 6 4 2 3 2" xfId="35611" xr:uid="{00000000-0005-0000-0000-00001A8B0000}"/>
    <cellStyle name="Normal 2 2 3 3 6 4 2 4" xfId="35612" xr:uid="{00000000-0005-0000-0000-00001B8B0000}"/>
    <cellStyle name="Normal 2 2 3 3 6 4 3" xfId="35613" xr:uid="{00000000-0005-0000-0000-00001C8B0000}"/>
    <cellStyle name="Normal 2 2 3 3 6 4 3 2" xfId="35614" xr:uid="{00000000-0005-0000-0000-00001D8B0000}"/>
    <cellStyle name="Normal 2 2 3 3 6 4 3 2 2" xfId="35615" xr:uid="{00000000-0005-0000-0000-00001E8B0000}"/>
    <cellStyle name="Normal 2 2 3 3 6 4 3 3" xfId="35616" xr:uid="{00000000-0005-0000-0000-00001F8B0000}"/>
    <cellStyle name="Normal 2 2 3 3 6 4 4" xfId="35617" xr:uid="{00000000-0005-0000-0000-0000208B0000}"/>
    <cellStyle name="Normal 2 2 3 3 6 4 4 2" xfId="35618" xr:uid="{00000000-0005-0000-0000-0000218B0000}"/>
    <cellStyle name="Normal 2 2 3 3 6 4 4 2 2" xfId="35619" xr:uid="{00000000-0005-0000-0000-0000228B0000}"/>
    <cellStyle name="Normal 2 2 3 3 6 4 4 3" xfId="35620" xr:uid="{00000000-0005-0000-0000-0000238B0000}"/>
    <cellStyle name="Normal 2 2 3 3 6 4 5" xfId="35621" xr:uid="{00000000-0005-0000-0000-0000248B0000}"/>
    <cellStyle name="Normal 2 2 3 3 6 4 5 2" xfId="35622" xr:uid="{00000000-0005-0000-0000-0000258B0000}"/>
    <cellStyle name="Normal 2 2 3 3 6 4 5 2 2" xfId="35623" xr:uid="{00000000-0005-0000-0000-0000268B0000}"/>
    <cellStyle name="Normal 2 2 3 3 6 4 5 3" xfId="35624" xr:uid="{00000000-0005-0000-0000-0000278B0000}"/>
    <cellStyle name="Normal 2 2 3 3 6 4 6" xfId="35625" xr:uid="{00000000-0005-0000-0000-0000288B0000}"/>
    <cellStyle name="Normal 2 2 3 3 6 4 6 2" xfId="35626" xr:uid="{00000000-0005-0000-0000-0000298B0000}"/>
    <cellStyle name="Normal 2 2 3 3 6 4 6 2 2" xfId="35627" xr:uid="{00000000-0005-0000-0000-00002A8B0000}"/>
    <cellStyle name="Normal 2 2 3 3 6 4 6 3" xfId="35628" xr:uid="{00000000-0005-0000-0000-00002B8B0000}"/>
    <cellStyle name="Normal 2 2 3 3 6 4 7" xfId="35629" xr:uid="{00000000-0005-0000-0000-00002C8B0000}"/>
    <cellStyle name="Normal 2 2 3 3 6 4 7 2" xfId="35630" xr:uid="{00000000-0005-0000-0000-00002D8B0000}"/>
    <cellStyle name="Normal 2 2 3 3 6 4 8" xfId="35631" xr:uid="{00000000-0005-0000-0000-00002E8B0000}"/>
    <cellStyle name="Normal 2 2 3 3 6 5" xfId="35632" xr:uid="{00000000-0005-0000-0000-00002F8B0000}"/>
    <cellStyle name="Normal 2 2 3 3 6 5 2" xfId="35633" xr:uid="{00000000-0005-0000-0000-0000308B0000}"/>
    <cellStyle name="Normal 2 2 3 3 6 5 2 2" xfId="35634" xr:uid="{00000000-0005-0000-0000-0000318B0000}"/>
    <cellStyle name="Normal 2 2 3 3 6 5 2 2 2" xfId="35635" xr:uid="{00000000-0005-0000-0000-0000328B0000}"/>
    <cellStyle name="Normal 2 2 3 3 6 5 2 2 2 2" xfId="35636" xr:uid="{00000000-0005-0000-0000-0000338B0000}"/>
    <cellStyle name="Normal 2 2 3 3 6 5 2 2 3" xfId="35637" xr:uid="{00000000-0005-0000-0000-0000348B0000}"/>
    <cellStyle name="Normal 2 2 3 3 6 5 2 3" xfId="35638" xr:uid="{00000000-0005-0000-0000-0000358B0000}"/>
    <cellStyle name="Normal 2 2 3 3 6 5 2 3 2" xfId="35639" xr:uid="{00000000-0005-0000-0000-0000368B0000}"/>
    <cellStyle name="Normal 2 2 3 3 6 5 2 4" xfId="35640" xr:uid="{00000000-0005-0000-0000-0000378B0000}"/>
    <cellStyle name="Normal 2 2 3 3 6 5 3" xfId="35641" xr:uid="{00000000-0005-0000-0000-0000388B0000}"/>
    <cellStyle name="Normal 2 2 3 3 6 5 3 2" xfId="35642" xr:uid="{00000000-0005-0000-0000-0000398B0000}"/>
    <cellStyle name="Normal 2 2 3 3 6 5 3 2 2" xfId="35643" xr:uid="{00000000-0005-0000-0000-00003A8B0000}"/>
    <cellStyle name="Normal 2 2 3 3 6 5 3 3" xfId="35644" xr:uid="{00000000-0005-0000-0000-00003B8B0000}"/>
    <cellStyle name="Normal 2 2 3 3 6 5 4" xfId="35645" xr:uid="{00000000-0005-0000-0000-00003C8B0000}"/>
    <cellStyle name="Normal 2 2 3 3 6 5 4 2" xfId="35646" xr:uid="{00000000-0005-0000-0000-00003D8B0000}"/>
    <cellStyle name="Normal 2 2 3 3 6 5 5" xfId="35647" xr:uid="{00000000-0005-0000-0000-00003E8B0000}"/>
    <cellStyle name="Normal 2 2 3 3 6 6" xfId="35648" xr:uid="{00000000-0005-0000-0000-00003F8B0000}"/>
    <cellStyle name="Normal 2 2 3 3 6 6 2" xfId="35649" xr:uid="{00000000-0005-0000-0000-0000408B0000}"/>
    <cellStyle name="Normal 2 2 3 3 6 6 2 2" xfId="35650" xr:uid="{00000000-0005-0000-0000-0000418B0000}"/>
    <cellStyle name="Normal 2 2 3 3 6 6 2 2 2" xfId="35651" xr:uid="{00000000-0005-0000-0000-0000428B0000}"/>
    <cellStyle name="Normal 2 2 3 3 6 6 2 2 2 2" xfId="35652" xr:uid="{00000000-0005-0000-0000-0000438B0000}"/>
    <cellStyle name="Normal 2 2 3 3 6 6 2 2 3" xfId="35653" xr:uid="{00000000-0005-0000-0000-0000448B0000}"/>
    <cellStyle name="Normal 2 2 3 3 6 6 2 3" xfId="35654" xr:uid="{00000000-0005-0000-0000-0000458B0000}"/>
    <cellStyle name="Normal 2 2 3 3 6 6 2 3 2" xfId="35655" xr:uid="{00000000-0005-0000-0000-0000468B0000}"/>
    <cellStyle name="Normal 2 2 3 3 6 6 2 4" xfId="35656" xr:uid="{00000000-0005-0000-0000-0000478B0000}"/>
    <cellStyle name="Normal 2 2 3 3 6 6 3" xfId="35657" xr:uid="{00000000-0005-0000-0000-0000488B0000}"/>
    <cellStyle name="Normal 2 2 3 3 6 6 3 2" xfId="35658" xr:uid="{00000000-0005-0000-0000-0000498B0000}"/>
    <cellStyle name="Normal 2 2 3 3 6 6 3 2 2" xfId="35659" xr:uid="{00000000-0005-0000-0000-00004A8B0000}"/>
    <cellStyle name="Normal 2 2 3 3 6 6 3 3" xfId="35660" xr:uid="{00000000-0005-0000-0000-00004B8B0000}"/>
    <cellStyle name="Normal 2 2 3 3 6 6 4" xfId="35661" xr:uid="{00000000-0005-0000-0000-00004C8B0000}"/>
    <cellStyle name="Normal 2 2 3 3 6 6 4 2" xfId="35662" xr:uid="{00000000-0005-0000-0000-00004D8B0000}"/>
    <cellStyle name="Normal 2 2 3 3 6 6 5" xfId="35663" xr:uid="{00000000-0005-0000-0000-00004E8B0000}"/>
    <cellStyle name="Normal 2 2 3 3 6 7" xfId="35664" xr:uid="{00000000-0005-0000-0000-00004F8B0000}"/>
    <cellStyle name="Normal 2 2 3 3 6 7 2" xfId="35665" xr:uid="{00000000-0005-0000-0000-0000508B0000}"/>
    <cellStyle name="Normal 2 2 3 3 6 7 2 2" xfId="35666" xr:uid="{00000000-0005-0000-0000-0000518B0000}"/>
    <cellStyle name="Normal 2 2 3 3 6 7 2 2 2" xfId="35667" xr:uid="{00000000-0005-0000-0000-0000528B0000}"/>
    <cellStyle name="Normal 2 2 3 3 6 7 2 3" xfId="35668" xr:uid="{00000000-0005-0000-0000-0000538B0000}"/>
    <cellStyle name="Normal 2 2 3 3 6 7 3" xfId="35669" xr:uid="{00000000-0005-0000-0000-0000548B0000}"/>
    <cellStyle name="Normal 2 2 3 3 6 7 3 2" xfId="35670" xr:uid="{00000000-0005-0000-0000-0000558B0000}"/>
    <cellStyle name="Normal 2 2 3 3 6 7 4" xfId="35671" xr:uid="{00000000-0005-0000-0000-0000568B0000}"/>
    <cellStyle name="Normal 2 2 3 3 6 8" xfId="35672" xr:uid="{00000000-0005-0000-0000-0000578B0000}"/>
    <cellStyle name="Normal 2 2 3 3 6 8 2" xfId="35673" xr:uid="{00000000-0005-0000-0000-0000588B0000}"/>
    <cellStyle name="Normal 2 2 3 3 6 8 2 2" xfId="35674" xr:uid="{00000000-0005-0000-0000-0000598B0000}"/>
    <cellStyle name="Normal 2 2 3 3 6 8 2 2 2" xfId="35675" xr:uid="{00000000-0005-0000-0000-00005A8B0000}"/>
    <cellStyle name="Normal 2 2 3 3 6 8 2 3" xfId="35676" xr:uid="{00000000-0005-0000-0000-00005B8B0000}"/>
    <cellStyle name="Normal 2 2 3 3 6 8 3" xfId="35677" xr:uid="{00000000-0005-0000-0000-00005C8B0000}"/>
    <cellStyle name="Normal 2 2 3 3 6 8 3 2" xfId="35678" xr:uid="{00000000-0005-0000-0000-00005D8B0000}"/>
    <cellStyle name="Normal 2 2 3 3 6 8 4" xfId="35679" xr:uid="{00000000-0005-0000-0000-00005E8B0000}"/>
    <cellStyle name="Normal 2 2 3 3 6 9" xfId="35680" xr:uid="{00000000-0005-0000-0000-00005F8B0000}"/>
    <cellStyle name="Normal 2 2 3 3 6 9 2" xfId="35681" xr:uid="{00000000-0005-0000-0000-0000608B0000}"/>
    <cellStyle name="Normal 2 2 3 3 6 9 2 2" xfId="35682" xr:uid="{00000000-0005-0000-0000-0000618B0000}"/>
    <cellStyle name="Normal 2 2 3 3 6 9 3" xfId="35683" xr:uid="{00000000-0005-0000-0000-0000628B0000}"/>
    <cellStyle name="Normal 2 2 3 3 7" xfId="35684" xr:uid="{00000000-0005-0000-0000-0000638B0000}"/>
    <cellStyle name="Normal 2 2 3 3 7 2" xfId="35685" xr:uid="{00000000-0005-0000-0000-0000648B0000}"/>
    <cellStyle name="Normal 2 2 3 3 7 2 2" xfId="35686" xr:uid="{00000000-0005-0000-0000-0000658B0000}"/>
    <cellStyle name="Normal 2 2 3 3 7 2 2 2" xfId="35687" xr:uid="{00000000-0005-0000-0000-0000668B0000}"/>
    <cellStyle name="Normal 2 2 3 3 7 2 2 2 2" xfId="35688" xr:uid="{00000000-0005-0000-0000-0000678B0000}"/>
    <cellStyle name="Normal 2 2 3 3 7 2 2 3" xfId="35689" xr:uid="{00000000-0005-0000-0000-0000688B0000}"/>
    <cellStyle name="Normal 2 2 3 3 7 2 3" xfId="35690" xr:uid="{00000000-0005-0000-0000-0000698B0000}"/>
    <cellStyle name="Normal 2 2 3 3 7 2 3 2" xfId="35691" xr:uid="{00000000-0005-0000-0000-00006A8B0000}"/>
    <cellStyle name="Normal 2 2 3 3 7 2 4" xfId="35692" xr:uid="{00000000-0005-0000-0000-00006B8B0000}"/>
    <cellStyle name="Normal 2 2 3 3 7 3" xfId="35693" xr:uid="{00000000-0005-0000-0000-00006C8B0000}"/>
    <cellStyle name="Normal 2 2 3 3 7 3 2" xfId="35694" xr:uid="{00000000-0005-0000-0000-00006D8B0000}"/>
    <cellStyle name="Normal 2 2 3 3 7 3 2 2" xfId="35695" xr:uid="{00000000-0005-0000-0000-00006E8B0000}"/>
    <cellStyle name="Normal 2 2 3 3 7 3 3" xfId="35696" xr:uid="{00000000-0005-0000-0000-00006F8B0000}"/>
    <cellStyle name="Normal 2 2 3 3 7 4" xfId="35697" xr:uid="{00000000-0005-0000-0000-0000708B0000}"/>
    <cellStyle name="Normal 2 2 3 3 7 4 2" xfId="35698" xr:uid="{00000000-0005-0000-0000-0000718B0000}"/>
    <cellStyle name="Normal 2 2 3 3 7 4 2 2" xfId="35699" xr:uid="{00000000-0005-0000-0000-0000728B0000}"/>
    <cellStyle name="Normal 2 2 3 3 7 4 3" xfId="35700" xr:uid="{00000000-0005-0000-0000-0000738B0000}"/>
    <cellStyle name="Normal 2 2 3 3 7 5" xfId="35701" xr:uid="{00000000-0005-0000-0000-0000748B0000}"/>
    <cellStyle name="Normal 2 2 3 3 7 5 2" xfId="35702" xr:uid="{00000000-0005-0000-0000-0000758B0000}"/>
    <cellStyle name="Normal 2 2 3 3 7 5 2 2" xfId="35703" xr:uid="{00000000-0005-0000-0000-0000768B0000}"/>
    <cellStyle name="Normal 2 2 3 3 7 5 3" xfId="35704" xr:uid="{00000000-0005-0000-0000-0000778B0000}"/>
    <cellStyle name="Normal 2 2 3 3 7 6" xfId="35705" xr:uid="{00000000-0005-0000-0000-0000788B0000}"/>
    <cellStyle name="Normal 2 2 3 3 7 6 2" xfId="35706" xr:uid="{00000000-0005-0000-0000-0000798B0000}"/>
    <cellStyle name="Normal 2 2 3 3 7 6 2 2" xfId="35707" xr:uid="{00000000-0005-0000-0000-00007A8B0000}"/>
    <cellStyle name="Normal 2 2 3 3 7 6 3" xfId="35708" xr:uid="{00000000-0005-0000-0000-00007B8B0000}"/>
    <cellStyle name="Normal 2 2 3 3 7 7" xfId="35709" xr:uid="{00000000-0005-0000-0000-00007C8B0000}"/>
    <cellStyle name="Normal 2 2 3 3 7 7 2" xfId="35710" xr:uid="{00000000-0005-0000-0000-00007D8B0000}"/>
    <cellStyle name="Normal 2 2 3 3 7 8" xfId="35711" xr:uid="{00000000-0005-0000-0000-00007E8B0000}"/>
    <cellStyle name="Normal 2 2 3 3 8" xfId="35712" xr:uid="{00000000-0005-0000-0000-00007F8B0000}"/>
    <cellStyle name="Normal 2 2 3 3 8 2" xfId="35713" xr:uid="{00000000-0005-0000-0000-0000808B0000}"/>
    <cellStyle name="Normal 2 2 3 3 8 2 2" xfId="35714" xr:uid="{00000000-0005-0000-0000-0000818B0000}"/>
    <cellStyle name="Normal 2 2 3 3 8 2 2 2" xfId="35715" xr:uid="{00000000-0005-0000-0000-0000828B0000}"/>
    <cellStyle name="Normal 2 2 3 3 8 2 2 2 2" xfId="35716" xr:uid="{00000000-0005-0000-0000-0000838B0000}"/>
    <cellStyle name="Normal 2 2 3 3 8 2 2 3" xfId="35717" xr:uid="{00000000-0005-0000-0000-0000848B0000}"/>
    <cellStyle name="Normal 2 2 3 3 8 2 3" xfId="35718" xr:uid="{00000000-0005-0000-0000-0000858B0000}"/>
    <cellStyle name="Normal 2 2 3 3 8 2 3 2" xfId="35719" xr:uid="{00000000-0005-0000-0000-0000868B0000}"/>
    <cellStyle name="Normal 2 2 3 3 8 2 4" xfId="35720" xr:uid="{00000000-0005-0000-0000-0000878B0000}"/>
    <cellStyle name="Normal 2 2 3 3 8 3" xfId="35721" xr:uid="{00000000-0005-0000-0000-0000888B0000}"/>
    <cellStyle name="Normal 2 2 3 3 8 3 2" xfId="35722" xr:uid="{00000000-0005-0000-0000-0000898B0000}"/>
    <cellStyle name="Normal 2 2 3 3 8 3 2 2" xfId="35723" xr:uid="{00000000-0005-0000-0000-00008A8B0000}"/>
    <cellStyle name="Normal 2 2 3 3 8 3 3" xfId="35724" xr:uid="{00000000-0005-0000-0000-00008B8B0000}"/>
    <cellStyle name="Normal 2 2 3 3 8 4" xfId="35725" xr:uid="{00000000-0005-0000-0000-00008C8B0000}"/>
    <cellStyle name="Normal 2 2 3 3 8 4 2" xfId="35726" xr:uid="{00000000-0005-0000-0000-00008D8B0000}"/>
    <cellStyle name="Normal 2 2 3 3 8 4 2 2" xfId="35727" xr:uid="{00000000-0005-0000-0000-00008E8B0000}"/>
    <cellStyle name="Normal 2 2 3 3 8 4 3" xfId="35728" xr:uid="{00000000-0005-0000-0000-00008F8B0000}"/>
    <cellStyle name="Normal 2 2 3 3 8 5" xfId="35729" xr:uid="{00000000-0005-0000-0000-0000908B0000}"/>
    <cellStyle name="Normal 2 2 3 3 8 5 2" xfId="35730" xr:uid="{00000000-0005-0000-0000-0000918B0000}"/>
    <cellStyle name="Normal 2 2 3 3 8 5 2 2" xfId="35731" xr:uid="{00000000-0005-0000-0000-0000928B0000}"/>
    <cellStyle name="Normal 2 2 3 3 8 5 3" xfId="35732" xr:uid="{00000000-0005-0000-0000-0000938B0000}"/>
    <cellStyle name="Normal 2 2 3 3 8 6" xfId="35733" xr:uid="{00000000-0005-0000-0000-0000948B0000}"/>
    <cellStyle name="Normal 2 2 3 3 8 6 2" xfId="35734" xr:uid="{00000000-0005-0000-0000-0000958B0000}"/>
    <cellStyle name="Normal 2 2 3 3 8 6 2 2" xfId="35735" xr:uid="{00000000-0005-0000-0000-0000968B0000}"/>
    <cellStyle name="Normal 2 2 3 3 8 6 3" xfId="35736" xr:uid="{00000000-0005-0000-0000-0000978B0000}"/>
    <cellStyle name="Normal 2 2 3 3 8 7" xfId="35737" xr:uid="{00000000-0005-0000-0000-0000988B0000}"/>
    <cellStyle name="Normal 2 2 3 3 8 7 2" xfId="35738" xr:uid="{00000000-0005-0000-0000-0000998B0000}"/>
    <cellStyle name="Normal 2 2 3 3 8 8" xfId="35739" xr:uid="{00000000-0005-0000-0000-00009A8B0000}"/>
    <cellStyle name="Normal 2 2 3 3 9" xfId="35740" xr:uid="{00000000-0005-0000-0000-00009B8B0000}"/>
    <cellStyle name="Normal 2 2 3 3 9 2" xfId="35741" xr:uid="{00000000-0005-0000-0000-00009C8B0000}"/>
    <cellStyle name="Normal 2 2 3 3 9 2 2" xfId="35742" xr:uid="{00000000-0005-0000-0000-00009D8B0000}"/>
    <cellStyle name="Normal 2 2 3 3 9 2 2 2" xfId="35743" xr:uid="{00000000-0005-0000-0000-00009E8B0000}"/>
    <cellStyle name="Normal 2 2 3 3 9 2 2 2 2" xfId="35744" xr:uid="{00000000-0005-0000-0000-00009F8B0000}"/>
    <cellStyle name="Normal 2 2 3 3 9 2 2 3" xfId="35745" xr:uid="{00000000-0005-0000-0000-0000A08B0000}"/>
    <cellStyle name="Normal 2 2 3 3 9 2 3" xfId="35746" xr:uid="{00000000-0005-0000-0000-0000A18B0000}"/>
    <cellStyle name="Normal 2 2 3 3 9 2 3 2" xfId="35747" xr:uid="{00000000-0005-0000-0000-0000A28B0000}"/>
    <cellStyle name="Normal 2 2 3 3 9 2 4" xfId="35748" xr:uid="{00000000-0005-0000-0000-0000A38B0000}"/>
    <cellStyle name="Normal 2 2 3 3 9 3" xfId="35749" xr:uid="{00000000-0005-0000-0000-0000A48B0000}"/>
    <cellStyle name="Normal 2 2 3 3 9 3 2" xfId="35750" xr:uid="{00000000-0005-0000-0000-0000A58B0000}"/>
    <cellStyle name="Normal 2 2 3 3 9 3 2 2" xfId="35751" xr:uid="{00000000-0005-0000-0000-0000A68B0000}"/>
    <cellStyle name="Normal 2 2 3 3 9 3 3" xfId="35752" xr:uid="{00000000-0005-0000-0000-0000A78B0000}"/>
    <cellStyle name="Normal 2 2 3 3 9 4" xfId="35753" xr:uid="{00000000-0005-0000-0000-0000A88B0000}"/>
    <cellStyle name="Normal 2 2 3 3 9 4 2" xfId="35754" xr:uid="{00000000-0005-0000-0000-0000A98B0000}"/>
    <cellStyle name="Normal 2 2 3 3 9 4 2 2" xfId="35755" xr:uid="{00000000-0005-0000-0000-0000AA8B0000}"/>
    <cellStyle name="Normal 2 2 3 3 9 4 3" xfId="35756" xr:uid="{00000000-0005-0000-0000-0000AB8B0000}"/>
    <cellStyle name="Normal 2 2 3 3 9 5" xfId="35757" xr:uid="{00000000-0005-0000-0000-0000AC8B0000}"/>
    <cellStyle name="Normal 2 2 3 3 9 5 2" xfId="35758" xr:uid="{00000000-0005-0000-0000-0000AD8B0000}"/>
    <cellStyle name="Normal 2 2 3 3 9 5 2 2" xfId="35759" xr:uid="{00000000-0005-0000-0000-0000AE8B0000}"/>
    <cellStyle name="Normal 2 2 3 3 9 5 3" xfId="35760" xr:uid="{00000000-0005-0000-0000-0000AF8B0000}"/>
    <cellStyle name="Normal 2 2 3 3 9 6" xfId="35761" xr:uid="{00000000-0005-0000-0000-0000B08B0000}"/>
    <cellStyle name="Normal 2 2 3 3 9 6 2" xfId="35762" xr:uid="{00000000-0005-0000-0000-0000B18B0000}"/>
    <cellStyle name="Normal 2 2 3 3 9 6 2 2" xfId="35763" xr:uid="{00000000-0005-0000-0000-0000B28B0000}"/>
    <cellStyle name="Normal 2 2 3 3 9 6 3" xfId="35764" xr:uid="{00000000-0005-0000-0000-0000B38B0000}"/>
    <cellStyle name="Normal 2 2 3 3 9 7" xfId="35765" xr:uid="{00000000-0005-0000-0000-0000B48B0000}"/>
    <cellStyle name="Normal 2 2 3 3 9 7 2" xfId="35766" xr:uid="{00000000-0005-0000-0000-0000B58B0000}"/>
    <cellStyle name="Normal 2 2 3 3 9 8" xfId="35767" xr:uid="{00000000-0005-0000-0000-0000B68B0000}"/>
    <cellStyle name="Normal 2 2 3 4" xfId="35768" xr:uid="{00000000-0005-0000-0000-0000B78B0000}"/>
    <cellStyle name="Normal 2 2 3 4 10" xfId="35769" xr:uid="{00000000-0005-0000-0000-0000B88B0000}"/>
    <cellStyle name="Normal 2 2 3 4 10 2" xfId="35770" xr:uid="{00000000-0005-0000-0000-0000B98B0000}"/>
    <cellStyle name="Normal 2 2 3 4 10 2 2" xfId="35771" xr:uid="{00000000-0005-0000-0000-0000BA8B0000}"/>
    <cellStyle name="Normal 2 2 3 4 10 3" xfId="35772" xr:uid="{00000000-0005-0000-0000-0000BB8B0000}"/>
    <cellStyle name="Normal 2 2 3 4 11" xfId="35773" xr:uid="{00000000-0005-0000-0000-0000BC8B0000}"/>
    <cellStyle name="Normal 2 2 3 4 11 2" xfId="35774" xr:uid="{00000000-0005-0000-0000-0000BD8B0000}"/>
    <cellStyle name="Normal 2 2 3 4 11 2 2" xfId="35775" xr:uid="{00000000-0005-0000-0000-0000BE8B0000}"/>
    <cellStyle name="Normal 2 2 3 4 11 3" xfId="35776" xr:uid="{00000000-0005-0000-0000-0000BF8B0000}"/>
    <cellStyle name="Normal 2 2 3 4 12" xfId="35777" xr:uid="{00000000-0005-0000-0000-0000C08B0000}"/>
    <cellStyle name="Normal 2 2 3 4 12 2" xfId="35778" xr:uid="{00000000-0005-0000-0000-0000C18B0000}"/>
    <cellStyle name="Normal 2 2 3 4 12 2 2" xfId="35779" xr:uid="{00000000-0005-0000-0000-0000C28B0000}"/>
    <cellStyle name="Normal 2 2 3 4 12 3" xfId="35780" xr:uid="{00000000-0005-0000-0000-0000C38B0000}"/>
    <cellStyle name="Normal 2 2 3 4 13" xfId="35781" xr:uid="{00000000-0005-0000-0000-0000C48B0000}"/>
    <cellStyle name="Normal 2 2 3 4 13 2" xfId="35782" xr:uid="{00000000-0005-0000-0000-0000C58B0000}"/>
    <cellStyle name="Normal 2 2 3 4 14" xfId="35783" xr:uid="{00000000-0005-0000-0000-0000C68B0000}"/>
    <cellStyle name="Normal 2 2 3 4 2" xfId="35784" xr:uid="{00000000-0005-0000-0000-0000C78B0000}"/>
    <cellStyle name="Normal 2 2 3 4 2 2" xfId="35785" xr:uid="{00000000-0005-0000-0000-0000C88B0000}"/>
    <cellStyle name="Normal 2 2 3 4 2 2 2" xfId="35786" xr:uid="{00000000-0005-0000-0000-0000C98B0000}"/>
    <cellStyle name="Normal 2 2 3 4 2 2 2 2" xfId="35787" xr:uid="{00000000-0005-0000-0000-0000CA8B0000}"/>
    <cellStyle name="Normal 2 2 3 4 2 2 2 2 2" xfId="35788" xr:uid="{00000000-0005-0000-0000-0000CB8B0000}"/>
    <cellStyle name="Normal 2 2 3 4 2 2 2 3" xfId="35789" xr:uid="{00000000-0005-0000-0000-0000CC8B0000}"/>
    <cellStyle name="Normal 2 2 3 4 2 2 3" xfId="35790" xr:uid="{00000000-0005-0000-0000-0000CD8B0000}"/>
    <cellStyle name="Normal 2 2 3 4 2 2 3 2" xfId="35791" xr:uid="{00000000-0005-0000-0000-0000CE8B0000}"/>
    <cellStyle name="Normal 2 2 3 4 2 2 4" xfId="35792" xr:uid="{00000000-0005-0000-0000-0000CF8B0000}"/>
    <cellStyle name="Normal 2 2 3 4 2 3" xfId="35793" xr:uid="{00000000-0005-0000-0000-0000D08B0000}"/>
    <cellStyle name="Normal 2 2 3 4 2 3 2" xfId="35794" xr:uid="{00000000-0005-0000-0000-0000D18B0000}"/>
    <cellStyle name="Normal 2 2 3 4 2 3 2 2" xfId="35795" xr:uid="{00000000-0005-0000-0000-0000D28B0000}"/>
    <cellStyle name="Normal 2 2 3 4 2 3 3" xfId="35796" xr:uid="{00000000-0005-0000-0000-0000D38B0000}"/>
    <cellStyle name="Normal 2 2 3 4 2 4" xfId="35797" xr:uid="{00000000-0005-0000-0000-0000D48B0000}"/>
    <cellStyle name="Normal 2 2 3 4 2 4 2" xfId="35798" xr:uid="{00000000-0005-0000-0000-0000D58B0000}"/>
    <cellStyle name="Normal 2 2 3 4 2 4 2 2" xfId="35799" xr:uid="{00000000-0005-0000-0000-0000D68B0000}"/>
    <cellStyle name="Normal 2 2 3 4 2 4 3" xfId="35800" xr:uid="{00000000-0005-0000-0000-0000D78B0000}"/>
    <cellStyle name="Normal 2 2 3 4 2 5" xfId="35801" xr:uid="{00000000-0005-0000-0000-0000D88B0000}"/>
    <cellStyle name="Normal 2 2 3 4 2 5 2" xfId="35802" xr:uid="{00000000-0005-0000-0000-0000D98B0000}"/>
    <cellStyle name="Normal 2 2 3 4 2 5 2 2" xfId="35803" xr:uid="{00000000-0005-0000-0000-0000DA8B0000}"/>
    <cellStyle name="Normal 2 2 3 4 2 5 3" xfId="35804" xr:uid="{00000000-0005-0000-0000-0000DB8B0000}"/>
    <cellStyle name="Normal 2 2 3 4 2 6" xfId="35805" xr:uid="{00000000-0005-0000-0000-0000DC8B0000}"/>
    <cellStyle name="Normal 2 2 3 4 2 6 2" xfId="35806" xr:uid="{00000000-0005-0000-0000-0000DD8B0000}"/>
    <cellStyle name="Normal 2 2 3 4 2 6 2 2" xfId="35807" xr:uid="{00000000-0005-0000-0000-0000DE8B0000}"/>
    <cellStyle name="Normal 2 2 3 4 2 6 3" xfId="35808" xr:uid="{00000000-0005-0000-0000-0000DF8B0000}"/>
    <cellStyle name="Normal 2 2 3 4 2 7" xfId="35809" xr:uid="{00000000-0005-0000-0000-0000E08B0000}"/>
    <cellStyle name="Normal 2 2 3 4 2 7 2" xfId="35810" xr:uid="{00000000-0005-0000-0000-0000E18B0000}"/>
    <cellStyle name="Normal 2 2 3 4 2 8" xfId="35811" xr:uid="{00000000-0005-0000-0000-0000E28B0000}"/>
    <cellStyle name="Normal 2 2 3 4 3" xfId="35812" xr:uid="{00000000-0005-0000-0000-0000E38B0000}"/>
    <cellStyle name="Normal 2 2 3 4 3 2" xfId="35813" xr:uid="{00000000-0005-0000-0000-0000E48B0000}"/>
    <cellStyle name="Normal 2 2 3 4 3 2 2" xfId="35814" xr:uid="{00000000-0005-0000-0000-0000E58B0000}"/>
    <cellStyle name="Normal 2 2 3 4 3 2 2 2" xfId="35815" xr:uid="{00000000-0005-0000-0000-0000E68B0000}"/>
    <cellStyle name="Normal 2 2 3 4 3 2 2 2 2" xfId="35816" xr:uid="{00000000-0005-0000-0000-0000E78B0000}"/>
    <cellStyle name="Normal 2 2 3 4 3 2 2 3" xfId="35817" xr:uid="{00000000-0005-0000-0000-0000E88B0000}"/>
    <cellStyle name="Normal 2 2 3 4 3 2 3" xfId="35818" xr:uid="{00000000-0005-0000-0000-0000E98B0000}"/>
    <cellStyle name="Normal 2 2 3 4 3 2 3 2" xfId="35819" xr:uid="{00000000-0005-0000-0000-0000EA8B0000}"/>
    <cellStyle name="Normal 2 2 3 4 3 2 4" xfId="35820" xr:uid="{00000000-0005-0000-0000-0000EB8B0000}"/>
    <cellStyle name="Normal 2 2 3 4 3 3" xfId="35821" xr:uid="{00000000-0005-0000-0000-0000EC8B0000}"/>
    <cellStyle name="Normal 2 2 3 4 3 3 2" xfId="35822" xr:uid="{00000000-0005-0000-0000-0000ED8B0000}"/>
    <cellStyle name="Normal 2 2 3 4 3 3 2 2" xfId="35823" xr:uid="{00000000-0005-0000-0000-0000EE8B0000}"/>
    <cellStyle name="Normal 2 2 3 4 3 3 3" xfId="35824" xr:uid="{00000000-0005-0000-0000-0000EF8B0000}"/>
    <cellStyle name="Normal 2 2 3 4 3 4" xfId="35825" xr:uid="{00000000-0005-0000-0000-0000F08B0000}"/>
    <cellStyle name="Normal 2 2 3 4 3 4 2" xfId="35826" xr:uid="{00000000-0005-0000-0000-0000F18B0000}"/>
    <cellStyle name="Normal 2 2 3 4 3 4 2 2" xfId="35827" xr:uid="{00000000-0005-0000-0000-0000F28B0000}"/>
    <cellStyle name="Normal 2 2 3 4 3 4 3" xfId="35828" xr:uid="{00000000-0005-0000-0000-0000F38B0000}"/>
    <cellStyle name="Normal 2 2 3 4 3 5" xfId="35829" xr:uid="{00000000-0005-0000-0000-0000F48B0000}"/>
    <cellStyle name="Normal 2 2 3 4 3 5 2" xfId="35830" xr:uid="{00000000-0005-0000-0000-0000F58B0000}"/>
    <cellStyle name="Normal 2 2 3 4 3 5 2 2" xfId="35831" xr:uid="{00000000-0005-0000-0000-0000F68B0000}"/>
    <cellStyle name="Normal 2 2 3 4 3 5 3" xfId="35832" xr:uid="{00000000-0005-0000-0000-0000F78B0000}"/>
    <cellStyle name="Normal 2 2 3 4 3 6" xfId="35833" xr:uid="{00000000-0005-0000-0000-0000F88B0000}"/>
    <cellStyle name="Normal 2 2 3 4 3 6 2" xfId="35834" xr:uid="{00000000-0005-0000-0000-0000F98B0000}"/>
    <cellStyle name="Normal 2 2 3 4 3 6 2 2" xfId="35835" xr:uid="{00000000-0005-0000-0000-0000FA8B0000}"/>
    <cellStyle name="Normal 2 2 3 4 3 6 3" xfId="35836" xr:uid="{00000000-0005-0000-0000-0000FB8B0000}"/>
    <cellStyle name="Normal 2 2 3 4 3 7" xfId="35837" xr:uid="{00000000-0005-0000-0000-0000FC8B0000}"/>
    <cellStyle name="Normal 2 2 3 4 3 7 2" xfId="35838" xr:uid="{00000000-0005-0000-0000-0000FD8B0000}"/>
    <cellStyle name="Normal 2 2 3 4 3 8" xfId="35839" xr:uid="{00000000-0005-0000-0000-0000FE8B0000}"/>
    <cellStyle name="Normal 2 2 3 4 4" xfId="35840" xr:uid="{00000000-0005-0000-0000-0000FF8B0000}"/>
    <cellStyle name="Normal 2 2 3 4 4 2" xfId="35841" xr:uid="{00000000-0005-0000-0000-0000008C0000}"/>
    <cellStyle name="Normal 2 2 3 4 4 2 2" xfId="35842" xr:uid="{00000000-0005-0000-0000-0000018C0000}"/>
    <cellStyle name="Normal 2 2 3 4 4 2 2 2" xfId="35843" xr:uid="{00000000-0005-0000-0000-0000028C0000}"/>
    <cellStyle name="Normal 2 2 3 4 4 2 2 2 2" xfId="35844" xr:uid="{00000000-0005-0000-0000-0000038C0000}"/>
    <cellStyle name="Normal 2 2 3 4 4 2 2 3" xfId="35845" xr:uid="{00000000-0005-0000-0000-0000048C0000}"/>
    <cellStyle name="Normal 2 2 3 4 4 2 3" xfId="35846" xr:uid="{00000000-0005-0000-0000-0000058C0000}"/>
    <cellStyle name="Normal 2 2 3 4 4 2 3 2" xfId="35847" xr:uid="{00000000-0005-0000-0000-0000068C0000}"/>
    <cellStyle name="Normal 2 2 3 4 4 2 4" xfId="35848" xr:uid="{00000000-0005-0000-0000-0000078C0000}"/>
    <cellStyle name="Normal 2 2 3 4 4 3" xfId="35849" xr:uid="{00000000-0005-0000-0000-0000088C0000}"/>
    <cellStyle name="Normal 2 2 3 4 4 3 2" xfId="35850" xr:uid="{00000000-0005-0000-0000-0000098C0000}"/>
    <cellStyle name="Normal 2 2 3 4 4 3 2 2" xfId="35851" xr:uid="{00000000-0005-0000-0000-00000A8C0000}"/>
    <cellStyle name="Normal 2 2 3 4 4 3 3" xfId="35852" xr:uid="{00000000-0005-0000-0000-00000B8C0000}"/>
    <cellStyle name="Normal 2 2 3 4 4 4" xfId="35853" xr:uid="{00000000-0005-0000-0000-00000C8C0000}"/>
    <cellStyle name="Normal 2 2 3 4 4 4 2" xfId="35854" xr:uid="{00000000-0005-0000-0000-00000D8C0000}"/>
    <cellStyle name="Normal 2 2 3 4 4 4 2 2" xfId="35855" xr:uid="{00000000-0005-0000-0000-00000E8C0000}"/>
    <cellStyle name="Normal 2 2 3 4 4 4 3" xfId="35856" xr:uid="{00000000-0005-0000-0000-00000F8C0000}"/>
    <cellStyle name="Normal 2 2 3 4 4 5" xfId="35857" xr:uid="{00000000-0005-0000-0000-0000108C0000}"/>
    <cellStyle name="Normal 2 2 3 4 4 5 2" xfId="35858" xr:uid="{00000000-0005-0000-0000-0000118C0000}"/>
    <cellStyle name="Normal 2 2 3 4 4 5 2 2" xfId="35859" xr:uid="{00000000-0005-0000-0000-0000128C0000}"/>
    <cellStyle name="Normal 2 2 3 4 4 5 3" xfId="35860" xr:uid="{00000000-0005-0000-0000-0000138C0000}"/>
    <cellStyle name="Normal 2 2 3 4 4 6" xfId="35861" xr:uid="{00000000-0005-0000-0000-0000148C0000}"/>
    <cellStyle name="Normal 2 2 3 4 4 6 2" xfId="35862" xr:uid="{00000000-0005-0000-0000-0000158C0000}"/>
    <cellStyle name="Normal 2 2 3 4 4 6 2 2" xfId="35863" xr:uid="{00000000-0005-0000-0000-0000168C0000}"/>
    <cellStyle name="Normal 2 2 3 4 4 6 3" xfId="35864" xr:uid="{00000000-0005-0000-0000-0000178C0000}"/>
    <cellStyle name="Normal 2 2 3 4 4 7" xfId="35865" xr:uid="{00000000-0005-0000-0000-0000188C0000}"/>
    <cellStyle name="Normal 2 2 3 4 4 7 2" xfId="35866" xr:uid="{00000000-0005-0000-0000-0000198C0000}"/>
    <cellStyle name="Normal 2 2 3 4 4 8" xfId="35867" xr:uid="{00000000-0005-0000-0000-00001A8C0000}"/>
    <cellStyle name="Normal 2 2 3 4 5" xfId="35868" xr:uid="{00000000-0005-0000-0000-00001B8C0000}"/>
    <cellStyle name="Normal 2 2 3 4 5 2" xfId="35869" xr:uid="{00000000-0005-0000-0000-00001C8C0000}"/>
    <cellStyle name="Normal 2 2 3 4 5 2 2" xfId="35870" xr:uid="{00000000-0005-0000-0000-00001D8C0000}"/>
    <cellStyle name="Normal 2 2 3 4 5 2 2 2" xfId="35871" xr:uid="{00000000-0005-0000-0000-00001E8C0000}"/>
    <cellStyle name="Normal 2 2 3 4 5 2 2 2 2" xfId="35872" xr:uid="{00000000-0005-0000-0000-00001F8C0000}"/>
    <cellStyle name="Normal 2 2 3 4 5 2 2 3" xfId="35873" xr:uid="{00000000-0005-0000-0000-0000208C0000}"/>
    <cellStyle name="Normal 2 2 3 4 5 2 3" xfId="35874" xr:uid="{00000000-0005-0000-0000-0000218C0000}"/>
    <cellStyle name="Normal 2 2 3 4 5 2 3 2" xfId="35875" xr:uid="{00000000-0005-0000-0000-0000228C0000}"/>
    <cellStyle name="Normal 2 2 3 4 5 2 4" xfId="35876" xr:uid="{00000000-0005-0000-0000-0000238C0000}"/>
    <cellStyle name="Normal 2 2 3 4 5 3" xfId="35877" xr:uid="{00000000-0005-0000-0000-0000248C0000}"/>
    <cellStyle name="Normal 2 2 3 4 5 3 2" xfId="35878" xr:uid="{00000000-0005-0000-0000-0000258C0000}"/>
    <cellStyle name="Normal 2 2 3 4 5 3 2 2" xfId="35879" xr:uid="{00000000-0005-0000-0000-0000268C0000}"/>
    <cellStyle name="Normal 2 2 3 4 5 3 3" xfId="35880" xr:uid="{00000000-0005-0000-0000-0000278C0000}"/>
    <cellStyle name="Normal 2 2 3 4 5 4" xfId="35881" xr:uid="{00000000-0005-0000-0000-0000288C0000}"/>
    <cellStyle name="Normal 2 2 3 4 5 4 2" xfId="35882" xr:uid="{00000000-0005-0000-0000-0000298C0000}"/>
    <cellStyle name="Normal 2 2 3 4 5 5" xfId="35883" xr:uid="{00000000-0005-0000-0000-00002A8C0000}"/>
    <cellStyle name="Normal 2 2 3 4 6" xfId="35884" xr:uid="{00000000-0005-0000-0000-00002B8C0000}"/>
    <cellStyle name="Normal 2 2 3 4 6 2" xfId="35885" xr:uid="{00000000-0005-0000-0000-00002C8C0000}"/>
    <cellStyle name="Normal 2 2 3 4 6 2 2" xfId="35886" xr:uid="{00000000-0005-0000-0000-00002D8C0000}"/>
    <cellStyle name="Normal 2 2 3 4 6 2 2 2" xfId="35887" xr:uid="{00000000-0005-0000-0000-00002E8C0000}"/>
    <cellStyle name="Normal 2 2 3 4 6 2 2 2 2" xfId="35888" xr:uid="{00000000-0005-0000-0000-00002F8C0000}"/>
    <cellStyle name="Normal 2 2 3 4 6 2 2 3" xfId="35889" xr:uid="{00000000-0005-0000-0000-0000308C0000}"/>
    <cellStyle name="Normal 2 2 3 4 6 2 3" xfId="35890" xr:uid="{00000000-0005-0000-0000-0000318C0000}"/>
    <cellStyle name="Normal 2 2 3 4 6 2 3 2" xfId="35891" xr:uid="{00000000-0005-0000-0000-0000328C0000}"/>
    <cellStyle name="Normal 2 2 3 4 6 2 4" xfId="35892" xr:uid="{00000000-0005-0000-0000-0000338C0000}"/>
    <cellStyle name="Normal 2 2 3 4 6 3" xfId="35893" xr:uid="{00000000-0005-0000-0000-0000348C0000}"/>
    <cellStyle name="Normal 2 2 3 4 6 3 2" xfId="35894" xr:uid="{00000000-0005-0000-0000-0000358C0000}"/>
    <cellStyle name="Normal 2 2 3 4 6 3 2 2" xfId="35895" xr:uid="{00000000-0005-0000-0000-0000368C0000}"/>
    <cellStyle name="Normal 2 2 3 4 6 3 3" xfId="35896" xr:uid="{00000000-0005-0000-0000-0000378C0000}"/>
    <cellStyle name="Normal 2 2 3 4 6 4" xfId="35897" xr:uid="{00000000-0005-0000-0000-0000388C0000}"/>
    <cellStyle name="Normal 2 2 3 4 6 4 2" xfId="35898" xr:uid="{00000000-0005-0000-0000-0000398C0000}"/>
    <cellStyle name="Normal 2 2 3 4 6 5" xfId="35899" xr:uid="{00000000-0005-0000-0000-00003A8C0000}"/>
    <cellStyle name="Normal 2 2 3 4 7" xfId="35900" xr:uid="{00000000-0005-0000-0000-00003B8C0000}"/>
    <cellStyle name="Normal 2 2 3 4 7 2" xfId="35901" xr:uid="{00000000-0005-0000-0000-00003C8C0000}"/>
    <cellStyle name="Normal 2 2 3 4 7 2 2" xfId="35902" xr:uid="{00000000-0005-0000-0000-00003D8C0000}"/>
    <cellStyle name="Normal 2 2 3 4 7 2 2 2" xfId="35903" xr:uid="{00000000-0005-0000-0000-00003E8C0000}"/>
    <cellStyle name="Normal 2 2 3 4 7 2 3" xfId="35904" xr:uid="{00000000-0005-0000-0000-00003F8C0000}"/>
    <cellStyle name="Normal 2 2 3 4 7 3" xfId="35905" xr:uid="{00000000-0005-0000-0000-0000408C0000}"/>
    <cellStyle name="Normal 2 2 3 4 7 3 2" xfId="35906" xr:uid="{00000000-0005-0000-0000-0000418C0000}"/>
    <cellStyle name="Normal 2 2 3 4 7 4" xfId="35907" xr:uid="{00000000-0005-0000-0000-0000428C0000}"/>
    <cellStyle name="Normal 2 2 3 4 8" xfId="35908" xr:uid="{00000000-0005-0000-0000-0000438C0000}"/>
    <cellStyle name="Normal 2 2 3 4 8 2" xfId="35909" xr:uid="{00000000-0005-0000-0000-0000448C0000}"/>
    <cellStyle name="Normal 2 2 3 4 8 2 2" xfId="35910" xr:uid="{00000000-0005-0000-0000-0000458C0000}"/>
    <cellStyle name="Normal 2 2 3 4 8 2 2 2" xfId="35911" xr:uid="{00000000-0005-0000-0000-0000468C0000}"/>
    <cellStyle name="Normal 2 2 3 4 8 2 3" xfId="35912" xr:uid="{00000000-0005-0000-0000-0000478C0000}"/>
    <cellStyle name="Normal 2 2 3 4 8 3" xfId="35913" xr:uid="{00000000-0005-0000-0000-0000488C0000}"/>
    <cellStyle name="Normal 2 2 3 4 8 3 2" xfId="35914" xr:uid="{00000000-0005-0000-0000-0000498C0000}"/>
    <cellStyle name="Normal 2 2 3 4 8 4" xfId="35915" xr:uid="{00000000-0005-0000-0000-00004A8C0000}"/>
    <cellStyle name="Normal 2 2 3 4 9" xfId="35916" xr:uid="{00000000-0005-0000-0000-00004B8C0000}"/>
    <cellStyle name="Normal 2 2 3 4 9 2" xfId="35917" xr:uid="{00000000-0005-0000-0000-00004C8C0000}"/>
    <cellStyle name="Normal 2 2 3 4 9 2 2" xfId="35918" xr:uid="{00000000-0005-0000-0000-00004D8C0000}"/>
    <cellStyle name="Normal 2 2 3 4 9 3" xfId="35919" xr:uid="{00000000-0005-0000-0000-00004E8C0000}"/>
    <cellStyle name="Normal 2 2 3 5" xfId="35920" xr:uid="{00000000-0005-0000-0000-00004F8C0000}"/>
    <cellStyle name="Normal 2 2 3 5 10" xfId="35921" xr:uid="{00000000-0005-0000-0000-0000508C0000}"/>
    <cellStyle name="Normal 2 2 3 5 10 2" xfId="35922" xr:uid="{00000000-0005-0000-0000-0000518C0000}"/>
    <cellStyle name="Normal 2 2 3 5 10 2 2" xfId="35923" xr:uid="{00000000-0005-0000-0000-0000528C0000}"/>
    <cellStyle name="Normal 2 2 3 5 10 3" xfId="35924" xr:uid="{00000000-0005-0000-0000-0000538C0000}"/>
    <cellStyle name="Normal 2 2 3 5 11" xfId="35925" xr:uid="{00000000-0005-0000-0000-0000548C0000}"/>
    <cellStyle name="Normal 2 2 3 5 11 2" xfId="35926" xr:uid="{00000000-0005-0000-0000-0000558C0000}"/>
    <cellStyle name="Normal 2 2 3 5 11 2 2" xfId="35927" xr:uid="{00000000-0005-0000-0000-0000568C0000}"/>
    <cellStyle name="Normal 2 2 3 5 11 3" xfId="35928" xr:uid="{00000000-0005-0000-0000-0000578C0000}"/>
    <cellStyle name="Normal 2 2 3 5 12" xfId="35929" xr:uid="{00000000-0005-0000-0000-0000588C0000}"/>
    <cellStyle name="Normal 2 2 3 5 12 2" xfId="35930" xr:uid="{00000000-0005-0000-0000-0000598C0000}"/>
    <cellStyle name="Normal 2 2 3 5 12 2 2" xfId="35931" xr:uid="{00000000-0005-0000-0000-00005A8C0000}"/>
    <cellStyle name="Normal 2 2 3 5 12 3" xfId="35932" xr:uid="{00000000-0005-0000-0000-00005B8C0000}"/>
    <cellStyle name="Normal 2 2 3 5 13" xfId="35933" xr:uid="{00000000-0005-0000-0000-00005C8C0000}"/>
    <cellStyle name="Normal 2 2 3 5 13 2" xfId="35934" xr:uid="{00000000-0005-0000-0000-00005D8C0000}"/>
    <cellStyle name="Normal 2 2 3 5 14" xfId="35935" xr:uid="{00000000-0005-0000-0000-00005E8C0000}"/>
    <cellStyle name="Normal 2 2 3 5 2" xfId="35936" xr:uid="{00000000-0005-0000-0000-00005F8C0000}"/>
    <cellStyle name="Normal 2 2 3 5 2 2" xfId="35937" xr:uid="{00000000-0005-0000-0000-0000608C0000}"/>
    <cellStyle name="Normal 2 2 3 5 2 2 2" xfId="35938" xr:uid="{00000000-0005-0000-0000-0000618C0000}"/>
    <cellStyle name="Normal 2 2 3 5 2 2 2 2" xfId="35939" xr:uid="{00000000-0005-0000-0000-0000628C0000}"/>
    <cellStyle name="Normal 2 2 3 5 2 2 2 2 2" xfId="35940" xr:uid="{00000000-0005-0000-0000-0000638C0000}"/>
    <cellStyle name="Normal 2 2 3 5 2 2 2 3" xfId="35941" xr:uid="{00000000-0005-0000-0000-0000648C0000}"/>
    <cellStyle name="Normal 2 2 3 5 2 2 3" xfId="35942" xr:uid="{00000000-0005-0000-0000-0000658C0000}"/>
    <cellStyle name="Normal 2 2 3 5 2 2 3 2" xfId="35943" xr:uid="{00000000-0005-0000-0000-0000668C0000}"/>
    <cellStyle name="Normal 2 2 3 5 2 2 4" xfId="35944" xr:uid="{00000000-0005-0000-0000-0000678C0000}"/>
    <cellStyle name="Normal 2 2 3 5 2 3" xfId="35945" xr:uid="{00000000-0005-0000-0000-0000688C0000}"/>
    <cellStyle name="Normal 2 2 3 5 2 3 2" xfId="35946" xr:uid="{00000000-0005-0000-0000-0000698C0000}"/>
    <cellStyle name="Normal 2 2 3 5 2 3 2 2" xfId="35947" xr:uid="{00000000-0005-0000-0000-00006A8C0000}"/>
    <cellStyle name="Normal 2 2 3 5 2 3 3" xfId="35948" xr:uid="{00000000-0005-0000-0000-00006B8C0000}"/>
    <cellStyle name="Normal 2 2 3 5 2 4" xfId="35949" xr:uid="{00000000-0005-0000-0000-00006C8C0000}"/>
    <cellStyle name="Normal 2 2 3 5 2 4 2" xfId="35950" xr:uid="{00000000-0005-0000-0000-00006D8C0000}"/>
    <cellStyle name="Normal 2 2 3 5 2 4 2 2" xfId="35951" xr:uid="{00000000-0005-0000-0000-00006E8C0000}"/>
    <cellStyle name="Normal 2 2 3 5 2 4 3" xfId="35952" xr:uid="{00000000-0005-0000-0000-00006F8C0000}"/>
    <cellStyle name="Normal 2 2 3 5 2 5" xfId="35953" xr:uid="{00000000-0005-0000-0000-0000708C0000}"/>
    <cellStyle name="Normal 2 2 3 5 2 5 2" xfId="35954" xr:uid="{00000000-0005-0000-0000-0000718C0000}"/>
    <cellStyle name="Normal 2 2 3 5 2 5 2 2" xfId="35955" xr:uid="{00000000-0005-0000-0000-0000728C0000}"/>
    <cellStyle name="Normal 2 2 3 5 2 5 3" xfId="35956" xr:uid="{00000000-0005-0000-0000-0000738C0000}"/>
    <cellStyle name="Normal 2 2 3 5 2 6" xfId="35957" xr:uid="{00000000-0005-0000-0000-0000748C0000}"/>
    <cellStyle name="Normal 2 2 3 5 2 6 2" xfId="35958" xr:uid="{00000000-0005-0000-0000-0000758C0000}"/>
    <cellStyle name="Normal 2 2 3 5 2 6 2 2" xfId="35959" xr:uid="{00000000-0005-0000-0000-0000768C0000}"/>
    <cellStyle name="Normal 2 2 3 5 2 6 3" xfId="35960" xr:uid="{00000000-0005-0000-0000-0000778C0000}"/>
    <cellStyle name="Normal 2 2 3 5 2 7" xfId="35961" xr:uid="{00000000-0005-0000-0000-0000788C0000}"/>
    <cellStyle name="Normal 2 2 3 5 2 7 2" xfId="35962" xr:uid="{00000000-0005-0000-0000-0000798C0000}"/>
    <cellStyle name="Normal 2 2 3 5 2 8" xfId="35963" xr:uid="{00000000-0005-0000-0000-00007A8C0000}"/>
    <cellStyle name="Normal 2 2 3 5 3" xfId="35964" xr:uid="{00000000-0005-0000-0000-00007B8C0000}"/>
    <cellStyle name="Normal 2 2 3 5 3 2" xfId="35965" xr:uid="{00000000-0005-0000-0000-00007C8C0000}"/>
    <cellStyle name="Normal 2 2 3 5 3 2 2" xfId="35966" xr:uid="{00000000-0005-0000-0000-00007D8C0000}"/>
    <cellStyle name="Normal 2 2 3 5 3 2 2 2" xfId="35967" xr:uid="{00000000-0005-0000-0000-00007E8C0000}"/>
    <cellStyle name="Normal 2 2 3 5 3 2 2 2 2" xfId="35968" xr:uid="{00000000-0005-0000-0000-00007F8C0000}"/>
    <cellStyle name="Normal 2 2 3 5 3 2 2 3" xfId="35969" xr:uid="{00000000-0005-0000-0000-0000808C0000}"/>
    <cellStyle name="Normal 2 2 3 5 3 2 3" xfId="35970" xr:uid="{00000000-0005-0000-0000-0000818C0000}"/>
    <cellStyle name="Normal 2 2 3 5 3 2 3 2" xfId="35971" xr:uid="{00000000-0005-0000-0000-0000828C0000}"/>
    <cellStyle name="Normal 2 2 3 5 3 2 4" xfId="35972" xr:uid="{00000000-0005-0000-0000-0000838C0000}"/>
    <cellStyle name="Normal 2 2 3 5 3 3" xfId="35973" xr:uid="{00000000-0005-0000-0000-0000848C0000}"/>
    <cellStyle name="Normal 2 2 3 5 3 3 2" xfId="35974" xr:uid="{00000000-0005-0000-0000-0000858C0000}"/>
    <cellStyle name="Normal 2 2 3 5 3 3 2 2" xfId="35975" xr:uid="{00000000-0005-0000-0000-0000868C0000}"/>
    <cellStyle name="Normal 2 2 3 5 3 3 3" xfId="35976" xr:uid="{00000000-0005-0000-0000-0000878C0000}"/>
    <cellStyle name="Normal 2 2 3 5 3 4" xfId="35977" xr:uid="{00000000-0005-0000-0000-0000888C0000}"/>
    <cellStyle name="Normal 2 2 3 5 3 4 2" xfId="35978" xr:uid="{00000000-0005-0000-0000-0000898C0000}"/>
    <cellStyle name="Normal 2 2 3 5 3 4 2 2" xfId="35979" xr:uid="{00000000-0005-0000-0000-00008A8C0000}"/>
    <cellStyle name="Normal 2 2 3 5 3 4 3" xfId="35980" xr:uid="{00000000-0005-0000-0000-00008B8C0000}"/>
    <cellStyle name="Normal 2 2 3 5 3 5" xfId="35981" xr:uid="{00000000-0005-0000-0000-00008C8C0000}"/>
    <cellStyle name="Normal 2 2 3 5 3 5 2" xfId="35982" xr:uid="{00000000-0005-0000-0000-00008D8C0000}"/>
    <cellStyle name="Normal 2 2 3 5 3 5 2 2" xfId="35983" xr:uid="{00000000-0005-0000-0000-00008E8C0000}"/>
    <cellStyle name="Normal 2 2 3 5 3 5 3" xfId="35984" xr:uid="{00000000-0005-0000-0000-00008F8C0000}"/>
    <cellStyle name="Normal 2 2 3 5 3 6" xfId="35985" xr:uid="{00000000-0005-0000-0000-0000908C0000}"/>
    <cellStyle name="Normal 2 2 3 5 3 6 2" xfId="35986" xr:uid="{00000000-0005-0000-0000-0000918C0000}"/>
    <cellStyle name="Normal 2 2 3 5 3 6 2 2" xfId="35987" xr:uid="{00000000-0005-0000-0000-0000928C0000}"/>
    <cellStyle name="Normal 2 2 3 5 3 6 3" xfId="35988" xr:uid="{00000000-0005-0000-0000-0000938C0000}"/>
    <cellStyle name="Normal 2 2 3 5 3 7" xfId="35989" xr:uid="{00000000-0005-0000-0000-0000948C0000}"/>
    <cellStyle name="Normal 2 2 3 5 3 7 2" xfId="35990" xr:uid="{00000000-0005-0000-0000-0000958C0000}"/>
    <cellStyle name="Normal 2 2 3 5 3 8" xfId="35991" xr:uid="{00000000-0005-0000-0000-0000968C0000}"/>
    <cellStyle name="Normal 2 2 3 5 4" xfId="35992" xr:uid="{00000000-0005-0000-0000-0000978C0000}"/>
    <cellStyle name="Normal 2 2 3 5 4 2" xfId="35993" xr:uid="{00000000-0005-0000-0000-0000988C0000}"/>
    <cellStyle name="Normal 2 2 3 5 4 2 2" xfId="35994" xr:uid="{00000000-0005-0000-0000-0000998C0000}"/>
    <cellStyle name="Normal 2 2 3 5 4 2 2 2" xfId="35995" xr:uid="{00000000-0005-0000-0000-00009A8C0000}"/>
    <cellStyle name="Normal 2 2 3 5 4 2 2 2 2" xfId="35996" xr:uid="{00000000-0005-0000-0000-00009B8C0000}"/>
    <cellStyle name="Normal 2 2 3 5 4 2 2 3" xfId="35997" xr:uid="{00000000-0005-0000-0000-00009C8C0000}"/>
    <cellStyle name="Normal 2 2 3 5 4 2 3" xfId="35998" xr:uid="{00000000-0005-0000-0000-00009D8C0000}"/>
    <cellStyle name="Normal 2 2 3 5 4 2 3 2" xfId="35999" xr:uid="{00000000-0005-0000-0000-00009E8C0000}"/>
    <cellStyle name="Normal 2 2 3 5 4 2 4" xfId="36000" xr:uid="{00000000-0005-0000-0000-00009F8C0000}"/>
    <cellStyle name="Normal 2 2 3 5 4 3" xfId="36001" xr:uid="{00000000-0005-0000-0000-0000A08C0000}"/>
    <cellStyle name="Normal 2 2 3 5 4 3 2" xfId="36002" xr:uid="{00000000-0005-0000-0000-0000A18C0000}"/>
    <cellStyle name="Normal 2 2 3 5 4 3 2 2" xfId="36003" xr:uid="{00000000-0005-0000-0000-0000A28C0000}"/>
    <cellStyle name="Normal 2 2 3 5 4 3 3" xfId="36004" xr:uid="{00000000-0005-0000-0000-0000A38C0000}"/>
    <cellStyle name="Normal 2 2 3 5 4 4" xfId="36005" xr:uid="{00000000-0005-0000-0000-0000A48C0000}"/>
    <cellStyle name="Normal 2 2 3 5 4 4 2" xfId="36006" xr:uid="{00000000-0005-0000-0000-0000A58C0000}"/>
    <cellStyle name="Normal 2 2 3 5 4 4 2 2" xfId="36007" xr:uid="{00000000-0005-0000-0000-0000A68C0000}"/>
    <cellStyle name="Normal 2 2 3 5 4 4 3" xfId="36008" xr:uid="{00000000-0005-0000-0000-0000A78C0000}"/>
    <cellStyle name="Normal 2 2 3 5 4 5" xfId="36009" xr:uid="{00000000-0005-0000-0000-0000A88C0000}"/>
    <cellStyle name="Normal 2 2 3 5 4 5 2" xfId="36010" xr:uid="{00000000-0005-0000-0000-0000A98C0000}"/>
    <cellStyle name="Normal 2 2 3 5 4 5 2 2" xfId="36011" xr:uid="{00000000-0005-0000-0000-0000AA8C0000}"/>
    <cellStyle name="Normal 2 2 3 5 4 5 3" xfId="36012" xr:uid="{00000000-0005-0000-0000-0000AB8C0000}"/>
    <cellStyle name="Normal 2 2 3 5 4 6" xfId="36013" xr:uid="{00000000-0005-0000-0000-0000AC8C0000}"/>
    <cellStyle name="Normal 2 2 3 5 4 6 2" xfId="36014" xr:uid="{00000000-0005-0000-0000-0000AD8C0000}"/>
    <cellStyle name="Normal 2 2 3 5 4 6 2 2" xfId="36015" xr:uid="{00000000-0005-0000-0000-0000AE8C0000}"/>
    <cellStyle name="Normal 2 2 3 5 4 6 3" xfId="36016" xr:uid="{00000000-0005-0000-0000-0000AF8C0000}"/>
    <cellStyle name="Normal 2 2 3 5 4 7" xfId="36017" xr:uid="{00000000-0005-0000-0000-0000B08C0000}"/>
    <cellStyle name="Normal 2 2 3 5 4 7 2" xfId="36018" xr:uid="{00000000-0005-0000-0000-0000B18C0000}"/>
    <cellStyle name="Normal 2 2 3 5 4 8" xfId="36019" xr:uid="{00000000-0005-0000-0000-0000B28C0000}"/>
    <cellStyle name="Normal 2 2 3 5 5" xfId="36020" xr:uid="{00000000-0005-0000-0000-0000B38C0000}"/>
    <cellStyle name="Normal 2 2 3 5 5 2" xfId="36021" xr:uid="{00000000-0005-0000-0000-0000B48C0000}"/>
    <cellStyle name="Normal 2 2 3 5 5 2 2" xfId="36022" xr:uid="{00000000-0005-0000-0000-0000B58C0000}"/>
    <cellStyle name="Normal 2 2 3 5 5 2 2 2" xfId="36023" xr:uid="{00000000-0005-0000-0000-0000B68C0000}"/>
    <cellStyle name="Normal 2 2 3 5 5 2 2 2 2" xfId="36024" xr:uid="{00000000-0005-0000-0000-0000B78C0000}"/>
    <cellStyle name="Normal 2 2 3 5 5 2 2 3" xfId="36025" xr:uid="{00000000-0005-0000-0000-0000B88C0000}"/>
    <cellStyle name="Normal 2 2 3 5 5 2 3" xfId="36026" xr:uid="{00000000-0005-0000-0000-0000B98C0000}"/>
    <cellStyle name="Normal 2 2 3 5 5 2 3 2" xfId="36027" xr:uid="{00000000-0005-0000-0000-0000BA8C0000}"/>
    <cellStyle name="Normal 2 2 3 5 5 2 4" xfId="36028" xr:uid="{00000000-0005-0000-0000-0000BB8C0000}"/>
    <cellStyle name="Normal 2 2 3 5 5 3" xfId="36029" xr:uid="{00000000-0005-0000-0000-0000BC8C0000}"/>
    <cellStyle name="Normal 2 2 3 5 5 3 2" xfId="36030" xr:uid="{00000000-0005-0000-0000-0000BD8C0000}"/>
    <cellStyle name="Normal 2 2 3 5 5 3 2 2" xfId="36031" xr:uid="{00000000-0005-0000-0000-0000BE8C0000}"/>
    <cellStyle name="Normal 2 2 3 5 5 3 3" xfId="36032" xr:uid="{00000000-0005-0000-0000-0000BF8C0000}"/>
    <cellStyle name="Normal 2 2 3 5 5 4" xfId="36033" xr:uid="{00000000-0005-0000-0000-0000C08C0000}"/>
    <cellStyle name="Normal 2 2 3 5 5 4 2" xfId="36034" xr:uid="{00000000-0005-0000-0000-0000C18C0000}"/>
    <cellStyle name="Normal 2 2 3 5 5 5" xfId="36035" xr:uid="{00000000-0005-0000-0000-0000C28C0000}"/>
    <cellStyle name="Normal 2 2 3 5 6" xfId="36036" xr:uid="{00000000-0005-0000-0000-0000C38C0000}"/>
    <cellStyle name="Normal 2 2 3 5 6 2" xfId="36037" xr:uid="{00000000-0005-0000-0000-0000C48C0000}"/>
    <cellStyle name="Normal 2 2 3 5 6 2 2" xfId="36038" xr:uid="{00000000-0005-0000-0000-0000C58C0000}"/>
    <cellStyle name="Normal 2 2 3 5 6 2 2 2" xfId="36039" xr:uid="{00000000-0005-0000-0000-0000C68C0000}"/>
    <cellStyle name="Normal 2 2 3 5 6 2 2 2 2" xfId="36040" xr:uid="{00000000-0005-0000-0000-0000C78C0000}"/>
    <cellStyle name="Normal 2 2 3 5 6 2 2 3" xfId="36041" xr:uid="{00000000-0005-0000-0000-0000C88C0000}"/>
    <cellStyle name="Normal 2 2 3 5 6 2 3" xfId="36042" xr:uid="{00000000-0005-0000-0000-0000C98C0000}"/>
    <cellStyle name="Normal 2 2 3 5 6 2 3 2" xfId="36043" xr:uid="{00000000-0005-0000-0000-0000CA8C0000}"/>
    <cellStyle name="Normal 2 2 3 5 6 2 4" xfId="36044" xr:uid="{00000000-0005-0000-0000-0000CB8C0000}"/>
    <cellStyle name="Normal 2 2 3 5 6 3" xfId="36045" xr:uid="{00000000-0005-0000-0000-0000CC8C0000}"/>
    <cellStyle name="Normal 2 2 3 5 6 3 2" xfId="36046" xr:uid="{00000000-0005-0000-0000-0000CD8C0000}"/>
    <cellStyle name="Normal 2 2 3 5 6 3 2 2" xfId="36047" xr:uid="{00000000-0005-0000-0000-0000CE8C0000}"/>
    <cellStyle name="Normal 2 2 3 5 6 3 3" xfId="36048" xr:uid="{00000000-0005-0000-0000-0000CF8C0000}"/>
    <cellStyle name="Normal 2 2 3 5 6 4" xfId="36049" xr:uid="{00000000-0005-0000-0000-0000D08C0000}"/>
    <cellStyle name="Normal 2 2 3 5 6 4 2" xfId="36050" xr:uid="{00000000-0005-0000-0000-0000D18C0000}"/>
    <cellStyle name="Normal 2 2 3 5 6 5" xfId="36051" xr:uid="{00000000-0005-0000-0000-0000D28C0000}"/>
    <cellStyle name="Normal 2 2 3 5 7" xfId="36052" xr:uid="{00000000-0005-0000-0000-0000D38C0000}"/>
    <cellStyle name="Normal 2 2 3 5 7 2" xfId="36053" xr:uid="{00000000-0005-0000-0000-0000D48C0000}"/>
    <cellStyle name="Normal 2 2 3 5 7 2 2" xfId="36054" xr:uid="{00000000-0005-0000-0000-0000D58C0000}"/>
    <cellStyle name="Normal 2 2 3 5 7 2 2 2" xfId="36055" xr:uid="{00000000-0005-0000-0000-0000D68C0000}"/>
    <cellStyle name="Normal 2 2 3 5 7 2 3" xfId="36056" xr:uid="{00000000-0005-0000-0000-0000D78C0000}"/>
    <cellStyle name="Normal 2 2 3 5 7 3" xfId="36057" xr:uid="{00000000-0005-0000-0000-0000D88C0000}"/>
    <cellStyle name="Normal 2 2 3 5 7 3 2" xfId="36058" xr:uid="{00000000-0005-0000-0000-0000D98C0000}"/>
    <cellStyle name="Normal 2 2 3 5 7 4" xfId="36059" xr:uid="{00000000-0005-0000-0000-0000DA8C0000}"/>
    <cellStyle name="Normal 2 2 3 5 8" xfId="36060" xr:uid="{00000000-0005-0000-0000-0000DB8C0000}"/>
    <cellStyle name="Normal 2 2 3 5 8 2" xfId="36061" xr:uid="{00000000-0005-0000-0000-0000DC8C0000}"/>
    <cellStyle name="Normal 2 2 3 5 8 2 2" xfId="36062" xr:uid="{00000000-0005-0000-0000-0000DD8C0000}"/>
    <cellStyle name="Normal 2 2 3 5 8 2 2 2" xfId="36063" xr:uid="{00000000-0005-0000-0000-0000DE8C0000}"/>
    <cellStyle name="Normal 2 2 3 5 8 2 3" xfId="36064" xr:uid="{00000000-0005-0000-0000-0000DF8C0000}"/>
    <cellStyle name="Normal 2 2 3 5 8 3" xfId="36065" xr:uid="{00000000-0005-0000-0000-0000E08C0000}"/>
    <cellStyle name="Normal 2 2 3 5 8 3 2" xfId="36066" xr:uid="{00000000-0005-0000-0000-0000E18C0000}"/>
    <cellStyle name="Normal 2 2 3 5 8 4" xfId="36067" xr:uid="{00000000-0005-0000-0000-0000E28C0000}"/>
    <cellStyle name="Normal 2 2 3 5 9" xfId="36068" xr:uid="{00000000-0005-0000-0000-0000E38C0000}"/>
    <cellStyle name="Normal 2 2 3 5 9 2" xfId="36069" xr:uid="{00000000-0005-0000-0000-0000E48C0000}"/>
    <cellStyle name="Normal 2 2 3 5 9 2 2" xfId="36070" xr:uid="{00000000-0005-0000-0000-0000E58C0000}"/>
    <cellStyle name="Normal 2 2 3 5 9 3" xfId="36071" xr:uid="{00000000-0005-0000-0000-0000E68C0000}"/>
    <cellStyle name="Normal 2 2 3 6" xfId="36072" xr:uid="{00000000-0005-0000-0000-0000E78C0000}"/>
    <cellStyle name="Normal 2 2 3 6 10" xfId="36073" xr:uid="{00000000-0005-0000-0000-0000E88C0000}"/>
    <cellStyle name="Normal 2 2 3 6 10 2" xfId="36074" xr:uid="{00000000-0005-0000-0000-0000E98C0000}"/>
    <cellStyle name="Normal 2 2 3 6 10 2 2" xfId="36075" xr:uid="{00000000-0005-0000-0000-0000EA8C0000}"/>
    <cellStyle name="Normal 2 2 3 6 10 3" xfId="36076" xr:uid="{00000000-0005-0000-0000-0000EB8C0000}"/>
    <cellStyle name="Normal 2 2 3 6 11" xfId="36077" xr:uid="{00000000-0005-0000-0000-0000EC8C0000}"/>
    <cellStyle name="Normal 2 2 3 6 11 2" xfId="36078" xr:uid="{00000000-0005-0000-0000-0000ED8C0000}"/>
    <cellStyle name="Normal 2 2 3 6 11 2 2" xfId="36079" xr:uid="{00000000-0005-0000-0000-0000EE8C0000}"/>
    <cellStyle name="Normal 2 2 3 6 11 3" xfId="36080" xr:uid="{00000000-0005-0000-0000-0000EF8C0000}"/>
    <cellStyle name="Normal 2 2 3 6 12" xfId="36081" xr:uid="{00000000-0005-0000-0000-0000F08C0000}"/>
    <cellStyle name="Normal 2 2 3 6 12 2" xfId="36082" xr:uid="{00000000-0005-0000-0000-0000F18C0000}"/>
    <cellStyle name="Normal 2 2 3 6 12 2 2" xfId="36083" xr:uid="{00000000-0005-0000-0000-0000F28C0000}"/>
    <cellStyle name="Normal 2 2 3 6 12 3" xfId="36084" xr:uid="{00000000-0005-0000-0000-0000F38C0000}"/>
    <cellStyle name="Normal 2 2 3 6 13" xfId="36085" xr:uid="{00000000-0005-0000-0000-0000F48C0000}"/>
    <cellStyle name="Normal 2 2 3 6 13 2" xfId="36086" xr:uid="{00000000-0005-0000-0000-0000F58C0000}"/>
    <cellStyle name="Normal 2 2 3 6 14" xfId="36087" xr:uid="{00000000-0005-0000-0000-0000F68C0000}"/>
    <cellStyle name="Normal 2 2 3 6 2" xfId="36088" xr:uid="{00000000-0005-0000-0000-0000F78C0000}"/>
    <cellStyle name="Normal 2 2 3 6 2 2" xfId="36089" xr:uid="{00000000-0005-0000-0000-0000F88C0000}"/>
    <cellStyle name="Normal 2 2 3 6 2 2 2" xfId="36090" xr:uid="{00000000-0005-0000-0000-0000F98C0000}"/>
    <cellStyle name="Normal 2 2 3 6 2 2 2 2" xfId="36091" xr:uid="{00000000-0005-0000-0000-0000FA8C0000}"/>
    <cellStyle name="Normal 2 2 3 6 2 2 2 2 2" xfId="36092" xr:uid="{00000000-0005-0000-0000-0000FB8C0000}"/>
    <cellStyle name="Normal 2 2 3 6 2 2 2 3" xfId="36093" xr:uid="{00000000-0005-0000-0000-0000FC8C0000}"/>
    <cellStyle name="Normal 2 2 3 6 2 2 3" xfId="36094" xr:uid="{00000000-0005-0000-0000-0000FD8C0000}"/>
    <cellStyle name="Normal 2 2 3 6 2 2 3 2" xfId="36095" xr:uid="{00000000-0005-0000-0000-0000FE8C0000}"/>
    <cellStyle name="Normal 2 2 3 6 2 2 4" xfId="36096" xr:uid="{00000000-0005-0000-0000-0000FF8C0000}"/>
    <cellStyle name="Normal 2 2 3 6 2 3" xfId="36097" xr:uid="{00000000-0005-0000-0000-0000008D0000}"/>
    <cellStyle name="Normal 2 2 3 6 2 3 2" xfId="36098" xr:uid="{00000000-0005-0000-0000-0000018D0000}"/>
    <cellStyle name="Normal 2 2 3 6 2 3 2 2" xfId="36099" xr:uid="{00000000-0005-0000-0000-0000028D0000}"/>
    <cellStyle name="Normal 2 2 3 6 2 3 3" xfId="36100" xr:uid="{00000000-0005-0000-0000-0000038D0000}"/>
    <cellStyle name="Normal 2 2 3 6 2 4" xfId="36101" xr:uid="{00000000-0005-0000-0000-0000048D0000}"/>
    <cellStyle name="Normal 2 2 3 6 2 4 2" xfId="36102" xr:uid="{00000000-0005-0000-0000-0000058D0000}"/>
    <cellStyle name="Normal 2 2 3 6 2 4 2 2" xfId="36103" xr:uid="{00000000-0005-0000-0000-0000068D0000}"/>
    <cellStyle name="Normal 2 2 3 6 2 4 3" xfId="36104" xr:uid="{00000000-0005-0000-0000-0000078D0000}"/>
    <cellStyle name="Normal 2 2 3 6 2 5" xfId="36105" xr:uid="{00000000-0005-0000-0000-0000088D0000}"/>
    <cellStyle name="Normal 2 2 3 6 2 5 2" xfId="36106" xr:uid="{00000000-0005-0000-0000-0000098D0000}"/>
    <cellStyle name="Normal 2 2 3 6 2 5 2 2" xfId="36107" xr:uid="{00000000-0005-0000-0000-00000A8D0000}"/>
    <cellStyle name="Normal 2 2 3 6 2 5 3" xfId="36108" xr:uid="{00000000-0005-0000-0000-00000B8D0000}"/>
    <cellStyle name="Normal 2 2 3 6 2 6" xfId="36109" xr:uid="{00000000-0005-0000-0000-00000C8D0000}"/>
    <cellStyle name="Normal 2 2 3 6 2 6 2" xfId="36110" xr:uid="{00000000-0005-0000-0000-00000D8D0000}"/>
    <cellStyle name="Normal 2 2 3 6 2 6 2 2" xfId="36111" xr:uid="{00000000-0005-0000-0000-00000E8D0000}"/>
    <cellStyle name="Normal 2 2 3 6 2 6 3" xfId="36112" xr:uid="{00000000-0005-0000-0000-00000F8D0000}"/>
    <cellStyle name="Normal 2 2 3 6 2 7" xfId="36113" xr:uid="{00000000-0005-0000-0000-0000108D0000}"/>
    <cellStyle name="Normal 2 2 3 6 2 7 2" xfId="36114" xr:uid="{00000000-0005-0000-0000-0000118D0000}"/>
    <cellStyle name="Normal 2 2 3 6 2 8" xfId="36115" xr:uid="{00000000-0005-0000-0000-0000128D0000}"/>
    <cellStyle name="Normal 2 2 3 6 3" xfId="36116" xr:uid="{00000000-0005-0000-0000-0000138D0000}"/>
    <cellStyle name="Normal 2 2 3 6 3 2" xfId="36117" xr:uid="{00000000-0005-0000-0000-0000148D0000}"/>
    <cellStyle name="Normal 2 2 3 6 3 2 2" xfId="36118" xr:uid="{00000000-0005-0000-0000-0000158D0000}"/>
    <cellStyle name="Normal 2 2 3 6 3 2 2 2" xfId="36119" xr:uid="{00000000-0005-0000-0000-0000168D0000}"/>
    <cellStyle name="Normal 2 2 3 6 3 2 2 2 2" xfId="36120" xr:uid="{00000000-0005-0000-0000-0000178D0000}"/>
    <cellStyle name="Normal 2 2 3 6 3 2 2 3" xfId="36121" xr:uid="{00000000-0005-0000-0000-0000188D0000}"/>
    <cellStyle name="Normal 2 2 3 6 3 2 3" xfId="36122" xr:uid="{00000000-0005-0000-0000-0000198D0000}"/>
    <cellStyle name="Normal 2 2 3 6 3 2 3 2" xfId="36123" xr:uid="{00000000-0005-0000-0000-00001A8D0000}"/>
    <cellStyle name="Normal 2 2 3 6 3 2 4" xfId="36124" xr:uid="{00000000-0005-0000-0000-00001B8D0000}"/>
    <cellStyle name="Normal 2 2 3 6 3 3" xfId="36125" xr:uid="{00000000-0005-0000-0000-00001C8D0000}"/>
    <cellStyle name="Normal 2 2 3 6 3 3 2" xfId="36126" xr:uid="{00000000-0005-0000-0000-00001D8D0000}"/>
    <cellStyle name="Normal 2 2 3 6 3 3 2 2" xfId="36127" xr:uid="{00000000-0005-0000-0000-00001E8D0000}"/>
    <cellStyle name="Normal 2 2 3 6 3 3 3" xfId="36128" xr:uid="{00000000-0005-0000-0000-00001F8D0000}"/>
    <cellStyle name="Normal 2 2 3 6 3 4" xfId="36129" xr:uid="{00000000-0005-0000-0000-0000208D0000}"/>
    <cellStyle name="Normal 2 2 3 6 3 4 2" xfId="36130" xr:uid="{00000000-0005-0000-0000-0000218D0000}"/>
    <cellStyle name="Normal 2 2 3 6 3 4 2 2" xfId="36131" xr:uid="{00000000-0005-0000-0000-0000228D0000}"/>
    <cellStyle name="Normal 2 2 3 6 3 4 3" xfId="36132" xr:uid="{00000000-0005-0000-0000-0000238D0000}"/>
    <cellStyle name="Normal 2 2 3 6 3 5" xfId="36133" xr:uid="{00000000-0005-0000-0000-0000248D0000}"/>
    <cellStyle name="Normal 2 2 3 6 3 5 2" xfId="36134" xr:uid="{00000000-0005-0000-0000-0000258D0000}"/>
    <cellStyle name="Normal 2 2 3 6 3 5 2 2" xfId="36135" xr:uid="{00000000-0005-0000-0000-0000268D0000}"/>
    <cellStyle name="Normal 2 2 3 6 3 5 3" xfId="36136" xr:uid="{00000000-0005-0000-0000-0000278D0000}"/>
    <cellStyle name="Normal 2 2 3 6 3 6" xfId="36137" xr:uid="{00000000-0005-0000-0000-0000288D0000}"/>
    <cellStyle name="Normal 2 2 3 6 3 6 2" xfId="36138" xr:uid="{00000000-0005-0000-0000-0000298D0000}"/>
    <cellStyle name="Normal 2 2 3 6 3 6 2 2" xfId="36139" xr:uid="{00000000-0005-0000-0000-00002A8D0000}"/>
    <cellStyle name="Normal 2 2 3 6 3 6 3" xfId="36140" xr:uid="{00000000-0005-0000-0000-00002B8D0000}"/>
    <cellStyle name="Normal 2 2 3 6 3 7" xfId="36141" xr:uid="{00000000-0005-0000-0000-00002C8D0000}"/>
    <cellStyle name="Normal 2 2 3 6 3 7 2" xfId="36142" xr:uid="{00000000-0005-0000-0000-00002D8D0000}"/>
    <cellStyle name="Normal 2 2 3 6 3 8" xfId="36143" xr:uid="{00000000-0005-0000-0000-00002E8D0000}"/>
    <cellStyle name="Normal 2 2 3 6 4" xfId="36144" xr:uid="{00000000-0005-0000-0000-00002F8D0000}"/>
    <cellStyle name="Normal 2 2 3 6 4 2" xfId="36145" xr:uid="{00000000-0005-0000-0000-0000308D0000}"/>
    <cellStyle name="Normal 2 2 3 6 4 2 2" xfId="36146" xr:uid="{00000000-0005-0000-0000-0000318D0000}"/>
    <cellStyle name="Normal 2 2 3 6 4 2 2 2" xfId="36147" xr:uid="{00000000-0005-0000-0000-0000328D0000}"/>
    <cellStyle name="Normal 2 2 3 6 4 2 2 2 2" xfId="36148" xr:uid="{00000000-0005-0000-0000-0000338D0000}"/>
    <cellStyle name="Normal 2 2 3 6 4 2 2 3" xfId="36149" xr:uid="{00000000-0005-0000-0000-0000348D0000}"/>
    <cellStyle name="Normal 2 2 3 6 4 2 3" xfId="36150" xr:uid="{00000000-0005-0000-0000-0000358D0000}"/>
    <cellStyle name="Normal 2 2 3 6 4 2 3 2" xfId="36151" xr:uid="{00000000-0005-0000-0000-0000368D0000}"/>
    <cellStyle name="Normal 2 2 3 6 4 2 4" xfId="36152" xr:uid="{00000000-0005-0000-0000-0000378D0000}"/>
    <cellStyle name="Normal 2 2 3 6 4 3" xfId="36153" xr:uid="{00000000-0005-0000-0000-0000388D0000}"/>
    <cellStyle name="Normal 2 2 3 6 4 3 2" xfId="36154" xr:uid="{00000000-0005-0000-0000-0000398D0000}"/>
    <cellStyle name="Normal 2 2 3 6 4 3 2 2" xfId="36155" xr:uid="{00000000-0005-0000-0000-00003A8D0000}"/>
    <cellStyle name="Normal 2 2 3 6 4 3 3" xfId="36156" xr:uid="{00000000-0005-0000-0000-00003B8D0000}"/>
    <cellStyle name="Normal 2 2 3 6 4 4" xfId="36157" xr:uid="{00000000-0005-0000-0000-00003C8D0000}"/>
    <cellStyle name="Normal 2 2 3 6 4 4 2" xfId="36158" xr:uid="{00000000-0005-0000-0000-00003D8D0000}"/>
    <cellStyle name="Normal 2 2 3 6 4 4 2 2" xfId="36159" xr:uid="{00000000-0005-0000-0000-00003E8D0000}"/>
    <cellStyle name="Normal 2 2 3 6 4 4 3" xfId="36160" xr:uid="{00000000-0005-0000-0000-00003F8D0000}"/>
    <cellStyle name="Normal 2 2 3 6 4 5" xfId="36161" xr:uid="{00000000-0005-0000-0000-0000408D0000}"/>
    <cellStyle name="Normal 2 2 3 6 4 5 2" xfId="36162" xr:uid="{00000000-0005-0000-0000-0000418D0000}"/>
    <cellStyle name="Normal 2 2 3 6 4 5 2 2" xfId="36163" xr:uid="{00000000-0005-0000-0000-0000428D0000}"/>
    <cellStyle name="Normal 2 2 3 6 4 5 3" xfId="36164" xr:uid="{00000000-0005-0000-0000-0000438D0000}"/>
    <cellStyle name="Normal 2 2 3 6 4 6" xfId="36165" xr:uid="{00000000-0005-0000-0000-0000448D0000}"/>
    <cellStyle name="Normal 2 2 3 6 4 6 2" xfId="36166" xr:uid="{00000000-0005-0000-0000-0000458D0000}"/>
    <cellStyle name="Normal 2 2 3 6 4 6 2 2" xfId="36167" xr:uid="{00000000-0005-0000-0000-0000468D0000}"/>
    <cellStyle name="Normal 2 2 3 6 4 6 3" xfId="36168" xr:uid="{00000000-0005-0000-0000-0000478D0000}"/>
    <cellStyle name="Normal 2 2 3 6 4 7" xfId="36169" xr:uid="{00000000-0005-0000-0000-0000488D0000}"/>
    <cellStyle name="Normal 2 2 3 6 4 7 2" xfId="36170" xr:uid="{00000000-0005-0000-0000-0000498D0000}"/>
    <cellStyle name="Normal 2 2 3 6 4 8" xfId="36171" xr:uid="{00000000-0005-0000-0000-00004A8D0000}"/>
    <cellStyle name="Normal 2 2 3 6 5" xfId="36172" xr:uid="{00000000-0005-0000-0000-00004B8D0000}"/>
    <cellStyle name="Normal 2 2 3 6 5 2" xfId="36173" xr:uid="{00000000-0005-0000-0000-00004C8D0000}"/>
    <cellStyle name="Normal 2 2 3 6 5 2 2" xfId="36174" xr:uid="{00000000-0005-0000-0000-00004D8D0000}"/>
    <cellStyle name="Normal 2 2 3 6 5 2 2 2" xfId="36175" xr:uid="{00000000-0005-0000-0000-00004E8D0000}"/>
    <cellStyle name="Normal 2 2 3 6 5 2 2 2 2" xfId="36176" xr:uid="{00000000-0005-0000-0000-00004F8D0000}"/>
    <cellStyle name="Normal 2 2 3 6 5 2 2 3" xfId="36177" xr:uid="{00000000-0005-0000-0000-0000508D0000}"/>
    <cellStyle name="Normal 2 2 3 6 5 2 3" xfId="36178" xr:uid="{00000000-0005-0000-0000-0000518D0000}"/>
    <cellStyle name="Normal 2 2 3 6 5 2 3 2" xfId="36179" xr:uid="{00000000-0005-0000-0000-0000528D0000}"/>
    <cellStyle name="Normal 2 2 3 6 5 2 4" xfId="36180" xr:uid="{00000000-0005-0000-0000-0000538D0000}"/>
    <cellStyle name="Normal 2 2 3 6 5 3" xfId="36181" xr:uid="{00000000-0005-0000-0000-0000548D0000}"/>
    <cellStyle name="Normal 2 2 3 6 5 3 2" xfId="36182" xr:uid="{00000000-0005-0000-0000-0000558D0000}"/>
    <cellStyle name="Normal 2 2 3 6 5 3 2 2" xfId="36183" xr:uid="{00000000-0005-0000-0000-0000568D0000}"/>
    <cellStyle name="Normal 2 2 3 6 5 3 3" xfId="36184" xr:uid="{00000000-0005-0000-0000-0000578D0000}"/>
    <cellStyle name="Normal 2 2 3 6 5 4" xfId="36185" xr:uid="{00000000-0005-0000-0000-0000588D0000}"/>
    <cellStyle name="Normal 2 2 3 6 5 4 2" xfId="36186" xr:uid="{00000000-0005-0000-0000-0000598D0000}"/>
    <cellStyle name="Normal 2 2 3 6 5 5" xfId="36187" xr:uid="{00000000-0005-0000-0000-00005A8D0000}"/>
    <cellStyle name="Normal 2 2 3 6 6" xfId="36188" xr:uid="{00000000-0005-0000-0000-00005B8D0000}"/>
    <cellStyle name="Normal 2 2 3 6 6 2" xfId="36189" xr:uid="{00000000-0005-0000-0000-00005C8D0000}"/>
    <cellStyle name="Normal 2 2 3 6 6 2 2" xfId="36190" xr:uid="{00000000-0005-0000-0000-00005D8D0000}"/>
    <cellStyle name="Normal 2 2 3 6 6 2 2 2" xfId="36191" xr:uid="{00000000-0005-0000-0000-00005E8D0000}"/>
    <cellStyle name="Normal 2 2 3 6 6 2 2 2 2" xfId="36192" xr:uid="{00000000-0005-0000-0000-00005F8D0000}"/>
    <cellStyle name="Normal 2 2 3 6 6 2 2 3" xfId="36193" xr:uid="{00000000-0005-0000-0000-0000608D0000}"/>
    <cellStyle name="Normal 2 2 3 6 6 2 3" xfId="36194" xr:uid="{00000000-0005-0000-0000-0000618D0000}"/>
    <cellStyle name="Normal 2 2 3 6 6 2 3 2" xfId="36195" xr:uid="{00000000-0005-0000-0000-0000628D0000}"/>
    <cellStyle name="Normal 2 2 3 6 6 2 4" xfId="36196" xr:uid="{00000000-0005-0000-0000-0000638D0000}"/>
    <cellStyle name="Normal 2 2 3 6 6 3" xfId="36197" xr:uid="{00000000-0005-0000-0000-0000648D0000}"/>
    <cellStyle name="Normal 2 2 3 6 6 3 2" xfId="36198" xr:uid="{00000000-0005-0000-0000-0000658D0000}"/>
    <cellStyle name="Normal 2 2 3 6 6 3 2 2" xfId="36199" xr:uid="{00000000-0005-0000-0000-0000668D0000}"/>
    <cellStyle name="Normal 2 2 3 6 6 3 3" xfId="36200" xr:uid="{00000000-0005-0000-0000-0000678D0000}"/>
    <cellStyle name="Normal 2 2 3 6 6 4" xfId="36201" xr:uid="{00000000-0005-0000-0000-0000688D0000}"/>
    <cellStyle name="Normal 2 2 3 6 6 4 2" xfId="36202" xr:uid="{00000000-0005-0000-0000-0000698D0000}"/>
    <cellStyle name="Normal 2 2 3 6 6 5" xfId="36203" xr:uid="{00000000-0005-0000-0000-00006A8D0000}"/>
    <cellStyle name="Normal 2 2 3 6 7" xfId="36204" xr:uid="{00000000-0005-0000-0000-00006B8D0000}"/>
    <cellStyle name="Normal 2 2 3 6 7 2" xfId="36205" xr:uid="{00000000-0005-0000-0000-00006C8D0000}"/>
    <cellStyle name="Normal 2 2 3 6 7 2 2" xfId="36206" xr:uid="{00000000-0005-0000-0000-00006D8D0000}"/>
    <cellStyle name="Normal 2 2 3 6 7 2 2 2" xfId="36207" xr:uid="{00000000-0005-0000-0000-00006E8D0000}"/>
    <cellStyle name="Normal 2 2 3 6 7 2 3" xfId="36208" xr:uid="{00000000-0005-0000-0000-00006F8D0000}"/>
    <cellStyle name="Normal 2 2 3 6 7 3" xfId="36209" xr:uid="{00000000-0005-0000-0000-0000708D0000}"/>
    <cellStyle name="Normal 2 2 3 6 7 3 2" xfId="36210" xr:uid="{00000000-0005-0000-0000-0000718D0000}"/>
    <cellStyle name="Normal 2 2 3 6 7 4" xfId="36211" xr:uid="{00000000-0005-0000-0000-0000728D0000}"/>
    <cellStyle name="Normal 2 2 3 6 8" xfId="36212" xr:uid="{00000000-0005-0000-0000-0000738D0000}"/>
    <cellStyle name="Normal 2 2 3 6 8 2" xfId="36213" xr:uid="{00000000-0005-0000-0000-0000748D0000}"/>
    <cellStyle name="Normal 2 2 3 6 8 2 2" xfId="36214" xr:uid="{00000000-0005-0000-0000-0000758D0000}"/>
    <cellStyle name="Normal 2 2 3 6 8 2 2 2" xfId="36215" xr:uid="{00000000-0005-0000-0000-0000768D0000}"/>
    <cellStyle name="Normal 2 2 3 6 8 2 3" xfId="36216" xr:uid="{00000000-0005-0000-0000-0000778D0000}"/>
    <cellStyle name="Normal 2 2 3 6 8 3" xfId="36217" xr:uid="{00000000-0005-0000-0000-0000788D0000}"/>
    <cellStyle name="Normal 2 2 3 6 8 3 2" xfId="36218" xr:uid="{00000000-0005-0000-0000-0000798D0000}"/>
    <cellStyle name="Normal 2 2 3 6 8 4" xfId="36219" xr:uid="{00000000-0005-0000-0000-00007A8D0000}"/>
    <cellStyle name="Normal 2 2 3 6 9" xfId="36220" xr:uid="{00000000-0005-0000-0000-00007B8D0000}"/>
    <cellStyle name="Normal 2 2 3 6 9 2" xfId="36221" xr:uid="{00000000-0005-0000-0000-00007C8D0000}"/>
    <cellStyle name="Normal 2 2 3 6 9 2 2" xfId="36222" xr:uid="{00000000-0005-0000-0000-00007D8D0000}"/>
    <cellStyle name="Normal 2 2 3 6 9 3" xfId="36223" xr:uid="{00000000-0005-0000-0000-00007E8D0000}"/>
    <cellStyle name="Normal 2 2 3 7" xfId="36224" xr:uid="{00000000-0005-0000-0000-00007F8D0000}"/>
    <cellStyle name="Normal 2 2 3 7 10" xfId="36225" xr:uid="{00000000-0005-0000-0000-0000808D0000}"/>
    <cellStyle name="Normal 2 2 3 7 10 2" xfId="36226" xr:uid="{00000000-0005-0000-0000-0000818D0000}"/>
    <cellStyle name="Normal 2 2 3 7 10 2 2" xfId="36227" xr:uid="{00000000-0005-0000-0000-0000828D0000}"/>
    <cellStyle name="Normal 2 2 3 7 10 3" xfId="36228" xr:uid="{00000000-0005-0000-0000-0000838D0000}"/>
    <cellStyle name="Normal 2 2 3 7 11" xfId="36229" xr:uid="{00000000-0005-0000-0000-0000848D0000}"/>
    <cellStyle name="Normal 2 2 3 7 11 2" xfId="36230" xr:uid="{00000000-0005-0000-0000-0000858D0000}"/>
    <cellStyle name="Normal 2 2 3 7 11 2 2" xfId="36231" xr:uid="{00000000-0005-0000-0000-0000868D0000}"/>
    <cellStyle name="Normal 2 2 3 7 11 3" xfId="36232" xr:uid="{00000000-0005-0000-0000-0000878D0000}"/>
    <cellStyle name="Normal 2 2 3 7 12" xfId="36233" xr:uid="{00000000-0005-0000-0000-0000888D0000}"/>
    <cellStyle name="Normal 2 2 3 7 12 2" xfId="36234" xr:uid="{00000000-0005-0000-0000-0000898D0000}"/>
    <cellStyle name="Normal 2 2 3 7 12 2 2" xfId="36235" xr:uid="{00000000-0005-0000-0000-00008A8D0000}"/>
    <cellStyle name="Normal 2 2 3 7 12 3" xfId="36236" xr:uid="{00000000-0005-0000-0000-00008B8D0000}"/>
    <cellStyle name="Normal 2 2 3 7 13" xfId="36237" xr:uid="{00000000-0005-0000-0000-00008C8D0000}"/>
    <cellStyle name="Normal 2 2 3 7 13 2" xfId="36238" xr:uid="{00000000-0005-0000-0000-00008D8D0000}"/>
    <cellStyle name="Normal 2 2 3 7 14" xfId="36239" xr:uid="{00000000-0005-0000-0000-00008E8D0000}"/>
    <cellStyle name="Normal 2 2 3 7 2" xfId="36240" xr:uid="{00000000-0005-0000-0000-00008F8D0000}"/>
    <cellStyle name="Normal 2 2 3 7 2 2" xfId="36241" xr:uid="{00000000-0005-0000-0000-0000908D0000}"/>
    <cellStyle name="Normal 2 2 3 7 2 2 2" xfId="36242" xr:uid="{00000000-0005-0000-0000-0000918D0000}"/>
    <cellStyle name="Normal 2 2 3 7 2 2 2 2" xfId="36243" xr:uid="{00000000-0005-0000-0000-0000928D0000}"/>
    <cellStyle name="Normal 2 2 3 7 2 2 2 2 2" xfId="36244" xr:uid="{00000000-0005-0000-0000-0000938D0000}"/>
    <cellStyle name="Normal 2 2 3 7 2 2 2 3" xfId="36245" xr:uid="{00000000-0005-0000-0000-0000948D0000}"/>
    <cellStyle name="Normal 2 2 3 7 2 2 3" xfId="36246" xr:uid="{00000000-0005-0000-0000-0000958D0000}"/>
    <cellStyle name="Normal 2 2 3 7 2 2 3 2" xfId="36247" xr:uid="{00000000-0005-0000-0000-0000968D0000}"/>
    <cellStyle name="Normal 2 2 3 7 2 2 4" xfId="36248" xr:uid="{00000000-0005-0000-0000-0000978D0000}"/>
    <cellStyle name="Normal 2 2 3 7 2 3" xfId="36249" xr:uid="{00000000-0005-0000-0000-0000988D0000}"/>
    <cellStyle name="Normal 2 2 3 7 2 3 2" xfId="36250" xr:uid="{00000000-0005-0000-0000-0000998D0000}"/>
    <cellStyle name="Normal 2 2 3 7 2 3 2 2" xfId="36251" xr:uid="{00000000-0005-0000-0000-00009A8D0000}"/>
    <cellStyle name="Normal 2 2 3 7 2 3 3" xfId="36252" xr:uid="{00000000-0005-0000-0000-00009B8D0000}"/>
    <cellStyle name="Normal 2 2 3 7 2 4" xfId="36253" xr:uid="{00000000-0005-0000-0000-00009C8D0000}"/>
    <cellStyle name="Normal 2 2 3 7 2 4 2" xfId="36254" xr:uid="{00000000-0005-0000-0000-00009D8D0000}"/>
    <cellStyle name="Normal 2 2 3 7 2 4 2 2" xfId="36255" xr:uid="{00000000-0005-0000-0000-00009E8D0000}"/>
    <cellStyle name="Normal 2 2 3 7 2 4 3" xfId="36256" xr:uid="{00000000-0005-0000-0000-00009F8D0000}"/>
    <cellStyle name="Normal 2 2 3 7 2 5" xfId="36257" xr:uid="{00000000-0005-0000-0000-0000A08D0000}"/>
    <cellStyle name="Normal 2 2 3 7 2 5 2" xfId="36258" xr:uid="{00000000-0005-0000-0000-0000A18D0000}"/>
    <cellStyle name="Normal 2 2 3 7 2 5 2 2" xfId="36259" xr:uid="{00000000-0005-0000-0000-0000A28D0000}"/>
    <cellStyle name="Normal 2 2 3 7 2 5 3" xfId="36260" xr:uid="{00000000-0005-0000-0000-0000A38D0000}"/>
    <cellStyle name="Normal 2 2 3 7 2 6" xfId="36261" xr:uid="{00000000-0005-0000-0000-0000A48D0000}"/>
    <cellStyle name="Normal 2 2 3 7 2 6 2" xfId="36262" xr:uid="{00000000-0005-0000-0000-0000A58D0000}"/>
    <cellStyle name="Normal 2 2 3 7 2 6 2 2" xfId="36263" xr:uid="{00000000-0005-0000-0000-0000A68D0000}"/>
    <cellStyle name="Normal 2 2 3 7 2 6 3" xfId="36264" xr:uid="{00000000-0005-0000-0000-0000A78D0000}"/>
    <cellStyle name="Normal 2 2 3 7 2 7" xfId="36265" xr:uid="{00000000-0005-0000-0000-0000A88D0000}"/>
    <cellStyle name="Normal 2 2 3 7 2 7 2" xfId="36266" xr:uid="{00000000-0005-0000-0000-0000A98D0000}"/>
    <cellStyle name="Normal 2 2 3 7 2 8" xfId="36267" xr:uid="{00000000-0005-0000-0000-0000AA8D0000}"/>
    <cellStyle name="Normal 2 2 3 7 3" xfId="36268" xr:uid="{00000000-0005-0000-0000-0000AB8D0000}"/>
    <cellStyle name="Normal 2 2 3 7 3 2" xfId="36269" xr:uid="{00000000-0005-0000-0000-0000AC8D0000}"/>
    <cellStyle name="Normal 2 2 3 7 3 2 2" xfId="36270" xr:uid="{00000000-0005-0000-0000-0000AD8D0000}"/>
    <cellStyle name="Normal 2 2 3 7 3 2 2 2" xfId="36271" xr:uid="{00000000-0005-0000-0000-0000AE8D0000}"/>
    <cellStyle name="Normal 2 2 3 7 3 2 2 2 2" xfId="36272" xr:uid="{00000000-0005-0000-0000-0000AF8D0000}"/>
    <cellStyle name="Normal 2 2 3 7 3 2 2 3" xfId="36273" xr:uid="{00000000-0005-0000-0000-0000B08D0000}"/>
    <cellStyle name="Normal 2 2 3 7 3 2 3" xfId="36274" xr:uid="{00000000-0005-0000-0000-0000B18D0000}"/>
    <cellStyle name="Normal 2 2 3 7 3 2 3 2" xfId="36275" xr:uid="{00000000-0005-0000-0000-0000B28D0000}"/>
    <cellStyle name="Normal 2 2 3 7 3 2 4" xfId="36276" xr:uid="{00000000-0005-0000-0000-0000B38D0000}"/>
    <cellStyle name="Normal 2 2 3 7 3 3" xfId="36277" xr:uid="{00000000-0005-0000-0000-0000B48D0000}"/>
    <cellStyle name="Normal 2 2 3 7 3 3 2" xfId="36278" xr:uid="{00000000-0005-0000-0000-0000B58D0000}"/>
    <cellStyle name="Normal 2 2 3 7 3 3 2 2" xfId="36279" xr:uid="{00000000-0005-0000-0000-0000B68D0000}"/>
    <cellStyle name="Normal 2 2 3 7 3 3 3" xfId="36280" xr:uid="{00000000-0005-0000-0000-0000B78D0000}"/>
    <cellStyle name="Normal 2 2 3 7 3 4" xfId="36281" xr:uid="{00000000-0005-0000-0000-0000B88D0000}"/>
    <cellStyle name="Normal 2 2 3 7 3 4 2" xfId="36282" xr:uid="{00000000-0005-0000-0000-0000B98D0000}"/>
    <cellStyle name="Normal 2 2 3 7 3 4 2 2" xfId="36283" xr:uid="{00000000-0005-0000-0000-0000BA8D0000}"/>
    <cellStyle name="Normal 2 2 3 7 3 4 3" xfId="36284" xr:uid="{00000000-0005-0000-0000-0000BB8D0000}"/>
    <cellStyle name="Normal 2 2 3 7 3 5" xfId="36285" xr:uid="{00000000-0005-0000-0000-0000BC8D0000}"/>
    <cellStyle name="Normal 2 2 3 7 3 5 2" xfId="36286" xr:uid="{00000000-0005-0000-0000-0000BD8D0000}"/>
    <cellStyle name="Normal 2 2 3 7 3 5 2 2" xfId="36287" xr:uid="{00000000-0005-0000-0000-0000BE8D0000}"/>
    <cellStyle name="Normal 2 2 3 7 3 5 3" xfId="36288" xr:uid="{00000000-0005-0000-0000-0000BF8D0000}"/>
    <cellStyle name="Normal 2 2 3 7 3 6" xfId="36289" xr:uid="{00000000-0005-0000-0000-0000C08D0000}"/>
    <cellStyle name="Normal 2 2 3 7 3 6 2" xfId="36290" xr:uid="{00000000-0005-0000-0000-0000C18D0000}"/>
    <cellStyle name="Normal 2 2 3 7 3 6 2 2" xfId="36291" xr:uid="{00000000-0005-0000-0000-0000C28D0000}"/>
    <cellStyle name="Normal 2 2 3 7 3 6 3" xfId="36292" xr:uid="{00000000-0005-0000-0000-0000C38D0000}"/>
    <cellStyle name="Normal 2 2 3 7 3 7" xfId="36293" xr:uid="{00000000-0005-0000-0000-0000C48D0000}"/>
    <cellStyle name="Normal 2 2 3 7 3 7 2" xfId="36294" xr:uid="{00000000-0005-0000-0000-0000C58D0000}"/>
    <cellStyle name="Normal 2 2 3 7 3 8" xfId="36295" xr:uid="{00000000-0005-0000-0000-0000C68D0000}"/>
    <cellStyle name="Normal 2 2 3 7 4" xfId="36296" xr:uid="{00000000-0005-0000-0000-0000C78D0000}"/>
    <cellStyle name="Normal 2 2 3 7 4 2" xfId="36297" xr:uid="{00000000-0005-0000-0000-0000C88D0000}"/>
    <cellStyle name="Normal 2 2 3 7 4 2 2" xfId="36298" xr:uid="{00000000-0005-0000-0000-0000C98D0000}"/>
    <cellStyle name="Normal 2 2 3 7 4 2 2 2" xfId="36299" xr:uid="{00000000-0005-0000-0000-0000CA8D0000}"/>
    <cellStyle name="Normal 2 2 3 7 4 2 2 2 2" xfId="36300" xr:uid="{00000000-0005-0000-0000-0000CB8D0000}"/>
    <cellStyle name="Normal 2 2 3 7 4 2 2 3" xfId="36301" xr:uid="{00000000-0005-0000-0000-0000CC8D0000}"/>
    <cellStyle name="Normal 2 2 3 7 4 2 3" xfId="36302" xr:uid="{00000000-0005-0000-0000-0000CD8D0000}"/>
    <cellStyle name="Normal 2 2 3 7 4 2 3 2" xfId="36303" xr:uid="{00000000-0005-0000-0000-0000CE8D0000}"/>
    <cellStyle name="Normal 2 2 3 7 4 2 4" xfId="36304" xr:uid="{00000000-0005-0000-0000-0000CF8D0000}"/>
    <cellStyle name="Normal 2 2 3 7 4 3" xfId="36305" xr:uid="{00000000-0005-0000-0000-0000D08D0000}"/>
    <cellStyle name="Normal 2 2 3 7 4 3 2" xfId="36306" xr:uid="{00000000-0005-0000-0000-0000D18D0000}"/>
    <cellStyle name="Normal 2 2 3 7 4 3 2 2" xfId="36307" xr:uid="{00000000-0005-0000-0000-0000D28D0000}"/>
    <cellStyle name="Normal 2 2 3 7 4 3 3" xfId="36308" xr:uid="{00000000-0005-0000-0000-0000D38D0000}"/>
    <cellStyle name="Normal 2 2 3 7 4 4" xfId="36309" xr:uid="{00000000-0005-0000-0000-0000D48D0000}"/>
    <cellStyle name="Normal 2 2 3 7 4 4 2" xfId="36310" xr:uid="{00000000-0005-0000-0000-0000D58D0000}"/>
    <cellStyle name="Normal 2 2 3 7 4 4 2 2" xfId="36311" xr:uid="{00000000-0005-0000-0000-0000D68D0000}"/>
    <cellStyle name="Normal 2 2 3 7 4 4 3" xfId="36312" xr:uid="{00000000-0005-0000-0000-0000D78D0000}"/>
    <cellStyle name="Normal 2 2 3 7 4 5" xfId="36313" xr:uid="{00000000-0005-0000-0000-0000D88D0000}"/>
    <cellStyle name="Normal 2 2 3 7 4 5 2" xfId="36314" xr:uid="{00000000-0005-0000-0000-0000D98D0000}"/>
    <cellStyle name="Normal 2 2 3 7 4 5 2 2" xfId="36315" xr:uid="{00000000-0005-0000-0000-0000DA8D0000}"/>
    <cellStyle name="Normal 2 2 3 7 4 5 3" xfId="36316" xr:uid="{00000000-0005-0000-0000-0000DB8D0000}"/>
    <cellStyle name="Normal 2 2 3 7 4 6" xfId="36317" xr:uid="{00000000-0005-0000-0000-0000DC8D0000}"/>
    <cellStyle name="Normal 2 2 3 7 4 6 2" xfId="36318" xr:uid="{00000000-0005-0000-0000-0000DD8D0000}"/>
    <cellStyle name="Normal 2 2 3 7 4 6 2 2" xfId="36319" xr:uid="{00000000-0005-0000-0000-0000DE8D0000}"/>
    <cellStyle name="Normal 2 2 3 7 4 6 3" xfId="36320" xr:uid="{00000000-0005-0000-0000-0000DF8D0000}"/>
    <cellStyle name="Normal 2 2 3 7 4 7" xfId="36321" xr:uid="{00000000-0005-0000-0000-0000E08D0000}"/>
    <cellStyle name="Normal 2 2 3 7 4 7 2" xfId="36322" xr:uid="{00000000-0005-0000-0000-0000E18D0000}"/>
    <cellStyle name="Normal 2 2 3 7 4 8" xfId="36323" xr:uid="{00000000-0005-0000-0000-0000E28D0000}"/>
    <cellStyle name="Normal 2 2 3 7 5" xfId="36324" xr:uid="{00000000-0005-0000-0000-0000E38D0000}"/>
    <cellStyle name="Normal 2 2 3 7 5 2" xfId="36325" xr:uid="{00000000-0005-0000-0000-0000E48D0000}"/>
    <cellStyle name="Normal 2 2 3 7 5 2 2" xfId="36326" xr:uid="{00000000-0005-0000-0000-0000E58D0000}"/>
    <cellStyle name="Normal 2 2 3 7 5 2 2 2" xfId="36327" xr:uid="{00000000-0005-0000-0000-0000E68D0000}"/>
    <cellStyle name="Normal 2 2 3 7 5 2 2 2 2" xfId="36328" xr:uid="{00000000-0005-0000-0000-0000E78D0000}"/>
    <cellStyle name="Normal 2 2 3 7 5 2 2 3" xfId="36329" xr:uid="{00000000-0005-0000-0000-0000E88D0000}"/>
    <cellStyle name="Normal 2 2 3 7 5 2 3" xfId="36330" xr:uid="{00000000-0005-0000-0000-0000E98D0000}"/>
    <cellStyle name="Normal 2 2 3 7 5 2 3 2" xfId="36331" xr:uid="{00000000-0005-0000-0000-0000EA8D0000}"/>
    <cellStyle name="Normal 2 2 3 7 5 2 4" xfId="36332" xr:uid="{00000000-0005-0000-0000-0000EB8D0000}"/>
    <cellStyle name="Normal 2 2 3 7 5 3" xfId="36333" xr:uid="{00000000-0005-0000-0000-0000EC8D0000}"/>
    <cellStyle name="Normal 2 2 3 7 5 3 2" xfId="36334" xr:uid="{00000000-0005-0000-0000-0000ED8D0000}"/>
    <cellStyle name="Normal 2 2 3 7 5 3 2 2" xfId="36335" xr:uid="{00000000-0005-0000-0000-0000EE8D0000}"/>
    <cellStyle name="Normal 2 2 3 7 5 3 3" xfId="36336" xr:uid="{00000000-0005-0000-0000-0000EF8D0000}"/>
    <cellStyle name="Normal 2 2 3 7 5 4" xfId="36337" xr:uid="{00000000-0005-0000-0000-0000F08D0000}"/>
    <cellStyle name="Normal 2 2 3 7 5 4 2" xfId="36338" xr:uid="{00000000-0005-0000-0000-0000F18D0000}"/>
    <cellStyle name="Normal 2 2 3 7 5 5" xfId="36339" xr:uid="{00000000-0005-0000-0000-0000F28D0000}"/>
    <cellStyle name="Normal 2 2 3 7 6" xfId="36340" xr:uid="{00000000-0005-0000-0000-0000F38D0000}"/>
    <cellStyle name="Normal 2 2 3 7 6 2" xfId="36341" xr:uid="{00000000-0005-0000-0000-0000F48D0000}"/>
    <cellStyle name="Normal 2 2 3 7 6 2 2" xfId="36342" xr:uid="{00000000-0005-0000-0000-0000F58D0000}"/>
    <cellStyle name="Normal 2 2 3 7 6 2 2 2" xfId="36343" xr:uid="{00000000-0005-0000-0000-0000F68D0000}"/>
    <cellStyle name="Normal 2 2 3 7 6 2 2 2 2" xfId="36344" xr:uid="{00000000-0005-0000-0000-0000F78D0000}"/>
    <cellStyle name="Normal 2 2 3 7 6 2 2 3" xfId="36345" xr:uid="{00000000-0005-0000-0000-0000F88D0000}"/>
    <cellStyle name="Normal 2 2 3 7 6 2 3" xfId="36346" xr:uid="{00000000-0005-0000-0000-0000F98D0000}"/>
    <cellStyle name="Normal 2 2 3 7 6 2 3 2" xfId="36347" xr:uid="{00000000-0005-0000-0000-0000FA8D0000}"/>
    <cellStyle name="Normal 2 2 3 7 6 2 4" xfId="36348" xr:uid="{00000000-0005-0000-0000-0000FB8D0000}"/>
    <cellStyle name="Normal 2 2 3 7 6 3" xfId="36349" xr:uid="{00000000-0005-0000-0000-0000FC8D0000}"/>
    <cellStyle name="Normal 2 2 3 7 6 3 2" xfId="36350" xr:uid="{00000000-0005-0000-0000-0000FD8D0000}"/>
    <cellStyle name="Normal 2 2 3 7 6 3 2 2" xfId="36351" xr:uid="{00000000-0005-0000-0000-0000FE8D0000}"/>
    <cellStyle name="Normal 2 2 3 7 6 3 3" xfId="36352" xr:uid="{00000000-0005-0000-0000-0000FF8D0000}"/>
    <cellStyle name="Normal 2 2 3 7 6 4" xfId="36353" xr:uid="{00000000-0005-0000-0000-0000008E0000}"/>
    <cellStyle name="Normal 2 2 3 7 6 4 2" xfId="36354" xr:uid="{00000000-0005-0000-0000-0000018E0000}"/>
    <cellStyle name="Normal 2 2 3 7 6 5" xfId="36355" xr:uid="{00000000-0005-0000-0000-0000028E0000}"/>
    <cellStyle name="Normal 2 2 3 7 7" xfId="36356" xr:uid="{00000000-0005-0000-0000-0000038E0000}"/>
    <cellStyle name="Normal 2 2 3 7 7 2" xfId="36357" xr:uid="{00000000-0005-0000-0000-0000048E0000}"/>
    <cellStyle name="Normal 2 2 3 7 7 2 2" xfId="36358" xr:uid="{00000000-0005-0000-0000-0000058E0000}"/>
    <cellStyle name="Normal 2 2 3 7 7 2 2 2" xfId="36359" xr:uid="{00000000-0005-0000-0000-0000068E0000}"/>
    <cellStyle name="Normal 2 2 3 7 7 2 3" xfId="36360" xr:uid="{00000000-0005-0000-0000-0000078E0000}"/>
    <cellStyle name="Normal 2 2 3 7 7 3" xfId="36361" xr:uid="{00000000-0005-0000-0000-0000088E0000}"/>
    <cellStyle name="Normal 2 2 3 7 7 3 2" xfId="36362" xr:uid="{00000000-0005-0000-0000-0000098E0000}"/>
    <cellStyle name="Normal 2 2 3 7 7 4" xfId="36363" xr:uid="{00000000-0005-0000-0000-00000A8E0000}"/>
    <cellStyle name="Normal 2 2 3 7 8" xfId="36364" xr:uid="{00000000-0005-0000-0000-00000B8E0000}"/>
    <cellStyle name="Normal 2 2 3 7 8 2" xfId="36365" xr:uid="{00000000-0005-0000-0000-00000C8E0000}"/>
    <cellStyle name="Normal 2 2 3 7 8 2 2" xfId="36366" xr:uid="{00000000-0005-0000-0000-00000D8E0000}"/>
    <cellStyle name="Normal 2 2 3 7 8 2 2 2" xfId="36367" xr:uid="{00000000-0005-0000-0000-00000E8E0000}"/>
    <cellStyle name="Normal 2 2 3 7 8 2 3" xfId="36368" xr:uid="{00000000-0005-0000-0000-00000F8E0000}"/>
    <cellStyle name="Normal 2 2 3 7 8 3" xfId="36369" xr:uid="{00000000-0005-0000-0000-0000108E0000}"/>
    <cellStyle name="Normal 2 2 3 7 8 3 2" xfId="36370" xr:uid="{00000000-0005-0000-0000-0000118E0000}"/>
    <cellStyle name="Normal 2 2 3 7 8 4" xfId="36371" xr:uid="{00000000-0005-0000-0000-0000128E0000}"/>
    <cellStyle name="Normal 2 2 3 7 9" xfId="36372" xr:uid="{00000000-0005-0000-0000-0000138E0000}"/>
    <cellStyle name="Normal 2 2 3 7 9 2" xfId="36373" xr:uid="{00000000-0005-0000-0000-0000148E0000}"/>
    <cellStyle name="Normal 2 2 3 7 9 2 2" xfId="36374" xr:uid="{00000000-0005-0000-0000-0000158E0000}"/>
    <cellStyle name="Normal 2 2 3 7 9 3" xfId="36375" xr:uid="{00000000-0005-0000-0000-0000168E0000}"/>
    <cellStyle name="Normal 2 2 3 8" xfId="36376" xr:uid="{00000000-0005-0000-0000-0000178E0000}"/>
    <cellStyle name="Normal 2 2 3 8 10" xfId="36377" xr:uid="{00000000-0005-0000-0000-0000188E0000}"/>
    <cellStyle name="Normal 2 2 3 8 10 2" xfId="36378" xr:uid="{00000000-0005-0000-0000-0000198E0000}"/>
    <cellStyle name="Normal 2 2 3 8 10 2 2" xfId="36379" xr:uid="{00000000-0005-0000-0000-00001A8E0000}"/>
    <cellStyle name="Normal 2 2 3 8 10 3" xfId="36380" xr:uid="{00000000-0005-0000-0000-00001B8E0000}"/>
    <cellStyle name="Normal 2 2 3 8 11" xfId="36381" xr:uid="{00000000-0005-0000-0000-00001C8E0000}"/>
    <cellStyle name="Normal 2 2 3 8 11 2" xfId="36382" xr:uid="{00000000-0005-0000-0000-00001D8E0000}"/>
    <cellStyle name="Normal 2 2 3 8 11 2 2" xfId="36383" xr:uid="{00000000-0005-0000-0000-00001E8E0000}"/>
    <cellStyle name="Normal 2 2 3 8 11 3" xfId="36384" xr:uid="{00000000-0005-0000-0000-00001F8E0000}"/>
    <cellStyle name="Normal 2 2 3 8 12" xfId="36385" xr:uid="{00000000-0005-0000-0000-0000208E0000}"/>
    <cellStyle name="Normal 2 2 3 8 12 2" xfId="36386" xr:uid="{00000000-0005-0000-0000-0000218E0000}"/>
    <cellStyle name="Normal 2 2 3 8 12 2 2" xfId="36387" xr:uid="{00000000-0005-0000-0000-0000228E0000}"/>
    <cellStyle name="Normal 2 2 3 8 12 3" xfId="36388" xr:uid="{00000000-0005-0000-0000-0000238E0000}"/>
    <cellStyle name="Normal 2 2 3 8 13" xfId="36389" xr:uid="{00000000-0005-0000-0000-0000248E0000}"/>
    <cellStyle name="Normal 2 2 3 8 13 2" xfId="36390" xr:uid="{00000000-0005-0000-0000-0000258E0000}"/>
    <cellStyle name="Normal 2 2 3 8 14" xfId="36391" xr:uid="{00000000-0005-0000-0000-0000268E0000}"/>
    <cellStyle name="Normal 2 2 3 8 2" xfId="36392" xr:uid="{00000000-0005-0000-0000-0000278E0000}"/>
    <cellStyle name="Normal 2 2 3 8 2 2" xfId="36393" xr:uid="{00000000-0005-0000-0000-0000288E0000}"/>
    <cellStyle name="Normal 2 2 3 8 2 2 2" xfId="36394" xr:uid="{00000000-0005-0000-0000-0000298E0000}"/>
    <cellStyle name="Normal 2 2 3 8 2 2 2 2" xfId="36395" xr:uid="{00000000-0005-0000-0000-00002A8E0000}"/>
    <cellStyle name="Normal 2 2 3 8 2 2 2 2 2" xfId="36396" xr:uid="{00000000-0005-0000-0000-00002B8E0000}"/>
    <cellStyle name="Normal 2 2 3 8 2 2 2 3" xfId="36397" xr:uid="{00000000-0005-0000-0000-00002C8E0000}"/>
    <cellStyle name="Normal 2 2 3 8 2 2 3" xfId="36398" xr:uid="{00000000-0005-0000-0000-00002D8E0000}"/>
    <cellStyle name="Normal 2 2 3 8 2 2 3 2" xfId="36399" xr:uid="{00000000-0005-0000-0000-00002E8E0000}"/>
    <cellStyle name="Normal 2 2 3 8 2 2 4" xfId="36400" xr:uid="{00000000-0005-0000-0000-00002F8E0000}"/>
    <cellStyle name="Normal 2 2 3 8 2 3" xfId="36401" xr:uid="{00000000-0005-0000-0000-0000308E0000}"/>
    <cellStyle name="Normal 2 2 3 8 2 3 2" xfId="36402" xr:uid="{00000000-0005-0000-0000-0000318E0000}"/>
    <cellStyle name="Normal 2 2 3 8 2 3 2 2" xfId="36403" xr:uid="{00000000-0005-0000-0000-0000328E0000}"/>
    <cellStyle name="Normal 2 2 3 8 2 3 3" xfId="36404" xr:uid="{00000000-0005-0000-0000-0000338E0000}"/>
    <cellStyle name="Normal 2 2 3 8 2 4" xfId="36405" xr:uid="{00000000-0005-0000-0000-0000348E0000}"/>
    <cellStyle name="Normal 2 2 3 8 2 4 2" xfId="36406" xr:uid="{00000000-0005-0000-0000-0000358E0000}"/>
    <cellStyle name="Normal 2 2 3 8 2 4 2 2" xfId="36407" xr:uid="{00000000-0005-0000-0000-0000368E0000}"/>
    <cellStyle name="Normal 2 2 3 8 2 4 3" xfId="36408" xr:uid="{00000000-0005-0000-0000-0000378E0000}"/>
    <cellStyle name="Normal 2 2 3 8 2 5" xfId="36409" xr:uid="{00000000-0005-0000-0000-0000388E0000}"/>
    <cellStyle name="Normal 2 2 3 8 2 5 2" xfId="36410" xr:uid="{00000000-0005-0000-0000-0000398E0000}"/>
    <cellStyle name="Normal 2 2 3 8 2 5 2 2" xfId="36411" xr:uid="{00000000-0005-0000-0000-00003A8E0000}"/>
    <cellStyle name="Normal 2 2 3 8 2 5 3" xfId="36412" xr:uid="{00000000-0005-0000-0000-00003B8E0000}"/>
    <cellStyle name="Normal 2 2 3 8 2 6" xfId="36413" xr:uid="{00000000-0005-0000-0000-00003C8E0000}"/>
    <cellStyle name="Normal 2 2 3 8 2 6 2" xfId="36414" xr:uid="{00000000-0005-0000-0000-00003D8E0000}"/>
    <cellStyle name="Normal 2 2 3 8 2 6 2 2" xfId="36415" xr:uid="{00000000-0005-0000-0000-00003E8E0000}"/>
    <cellStyle name="Normal 2 2 3 8 2 6 3" xfId="36416" xr:uid="{00000000-0005-0000-0000-00003F8E0000}"/>
    <cellStyle name="Normal 2 2 3 8 2 7" xfId="36417" xr:uid="{00000000-0005-0000-0000-0000408E0000}"/>
    <cellStyle name="Normal 2 2 3 8 2 7 2" xfId="36418" xr:uid="{00000000-0005-0000-0000-0000418E0000}"/>
    <cellStyle name="Normal 2 2 3 8 2 8" xfId="36419" xr:uid="{00000000-0005-0000-0000-0000428E0000}"/>
    <cellStyle name="Normal 2 2 3 8 3" xfId="36420" xr:uid="{00000000-0005-0000-0000-0000438E0000}"/>
    <cellStyle name="Normal 2 2 3 8 3 2" xfId="36421" xr:uid="{00000000-0005-0000-0000-0000448E0000}"/>
    <cellStyle name="Normal 2 2 3 8 3 2 2" xfId="36422" xr:uid="{00000000-0005-0000-0000-0000458E0000}"/>
    <cellStyle name="Normal 2 2 3 8 3 2 2 2" xfId="36423" xr:uid="{00000000-0005-0000-0000-0000468E0000}"/>
    <cellStyle name="Normal 2 2 3 8 3 2 2 2 2" xfId="36424" xr:uid="{00000000-0005-0000-0000-0000478E0000}"/>
    <cellStyle name="Normal 2 2 3 8 3 2 2 3" xfId="36425" xr:uid="{00000000-0005-0000-0000-0000488E0000}"/>
    <cellStyle name="Normal 2 2 3 8 3 2 3" xfId="36426" xr:uid="{00000000-0005-0000-0000-0000498E0000}"/>
    <cellStyle name="Normal 2 2 3 8 3 2 3 2" xfId="36427" xr:uid="{00000000-0005-0000-0000-00004A8E0000}"/>
    <cellStyle name="Normal 2 2 3 8 3 2 4" xfId="36428" xr:uid="{00000000-0005-0000-0000-00004B8E0000}"/>
    <cellStyle name="Normal 2 2 3 8 3 3" xfId="36429" xr:uid="{00000000-0005-0000-0000-00004C8E0000}"/>
    <cellStyle name="Normal 2 2 3 8 3 3 2" xfId="36430" xr:uid="{00000000-0005-0000-0000-00004D8E0000}"/>
    <cellStyle name="Normal 2 2 3 8 3 3 2 2" xfId="36431" xr:uid="{00000000-0005-0000-0000-00004E8E0000}"/>
    <cellStyle name="Normal 2 2 3 8 3 3 3" xfId="36432" xr:uid="{00000000-0005-0000-0000-00004F8E0000}"/>
    <cellStyle name="Normal 2 2 3 8 3 4" xfId="36433" xr:uid="{00000000-0005-0000-0000-0000508E0000}"/>
    <cellStyle name="Normal 2 2 3 8 3 4 2" xfId="36434" xr:uid="{00000000-0005-0000-0000-0000518E0000}"/>
    <cellStyle name="Normal 2 2 3 8 3 4 2 2" xfId="36435" xr:uid="{00000000-0005-0000-0000-0000528E0000}"/>
    <cellStyle name="Normal 2 2 3 8 3 4 3" xfId="36436" xr:uid="{00000000-0005-0000-0000-0000538E0000}"/>
    <cellStyle name="Normal 2 2 3 8 3 5" xfId="36437" xr:uid="{00000000-0005-0000-0000-0000548E0000}"/>
    <cellStyle name="Normal 2 2 3 8 3 5 2" xfId="36438" xr:uid="{00000000-0005-0000-0000-0000558E0000}"/>
    <cellStyle name="Normal 2 2 3 8 3 5 2 2" xfId="36439" xr:uid="{00000000-0005-0000-0000-0000568E0000}"/>
    <cellStyle name="Normal 2 2 3 8 3 5 3" xfId="36440" xr:uid="{00000000-0005-0000-0000-0000578E0000}"/>
    <cellStyle name="Normal 2 2 3 8 3 6" xfId="36441" xr:uid="{00000000-0005-0000-0000-0000588E0000}"/>
    <cellStyle name="Normal 2 2 3 8 3 6 2" xfId="36442" xr:uid="{00000000-0005-0000-0000-0000598E0000}"/>
    <cellStyle name="Normal 2 2 3 8 3 6 2 2" xfId="36443" xr:uid="{00000000-0005-0000-0000-00005A8E0000}"/>
    <cellStyle name="Normal 2 2 3 8 3 6 3" xfId="36444" xr:uid="{00000000-0005-0000-0000-00005B8E0000}"/>
    <cellStyle name="Normal 2 2 3 8 3 7" xfId="36445" xr:uid="{00000000-0005-0000-0000-00005C8E0000}"/>
    <cellStyle name="Normal 2 2 3 8 3 7 2" xfId="36446" xr:uid="{00000000-0005-0000-0000-00005D8E0000}"/>
    <cellStyle name="Normal 2 2 3 8 3 8" xfId="36447" xr:uid="{00000000-0005-0000-0000-00005E8E0000}"/>
    <cellStyle name="Normal 2 2 3 8 4" xfId="36448" xr:uid="{00000000-0005-0000-0000-00005F8E0000}"/>
    <cellStyle name="Normal 2 2 3 8 4 2" xfId="36449" xr:uid="{00000000-0005-0000-0000-0000608E0000}"/>
    <cellStyle name="Normal 2 2 3 8 4 2 2" xfId="36450" xr:uid="{00000000-0005-0000-0000-0000618E0000}"/>
    <cellStyle name="Normal 2 2 3 8 4 2 2 2" xfId="36451" xr:uid="{00000000-0005-0000-0000-0000628E0000}"/>
    <cellStyle name="Normal 2 2 3 8 4 2 2 2 2" xfId="36452" xr:uid="{00000000-0005-0000-0000-0000638E0000}"/>
    <cellStyle name="Normal 2 2 3 8 4 2 2 3" xfId="36453" xr:uid="{00000000-0005-0000-0000-0000648E0000}"/>
    <cellStyle name="Normal 2 2 3 8 4 2 3" xfId="36454" xr:uid="{00000000-0005-0000-0000-0000658E0000}"/>
    <cellStyle name="Normal 2 2 3 8 4 2 3 2" xfId="36455" xr:uid="{00000000-0005-0000-0000-0000668E0000}"/>
    <cellStyle name="Normal 2 2 3 8 4 2 4" xfId="36456" xr:uid="{00000000-0005-0000-0000-0000678E0000}"/>
    <cellStyle name="Normal 2 2 3 8 4 3" xfId="36457" xr:uid="{00000000-0005-0000-0000-0000688E0000}"/>
    <cellStyle name="Normal 2 2 3 8 4 3 2" xfId="36458" xr:uid="{00000000-0005-0000-0000-0000698E0000}"/>
    <cellStyle name="Normal 2 2 3 8 4 3 2 2" xfId="36459" xr:uid="{00000000-0005-0000-0000-00006A8E0000}"/>
    <cellStyle name="Normal 2 2 3 8 4 3 3" xfId="36460" xr:uid="{00000000-0005-0000-0000-00006B8E0000}"/>
    <cellStyle name="Normal 2 2 3 8 4 4" xfId="36461" xr:uid="{00000000-0005-0000-0000-00006C8E0000}"/>
    <cellStyle name="Normal 2 2 3 8 4 4 2" xfId="36462" xr:uid="{00000000-0005-0000-0000-00006D8E0000}"/>
    <cellStyle name="Normal 2 2 3 8 4 4 2 2" xfId="36463" xr:uid="{00000000-0005-0000-0000-00006E8E0000}"/>
    <cellStyle name="Normal 2 2 3 8 4 4 3" xfId="36464" xr:uid="{00000000-0005-0000-0000-00006F8E0000}"/>
    <cellStyle name="Normal 2 2 3 8 4 5" xfId="36465" xr:uid="{00000000-0005-0000-0000-0000708E0000}"/>
    <cellStyle name="Normal 2 2 3 8 4 5 2" xfId="36466" xr:uid="{00000000-0005-0000-0000-0000718E0000}"/>
    <cellStyle name="Normal 2 2 3 8 4 5 2 2" xfId="36467" xr:uid="{00000000-0005-0000-0000-0000728E0000}"/>
    <cellStyle name="Normal 2 2 3 8 4 5 3" xfId="36468" xr:uid="{00000000-0005-0000-0000-0000738E0000}"/>
    <cellStyle name="Normal 2 2 3 8 4 6" xfId="36469" xr:uid="{00000000-0005-0000-0000-0000748E0000}"/>
    <cellStyle name="Normal 2 2 3 8 4 6 2" xfId="36470" xr:uid="{00000000-0005-0000-0000-0000758E0000}"/>
    <cellStyle name="Normal 2 2 3 8 4 6 2 2" xfId="36471" xr:uid="{00000000-0005-0000-0000-0000768E0000}"/>
    <cellStyle name="Normal 2 2 3 8 4 6 3" xfId="36472" xr:uid="{00000000-0005-0000-0000-0000778E0000}"/>
    <cellStyle name="Normal 2 2 3 8 4 7" xfId="36473" xr:uid="{00000000-0005-0000-0000-0000788E0000}"/>
    <cellStyle name="Normal 2 2 3 8 4 7 2" xfId="36474" xr:uid="{00000000-0005-0000-0000-0000798E0000}"/>
    <cellStyle name="Normal 2 2 3 8 4 8" xfId="36475" xr:uid="{00000000-0005-0000-0000-00007A8E0000}"/>
    <cellStyle name="Normal 2 2 3 8 5" xfId="36476" xr:uid="{00000000-0005-0000-0000-00007B8E0000}"/>
    <cellStyle name="Normal 2 2 3 8 5 2" xfId="36477" xr:uid="{00000000-0005-0000-0000-00007C8E0000}"/>
    <cellStyle name="Normal 2 2 3 8 5 2 2" xfId="36478" xr:uid="{00000000-0005-0000-0000-00007D8E0000}"/>
    <cellStyle name="Normal 2 2 3 8 5 2 2 2" xfId="36479" xr:uid="{00000000-0005-0000-0000-00007E8E0000}"/>
    <cellStyle name="Normal 2 2 3 8 5 2 2 2 2" xfId="36480" xr:uid="{00000000-0005-0000-0000-00007F8E0000}"/>
    <cellStyle name="Normal 2 2 3 8 5 2 2 3" xfId="36481" xr:uid="{00000000-0005-0000-0000-0000808E0000}"/>
    <cellStyle name="Normal 2 2 3 8 5 2 3" xfId="36482" xr:uid="{00000000-0005-0000-0000-0000818E0000}"/>
    <cellStyle name="Normal 2 2 3 8 5 2 3 2" xfId="36483" xr:uid="{00000000-0005-0000-0000-0000828E0000}"/>
    <cellStyle name="Normal 2 2 3 8 5 2 4" xfId="36484" xr:uid="{00000000-0005-0000-0000-0000838E0000}"/>
    <cellStyle name="Normal 2 2 3 8 5 3" xfId="36485" xr:uid="{00000000-0005-0000-0000-0000848E0000}"/>
    <cellStyle name="Normal 2 2 3 8 5 3 2" xfId="36486" xr:uid="{00000000-0005-0000-0000-0000858E0000}"/>
    <cellStyle name="Normal 2 2 3 8 5 3 2 2" xfId="36487" xr:uid="{00000000-0005-0000-0000-0000868E0000}"/>
    <cellStyle name="Normal 2 2 3 8 5 3 3" xfId="36488" xr:uid="{00000000-0005-0000-0000-0000878E0000}"/>
    <cellStyle name="Normal 2 2 3 8 5 4" xfId="36489" xr:uid="{00000000-0005-0000-0000-0000888E0000}"/>
    <cellStyle name="Normal 2 2 3 8 5 4 2" xfId="36490" xr:uid="{00000000-0005-0000-0000-0000898E0000}"/>
    <cellStyle name="Normal 2 2 3 8 5 5" xfId="36491" xr:uid="{00000000-0005-0000-0000-00008A8E0000}"/>
    <cellStyle name="Normal 2 2 3 8 6" xfId="36492" xr:uid="{00000000-0005-0000-0000-00008B8E0000}"/>
    <cellStyle name="Normal 2 2 3 8 6 2" xfId="36493" xr:uid="{00000000-0005-0000-0000-00008C8E0000}"/>
    <cellStyle name="Normal 2 2 3 8 6 2 2" xfId="36494" xr:uid="{00000000-0005-0000-0000-00008D8E0000}"/>
    <cellStyle name="Normal 2 2 3 8 6 2 2 2" xfId="36495" xr:uid="{00000000-0005-0000-0000-00008E8E0000}"/>
    <cellStyle name="Normal 2 2 3 8 6 2 2 2 2" xfId="36496" xr:uid="{00000000-0005-0000-0000-00008F8E0000}"/>
    <cellStyle name="Normal 2 2 3 8 6 2 2 3" xfId="36497" xr:uid="{00000000-0005-0000-0000-0000908E0000}"/>
    <cellStyle name="Normal 2 2 3 8 6 2 3" xfId="36498" xr:uid="{00000000-0005-0000-0000-0000918E0000}"/>
    <cellStyle name="Normal 2 2 3 8 6 2 3 2" xfId="36499" xr:uid="{00000000-0005-0000-0000-0000928E0000}"/>
    <cellStyle name="Normal 2 2 3 8 6 2 4" xfId="36500" xr:uid="{00000000-0005-0000-0000-0000938E0000}"/>
    <cellStyle name="Normal 2 2 3 8 6 3" xfId="36501" xr:uid="{00000000-0005-0000-0000-0000948E0000}"/>
    <cellStyle name="Normal 2 2 3 8 6 3 2" xfId="36502" xr:uid="{00000000-0005-0000-0000-0000958E0000}"/>
    <cellStyle name="Normal 2 2 3 8 6 3 2 2" xfId="36503" xr:uid="{00000000-0005-0000-0000-0000968E0000}"/>
    <cellStyle name="Normal 2 2 3 8 6 3 3" xfId="36504" xr:uid="{00000000-0005-0000-0000-0000978E0000}"/>
    <cellStyle name="Normal 2 2 3 8 6 4" xfId="36505" xr:uid="{00000000-0005-0000-0000-0000988E0000}"/>
    <cellStyle name="Normal 2 2 3 8 6 4 2" xfId="36506" xr:uid="{00000000-0005-0000-0000-0000998E0000}"/>
    <cellStyle name="Normal 2 2 3 8 6 5" xfId="36507" xr:uid="{00000000-0005-0000-0000-00009A8E0000}"/>
    <cellStyle name="Normal 2 2 3 8 7" xfId="36508" xr:uid="{00000000-0005-0000-0000-00009B8E0000}"/>
    <cellStyle name="Normal 2 2 3 8 7 2" xfId="36509" xr:uid="{00000000-0005-0000-0000-00009C8E0000}"/>
    <cellStyle name="Normal 2 2 3 8 7 2 2" xfId="36510" xr:uid="{00000000-0005-0000-0000-00009D8E0000}"/>
    <cellStyle name="Normal 2 2 3 8 7 2 2 2" xfId="36511" xr:uid="{00000000-0005-0000-0000-00009E8E0000}"/>
    <cellStyle name="Normal 2 2 3 8 7 2 3" xfId="36512" xr:uid="{00000000-0005-0000-0000-00009F8E0000}"/>
    <cellStyle name="Normal 2 2 3 8 7 3" xfId="36513" xr:uid="{00000000-0005-0000-0000-0000A08E0000}"/>
    <cellStyle name="Normal 2 2 3 8 7 3 2" xfId="36514" xr:uid="{00000000-0005-0000-0000-0000A18E0000}"/>
    <cellStyle name="Normal 2 2 3 8 7 4" xfId="36515" xr:uid="{00000000-0005-0000-0000-0000A28E0000}"/>
    <cellStyle name="Normal 2 2 3 8 8" xfId="36516" xr:uid="{00000000-0005-0000-0000-0000A38E0000}"/>
    <cellStyle name="Normal 2 2 3 8 8 2" xfId="36517" xr:uid="{00000000-0005-0000-0000-0000A48E0000}"/>
    <cellStyle name="Normal 2 2 3 8 8 2 2" xfId="36518" xr:uid="{00000000-0005-0000-0000-0000A58E0000}"/>
    <cellStyle name="Normal 2 2 3 8 8 2 2 2" xfId="36519" xr:uid="{00000000-0005-0000-0000-0000A68E0000}"/>
    <cellStyle name="Normal 2 2 3 8 8 2 3" xfId="36520" xr:uid="{00000000-0005-0000-0000-0000A78E0000}"/>
    <cellStyle name="Normal 2 2 3 8 8 3" xfId="36521" xr:uid="{00000000-0005-0000-0000-0000A88E0000}"/>
    <cellStyle name="Normal 2 2 3 8 8 3 2" xfId="36522" xr:uid="{00000000-0005-0000-0000-0000A98E0000}"/>
    <cellStyle name="Normal 2 2 3 8 8 4" xfId="36523" xr:uid="{00000000-0005-0000-0000-0000AA8E0000}"/>
    <cellStyle name="Normal 2 2 3 8 9" xfId="36524" xr:uid="{00000000-0005-0000-0000-0000AB8E0000}"/>
    <cellStyle name="Normal 2 2 3 8 9 2" xfId="36525" xr:uid="{00000000-0005-0000-0000-0000AC8E0000}"/>
    <cellStyle name="Normal 2 2 3 8 9 2 2" xfId="36526" xr:uid="{00000000-0005-0000-0000-0000AD8E0000}"/>
    <cellStyle name="Normal 2 2 3 8 9 3" xfId="36527" xr:uid="{00000000-0005-0000-0000-0000AE8E0000}"/>
    <cellStyle name="Normal 2 2 3 9" xfId="36528" xr:uid="{00000000-0005-0000-0000-0000AF8E0000}"/>
    <cellStyle name="Normal 2 2 3 9 2" xfId="36529" xr:uid="{00000000-0005-0000-0000-0000B08E0000}"/>
    <cellStyle name="Normal 2 2 3 9 2 2" xfId="36530" xr:uid="{00000000-0005-0000-0000-0000B18E0000}"/>
    <cellStyle name="Normal 2 2 3 9 2 2 2" xfId="36531" xr:uid="{00000000-0005-0000-0000-0000B28E0000}"/>
    <cellStyle name="Normal 2 2 3 9 2 2 2 2" xfId="36532" xr:uid="{00000000-0005-0000-0000-0000B38E0000}"/>
    <cellStyle name="Normal 2 2 3 9 2 2 3" xfId="36533" xr:uid="{00000000-0005-0000-0000-0000B48E0000}"/>
    <cellStyle name="Normal 2 2 3 9 2 3" xfId="36534" xr:uid="{00000000-0005-0000-0000-0000B58E0000}"/>
    <cellStyle name="Normal 2 2 3 9 2 3 2" xfId="36535" xr:uid="{00000000-0005-0000-0000-0000B68E0000}"/>
    <cellStyle name="Normal 2 2 3 9 2 4" xfId="36536" xr:uid="{00000000-0005-0000-0000-0000B78E0000}"/>
    <cellStyle name="Normal 2 2 3 9 3" xfId="36537" xr:uid="{00000000-0005-0000-0000-0000B88E0000}"/>
    <cellStyle name="Normal 2 2 3 9 3 2" xfId="36538" xr:uid="{00000000-0005-0000-0000-0000B98E0000}"/>
    <cellStyle name="Normal 2 2 3 9 3 2 2" xfId="36539" xr:uid="{00000000-0005-0000-0000-0000BA8E0000}"/>
    <cellStyle name="Normal 2 2 3 9 3 3" xfId="36540" xr:uid="{00000000-0005-0000-0000-0000BB8E0000}"/>
    <cellStyle name="Normal 2 2 3 9 4" xfId="36541" xr:uid="{00000000-0005-0000-0000-0000BC8E0000}"/>
    <cellStyle name="Normal 2 2 3 9 4 2" xfId="36542" xr:uid="{00000000-0005-0000-0000-0000BD8E0000}"/>
    <cellStyle name="Normal 2 2 3 9 4 2 2" xfId="36543" xr:uid="{00000000-0005-0000-0000-0000BE8E0000}"/>
    <cellStyle name="Normal 2 2 3 9 4 3" xfId="36544" xr:uid="{00000000-0005-0000-0000-0000BF8E0000}"/>
    <cellStyle name="Normal 2 2 3 9 5" xfId="36545" xr:uid="{00000000-0005-0000-0000-0000C08E0000}"/>
    <cellStyle name="Normal 2 2 3 9 5 2" xfId="36546" xr:uid="{00000000-0005-0000-0000-0000C18E0000}"/>
    <cellStyle name="Normal 2 2 3 9 5 2 2" xfId="36547" xr:uid="{00000000-0005-0000-0000-0000C28E0000}"/>
    <cellStyle name="Normal 2 2 3 9 5 3" xfId="36548" xr:uid="{00000000-0005-0000-0000-0000C38E0000}"/>
    <cellStyle name="Normal 2 2 3 9 6" xfId="36549" xr:uid="{00000000-0005-0000-0000-0000C48E0000}"/>
    <cellStyle name="Normal 2 2 3 9 6 2" xfId="36550" xr:uid="{00000000-0005-0000-0000-0000C58E0000}"/>
    <cellStyle name="Normal 2 2 3 9 6 2 2" xfId="36551" xr:uid="{00000000-0005-0000-0000-0000C68E0000}"/>
    <cellStyle name="Normal 2 2 3 9 6 3" xfId="36552" xr:uid="{00000000-0005-0000-0000-0000C78E0000}"/>
    <cellStyle name="Normal 2 2 3 9 7" xfId="36553" xr:uid="{00000000-0005-0000-0000-0000C88E0000}"/>
    <cellStyle name="Normal 2 2 3 9 7 2" xfId="36554" xr:uid="{00000000-0005-0000-0000-0000C98E0000}"/>
    <cellStyle name="Normal 2 2 3 9 8" xfId="36555" xr:uid="{00000000-0005-0000-0000-0000CA8E0000}"/>
    <cellStyle name="Normal 2 2 4" xfId="36556" xr:uid="{00000000-0005-0000-0000-0000CB8E0000}"/>
    <cellStyle name="Normal 2 2 4 10" xfId="36557" xr:uid="{00000000-0005-0000-0000-0000CC8E0000}"/>
    <cellStyle name="Normal 2 2 4 10 2" xfId="36558" xr:uid="{00000000-0005-0000-0000-0000CD8E0000}"/>
    <cellStyle name="Normal 2 2 4 10 2 2" xfId="36559" xr:uid="{00000000-0005-0000-0000-0000CE8E0000}"/>
    <cellStyle name="Normal 2 2 4 10 2 2 2" xfId="36560" xr:uid="{00000000-0005-0000-0000-0000CF8E0000}"/>
    <cellStyle name="Normal 2 2 4 10 2 2 2 2" xfId="36561" xr:uid="{00000000-0005-0000-0000-0000D08E0000}"/>
    <cellStyle name="Normal 2 2 4 10 2 2 3" xfId="36562" xr:uid="{00000000-0005-0000-0000-0000D18E0000}"/>
    <cellStyle name="Normal 2 2 4 10 2 3" xfId="36563" xr:uid="{00000000-0005-0000-0000-0000D28E0000}"/>
    <cellStyle name="Normal 2 2 4 10 2 3 2" xfId="36564" xr:uid="{00000000-0005-0000-0000-0000D38E0000}"/>
    <cellStyle name="Normal 2 2 4 10 2 4" xfId="36565" xr:uid="{00000000-0005-0000-0000-0000D48E0000}"/>
    <cellStyle name="Normal 2 2 4 10 3" xfId="36566" xr:uid="{00000000-0005-0000-0000-0000D58E0000}"/>
    <cellStyle name="Normal 2 2 4 10 3 2" xfId="36567" xr:uid="{00000000-0005-0000-0000-0000D68E0000}"/>
    <cellStyle name="Normal 2 2 4 10 3 2 2" xfId="36568" xr:uid="{00000000-0005-0000-0000-0000D78E0000}"/>
    <cellStyle name="Normal 2 2 4 10 3 3" xfId="36569" xr:uid="{00000000-0005-0000-0000-0000D88E0000}"/>
    <cellStyle name="Normal 2 2 4 10 4" xfId="36570" xr:uid="{00000000-0005-0000-0000-0000D98E0000}"/>
    <cellStyle name="Normal 2 2 4 10 4 2" xfId="36571" xr:uid="{00000000-0005-0000-0000-0000DA8E0000}"/>
    <cellStyle name="Normal 2 2 4 10 4 2 2" xfId="36572" xr:uid="{00000000-0005-0000-0000-0000DB8E0000}"/>
    <cellStyle name="Normal 2 2 4 10 4 3" xfId="36573" xr:uid="{00000000-0005-0000-0000-0000DC8E0000}"/>
    <cellStyle name="Normal 2 2 4 10 5" xfId="36574" xr:uid="{00000000-0005-0000-0000-0000DD8E0000}"/>
    <cellStyle name="Normal 2 2 4 10 5 2" xfId="36575" xr:uid="{00000000-0005-0000-0000-0000DE8E0000}"/>
    <cellStyle name="Normal 2 2 4 10 5 2 2" xfId="36576" xr:uid="{00000000-0005-0000-0000-0000DF8E0000}"/>
    <cellStyle name="Normal 2 2 4 10 5 3" xfId="36577" xr:uid="{00000000-0005-0000-0000-0000E08E0000}"/>
    <cellStyle name="Normal 2 2 4 10 6" xfId="36578" xr:uid="{00000000-0005-0000-0000-0000E18E0000}"/>
    <cellStyle name="Normal 2 2 4 10 6 2" xfId="36579" xr:uid="{00000000-0005-0000-0000-0000E28E0000}"/>
    <cellStyle name="Normal 2 2 4 10 6 2 2" xfId="36580" xr:uid="{00000000-0005-0000-0000-0000E38E0000}"/>
    <cellStyle name="Normal 2 2 4 10 6 3" xfId="36581" xr:uid="{00000000-0005-0000-0000-0000E48E0000}"/>
    <cellStyle name="Normal 2 2 4 10 7" xfId="36582" xr:uid="{00000000-0005-0000-0000-0000E58E0000}"/>
    <cellStyle name="Normal 2 2 4 10 7 2" xfId="36583" xr:uid="{00000000-0005-0000-0000-0000E68E0000}"/>
    <cellStyle name="Normal 2 2 4 10 8" xfId="36584" xr:uid="{00000000-0005-0000-0000-0000E78E0000}"/>
    <cellStyle name="Normal 2 2 4 11" xfId="36585" xr:uid="{00000000-0005-0000-0000-0000E88E0000}"/>
    <cellStyle name="Normal 2 2 4 11 2" xfId="36586" xr:uid="{00000000-0005-0000-0000-0000E98E0000}"/>
    <cellStyle name="Normal 2 2 4 11 2 2" xfId="36587" xr:uid="{00000000-0005-0000-0000-0000EA8E0000}"/>
    <cellStyle name="Normal 2 2 4 11 2 2 2" xfId="36588" xr:uid="{00000000-0005-0000-0000-0000EB8E0000}"/>
    <cellStyle name="Normal 2 2 4 11 2 2 2 2" xfId="36589" xr:uid="{00000000-0005-0000-0000-0000EC8E0000}"/>
    <cellStyle name="Normal 2 2 4 11 2 2 3" xfId="36590" xr:uid="{00000000-0005-0000-0000-0000ED8E0000}"/>
    <cellStyle name="Normal 2 2 4 11 2 3" xfId="36591" xr:uid="{00000000-0005-0000-0000-0000EE8E0000}"/>
    <cellStyle name="Normal 2 2 4 11 2 3 2" xfId="36592" xr:uid="{00000000-0005-0000-0000-0000EF8E0000}"/>
    <cellStyle name="Normal 2 2 4 11 2 4" xfId="36593" xr:uid="{00000000-0005-0000-0000-0000F08E0000}"/>
    <cellStyle name="Normal 2 2 4 11 3" xfId="36594" xr:uid="{00000000-0005-0000-0000-0000F18E0000}"/>
    <cellStyle name="Normal 2 2 4 11 3 2" xfId="36595" xr:uid="{00000000-0005-0000-0000-0000F28E0000}"/>
    <cellStyle name="Normal 2 2 4 11 3 2 2" xfId="36596" xr:uid="{00000000-0005-0000-0000-0000F38E0000}"/>
    <cellStyle name="Normal 2 2 4 11 3 3" xfId="36597" xr:uid="{00000000-0005-0000-0000-0000F48E0000}"/>
    <cellStyle name="Normal 2 2 4 11 4" xfId="36598" xr:uid="{00000000-0005-0000-0000-0000F58E0000}"/>
    <cellStyle name="Normal 2 2 4 11 4 2" xfId="36599" xr:uid="{00000000-0005-0000-0000-0000F68E0000}"/>
    <cellStyle name="Normal 2 2 4 11 5" xfId="36600" xr:uid="{00000000-0005-0000-0000-0000F78E0000}"/>
    <cellStyle name="Normal 2 2 4 12" xfId="36601" xr:uid="{00000000-0005-0000-0000-0000F88E0000}"/>
    <cellStyle name="Normal 2 2 4 12 2" xfId="36602" xr:uid="{00000000-0005-0000-0000-0000F98E0000}"/>
    <cellStyle name="Normal 2 2 4 12 2 2" xfId="36603" xr:uid="{00000000-0005-0000-0000-0000FA8E0000}"/>
    <cellStyle name="Normal 2 2 4 12 2 2 2" xfId="36604" xr:uid="{00000000-0005-0000-0000-0000FB8E0000}"/>
    <cellStyle name="Normal 2 2 4 12 2 2 2 2" xfId="36605" xr:uid="{00000000-0005-0000-0000-0000FC8E0000}"/>
    <cellStyle name="Normal 2 2 4 12 2 2 3" xfId="36606" xr:uid="{00000000-0005-0000-0000-0000FD8E0000}"/>
    <cellStyle name="Normal 2 2 4 12 2 3" xfId="36607" xr:uid="{00000000-0005-0000-0000-0000FE8E0000}"/>
    <cellStyle name="Normal 2 2 4 12 2 3 2" xfId="36608" xr:uid="{00000000-0005-0000-0000-0000FF8E0000}"/>
    <cellStyle name="Normal 2 2 4 12 2 4" xfId="36609" xr:uid="{00000000-0005-0000-0000-0000008F0000}"/>
    <cellStyle name="Normal 2 2 4 12 3" xfId="36610" xr:uid="{00000000-0005-0000-0000-0000018F0000}"/>
    <cellStyle name="Normal 2 2 4 12 3 2" xfId="36611" xr:uid="{00000000-0005-0000-0000-0000028F0000}"/>
    <cellStyle name="Normal 2 2 4 12 3 2 2" xfId="36612" xr:uid="{00000000-0005-0000-0000-0000038F0000}"/>
    <cellStyle name="Normal 2 2 4 12 3 3" xfId="36613" xr:uid="{00000000-0005-0000-0000-0000048F0000}"/>
    <cellStyle name="Normal 2 2 4 12 4" xfId="36614" xr:uid="{00000000-0005-0000-0000-0000058F0000}"/>
    <cellStyle name="Normal 2 2 4 12 4 2" xfId="36615" xr:uid="{00000000-0005-0000-0000-0000068F0000}"/>
    <cellStyle name="Normal 2 2 4 12 5" xfId="36616" xr:uid="{00000000-0005-0000-0000-0000078F0000}"/>
    <cellStyle name="Normal 2 2 4 13" xfId="36617" xr:uid="{00000000-0005-0000-0000-0000088F0000}"/>
    <cellStyle name="Normal 2 2 4 13 2" xfId="36618" xr:uid="{00000000-0005-0000-0000-0000098F0000}"/>
    <cellStyle name="Normal 2 2 4 13 2 2" xfId="36619" xr:uid="{00000000-0005-0000-0000-00000A8F0000}"/>
    <cellStyle name="Normal 2 2 4 13 2 2 2" xfId="36620" xr:uid="{00000000-0005-0000-0000-00000B8F0000}"/>
    <cellStyle name="Normal 2 2 4 13 2 2 2 2" xfId="36621" xr:uid="{00000000-0005-0000-0000-00000C8F0000}"/>
    <cellStyle name="Normal 2 2 4 13 2 2 3" xfId="36622" xr:uid="{00000000-0005-0000-0000-00000D8F0000}"/>
    <cellStyle name="Normal 2 2 4 13 2 3" xfId="36623" xr:uid="{00000000-0005-0000-0000-00000E8F0000}"/>
    <cellStyle name="Normal 2 2 4 13 2 3 2" xfId="36624" xr:uid="{00000000-0005-0000-0000-00000F8F0000}"/>
    <cellStyle name="Normal 2 2 4 13 2 4" xfId="36625" xr:uid="{00000000-0005-0000-0000-0000108F0000}"/>
    <cellStyle name="Normal 2 2 4 13 3" xfId="36626" xr:uid="{00000000-0005-0000-0000-0000118F0000}"/>
    <cellStyle name="Normal 2 2 4 13 3 2" xfId="36627" xr:uid="{00000000-0005-0000-0000-0000128F0000}"/>
    <cellStyle name="Normal 2 2 4 13 3 2 2" xfId="36628" xr:uid="{00000000-0005-0000-0000-0000138F0000}"/>
    <cellStyle name="Normal 2 2 4 13 3 3" xfId="36629" xr:uid="{00000000-0005-0000-0000-0000148F0000}"/>
    <cellStyle name="Normal 2 2 4 13 4" xfId="36630" xr:uid="{00000000-0005-0000-0000-0000158F0000}"/>
    <cellStyle name="Normal 2 2 4 13 4 2" xfId="36631" xr:uid="{00000000-0005-0000-0000-0000168F0000}"/>
    <cellStyle name="Normal 2 2 4 13 5" xfId="36632" xr:uid="{00000000-0005-0000-0000-0000178F0000}"/>
    <cellStyle name="Normal 2 2 4 14" xfId="36633" xr:uid="{00000000-0005-0000-0000-0000188F0000}"/>
    <cellStyle name="Normal 2 2 4 14 2" xfId="36634" xr:uid="{00000000-0005-0000-0000-0000198F0000}"/>
    <cellStyle name="Normal 2 2 4 14 2 2" xfId="36635" xr:uid="{00000000-0005-0000-0000-00001A8F0000}"/>
    <cellStyle name="Normal 2 2 4 14 2 2 2" xfId="36636" xr:uid="{00000000-0005-0000-0000-00001B8F0000}"/>
    <cellStyle name="Normal 2 2 4 14 2 3" xfId="36637" xr:uid="{00000000-0005-0000-0000-00001C8F0000}"/>
    <cellStyle name="Normal 2 2 4 14 3" xfId="36638" xr:uid="{00000000-0005-0000-0000-00001D8F0000}"/>
    <cellStyle name="Normal 2 2 4 14 3 2" xfId="36639" xr:uid="{00000000-0005-0000-0000-00001E8F0000}"/>
    <cellStyle name="Normal 2 2 4 14 4" xfId="36640" xr:uid="{00000000-0005-0000-0000-00001F8F0000}"/>
    <cellStyle name="Normal 2 2 4 15" xfId="36641" xr:uid="{00000000-0005-0000-0000-0000208F0000}"/>
    <cellStyle name="Normal 2 2 4 15 2" xfId="36642" xr:uid="{00000000-0005-0000-0000-0000218F0000}"/>
    <cellStyle name="Normal 2 2 4 15 2 2" xfId="36643" xr:uid="{00000000-0005-0000-0000-0000228F0000}"/>
    <cellStyle name="Normal 2 2 4 15 2 2 2" xfId="36644" xr:uid="{00000000-0005-0000-0000-0000238F0000}"/>
    <cellStyle name="Normal 2 2 4 15 2 3" xfId="36645" xr:uid="{00000000-0005-0000-0000-0000248F0000}"/>
    <cellStyle name="Normal 2 2 4 15 3" xfId="36646" xr:uid="{00000000-0005-0000-0000-0000258F0000}"/>
    <cellStyle name="Normal 2 2 4 15 3 2" xfId="36647" xr:uid="{00000000-0005-0000-0000-0000268F0000}"/>
    <cellStyle name="Normal 2 2 4 15 4" xfId="36648" xr:uid="{00000000-0005-0000-0000-0000278F0000}"/>
    <cellStyle name="Normal 2 2 4 16" xfId="36649" xr:uid="{00000000-0005-0000-0000-0000288F0000}"/>
    <cellStyle name="Normal 2 2 4 16 2" xfId="36650" xr:uid="{00000000-0005-0000-0000-0000298F0000}"/>
    <cellStyle name="Normal 2 2 4 16 2 2" xfId="36651" xr:uid="{00000000-0005-0000-0000-00002A8F0000}"/>
    <cellStyle name="Normal 2 2 4 16 3" xfId="36652" xr:uid="{00000000-0005-0000-0000-00002B8F0000}"/>
    <cellStyle name="Normal 2 2 4 17" xfId="36653" xr:uid="{00000000-0005-0000-0000-00002C8F0000}"/>
    <cellStyle name="Normal 2 2 4 17 2" xfId="36654" xr:uid="{00000000-0005-0000-0000-00002D8F0000}"/>
    <cellStyle name="Normal 2 2 4 17 2 2" xfId="36655" xr:uid="{00000000-0005-0000-0000-00002E8F0000}"/>
    <cellStyle name="Normal 2 2 4 17 3" xfId="36656" xr:uid="{00000000-0005-0000-0000-00002F8F0000}"/>
    <cellStyle name="Normal 2 2 4 18" xfId="36657" xr:uid="{00000000-0005-0000-0000-0000308F0000}"/>
    <cellStyle name="Normal 2 2 4 18 2" xfId="36658" xr:uid="{00000000-0005-0000-0000-0000318F0000}"/>
    <cellStyle name="Normal 2 2 4 18 2 2" xfId="36659" xr:uid="{00000000-0005-0000-0000-0000328F0000}"/>
    <cellStyle name="Normal 2 2 4 18 3" xfId="36660" xr:uid="{00000000-0005-0000-0000-0000338F0000}"/>
    <cellStyle name="Normal 2 2 4 19" xfId="36661" xr:uid="{00000000-0005-0000-0000-0000348F0000}"/>
    <cellStyle name="Normal 2 2 4 19 2" xfId="36662" xr:uid="{00000000-0005-0000-0000-0000358F0000}"/>
    <cellStyle name="Normal 2 2 4 19 2 2" xfId="36663" xr:uid="{00000000-0005-0000-0000-0000368F0000}"/>
    <cellStyle name="Normal 2 2 4 19 3" xfId="36664" xr:uid="{00000000-0005-0000-0000-0000378F0000}"/>
    <cellStyle name="Normal 2 2 4 2" xfId="36665" xr:uid="{00000000-0005-0000-0000-0000388F0000}"/>
    <cellStyle name="Normal 2 2 4 2 10" xfId="36666" xr:uid="{00000000-0005-0000-0000-0000398F0000}"/>
    <cellStyle name="Normal 2 2 4 2 10 2" xfId="36667" xr:uid="{00000000-0005-0000-0000-00003A8F0000}"/>
    <cellStyle name="Normal 2 2 4 2 10 2 2" xfId="36668" xr:uid="{00000000-0005-0000-0000-00003B8F0000}"/>
    <cellStyle name="Normal 2 2 4 2 10 2 2 2" xfId="36669" xr:uid="{00000000-0005-0000-0000-00003C8F0000}"/>
    <cellStyle name="Normal 2 2 4 2 10 2 2 2 2" xfId="36670" xr:uid="{00000000-0005-0000-0000-00003D8F0000}"/>
    <cellStyle name="Normal 2 2 4 2 10 2 2 3" xfId="36671" xr:uid="{00000000-0005-0000-0000-00003E8F0000}"/>
    <cellStyle name="Normal 2 2 4 2 10 2 3" xfId="36672" xr:uid="{00000000-0005-0000-0000-00003F8F0000}"/>
    <cellStyle name="Normal 2 2 4 2 10 2 3 2" xfId="36673" xr:uid="{00000000-0005-0000-0000-0000408F0000}"/>
    <cellStyle name="Normal 2 2 4 2 10 2 4" xfId="36674" xr:uid="{00000000-0005-0000-0000-0000418F0000}"/>
    <cellStyle name="Normal 2 2 4 2 10 3" xfId="36675" xr:uid="{00000000-0005-0000-0000-0000428F0000}"/>
    <cellStyle name="Normal 2 2 4 2 10 3 2" xfId="36676" xr:uid="{00000000-0005-0000-0000-0000438F0000}"/>
    <cellStyle name="Normal 2 2 4 2 10 3 2 2" xfId="36677" xr:uid="{00000000-0005-0000-0000-0000448F0000}"/>
    <cellStyle name="Normal 2 2 4 2 10 3 3" xfId="36678" xr:uid="{00000000-0005-0000-0000-0000458F0000}"/>
    <cellStyle name="Normal 2 2 4 2 10 4" xfId="36679" xr:uid="{00000000-0005-0000-0000-0000468F0000}"/>
    <cellStyle name="Normal 2 2 4 2 10 4 2" xfId="36680" xr:uid="{00000000-0005-0000-0000-0000478F0000}"/>
    <cellStyle name="Normal 2 2 4 2 10 5" xfId="36681" xr:uid="{00000000-0005-0000-0000-0000488F0000}"/>
    <cellStyle name="Normal 2 2 4 2 11" xfId="36682" xr:uid="{00000000-0005-0000-0000-0000498F0000}"/>
    <cellStyle name="Normal 2 2 4 2 11 2" xfId="36683" xr:uid="{00000000-0005-0000-0000-00004A8F0000}"/>
    <cellStyle name="Normal 2 2 4 2 11 2 2" xfId="36684" xr:uid="{00000000-0005-0000-0000-00004B8F0000}"/>
    <cellStyle name="Normal 2 2 4 2 11 2 2 2" xfId="36685" xr:uid="{00000000-0005-0000-0000-00004C8F0000}"/>
    <cellStyle name="Normal 2 2 4 2 11 2 2 2 2" xfId="36686" xr:uid="{00000000-0005-0000-0000-00004D8F0000}"/>
    <cellStyle name="Normal 2 2 4 2 11 2 2 3" xfId="36687" xr:uid="{00000000-0005-0000-0000-00004E8F0000}"/>
    <cellStyle name="Normal 2 2 4 2 11 2 3" xfId="36688" xr:uid="{00000000-0005-0000-0000-00004F8F0000}"/>
    <cellStyle name="Normal 2 2 4 2 11 2 3 2" xfId="36689" xr:uid="{00000000-0005-0000-0000-0000508F0000}"/>
    <cellStyle name="Normal 2 2 4 2 11 2 4" xfId="36690" xr:uid="{00000000-0005-0000-0000-0000518F0000}"/>
    <cellStyle name="Normal 2 2 4 2 11 3" xfId="36691" xr:uid="{00000000-0005-0000-0000-0000528F0000}"/>
    <cellStyle name="Normal 2 2 4 2 11 3 2" xfId="36692" xr:uid="{00000000-0005-0000-0000-0000538F0000}"/>
    <cellStyle name="Normal 2 2 4 2 11 3 2 2" xfId="36693" xr:uid="{00000000-0005-0000-0000-0000548F0000}"/>
    <cellStyle name="Normal 2 2 4 2 11 3 3" xfId="36694" xr:uid="{00000000-0005-0000-0000-0000558F0000}"/>
    <cellStyle name="Normal 2 2 4 2 11 4" xfId="36695" xr:uid="{00000000-0005-0000-0000-0000568F0000}"/>
    <cellStyle name="Normal 2 2 4 2 11 4 2" xfId="36696" xr:uid="{00000000-0005-0000-0000-0000578F0000}"/>
    <cellStyle name="Normal 2 2 4 2 11 5" xfId="36697" xr:uid="{00000000-0005-0000-0000-0000588F0000}"/>
    <cellStyle name="Normal 2 2 4 2 12" xfId="36698" xr:uid="{00000000-0005-0000-0000-0000598F0000}"/>
    <cellStyle name="Normal 2 2 4 2 12 2" xfId="36699" xr:uid="{00000000-0005-0000-0000-00005A8F0000}"/>
    <cellStyle name="Normal 2 2 4 2 12 2 2" xfId="36700" xr:uid="{00000000-0005-0000-0000-00005B8F0000}"/>
    <cellStyle name="Normal 2 2 4 2 12 2 2 2" xfId="36701" xr:uid="{00000000-0005-0000-0000-00005C8F0000}"/>
    <cellStyle name="Normal 2 2 4 2 12 2 2 2 2" xfId="36702" xr:uid="{00000000-0005-0000-0000-00005D8F0000}"/>
    <cellStyle name="Normal 2 2 4 2 12 2 2 3" xfId="36703" xr:uid="{00000000-0005-0000-0000-00005E8F0000}"/>
    <cellStyle name="Normal 2 2 4 2 12 2 3" xfId="36704" xr:uid="{00000000-0005-0000-0000-00005F8F0000}"/>
    <cellStyle name="Normal 2 2 4 2 12 2 3 2" xfId="36705" xr:uid="{00000000-0005-0000-0000-0000608F0000}"/>
    <cellStyle name="Normal 2 2 4 2 12 2 4" xfId="36706" xr:uid="{00000000-0005-0000-0000-0000618F0000}"/>
    <cellStyle name="Normal 2 2 4 2 12 3" xfId="36707" xr:uid="{00000000-0005-0000-0000-0000628F0000}"/>
    <cellStyle name="Normal 2 2 4 2 12 3 2" xfId="36708" xr:uid="{00000000-0005-0000-0000-0000638F0000}"/>
    <cellStyle name="Normal 2 2 4 2 12 3 2 2" xfId="36709" xr:uid="{00000000-0005-0000-0000-0000648F0000}"/>
    <cellStyle name="Normal 2 2 4 2 12 3 3" xfId="36710" xr:uid="{00000000-0005-0000-0000-0000658F0000}"/>
    <cellStyle name="Normal 2 2 4 2 12 4" xfId="36711" xr:uid="{00000000-0005-0000-0000-0000668F0000}"/>
    <cellStyle name="Normal 2 2 4 2 12 4 2" xfId="36712" xr:uid="{00000000-0005-0000-0000-0000678F0000}"/>
    <cellStyle name="Normal 2 2 4 2 12 5" xfId="36713" xr:uid="{00000000-0005-0000-0000-0000688F0000}"/>
    <cellStyle name="Normal 2 2 4 2 13" xfId="36714" xr:uid="{00000000-0005-0000-0000-0000698F0000}"/>
    <cellStyle name="Normal 2 2 4 2 13 2" xfId="36715" xr:uid="{00000000-0005-0000-0000-00006A8F0000}"/>
    <cellStyle name="Normal 2 2 4 2 13 2 2" xfId="36716" xr:uid="{00000000-0005-0000-0000-00006B8F0000}"/>
    <cellStyle name="Normal 2 2 4 2 13 2 2 2" xfId="36717" xr:uid="{00000000-0005-0000-0000-00006C8F0000}"/>
    <cellStyle name="Normal 2 2 4 2 13 2 3" xfId="36718" xr:uid="{00000000-0005-0000-0000-00006D8F0000}"/>
    <cellStyle name="Normal 2 2 4 2 13 3" xfId="36719" xr:uid="{00000000-0005-0000-0000-00006E8F0000}"/>
    <cellStyle name="Normal 2 2 4 2 13 3 2" xfId="36720" xr:uid="{00000000-0005-0000-0000-00006F8F0000}"/>
    <cellStyle name="Normal 2 2 4 2 13 4" xfId="36721" xr:uid="{00000000-0005-0000-0000-0000708F0000}"/>
    <cellStyle name="Normal 2 2 4 2 14" xfId="36722" xr:uid="{00000000-0005-0000-0000-0000718F0000}"/>
    <cellStyle name="Normal 2 2 4 2 14 2" xfId="36723" xr:uid="{00000000-0005-0000-0000-0000728F0000}"/>
    <cellStyle name="Normal 2 2 4 2 14 2 2" xfId="36724" xr:uid="{00000000-0005-0000-0000-0000738F0000}"/>
    <cellStyle name="Normal 2 2 4 2 14 2 2 2" xfId="36725" xr:uid="{00000000-0005-0000-0000-0000748F0000}"/>
    <cellStyle name="Normal 2 2 4 2 14 2 3" xfId="36726" xr:uid="{00000000-0005-0000-0000-0000758F0000}"/>
    <cellStyle name="Normal 2 2 4 2 14 3" xfId="36727" xr:uid="{00000000-0005-0000-0000-0000768F0000}"/>
    <cellStyle name="Normal 2 2 4 2 14 3 2" xfId="36728" xr:uid="{00000000-0005-0000-0000-0000778F0000}"/>
    <cellStyle name="Normal 2 2 4 2 14 4" xfId="36729" xr:uid="{00000000-0005-0000-0000-0000788F0000}"/>
    <cellStyle name="Normal 2 2 4 2 15" xfId="36730" xr:uid="{00000000-0005-0000-0000-0000798F0000}"/>
    <cellStyle name="Normal 2 2 4 2 15 2" xfId="36731" xr:uid="{00000000-0005-0000-0000-00007A8F0000}"/>
    <cellStyle name="Normal 2 2 4 2 15 2 2" xfId="36732" xr:uid="{00000000-0005-0000-0000-00007B8F0000}"/>
    <cellStyle name="Normal 2 2 4 2 15 3" xfId="36733" xr:uid="{00000000-0005-0000-0000-00007C8F0000}"/>
    <cellStyle name="Normal 2 2 4 2 16" xfId="36734" xr:uid="{00000000-0005-0000-0000-00007D8F0000}"/>
    <cellStyle name="Normal 2 2 4 2 16 2" xfId="36735" xr:uid="{00000000-0005-0000-0000-00007E8F0000}"/>
    <cellStyle name="Normal 2 2 4 2 16 2 2" xfId="36736" xr:uid="{00000000-0005-0000-0000-00007F8F0000}"/>
    <cellStyle name="Normal 2 2 4 2 16 3" xfId="36737" xr:uid="{00000000-0005-0000-0000-0000808F0000}"/>
    <cellStyle name="Normal 2 2 4 2 17" xfId="36738" xr:uid="{00000000-0005-0000-0000-0000818F0000}"/>
    <cellStyle name="Normal 2 2 4 2 17 2" xfId="36739" xr:uid="{00000000-0005-0000-0000-0000828F0000}"/>
    <cellStyle name="Normal 2 2 4 2 17 2 2" xfId="36740" xr:uid="{00000000-0005-0000-0000-0000838F0000}"/>
    <cellStyle name="Normal 2 2 4 2 17 3" xfId="36741" xr:uid="{00000000-0005-0000-0000-0000848F0000}"/>
    <cellStyle name="Normal 2 2 4 2 18" xfId="36742" xr:uid="{00000000-0005-0000-0000-0000858F0000}"/>
    <cellStyle name="Normal 2 2 4 2 18 2" xfId="36743" xr:uid="{00000000-0005-0000-0000-0000868F0000}"/>
    <cellStyle name="Normal 2 2 4 2 18 2 2" xfId="36744" xr:uid="{00000000-0005-0000-0000-0000878F0000}"/>
    <cellStyle name="Normal 2 2 4 2 18 3" xfId="36745" xr:uid="{00000000-0005-0000-0000-0000888F0000}"/>
    <cellStyle name="Normal 2 2 4 2 19" xfId="36746" xr:uid="{00000000-0005-0000-0000-0000898F0000}"/>
    <cellStyle name="Normal 2 2 4 2 19 2" xfId="36747" xr:uid="{00000000-0005-0000-0000-00008A8F0000}"/>
    <cellStyle name="Normal 2 2 4 2 2" xfId="36748" xr:uid="{00000000-0005-0000-0000-00008B8F0000}"/>
    <cellStyle name="Normal 2 2 4 2 2 10" xfId="36749" xr:uid="{00000000-0005-0000-0000-00008C8F0000}"/>
    <cellStyle name="Normal 2 2 4 2 2 10 2" xfId="36750" xr:uid="{00000000-0005-0000-0000-00008D8F0000}"/>
    <cellStyle name="Normal 2 2 4 2 2 10 2 2" xfId="36751" xr:uid="{00000000-0005-0000-0000-00008E8F0000}"/>
    <cellStyle name="Normal 2 2 4 2 2 10 3" xfId="36752" xr:uid="{00000000-0005-0000-0000-00008F8F0000}"/>
    <cellStyle name="Normal 2 2 4 2 2 11" xfId="36753" xr:uid="{00000000-0005-0000-0000-0000908F0000}"/>
    <cellStyle name="Normal 2 2 4 2 2 11 2" xfId="36754" xr:uid="{00000000-0005-0000-0000-0000918F0000}"/>
    <cellStyle name="Normal 2 2 4 2 2 11 2 2" xfId="36755" xr:uid="{00000000-0005-0000-0000-0000928F0000}"/>
    <cellStyle name="Normal 2 2 4 2 2 11 3" xfId="36756" xr:uid="{00000000-0005-0000-0000-0000938F0000}"/>
    <cellStyle name="Normal 2 2 4 2 2 12" xfId="36757" xr:uid="{00000000-0005-0000-0000-0000948F0000}"/>
    <cellStyle name="Normal 2 2 4 2 2 12 2" xfId="36758" xr:uid="{00000000-0005-0000-0000-0000958F0000}"/>
    <cellStyle name="Normal 2 2 4 2 2 12 2 2" xfId="36759" xr:uid="{00000000-0005-0000-0000-0000968F0000}"/>
    <cellStyle name="Normal 2 2 4 2 2 12 3" xfId="36760" xr:uid="{00000000-0005-0000-0000-0000978F0000}"/>
    <cellStyle name="Normal 2 2 4 2 2 13" xfId="36761" xr:uid="{00000000-0005-0000-0000-0000988F0000}"/>
    <cellStyle name="Normal 2 2 4 2 2 13 2" xfId="36762" xr:uid="{00000000-0005-0000-0000-0000998F0000}"/>
    <cellStyle name="Normal 2 2 4 2 2 14" xfId="36763" xr:uid="{00000000-0005-0000-0000-00009A8F0000}"/>
    <cellStyle name="Normal 2 2 4 2 2 2" xfId="36764" xr:uid="{00000000-0005-0000-0000-00009B8F0000}"/>
    <cellStyle name="Normal 2 2 4 2 2 2 2" xfId="36765" xr:uid="{00000000-0005-0000-0000-00009C8F0000}"/>
    <cellStyle name="Normal 2 2 4 2 2 2 2 2" xfId="36766" xr:uid="{00000000-0005-0000-0000-00009D8F0000}"/>
    <cellStyle name="Normal 2 2 4 2 2 2 2 2 2" xfId="36767" xr:uid="{00000000-0005-0000-0000-00009E8F0000}"/>
    <cellStyle name="Normal 2 2 4 2 2 2 2 2 2 2" xfId="36768" xr:uid="{00000000-0005-0000-0000-00009F8F0000}"/>
    <cellStyle name="Normal 2 2 4 2 2 2 2 2 3" xfId="36769" xr:uid="{00000000-0005-0000-0000-0000A08F0000}"/>
    <cellStyle name="Normal 2 2 4 2 2 2 2 3" xfId="36770" xr:uid="{00000000-0005-0000-0000-0000A18F0000}"/>
    <cellStyle name="Normal 2 2 4 2 2 2 2 3 2" xfId="36771" xr:uid="{00000000-0005-0000-0000-0000A28F0000}"/>
    <cellStyle name="Normal 2 2 4 2 2 2 2 4" xfId="36772" xr:uid="{00000000-0005-0000-0000-0000A38F0000}"/>
    <cellStyle name="Normal 2 2 4 2 2 2 3" xfId="36773" xr:uid="{00000000-0005-0000-0000-0000A48F0000}"/>
    <cellStyle name="Normal 2 2 4 2 2 2 3 2" xfId="36774" xr:uid="{00000000-0005-0000-0000-0000A58F0000}"/>
    <cellStyle name="Normal 2 2 4 2 2 2 3 2 2" xfId="36775" xr:uid="{00000000-0005-0000-0000-0000A68F0000}"/>
    <cellStyle name="Normal 2 2 4 2 2 2 3 3" xfId="36776" xr:uid="{00000000-0005-0000-0000-0000A78F0000}"/>
    <cellStyle name="Normal 2 2 4 2 2 2 4" xfId="36777" xr:uid="{00000000-0005-0000-0000-0000A88F0000}"/>
    <cellStyle name="Normal 2 2 4 2 2 2 4 2" xfId="36778" xr:uid="{00000000-0005-0000-0000-0000A98F0000}"/>
    <cellStyle name="Normal 2 2 4 2 2 2 4 2 2" xfId="36779" xr:uid="{00000000-0005-0000-0000-0000AA8F0000}"/>
    <cellStyle name="Normal 2 2 4 2 2 2 4 3" xfId="36780" xr:uid="{00000000-0005-0000-0000-0000AB8F0000}"/>
    <cellStyle name="Normal 2 2 4 2 2 2 5" xfId="36781" xr:uid="{00000000-0005-0000-0000-0000AC8F0000}"/>
    <cellStyle name="Normal 2 2 4 2 2 2 5 2" xfId="36782" xr:uid="{00000000-0005-0000-0000-0000AD8F0000}"/>
    <cellStyle name="Normal 2 2 4 2 2 2 5 2 2" xfId="36783" xr:uid="{00000000-0005-0000-0000-0000AE8F0000}"/>
    <cellStyle name="Normal 2 2 4 2 2 2 5 3" xfId="36784" xr:uid="{00000000-0005-0000-0000-0000AF8F0000}"/>
    <cellStyle name="Normal 2 2 4 2 2 2 6" xfId="36785" xr:uid="{00000000-0005-0000-0000-0000B08F0000}"/>
    <cellStyle name="Normal 2 2 4 2 2 2 6 2" xfId="36786" xr:uid="{00000000-0005-0000-0000-0000B18F0000}"/>
    <cellStyle name="Normal 2 2 4 2 2 2 6 2 2" xfId="36787" xr:uid="{00000000-0005-0000-0000-0000B28F0000}"/>
    <cellStyle name="Normal 2 2 4 2 2 2 6 3" xfId="36788" xr:uid="{00000000-0005-0000-0000-0000B38F0000}"/>
    <cellStyle name="Normal 2 2 4 2 2 2 7" xfId="36789" xr:uid="{00000000-0005-0000-0000-0000B48F0000}"/>
    <cellStyle name="Normal 2 2 4 2 2 2 7 2" xfId="36790" xr:uid="{00000000-0005-0000-0000-0000B58F0000}"/>
    <cellStyle name="Normal 2 2 4 2 2 2 8" xfId="36791" xr:uid="{00000000-0005-0000-0000-0000B68F0000}"/>
    <cellStyle name="Normal 2 2 4 2 2 3" xfId="36792" xr:uid="{00000000-0005-0000-0000-0000B78F0000}"/>
    <cellStyle name="Normal 2 2 4 2 2 3 2" xfId="36793" xr:uid="{00000000-0005-0000-0000-0000B88F0000}"/>
    <cellStyle name="Normal 2 2 4 2 2 3 2 2" xfId="36794" xr:uid="{00000000-0005-0000-0000-0000B98F0000}"/>
    <cellStyle name="Normal 2 2 4 2 2 3 2 2 2" xfId="36795" xr:uid="{00000000-0005-0000-0000-0000BA8F0000}"/>
    <cellStyle name="Normal 2 2 4 2 2 3 2 2 2 2" xfId="36796" xr:uid="{00000000-0005-0000-0000-0000BB8F0000}"/>
    <cellStyle name="Normal 2 2 4 2 2 3 2 2 3" xfId="36797" xr:uid="{00000000-0005-0000-0000-0000BC8F0000}"/>
    <cellStyle name="Normal 2 2 4 2 2 3 2 3" xfId="36798" xr:uid="{00000000-0005-0000-0000-0000BD8F0000}"/>
    <cellStyle name="Normal 2 2 4 2 2 3 2 3 2" xfId="36799" xr:uid="{00000000-0005-0000-0000-0000BE8F0000}"/>
    <cellStyle name="Normal 2 2 4 2 2 3 2 4" xfId="36800" xr:uid="{00000000-0005-0000-0000-0000BF8F0000}"/>
    <cellStyle name="Normal 2 2 4 2 2 3 3" xfId="36801" xr:uid="{00000000-0005-0000-0000-0000C08F0000}"/>
    <cellStyle name="Normal 2 2 4 2 2 3 3 2" xfId="36802" xr:uid="{00000000-0005-0000-0000-0000C18F0000}"/>
    <cellStyle name="Normal 2 2 4 2 2 3 3 2 2" xfId="36803" xr:uid="{00000000-0005-0000-0000-0000C28F0000}"/>
    <cellStyle name="Normal 2 2 4 2 2 3 3 3" xfId="36804" xr:uid="{00000000-0005-0000-0000-0000C38F0000}"/>
    <cellStyle name="Normal 2 2 4 2 2 3 4" xfId="36805" xr:uid="{00000000-0005-0000-0000-0000C48F0000}"/>
    <cellStyle name="Normal 2 2 4 2 2 3 4 2" xfId="36806" xr:uid="{00000000-0005-0000-0000-0000C58F0000}"/>
    <cellStyle name="Normal 2 2 4 2 2 3 4 2 2" xfId="36807" xr:uid="{00000000-0005-0000-0000-0000C68F0000}"/>
    <cellStyle name="Normal 2 2 4 2 2 3 4 3" xfId="36808" xr:uid="{00000000-0005-0000-0000-0000C78F0000}"/>
    <cellStyle name="Normal 2 2 4 2 2 3 5" xfId="36809" xr:uid="{00000000-0005-0000-0000-0000C88F0000}"/>
    <cellStyle name="Normal 2 2 4 2 2 3 5 2" xfId="36810" xr:uid="{00000000-0005-0000-0000-0000C98F0000}"/>
    <cellStyle name="Normal 2 2 4 2 2 3 5 2 2" xfId="36811" xr:uid="{00000000-0005-0000-0000-0000CA8F0000}"/>
    <cellStyle name="Normal 2 2 4 2 2 3 5 3" xfId="36812" xr:uid="{00000000-0005-0000-0000-0000CB8F0000}"/>
    <cellStyle name="Normal 2 2 4 2 2 3 6" xfId="36813" xr:uid="{00000000-0005-0000-0000-0000CC8F0000}"/>
    <cellStyle name="Normal 2 2 4 2 2 3 6 2" xfId="36814" xr:uid="{00000000-0005-0000-0000-0000CD8F0000}"/>
    <cellStyle name="Normal 2 2 4 2 2 3 6 2 2" xfId="36815" xr:uid="{00000000-0005-0000-0000-0000CE8F0000}"/>
    <cellStyle name="Normal 2 2 4 2 2 3 6 3" xfId="36816" xr:uid="{00000000-0005-0000-0000-0000CF8F0000}"/>
    <cellStyle name="Normal 2 2 4 2 2 3 7" xfId="36817" xr:uid="{00000000-0005-0000-0000-0000D08F0000}"/>
    <cellStyle name="Normal 2 2 4 2 2 3 7 2" xfId="36818" xr:uid="{00000000-0005-0000-0000-0000D18F0000}"/>
    <cellStyle name="Normal 2 2 4 2 2 3 8" xfId="36819" xr:uid="{00000000-0005-0000-0000-0000D28F0000}"/>
    <cellStyle name="Normal 2 2 4 2 2 4" xfId="36820" xr:uid="{00000000-0005-0000-0000-0000D38F0000}"/>
    <cellStyle name="Normal 2 2 4 2 2 4 2" xfId="36821" xr:uid="{00000000-0005-0000-0000-0000D48F0000}"/>
    <cellStyle name="Normal 2 2 4 2 2 4 2 2" xfId="36822" xr:uid="{00000000-0005-0000-0000-0000D58F0000}"/>
    <cellStyle name="Normal 2 2 4 2 2 4 2 2 2" xfId="36823" xr:uid="{00000000-0005-0000-0000-0000D68F0000}"/>
    <cellStyle name="Normal 2 2 4 2 2 4 2 2 2 2" xfId="36824" xr:uid="{00000000-0005-0000-0000-0000D78F0000}"/>
    <cellStyle name="Normal 2 2 4 2 2 4 2 2 3" xfId="36825" xr:uid="{00000000-0005-0000-0000-0000D88F0000}"/>
    <cellStyle name="Normal 2 2 4 2 2 4 2 3" xfId="36826" xr:uid="{00000000-0005-0000-0000-0000D98F0000}"/>
    <cellStyle name="Normal 2 2 4 2 2 4 2 3 2" xfId="36827" xr:uid="{00000000-0005-0000-0000-0000DA8F0000}"/>
    <cellStyle name="Normal 2 2 4 2 2 4 2 4" xfId="36828" xr:uid="{00000000-0005-0000-0000-0000DB8F0000}"/>
    <cellStyle name="Normal 2 2 4 2 2 4 3" xfId="36829" xr:uid="{00000000-0005-0000-0000-0000DC8F0000}"/>
    <cellStyle name="Normal 2 2 4 2 2 4 3 2" xfId="36830" xr:uid="{00000000-0005-0000-0000-0000DD8F0000}"/>
    <cellStyle name="Normal 2 2 4 2 2 4 3 2 2" xfId="36831" xr:uid="{00000000-0005-0000-0000-0000DE8F0000}"/>
    <cellStyle name="Normal 2 2 4 2 2 4 3 3" xfId="36832" xr:uid="{00000000-0005-0000-0000-0000DF8F0000}"/>
    <cellStyle name="Normal 2 2 4 2 2 4 4" xfId="36833" xr:uid="{00000000-0005-0000-0000-0000E08F0000}"/>
    <cellStyle name="Normal 2 2 4 2 2 4 4 2" xfId="36834" xr:uid="{00000000-0005-0000-0000-0000E18F0000}"/>
    <cellStyle name="Normal 2 2 4 2 2 4 4 2 2" xfId="36835" xr:uid="{00000000-0005-0000-0000-0000E28F0000}"/>
    <cellStyle name="Normal 2 2 4 2 2 4 4 3" xfId="36836" xr:uid="{00000000-0005-0000-0000-0000E38F0000}"/>
    <cellStyle name="Normal 2 2 4 2 2 4 5" xfId="36837" xr:uid="{00000000-0005-0000-0000-0000E48F0000}"/>
    <cellStyle name="Normal 2 2 4 2 2 4 5 2" xfId="36838" xr:uid="{00000000-0005-0000-0000-0000E58F0000}"/>
    <cellStyle name="Normal 2 2 4 2 2 4 5 2 2" xfId="36839" xr:uid="{00000000-0005-0000-0000-0000E68F0000}"/>
    <cellStyle name="Normal 2 2 4 2 2 4 5 3" xfId="36840" xr:uid="{00000000-0005-0000-0000-0000E78F0000}"/>
    <cellStyle name="Normal 2 2 4 2 2 4 6" xfId="36841" xr:uid="{00000000-0005-0000-0000-0000E88F0000}"/>
    <cellStyle name="Normal 2 2 4 2 2 4 6 2" xfId="36842" xr:uid="{00000000-0005-0000-0000-0000E98F0000}"/>
    <cellStyle name="Normal 2 2 4 2 2 4 6 2 2" xfId="36843" xr:uid="{00000000-0005-0000-0000-0000EA8F0000}"/>
    <cellStyle name="Normal 2 2 4 2 2 4 6 3" xfId="36844" xr:uid="{00000000-0005-0000-0000-0000EB8F0000}"/>
    <cellStyle name="Normal 2 2 4 2 2 4 7" xfId="36845" xr:uid="{00000000-0005-0000-0000-0000EC8F0000}"/>
    <cellStyle name="Normal 2 2 4 2 2 4 7 2" xfId="36846" xr:uid="{00000000-0005-0000-0000-0000ED8F0000}"/>
    <cellStyle name="Normal 2 2 4 2 2 4 8" xfId="36847" xr:uid="{00000000-0005-0000-0000-0000EE8F0000}"/>
    <cellStyle name="Normal 2 2 4 2 2 5" xfId="36848" xr:uid="{00000000-0005-0000-0000-0000EF8F0000}"/>
    <cellStyle name="Normal 2 2 4 2 2 5 2" xfId="36849" xr:uid="{00000000-0005-0000-0000-0000F08F0000}"/>
    <cellStyle name="Normal 2 2 4 2 2 5 2 2" xfId="36850" xr:uid="{00000000-0005-0000-0000-0000F18F0000}"/>
    <cellStyle name="Normal 2 2 4 2 2 5 2 2 2" xfId="36851" xr:uid="{00000000-0005-0000-0000-0000F28F0000}"/>
    <cellStyle name="Normal 2 2 4 2 2 5 2 2 2 2" xfId="36852" xr:uid="{00000000-0005-0000-0000-0000F38F0000}"/>
    <cellStyle name="Normal 2 2 4 2 2 5 2 2 3" xfId="36853" xr:uid="{00000000-0005-0000-0000-0000F48F0000}"/>
    <cellStyle name="Normal 2 2 4 2 2 5 2 3" xfId="36854" xr:uid="{00000000-0005-0000-0000-0000F58F0000}"/>
    <cellStyle name="Normal 2 2 4 2 2 5 2 3 2" xfId="36855" xr:uid="{00000000-0005-0000-0000-0000F68F0000}"/>
    <cellStyle name="Normal 2 2 4 2 2 5 2 4" xfId="36856" xr:uid="{00000000-0005-0000-0000-0000F78F0000}"/>
    <cellStyle name="Normal 2 2 4 2 2 5 3" xfId="36857" xr:uid="{00000000-0005-0000-0000-0000F88F0000}"/>
    <cellStyle name="Normal 2 2 4 2 2 5 3 2" xfId="36858" xr:uid="{00000000-0005-0000-0000-0000F98F0000}"/>
    <cellStyle name="Normal 2 2 4 2 2 5 3 2 2" xfId="36859" xr:uid="{00000000-0005-0000-0000-0000FA8F0000}"/>
    <cellStyle name="Normal 2 2 4 2 2 5 3 3" xfId="36860" xr:uid="{00000000-0005-0000-0000-0000FB8F0000}"/>
    <cellStyle name="Normal 2 2 4 2 2 5 4" xfId="36861" xr:uid="{00000000-0005-0000-0000-0000FC8F0000}"/>
    <cellStyle name="Normal 2 2 4 2 2 5 4 2" xfId="36862" xr:uid="{00000000-0005-0000-0000-0000FD8F0000}"/>
    <cellStyle name="Normal 2 2 4 2 2 5 5" xfId="36863" xr:uid="{00000000-0005-0000-0000-0000FE8F0000}"/>
    <cellStyle name="Normal 2 2 4 2 2 6" xfId="36864" xr:uid="{00000000-0005-0000-0000-0000FF8F0000}"/>
    <cellStyle name="Normal 2 2 4 2 2 6 2" xfId="36865" xr:uid="{00000000-0005-0000-0000-000000900000}"/>
    <cellStyle name="Normal 2 2 4 2 2 6 2 2" xfId="36866" xr:uid="{00000000-0005-0000-0000-000001900000}"/>
    <cellStyle name="Normal 2 2 4 2 2 6 2 2 2" xfId="36867" xr:uid="{00000000-0005-0000-0000-000002900000}"/>
    <cellStyle name="Normal 2 2 4 2 2 6 2 2 2 2" xfId="36868" xr:uid="{00000000-0005-0000-0000-000003900000}"/>
    <cellStyle name="Normal 2 2 4 2 2 6 2 2 3" xfId="36869" xr:uid="{00000000-0005-0000-0000-000004900000}"/>
    <cellStyle name="Normal 2 2 4 2 2 6 2 3" xfId="36870" xr:uid="{00000000-0005-0000-0000-000005900000}"/>
    <cellStyle name="Normal 2 2 4 2 2 6 2 3 2" xfId="36871" xr:uid="{00000000-0005-0000-0000-000006900000}"/>
    <cellStyle name="Normal 2 2 4 2 2 6 2 4" xfId="36872" xr:uid="{00000000-0005-0000-0000-000007900000}"/>
    <cellStyle name="Normal 2 2 4 2 2 6 3" xfId="36873" xr:uid="{00000000-0005-0000-0000-000008900000}"/>
    <cellStyle name="Normal 2 2 4 2 2 6 3 2" xfId="36874" xr:uid="{00000000-0005-0000-0000-000009900000}"/>
    <cellStyle name="Normal 2 2 4 2 2 6 3 2 2" xfId="36875" xr:uid="{00000000-0005-0000-0000-00000A900000}"/>
    <cellStyle name="Normal 2 2 4 2 2 6 3 3" xfId="36876" xr:uid="{00000000-0005-0000-0000-00000B900000}"/>
    <cellStyle name="Normal 2 2 4 2 2 6 4" xfId="36877" xr:uid="{00000000-0005-0000-0000-00000C900000}"/>
    <cellStyle name="Normal 2 2 4 2 2 6 4 2" xfId="36878" xr:uid="{00000000-0005-0000-0000-00000D900000}"/>
    <cellStyle name="Normal 2 2 4 2 2 6 5" xfId="36879" xr:uid="{00000000-0005-0000-0000-00000E900000}"/>
    <cellStyle name="Normal 2 2 4 2 2 7" xfId="36880" xr:uid="{00000000-0005-0000-0000-00000F900000}"/>
    <cellStyle name="Normal 2 2 4 2 2 7 2" xfId="36881" xr:uid="{00000000-0005-0000-0000-000010900000}"/>
    <cellStyle name="Normal 2 2 4 2 2 7 2 2" xfId="36882" xr:uid="{00000000-0005-0000-0000-000011900000}"/>
    <cellStyle name="Normal 2 2 4 2 2 7 2 2 2" xfId="36883" xr:uid="{00000000-0005-0000-0000-000012900000}"/>
    <cellStyle name="Normal 2 2 4 2 2 7 2 3" xfId="36884" xr:uid="{00000000-0005-0000-0000-000013900000}"/>
    <cellStyle name="Normal 2 2 4 2 2 7 3" xfId="36885" xr:uid="{00000000-0005-0000-0000-000014900000}"/>
    <cellStyle name="Normal 2 2 4 2 2 7 3 2" xfId="36886" xr:uid="{00000000-0005-0000-0000-000015900000}"/>
    <cellStyle name="Normal 2 2 4 2 2 7 4" xfId="36887" xr:uid="{00000000-0005-0000-0000-000016900000}"/>
    <cellStyle name="Normal 2 2 4 2 2 8" xfId="36888" xr:uid="{00000000-0005-0000-0000-000017900000}"/>
    <cellStyle name="Normal 2 2 4 2 2 8 2" xfId="36889" xr:uid="{00000000-0005-0000-0000-000018900000}"/>
    <cellStyle name="Normal 2 2 4 2 2 8 2 2" xfId="36890" xr:uid="{00000000-0005-0000-0000-000019900000}"/>
    <cellStyle name="Normal 2 2 4 2 2 8 2 2 2" xfId="36891" xr:uid="{00000000-0005-0000-0000-00001A900000}"/>
    <cellStyle name="Normal 2 2 4 2 2 8 2 3" xfId="36892" xr:uid="{00000000-0005-0000-0000-00001B900000}"/>
    <cellStyle name="Normal 2 2 4 2 2 8 3" xfId="36893" xr:uid="{00000000-0005-0000-0000-00001C900000}"/>
    <cellStyle name="Normal 2 2 4 2 2 8 3 2" xfId="36894" xr:uid="{00000000-0005-0000-0000-00001D900000}"/>
    <cellStyle name="Normal 2 2 4 2 2 8 4" xfId="36895" xr:uid="{00000000-0005-0000-0000-00001E900000}"/>
    <cellStyle name="Normal 2 2 4 2 2 9" xfId="36896" xr:uid="{00000000-0005-0000-0000-00001F900000}"/>
    <cellStyle name="Normal 2 2 4 2 2 9 2" xfId="36897" xr:uid="{00000000-0005-0000-0000-000020900000}"/>
    <cellStyle name="Normal 2 2 4 2 2 9 2 2" xfId="36898" xr:uid="{00000000-0005-0000-0000-000021900000}"/>
    <cellStyle name="Normal 2 2 4 2 2 9 3" xfId="36899" xr:uid="{00000000-0005-0000-0000-000022900000}"/>
    <cellStyle name="Normal 2 2 4 2 20" xfId="36900" xr:uid="{00000000-0005-0000-0000-000023900000}"/>
    <cellStyle name="Normal 2 2 4 2 3" xfId="36901" xr:uid="{00000000-0005-0000-0000-000024900000}"/>
    <cellStyle name="Normal 2 2 4 2 3 10" xfId="36902" xr:uid="{00000000-0005-0000-0000-000025900000}"/>
    <cellStyle name="Normal 2 2 4 2 3 10 2" xfId="36903" xr:uid="{00000000-0005-0000-0000-000026900000}"/>
    <cellStyle name="Normal 2 2 4 2 3 10 2 2" xfId="36904" xr:uid="{00000000-0005-0000-0000-000027900000}"/>
    <cellStyle name="Normal 2 2 4 2 3 10 3" xfId="36905" xr:uid="{00000000-0005-0000-0000-000028900000}"/>
    <cellStyle name="Normal 2 2 4 2 3 11" xfId="36906" xr:uid="{00000000-0005-0000-0000-000029900000}"/>
    <cellStyle name="Normal 2 2 4 2 3 11 2" xfId="36907" xr:uid="{00000000-0005-0000-0000-00002A900000}"/>
    <cellStyle name="Normal 2 2 4 2 3 11 2 2" xfId="36908" xr:uid="{00000000-0005-0000-0000-00002B900000}"/>
    <cellStyle name="Normal 2 2 4 2 3 11 3" xfId="36909" xr:uid="{00000000-0005-0000-0000-00002C900000}"/>
    <cellStyle name="Normal 2 2 4 2 3 12" xfId="36910" xr:uid="{00000000-0005-0000-0000-00002D900000}"/>
    <cellStyle name="Normal 2 2 4 2 3 12 2" xfId="36911" xr:uid="{00000000-0005-0000-0000-00002E900000}"/>
    <cellStyle name="Normal 2 2 4 2 3 12 2 2" xfId="36912" xr:uid="{00000000-0005-0000-0000-00002F900000}"/>
    <cellStyle name="Normal 2 2 4 2 3 12 3" xfId="36913" xr:uid="{00000000-0005-0000-0000-000030900000}"/>
    <cellStyle name="Normal 2 2 4 2 3 13" xfId="36914" xr:uid="{00000000-0005-0000-0000-000031900000}"/>
    <cellStyle name="Normal 2 2 4 2 3 13 2" xfId="36915" xr:uid="{00000000-0005-0000-0000-000032900000}"/>
    <cellStyle name="Normal 2 2 4 2 3 14" xfId="36916" xr:uid="{00000000-0005-0000-0000-000033900000}"/>
    <cellStyle name="Normal 2 2 4 2 3 2" xfId="36917" xr:uid="{00000000-0005-0000-0000-000034900000}"/>
    <cellStyle name="Normal 2 2 4 2 3 2 2" xfId="36918" xr:uid="{00000000-0005-0000-0000-000035900000}"/>
    <cellStyle name="Normal 2 2 4 2 3 2 2 2" xfId="36919" xr:uid="{00000000-0005-0000-0000-000036900000}"/>
    <cellStyle name="Normal 2 2 4 2 3 2 2 2 2" xfId="36920" xr:uid="{00000000-0005-0000-0000-000037900000}"/>
    <cellStyle name="Normal 2 2 4 2 3 2 2 2 2 2" xfId="36921" xr:uid="{00000000-0005-0000-0000-000038900000}"/>
    <cellStyle name="Normal 2 2 4 2 3 2 2 2 3" xfId="36922" xr:uid="{00000000-0005-0000-0000-000039900000}"/>
    <cellStyle name="Normal 2 2 4 2 3 2 2 3" xfId="36923" xr:uid="{00000000-0005-0000-0000-00003A900000}"/>
    <cellStyle name="Normal 2 2 4 2 3 2 2 3 2" xfId="36924" xr:uid="{00000000-0005-0000-0000-00003B900000}"/>
    <cellStyle name="Normal 2 2 4 2 3 2 2 4" xfId="36925" xr:uid="{00000000-0005-0000-0000-00003C900000}"/>
    <cellStyle name="Normal 2 2 4 2 3 2 3" xfId="36926" xr:uid="{00000000-0005-0000-0000-00003D900000}"/>
    <cellStyle name="Normal 2 2 4 2 3 2 3 2" xfId="36927" xr:uid="{00000000-0005-0000-0000-00003E900000}"/>
    <cellStyle name="Normal 2 2 4 2 3 2 3 2 2" xfId="36928" xr:uid="{00000000-0005-0000-0000-00003F900000}"/>
    <cellStyle name="Normal 2 2 4 2 3 2 3 3" xfId="36929" xr:uid="{00000000-0005-0000-0000-000040900000}"/>
    <cellStyle name="Normal 2 2 4 2 3 2 4" xfId="36930" xr:uid="{00000000-0005-0000-0000-000041900000}"/>
    <cellStyle name="Normal 2 2 4 2 3 2 4 2" xfId="36931" xr:uid="{00000000-0005-0000-0000-000042900000}"/>
    <cellStyle name="Normal 2 2 4 2 3 2 4 2 2" xfId="36932" xr:uid="{00000000-0005-0000-0000-000043900000}"/>
    <cellStyle name="Normal 2 2 4 2 3 2 4 3" xfId="36933" xr:uid="{00000000-0005-0000-0000-000044900000}"/>
    <cellStyle name="Normal 2 2 4 2 3 2 5" xfId="36934" xr:uid="{00000000-0005-0000-0000-000045900000}"/>
    <cellStyle name="Normal 2 2 4 2 3 2 5 2" xfId="36935" xr:uid="{00000000-0005-0000-0000-000046900000}"/>
    <cellStyle name="Normal 2 2 4 2 3 2 5 2 2" xfId="36936" xr:uid="{00000000-0005-0000-0000-000047900000}"/>
    <cellStyle name="Normal 2 2 4 2 3 2 5 3" xfId="36937" xr:uid="{00000000-0005-0000-0000-000048900000}"/>
    <cellStyle name="Normal 2 2 4 2 3 2 6" xfId="36938" xr:uid="{00000000-0005-0000-0000-000049900000}"/>
    <cellStyle name="Normal 2 2 4 2 3 2 6 2" xfId="36939" xr:uid="{00000000-0005-0000-0000-00004A900000}"/>
    <cellStyle name="Normal 2 2 4 2 3 2 6 2 2" xfId="36940" xr:uid="{00000000-0005-0000-0000-00004B900000}"/>
    <cellStyle name="Normal 2 2 4 2 3 2 6 3" xfId="36941" xr:uid="{00000000-0005-0000-0000-00004C900000}"/>
    <cellStyle name="Normal 2 2 4 2 3 2 7" xfId="36942" xr:uid="{00000000-0005-0000-0000-00004D900000}"/>
    <cellStyle name="Normal 2 2 4 2 3 2 7 2" xfId="36943" xr:uid="{00000000-0005-0000-0000-00004E900000}"/>
    <cellStyle name="Normal 2 2 4 2 3 2 8" xfId="36944" xr:uid="{00000000-0005-0000-0000-00004F900000}"/>
    <cellStyle name="Normal 2 2 4 2 3 3" xfId="36945" xr:uid="{00000000-0005-0000-0000-000050900000}"/>
    <cellStyle name="Normal 2 2 4 2 3 3 2" xfId="36946" xr:uid="{00000000-0005-0000-0000-000051900000}"/>
    <cellStyle name="Normal 2 2 4 2 3 3 2 2" xfId="36947" xr:uid="{00000000-0005-0000-0000-000052900000}"/>
    <cellStyle name="Normal 2 2 4 2 3 3 2 2 2" xfId="36948" xr:uid="{00000000-0005-0000-0000-000053900000}"/>
    <cellStyle name="Normal 2 2 4 2 3 3 2 2 2 2" xfId="36949" xr:uid="{00000000-0005-0000-0000-000054900000}"/>
    <cellStyle name="Normal 2 2 4 2 3 3 2 2 3" xfId="36950" xr:uid="{00000000-0005-0000-0000-000055900000}"/>
    <cellStyle name="Normal 2 2 4 2 3 3 2 3" xfId="36951" xr:uid="{00000000-0005-0000-0000-000056900000}"/>
    <cellStyle name="Normal 2 2 4 2 3 3 2 3 2" xfId="36952" xr:uid="{00000000-0005-0000-0000-000057900000}"/>
    <cellStyle name="Normal 2 2 4 2 3 3 2 4" xfId="36953" xr:uid="{00000000-0005-0000-0000-000058900000}"/>
    <cellStyle name="Normal 2 2 4 2 3 3 3" xfId="36954" xr:uid="{00000000-0005-0000-0000-000059900000}"/>
    <cellStyle name="Normal 2 2 4 2 3 3 3 2" xfId="36955" xr:uid="{00000000-0005-0000-0000-00005A900000}"/>
    <cellStyle name="Normal 2 2 4 2 3 3 3 2 2" xfId="36956" xr:uid="{00000000-0005-0000-0000-00005B900000}"/>
    <cellStyle name="Normal 2 2 4 2 3 3 3 3" xfId="36957" xr:uid="{00000000-0005-0000-0000-00005C900000}"/>
    <cellStyle name="Normal 2 2 4 2 3 3 4" xfId="36958" xr:uid="{00000000-0005-0000-0000-00005D900000}"/>
    <cellStyle name="Normal 2 2 4 2 3 3 4 2" xfId="36959" xr:uid="{00000000-0005-0000-0000-00005E900000}"/>
    <cellStyle name="Normal 2 2 4 2 3 3 4 2 2" xfId="36960" xr:uid="{00000000-0005-0000-0000-00005F900000}"/>
    <cellStyle name="Normal 2 2 4 2 3 3 4 3" xfId="36961" xr:uid="{00000000-0005-0000-0000-000060900000}"/>
    <cellStyle name="Normal 2 2 4 2 3 3 5" xfId="36962" xr:uid="{00000000-0005-0000-0000-000061900000}"/>
    <cellStyle name="Normal 2 2 4 2 3 3 5 2" xfId="36963" xr:uid="{00000000-0005-0000-0000-000062900000}"/>
    <cellStyle name="Normal 2 2 4 2 3 3 5 2 2" xfId="36964" xr:uid="{00000000-0005-0000-0000-000063900000}"/>
    <cellStyle name="Normal 2 2 4 2 3 3 5 3" xfId="36965" xr:uid="{00000000-0005-0000-0000-000064900000}"/>
    <cellStyle name="Normal 2 2 4 2 3 3 6" xfId="36966" xr:uid="{00000000-0005-0000-0000-000065900000}"/>
    <cellStyle name="Normal 2 2 4 2 3 3 6 2" xfId="36967" xr:uid="{00000000-0005-0000-0000-000066900000}"/>
    <cellStyle name="Normal 2 2 4 2 3 3 6 2 2" xfId="36968" xr:uid="{00000000-0005-0000-0000-000067900000}"/>
    <cellStyle name="Normal 2 2 4 2 3 3 6 3" xfId="36969" xr:uid="{00000000-0005-0000-0000-000068900000}"/>
    <cellStyle name="Normal 2 2 4 2 3 3 7" xfId="36970" xr:uid="{00000000-0005-0000-0000-000069900000}"/>
    <cellStyle name="Normal 2 2 4 2 3 3 7 2" xfId="36971" xr:uid="{00000000-0005-0000-0000-00006A900000}"/>
    <cellStyle name="Normal 2 2 4 2 3 3 8" xfId="36972" xr:uid="{00000000-0005-0000-0000-00006B900000}"/>
    <cellStyle name="Normal 2 2 4 2 3 4" xfId="36973" xr:uid="{00000000-0005-0000-0000-00006C900000}"/>
    <cellStyle name="Normal 2 2 4 2 3 4 2" xfId="36974" xr:uid="{00000000-0005-0000-0000-00006D900000}"/>
    <cellStyle name="Normal 2 2 4 2 3 4 2 2" xfId="36975" xr:uid="{00000000-0005-0000-0000-00006E900000}"/>
    <cellStyle name="Normal 2 2 4 2 3 4 2 2 2" xfId="36976" xr:uid="{00000000-0005-0000-0000-00006F900000}"/>
    <cellStyle name="Normal 2 2 4 2 3 4 2 2 2 2" xfId="36977" xr:uid="{00000000-0005-0000-0000-000070900000}"/>
    <cellStyle name="Normal 2 2 4 2 3 4 2 2 3" xfId="36978" xr:uid="{00000000-0005-0000-0000-000071900000}"/>
    <cellStyle name="Normal 2 2 4 2 3 4 2 3" xfId="36979" xr:uid="{00000000-0005-0000-0000-000072900000}"/>
    <cellStyle name="Normal 2 2 4 2 3 4 2 3 2" xfId="36980" xr:uid="{00000000-0005-0000-0000-000073900000}"/>
    <cellStyle name="Normal 2 2 4 2 3 4 2 4" xfId="36981" xr:uid="{00000000-0005-0000-0000-000074900000}"/>
    <cellStyle name="Normal 2 2 4 2 3 4 3" xfId="36982" xr:uid="{00000000-0005-0000-0000-000075900000}"/>
    <cellStyle name="Normal 2 2 4 2 3 4 3 2" xfId="36983" xr:uid="{00000000-0005-0000-0000-000076900000}"/>
    <cellStyle name="Normal 2 2 4 2 3 4 3 2 2" xfId="36984" xr:uid="{00000000-0005-0000-0000-000077900000}"/>
    <cellStyle name="Normal 2 2 4 2 3 4 3 3" xfId="36985" xr:uid="{00000000-0005-0000-0000-000078900000}"/>
    <cellStyle name="Normal 2 2 4 2 3 4 4" xfId="36986" xr:uid="{00000000-0005-0000-0000-000079900000}"/>
    <cellStyle name="Normal 2 2 4 2 3 4 4 2" xfId="36987" xr:uid="{00000000-0005-0000-0000-00007A900000}"/>
    <cellStyle name="Normal 2 2 4 2 3 4 4 2 2" xfId="36988" xr:uid="{00000000-0005-0000-0000-00007B900000}"/>
    <cellStyle name="Normal 2 2 4 2 3 4 4 3" xfId="36989" xr:uid="{00000000-0005-0000-0000-00007C900000}"/>
    <cellStyle name="Normal 2 2 4 2 3 4 5" xfId="36990" xr:uid="{00000000-0005-0000-0000-00007D900000}"/>
    <cellStyle name="Normal 2 2 4 2 3 4 5 2" xfId="36991" xr:uid="{00000000-0005-0000-0000-00007E900000}"/>
    <cellStyle name="Normal 2 2 4 2 3 4 5 2 2" xfId="36992" xr:uid="{00000000-0005-0000-0000-00007F900000}"/>
    <cellStyle name="Normal 2 2 4 2 3 4 5 3" xfId="36993" xr:uid="{00000000-0005-0000-0000-000080900000}"/>
    <cellStyle name="Normal 2 2 4 2 3 4 6" xfId="36994" xr:uid="{00000000-0005-0000-0000-000081900000}"/>
    <cellStyle name="Normal 2 2 4 2 3 4 6 2" xfId="36995" xr:uid="{00000000-0005-0000-0000-000082900000}"/>
    <cellStyle name="Normal 2 2 4 2 3 4 6 2 2" xfId="36996" xr:uid="{00000000-0005-0000-0000-000083900000}"/>
    <cellStyle name="Normal 2 2 4 2 3 4 6 3" xfId="36997" xr:uid="{00000000-0005-0000-0000-000084900000}"/>
    <cellStyle name="Normal 2 2 4 2 3 4 7" xfId="36998" xr:uid="{00000000-0005-0000-0000-000085900000}"/>
    <cellStyle name="Normal 2 2 4 2 3 4 7 2" xfId="36999" xr:uid="{00000000-0005-0000-0000-000086900000}"/>
    <cellStyle name="Normal 2 2 4 2 3 4 8" xfId="37000" xr:uid="{00000000-0005-0000-0000-000087900000}"/>
    <cellStyle name="Normal 2 2 4 2 3 5" xfId="37001" xr:uid="{00000000-0005-0000-0000-000088900000}"/>
    <cellStyle name="Normal 2 2 4 2 3 5 2" xfId="37002" xr:uid="{00000000-0005-0000-0000-000089900000}"/>
    <cellStyle name="Normal 2 2 4 2 3 5 2 2" xfId="37003" xr:uid="{00000000-0005-0000-0000-00008A900000}"/>
    <cellStyle name="Normal 2 2 4 2 3 5 2 2 2" xfId="37004" xr:uid="{00000000-0005-0000-0000-00008B900000}"/>
    <cellStyle name="Normal 2 2 4 2 3 5 2 2 2 2" xfId="37005" xr:uid="{00000000-0005-0000-0000-00008C900000}"/>
    <cellStyle name="Normal 2 2 4 2 3 5 2 2 3" xfId="37006" xr:uid="{00000000-0005-0000-0000-00008D900000}"/>
    <cellStyle name="Normal 2 2 4 2 3 5 2 3" xfId="37007" xr:uid="{00000000-0005-0000-0000-00008E900000}"/>
    <cellStyle name="Normal 2 2 4 2 3 5 2 3 2" xfId="37008" xr:uid="{00000000-0005-0000-0000-00008F900000}"/>
    <cellStyle name="Normal 2 2 4 2 3 5 2 4" xfId="37009" xr:uid="{00000000-0005-0000-0000-000090900000}"/>
    <cellStyle name="Normal 2 2 4 2 3 5 3" xfId="37010" xr:uid="{00000000-0005-0000-0000-000091900000}"/>
    <cellStyle name="Normal 2 2 4 2 3 5 3 2" xfId="37011" xr:uid="{00000000-0005-0000-0000-000092900000}"/>
    <cellStyle name="Normal 2 2 4 2 3 5 3 2 2" xfId="37012" xr:uid="{00000000-0005-0000-0000-000093900000}"/>
    <cellStyle name="Normal 2 2 4 2 3 5 3 3" xfId="37013" xr:uid="{00000000-0005-0000-0000-000094900000}"/>
    <cellStyle name="Normal 2 2 4 2 3 5 4" xfId="37014" xr:uid="{00000000-0005-0000-0000-000095900000}"/>
    <cellStyle name="Normal 2 2 4 2 3 5 4 2" xfId="37015" xr:uid="{00000000-0005-0000-0000-000096900000}"/>
    <cellStyle name="Normal 2 2 4 2 3 5 5" xfId="37016" xr:uid="{00000000-0005-0000-0000-000097900000}"/>
    <cellStyle name="Normal 2 2 4 2 3 6" xfId="37017" xr:uid="{00000000-0005-0000-0000-000098900000}"/>
    <cellStyle name="Normal 2 2 4 2 3 6 2" xfId="37018" xr:uid="{00000000-0005-0000-0000-000099900000}"/>
    <cellStyle name="Normal 2 2 4 2 3 6 2 2" xfId="37019" xr:uid="{00000000-0005-0000-0000-00009A900000}"/>
    <cellStyle name="Normal 2 2 4 2 3 6 2 2 2" xfId="37020" xr:uid="{00000000-0005-0000-0000-00009B900000}"/>
    <cellStyle name="Normal 2 2 4 2 3 6 2 2 2 2" xfId="37021" xr:uid="{00000000-0005-0000-0000-00009C900000}"/>
    <cellStyle name="Normal 2 2 4 2 3 6 2 2 3" xfId="37022" xr:uid="{00000000-0005-0000-0000-00009D900000}"/>
    <cellStyle name="Normal 2 2 4 2 3 6 2 3" xfId="37023" xr:uid="{00000000-0005-0000-0000-00009E900000}"/>
    <cellStyle name="Normal 2 2 4 2 3 6 2 3 2" xfId="37024" xr:uid="{00000000-0005-0000-0000-00009F900000}"/>
    <cellStyle name="Normal 2 2 4 2 3 6 2 4" xfId="37025" xr:uid="{00000000-0005-0000-0000-0000A0900000}"/>
    <cellStyle name="Normal 2 2 4 2 3 6 3" xfId="37026" xr:uid="{00000000-0005-0000-0000-0000A1900000}"/>
    <cellStyle name="Normal 2 2 4 2 3 6 3 2" xfId="37027" xr:uid="{00000000-0005-0000-0000-0000A2900000}"/>
    <cellStyle name="Normal 2 2 4 2 3 6 3 2 2" xfId="37028" xr:uid="{00000000-0005-0000-0000-0000A3900000}"/>
    <cellStyle name="Normal 2 2 4 2 3 6 3 3" xfId="37029" xr:uid="{00000000-0005-0000-0000-0000A4900000}"/>
    <cellStyle name="Normal 2 2 4 2 3 6 4" xfId="37030" xr:uid="{00000000-0005-0000-0000-0000A5900000}"/>
    <cellStyle name="Normal 2 2 4 2 3 6 4 2" xfId="37031" xr:uid="{00000000-0005-0000-0000-0000A6900000}"/>
    <cellStyle name="Normal 2 2 4 2 3 6 5" xfId="37032" xr:uid="{00000000-0005-0000-0000-0000A7900000}"/>
    <cellStyle name="Normal 2 2 4 2 3 7" xfId="37033" xr:uid="{00000000-0005-0000-0000-0000A8900000}"/>
    <cellStyle name="Normal 2 2 4 2 3 7 2" xfId="37034" xr:uid="{00000000-0005-0000-0000-0000A9900000}"/>
    <cellStyle name="Normal 2 2 4 2 3 7 2 2" xfId="37035" xr:uid="{00000000-0005-0000-0000-0000AA900000}"/>
    <cellStyle name="Normal 2 2 4 2 3 7 2 2 2" xfId="37036" xr:uid="{00000000-0005-0000-0000-0000AB900000}"/>
    <cellStyle name="Normal 2 2 4 2 3 7 2 3" xfId="37037" xr:uid="{00000000-0005-0000-0000-0000AC900000}"/>
    <cellStyle name="Normal 2 2 4 2 3 7 3" xfId="37038" xr:uid="{00000000-0005-0000-0000-0000AD900000}"/>
    <cellStyle name="Normal 2 2 4 2 3 7 3 2" xfId="37039" xr:uid="{00000000-0005-0000-0000-0000AE900000}"/>
    <cellStyle name="Normal 2 2 4 2 3 7 4" xfId="37040" xr:uid="{00000000-0005-0000-0000-0000AF900000}"/>
    <cellStyle name="Normal 2 2 4 2 3 8" xfId="37041" xr:uid="{00000000-0005-0000-0000-0000B0900000}"/>
    <cellStyle name="Normal 2 2 4 2 3 8 2" xfId="37042" xr:uid="{00000000-0005-0000-0000-0000B1900000}"/>
    <cellStyle name="Normal 2 2 4 2 3 8 2 2" xfId="37043" xr:uid="{00000000-0005-0000-0000-0000B2900000}"/>
    <cellStyle name="Normal 2 2 4 2 3 8 2 2 2" xfId="37044" xr:uid="{00000000-0005-0000-0000-0000B3900000}"/>
    <cellStyle name="Normal 2 2 4 2 3 8 2 3" xfId="37045" xr:uid="{00000000-0005-0000-0000-0000B4900000}"/>
    <cellStyle name="Normal 2 2 4 2 3 8 3" xfId="37046" xr:uid="{00000000-0005-0000-0000-0000B5900000}"/>
    <cellStyle name="Normal 2 2 4 2 3 8 3 2" xfId="37047" xr:uid="{00000000-0005-0000-0000-0000B6900000}"/>
    <cellStyle name="Normal 2 2 4 2 3 8 4" xfId="37048" xr:uid="{00000000-0005-0000-0000-0000B7900000}"/>
    <cellStyle name="Normal 2 2 4 2 3 9" xfId="37049" xr:uid="{00000000-0005-0000-0000-0000B8900000}"/>
    <cellStyle name="Normal 2 2 4 2 3 9 2" xfId="37050" xr:uid="{00000000-0005-0000-0000-0000B9900000}"/>
    <cellStyle name="Normal 2 2 4 2 3 9 2 2" xfId="37051" xr:uid="{00000000-0005-0000-0000-0000BA900000}"/>
    <cellStyle name="Normal 2 2 4 2 3 9 3" xfId="37052" xr:uid="{00000000-0005-0000-0000-0000BB900000}"/>
    <cellStyle name="Normal 2 2 4 2 4" xfId="37053" xr:uid="{00000000-0005-0000-0000-0000BC900000}"/>
    <cellStyle name="Normal 2 2 4 2 4 10" xfId="37054" xr:uid="{00000000-0005-0000-0000-0000BD900000}"/>
    <cellStyle name="Normal 2 2 4 2 4 10 2" xfId="37055" xr:uid="{00000000-0005-0000-0000-0000BE900000}"/>
    <cellStyle name="Normal 2 2 4 2 4 10 2 2" xfId="37056" xr:uid="{00000000-0005-0000-0000-0000BF900000}"/>
    <cellStyle name="Normal 2 2 4 2 4 10 3" xfId="37057" xr:uid="{00000000-0005-0000-0000-0000C0900000}"/>
    <cellStyle name="Normal 2 2 4 2 4 11" xfId="37058" xr:uid="{00000000-0005-0000-0000-0000C1900000}"/>
    <cellStyle name="Normal 2 2 4 2 4 11 2" xfId="37059" xr:uid="{00000000-0005-0000-0000-0000C2900000}"/>
    <cellStyle name="Normal 2 2 4 2 4 11 2 2" xfId="37060" xr:uid="{00000000-0005-0000-0000-0000C3900000}"/>
    <cellStyle name="Normal 2 2 4 2 4 11 3" xfId="37061" xr:uid="{00000000-0005-0000-0000-0000C4900000}"/>
    <cellStyle name="Normal 2 2 4 2 4 12" xfId="37062" xr:uid="{00000000-0005-0000-0000-0000C5900000}"/>
    <cellStyle name="Normal 2 2 4 2 4 12 2" xfId="37063" xr:uid="{00000000-0005-0000-0000-0000C6900000}"/>
    <cellStyle name="Normal 2 2 4 2 4 12 2 2" xfId="37064" xr:uid="{00000000-0005-0000-0000-0000C7900000}"/>
    <cellStyle name="Normal 2 2 4 2 4 12 3" xfId="37065" xr:uid="{00000000-0005-0000-0000-0000C8900000}"/>
    <cellStyle name="Normal 2 2 4 2 4 13" xfId="37066" xr:uid="{00000000-0005-0000-0000-0000C9900000}"/>
    <cellStyle name="Normal 2 2 4 2 4 13 2" xfId="37067" xr:uid="{00000000-0005-0000-0000-0000CA900000}"/>
    <cellStyle name="Normal 2 2 4 2 4 14" xfId="37068" xr:uid="{00000000-0005-0000-0000-0000CB900000}"/>
    <cellStyle name="Normal 2 2 4 2 4 2" xfId="37069" xr:uid="{00000000-0005-0000-0000-0000CC900000}"/>
    <cellStyle name="Normal 2 2 4 2 4 2 2" xfId="37070" xr:uid="{00000000-0005-0000-0000-0000CD900000}"/>
    <cellStyle name="Normal 2 2 4 2 4 2 2 2" xfId="37071" xr:uid="{00000000-0005-0000-0000-0000CE900000}"/>
    <cellStyle name="Normal 2 2 4 2 4 2 2 2 2" xfId="37072" xr:uid="{00000000-0005-0000-0000-0000CF900000}"/>
    <cellStyle name="Normal 2 2 4 2 4 2 2 2 2 2" xfId="37073" xr:uid="{00000000-0005-0000-0000-0000D0900000}"/>
    <cellStyle name="Normal 2 2 4 2 4 2 2 2 3" xfId="37074" xr:uid="{00000000-0005-0000-0000-0000D1900000}"/>
    <cellStyle name="Normal 2 2 4 2 4 2 2 3" xfId="37075" xr:uid="{00000000-0005-0000-0000-0000D2900000}"/>
    <cellStyle name="Normal 2 2 4 2 4 2 2 3 2" xfId="37076" xr:uid="{00000000-0005-0000-0000-0000D3900000}"/>
    <cellStyle name="Normal 2 2 4 2 4 2 2 4" xfId="37077" xr:uid="{00000000-0005-0000-0000-0000D4900000}"/>
    <cellStyle name="Normal 2 2 4 2 4 2 3" xfId="37078" xr:uid="{00000000-0005-0000-0000-0000D5900000}"/>
    <cellStyle name="Normal 2 2 4 2 4 2 3 2" xfId="37079" xr:uid="{00000000-0005-0000-0000-0000D6900000}"/>
    <cellStyle name="Normal 2 2 4 2 4 2 3 2 2" xfId="37080" xr:uid="{00000000-0005-0000-0000-0000D7900000}"/>
    <cellStyle name="Normal 2 2 4 2 4 2 3 3" xfId="37081" xr:uid="{00000000-0005-0000-0000-0000D8900000}"/>
    <cellStyle name="Normal 2 2 4 2 4 2 4" xfId="37082" xr:uid="{00000000-0005-0000-0000-0000D9900000}"/>
    <cellStyle name="Normal 2 2 4 2 4 2 4 2" xfId="37083" xr:uid="{00000000-0005-0000-0000-0000DA900000}"/>
    <cellStyle name="Normal 2 2 4 2 4 2 4 2 2" xfId="37084" xr:uid="{00000000-0005-0000-0000-0000DB900000}"/>
    <cellStyle name="Normal 2 2 4 2 4 2 4 3" xfId="37085" xr:uid="{00000000-0005-0000-0000-0000DC900000}"/>
    <cellStyle name="Normal 2 2 4 2 4 2 5" xfId="37086" xr:uid="{00000000-0005-0000-0000-0000DD900000}"/>
    <cellStyle name="Normal 2 2 4 2 4 2 5 2" xfId="37087" xr:uid="{00000000-0005-0000-0000-0000DE900000}"/>
    <cellStyle name="Normal 2 2 4 2 4 2 5 2 2" xfId="37088" xr:uid="{00000000-0005-0000-0000-0000DF900000}"/>
    <cellStyle name="Normal 2 2 4 2 4 2 5 3" xfId="37089" xr:uid="{00000000-0005-0000-0000-0000E0900000}"/>
    <cellStyle name="Normal 2 2 4 2 4 2 6" xfId="37090" xr:uid="{00000000-0005-0000-0000-0000E1900000}"/>
    <cellStyle name="Normal 2 2 4 2 4 2 6 2" xfId="37091" xr:uid="{00000000-0005-0000-0000-0000E2900000}"/>
    <cellStyle name="Normal 2 2 4 2 4 2 6 2 2" xfId="37092" xr:uid="{00000000-0005-0000-0000-0000E3900000}"/>
    <cellStyle name="Normal 2 2 4 2 4 2 6 3" xfId="37093" xr:uid="{00000000-0005-0000-0000-0000E4900000}"/>
    <cellStyle name="Normal 2 2 4 2 4 2 7" xfId="37094" xr:uid="{00000000-0005-0000-0000-0000E5900000}"/>
    <cellStyle name="Normal 2 2 4 2 4 2 7 2" xfId="37095" xr:uid="{00000000-0005-0000-0000-0000E6900000}"/>
    <cellStyle name="Normal 2 2 4 2 4 2 8" xfId="37096" xr:uid="{00000000-0005-0000-0000-0000E7900000}"/>
    <cellStyle name="Normal 2 2 4 2 4 3" xfId="37097" xr:uid="{00000000-0005-0000-0000-0000E8900000}"/>
    <cellStyle name="Normal 2 2 4 2 4 3 2" xfId="37098" xr:uid="{00000000-0005-0000-0000-0000E9900000}"/>
    <cellStyle name="Normal 2 2 4 2 4 3 2 2" xfId="37099" xr:uid="{00000000-0005-0000-0000-0000EA900000}"/>
    <cellStyle name="Normal 2 2 4 2 4 3 2 2 2" xfId="37100" xr:uid="{00000000-0005-0000-0000-0000EB900000}"/>
    <cellStyle name="Normal 2 2 4 2 4 3 2 2 2 2" xfId="37101" xr:uid="{00000000-0005-0000-0000-0000EC900000}"/>
    <cellStyle name="Normal 2 2 4 2 4 3 2 2 3" xfId="37102" xr:uid="{00000000-0005-0000-0000-0000ED900000}"/>
    <cellStyle name="Normal 2 2 4 2 4 3 2 3" xfId="37103" xr:uid="{00000000-0005-0000-0000-0000EE900000}"/>
    <cellStyle name="Normal 2 2 4 2 4 3 2 3 2" xfId="37104" xr:uid="{00000000-0005-0000-0000-0000EF900000}"/>
    <cellStyle name="Normal 2 2 4 2 4 3 2 4" xfId="37105" xr:uid="{00000000-0005-0000-0000-0000F0900000}"/>
    <cellStyle name="Normal 2 2 4 2 4 3 3" xfId="37106" xr:uid="{00000000-0005-0000-0000-0000F1900000}"/>
    <cellStyle name="Normal 2 2 4 2 4 3 3 2" xfId="37107" xr:uid="{00000000-0005-0000-0000-0000F2900000}"/>
    <cellStyle name="Normal 2 2 4 2 4 3 3 2 2" xfId="37108" xr:uid="{00000000-0005-0000-0000-0000F3900000}"/>
    <cellStyle name="Normal 2 2 4 2 4 3 3 3" xfId="37109" xr:uid="{00000000-0005-0000-0000-0000F4900000}"/>
    <cellStyle name="Normal 2 2 4 2 4 3 4" xfId="37110" xr:uid="{00000000-0005-0000-0000-0000F5900000}"/>
    <cellStyle name="Normal 2 2 4 2 4 3 4 2" xfId="37111" xr:uid="{00000000-0005-0000-0000-0000F6900000}"/>
    <cellStyle name="Normal 2 2 4 2 4 3 4 2 2" xfId="37112" xr:uid="{00000000-0005-0000-0000-0000F7900000}"/>
    <cellStyle name="Normal 2 2 4 2 4 3 4 3" xfId="37113" xr:uid="{00000000-0005-0000-0000-0000F8900000}"/>
    <cellStyle name="Normal 2 2 4 2 4 3 5" xfId="37114" xr:uid="{00000000-0005-0000-0000-0000F9900000}"/>
    <cellStyle name="Normal 2 2 4 2 4 3 5 2" xfId="37115" xr:uid="{00000000-0005-0000-0000-0000FA900000}"/>
    <cellStyle name="Normal 2 2 4 2 4 3 5 2 2" xfId="37116" xr:uid="{00000000-0005-0000-0000-0000FB900000}"/>
    <cellStyle name="Normal 2 2 4 2 4 3 5 3" xfId="37117" xr:uid="{00000000-0005-0000-0000-0000FC900000}"/>
    <cellStyle name="Normal 2 2 4 2 4 3 6" xfId="37118" xr:uid="{00000000-0005-0000-0000-0000FD900000}"/>
    <cellStyle name="Normal 2 2 4 2 4 3 6 2" xfId="37119" xr:uid="{00000000-0005-0000-0000-0000FE900000}"/>
    <cellStyle name="Normal 2 2 4 2 4 3 6 2 2" xfId="37120" xr:uid="{00000000-0005-0000-0000-0000FF900000}"/>
    <cellStyle name="Normal 2 2 4 2 4 3 6 3" xfId="37121" xr:uid="{00000000-0005-0000-0000-000000910000}"/>
    <cellStyle name="Normal 2 2 4 2 4 3 7" xfId="37122" xr:uid="{00000000-0005-0000-0000-000001910000}"/>
    <cellStyle name="Normal 2 2 4 2 4 3 7 2" xfId="37123" xr:uid="{00000000-0005-0000-0000-000002910000}"/>
    <cellStyle name="Normal 2 2 4 2 4 3 8" xfId="37124" xr:uid="{00000000-0005-0000-0000-000003910000}"/>
    <cellStyle name="Normal 2 2 4 2 4 4" xfId="37125" xr:uid="{00000000-0005-0000-0000-000004910000}"/>
    <cellStyle name="Normal 2 2 4 2 4 4 2" xfId="37126" xr:uid="{00000000-0005-0000-0000-000005910000}"/>
    <cellStyle name="Normal 2 2 4 2 4 4 2 2" xfId="37127" xr:uid="{00000000-0005-0000-0000-000006910000}"/>
    <cellStyle name="Normal 2 2 4 2 4 4 2 2 2" xfId="37128" xr:uid="{00000000-0005-0000-0000-000007910000}"/>
    <cellStyle name="Normal 2 2 4 2 4 4 2 2 2 2" xfId="37129" xr:uid="{00000000-0005-0000-0000-000008910000}"/>
    <cellStyle name="Normal 2 2 4 2 4 4 2 2 3" xfId="37130" xr:uid="{00000000-0005-0000-0000-000009910000}"/>
    <cellStyle name="Normal 2 2 4 2 4 4 2 3" xfId="37131" xr:uid="{00000000-0005-0000-0000-00000A910000}"/>
    <cellStyle name="Normal 2 2 4 2 4 4 2 3 2" xfId="37132" xr:uid="{00000000-0005-0000-0000-00000B910000}"/>
    <cellStyle name="Normal 2 2 4 2 4 4 2 4" xfId="37133" xr:uid="{00000000-0005-0000-0000-00000C910000}"/>
    <cellStyle name="Normal 2 2 4 2 4 4 3" xfId="37134" xr:uid="{00000000-0005-0000-0000-00000D910000}"/>
    <cellStyle name="Normal 2 2 4 2 4 4 3 2" xfId="37135" xr:uid="{00000000-0005-0000-0000-00000E910000}"/>
    <cellStyle name="Normal 2 2 4 2 4 4 3 2 2" xfId="37136" xr:uid="{00000000-0005-0000-0000-00000F910000}"/>
    <cellStyle name="Normal 2 2 4 2 4 4 3 3" xfId="37137" xr:uid="{00000000-0005-0000-0000-000010910000}"/>
    <cellStyle name="Normal 2 2 4 2 4 4 4" xfId="37138" xr:uid="{00000000-0005-0000-0000-000011910000}"/>
    <cellStyle name="Normal 2 2 4 2 4 4 4 2" xfId="37139" xr:uid="{00000000-0005-0000-0000-000012910000}"/>
    <cellStyle name="Normal 2 2 4 2 4 4 4 2 2" xfId="37140" xr:uid="{00000000-0005-0000-0000-000013910000}"/>
    <cellStyle name="Normal 2 2 4 2 4 4 4 3" xfId="37141" xr:uid="{00000000-0005-0000-0000-000014910000}"/>
    <cellStyle name="Normal 2 2 4 2 4 4 5" xfId="37142" xr:uid="{00000000-0005-0000-0000-000015910000}"/>
    <cellStyle name="Normal 2 2 4 2 4 4 5 2" xfId="37143" xr:uid="{00000000-0005-0000-0000-000016910000}"/>
    <cellStyle name="Normal 2 2 4 2 4 4 5 2 2" xfId="37144" xr:uid="{00000000-0005-0000-0000-000017910000}"/>
    <cellStyle name="Normal 2 2 4 2 4 4 5 3" xfId="37145" xr:uid="{00000000-0005-0000-0000-000018910000}"/>
    <cellStyle name="Normal 2 2 4 2 4 4 6" xfId="37146" xr:uid="{00000000-0005-0000-0000-000019910000}"/>
    <cellStyle name="Normal 2 2 4 2 4 4 6 2" xfId="37147" xr:uid="{00000000-0005-0000-0000-00001A910000}"/>
    <cellStyle name="Normal 2 2 4 2 4 4 6 2 2" xfId="37148" xr:uid="{00000000-0005-0000-0000-00001B910000}"/>
    <cellStyle name="Normal 2 2 4 2 4 4 6 3" xfId="37149" xr:uid="{00000000-0005-0000-0000-00001C910000}"/>
    <cellStyle name="Normal 2 2 4 2 4 4 7" xfId="37150" xr:uid="{00000000-0005-0000-0000-00001D910000}"/>
    <cellStyle name="Normal 2 2 4 2 4 4 7 2" xfId="37151" xr:uid="{00000000-0005-0000-0000-00001E910000}"/>
    <cellStyle name="Normal 2 2 4 2 4 4 8" xfId="37152" xr:uid="{00000000-0005-0000-0000-00001F910000}"/>
    <cellStyle name="Normal 2 2 4 2 4 5" xfId="37153" xr:uid="{00000000-0005-0000-0000-000020910000}"/>
    <cellStyle name="Normal 2 2 4 2 4 5 2" xfId="37154" xr:uid="{00000000-0005-0000-0000-000021910000}"/>
    <cellStyle name="Normal 2 2 4 2 4 5 2 2" xfId="37155" xr:uid="{00000000-0005-0000-0000-000022910000}"/>
    <cellStyle name="Normal 2 2 4 2 4 5 2 2 2" xfId="37156" xr:uid="{00000000-0005-0000-0000-000023910000}"/>
    <cellStyle name="Normal 2 2 4 2 4 5 2 2 2 2" xfId="37157" xr:uid="{00000000-0005-0000-0000-000024910000}"/>
    <cellStyle name="Normal 2 2 4 2 4 5 2 2 3" xfId="37158" xr:uid="{00000000-0005-0000-0000-000025910000}"/>
    <cellStyle name="Normal 2 2 4 2 4 5 2 3" xfId="37159" xr:uid="{00000000-0005-0000-0000-000026910000}"/>
    <cellStyle name="Normal 2 2 4 2 4 5 2 3 2" xfId="37160" xr:uid="{00000000-0005-0000-0000-000027910000}"/>
    <cellStyle name="Normal 2 2 4 2 4 5 2 4" xfId="37161" xr:uid="{00000000-0005-0000-0000-000028910000}"/>
    <cellStyle name="Normal 2 2 4 2 4 5 3" xfId="37162" xr:uid="{00000000-0005-0000-0000-000029910000}"/>
    <cellStyle name="Normal 2 2 4 2 4 5 3 2" xfId="37163" xr:uid="{00000000-0005-0000-0000-00002A910000}"/>
    <cellStyle name="Normal 2 2 4 2 4 5 3 2 2" xfId="37164" xr:uid="{00000000-0005-0000-0000-00002B910000}"/>
    <cellStyle name="Normal 2 2 4 2 4 5 3 3" xfId="37165" xr:uid="{00000000-0005-0000-0000-00002C910000}"/>
    <cellStyle name="Normal 2 2 4 2 4 5 4" xfId="37166" xr:uid="{00000000-0005-0000-0000-00002D910000}"/>
    <cellStyle name="Normal 2 2 4 2 4 5 4 2" xfId="37167" xr:uid="{00000000-0005-0000-0000-00002E910000}"/>
    <cellStyle name="Normal 2 2 4 2 4 5 5" xfId="37168" xr:uid="{00000000-0005-0000-0000-00002F910000}"/>
    <cellStyle name="Normal 2 2 4 2 4 6" xfId="37169" xr:uid="{00000000-0005-0000-0000-000030910000}"/>
    <cellStyle name="Normal 2 2 4 2 4 6 2" xfId="37170" xr:uid="{00000000-0005-0000-0000-000031910000}"/>
    <cellStyle name="Normal 2 2 4 2 4 6 2 2" xfId="37171" xr:uid="{00000000-0005-0000-0000-000032910000}"/>
    <cellStyle name="Normal 2 2 4 2 4 6 2 2 2" xfId="37172" xr:uid="{00000000-0005-0000-0000-000033910000}"/>
    <cellStyle name="Normal 2 2 4 2 4 6 2 2 2 2" xfId="37173" xr:uid="{00000000-0005-0000-0000-000034910000}"/>
    <cellStyle name="Normal 2 2 4 2 4 6 2 2 3" xfId="37174" xr:uid="{00000000-0005-0000-0000-000035910000}"/>
    <cellStyle name="Normal 2 2 4 2 4 6 2 3" xfId="37175" xr:uid="{00000000-0005-0000-0000-000036910000}"/>
    <cellStyle name="Normal 2 2 4 2 4 6 2 3 2" xfId="37176" xr:uid="{00000000-0005-0000-0000-000037910000}"/>
    <cellStyle name="Normal 2 2 4 2 4 6 2 4" xfId="37177" xr:uid="{00000000-0005-0000-0000-000038910000}"/>
    <cellStyle name="Normal 2 2 4 2 4 6 3" xfId="37178" xr:uid="{00000000-0005-0000-0000-000039910000}"/>
    <cellStyle name="Normal 2 2 4 2 4 6 3 2" xfId="37179" xr:uid="{00000000-0005-0000-0000-00003A910000}"/>
    <cellStyle name="Normal 2 2 4 2 4 6 3 2 2" xfId="37180" xr:uid="{00000000-0005-0000-0000-00003B910000}"/>
    <cellStyle name="Normal 2 2 4 2 4 6 3 3" xfId="37181" xr:uid="{00000000-0005-0000-0000-00003C910000}"/>
    <cellStyle name="Normal 2 2 4 2 4 6 4" xfId="37182" xr:uid="{00000000-0005-0000-0000-00003D910000}"/>
    <cellStyle name="Normal 2 2 4 2 4 6 4 2" xfId="37183" xr:uid="{00000000-0005-0000-0000-00003E910000}"/>
    <cellStyle name="Normal 2 2 4 2 4 6 5" xfId="37184" xr:uid="{00000000-0005-0000-0000-00003F910000}"/>
    <cellStyle name="Normal 2 2 4 2 4 7" xfId="37185" xr:uid="{00000000-0005-0000-0000-000040910000}"/>
    <cellStyle name="Normal 2 2 4 2 4 7 2" xfId="37186" xr:uid="{00000000-0005-0000-0000-000041910000}"/>
    <cellStyle name="Normal 2 2 4 2 4 7 2 2" xfId="37187" xr:uid="{00000000-0005-0000-0000-000042910000}"/>
    <cellStyle name="Normal 2 2 4 2 4 7 2 2 2" xfId="37188" xr:uid="{00000000-0005-0000-0000-000043910000}"/>
    <cellStyle name="Normal 2 2 4 2 4 7 2 3" xfId="37189" xr:uid="{00000000-0005-0000-0000-000044910000}"/>
    <cellStyle name="Normal 2 2 4 2 4 7 3" xfId="37190" xr:uid="{00000000-0005-0000-0000-000045910000}"/>
    <cellStyle name="Normal 2 2 4 2 4 7 3 2" xfId="37191" xr:uid="{00000000-0005-0000-0000-000046910000}"/>
    <cellStyle name="Normal 2 2 4 2 4 7 4" xfId="37192" xr:uid="{00000000-0005-0000-0000-000047910000}"/>
    <cellStyle name="Normal 2 2 4 2 4 8" xfId="37193" xr:uid="{00000000-0005-0000-0000-000048910000}"/>
    <cellStyle name="Normal 2 2 4 2 4 8 2" xfId="37194" xr:uid="{00000000-0005-0000-0000-000049910000}"/>
    <cellStyle name="Normal 2 2 4 2 4 8 2 2" xfId="37195" xr:uid="{00000000-0005-0000-0000-00004A910000}"/>
    <cellStyle name="Normal 2 2 4 2 4 8 2 2 2" xfId="37196" xr:uid="{00000000-0005-0000-0000-00004B910000}"/>
    <cellStyle name="Normal 2 2 4 2 4 8 2 3" xfId="37197" xr:uid="{00000000-0005-0000-0000-00004C910000}"/>
    <cellStyle name="Normal 2 2 4 2 4 8 3" xfId="37198" xr:uid="{00000000-0005-0000-0000-00004D910000}"/>
    <cellStyle name="Normal 2 2 4 2 4 8 3 2" xfId="37199" xr:uid="{00000000-0005-0000-0000-00004E910000}"/>
    <cellStyle name="Normal 2 2 4 2 4 8 4" xfId="37200" xr:uid="{00000000-0005-0000-0000-00004F910000}"/>
    <cellStyle name="Normal 2 2 4 2 4 9" xfId="37201" xr:uid="{00000000-0005-0000-0000-000050910000}"/>
    <cellStyle name="Normal 2 2 4 2 4 9 2" xfId="37202" xr:uid="{00000000-0005-0000-0000-000051910000}"/>
    <cellStyle name="Normal 2 2 4 2 4 9 2 2" xfId="37203" xr:uid="{00000000-0005-0000-0000-000052910000}"/>
    <cellStyle name="Normal 2 2 4 2 4 9 3" xfId="37204" xr:uid="{00000000-0005-0000-0000-000053910000}"/>
    <cellStyle name="Normal 2 2 4 2 5" xfId="37205" xr:uid="{00000000-0005-0000-0000-000054910000}"/>
    <cellStyle name="Normal 2 2 4 2 5 10" xfId="37206" xr:uid="{00000000-0005-0000-0000-000055910000}"/>
    <cellStyle name="Normal 2 2 4 2 5 10 2" xfId="37207" xr:uid="{00000000-0005-0000-0000-000056910000}"/>
    <cellStyle name="Normal 2 2 4 2 5 10 2 2" xfId="37208" xr:uid="{00000000-0005-0000-0000-000057910000}"/>
    <cellStyle name="Normal 2 2 4 2 5 10 3" xfId="37209" xr:uid="{00000000-0005-0000-0000-000058910000}"/>
    <cellStyle name="Normal 2 2 4 2 5 11" xfId="37210" xr:uid="{00000000-0005-0000-0000-000059910000}"/>
    <cellStyle name="Normal 2 2 4 2 5 11 2" xfId="37211" xr:uid="{00000000-0005-0000-0000-00005A910000}"/>
    <cellStyle name="Normal 2 2 4 2 5 11 2 2" xfId="37212" xr:uid="{00000000-0005-0000-0000-00005B910000}"/>
    <cellStyle name="Normal 2 2 4 2 5 11 3" xfId="37213" xr:uid="{00000000-0005-0000-0000-00005C910000}"/>
    <cellStyle name="Normal 2 2 4 2 5 12" xfId="37214" xr:uid="{00000000-0005-0000-0000-00005D910000}"/>
    <cellStyle name="Normal 2 2 4 2 5 12 2" xfId="37215" xr:uid="{00000000-0005-0000-0000-00005E910000}"/>
    <cellStyle name="Normal 2 2 4 2 5 12 2 2" xfId="37216" xr:uid="{00000000-0005-0000-0000-00005F910000}"/>
    <cellStyle name="Normal 2 2 4 2 5 12 3" xfId="37217" xr:uid="{00000000-0005-0000-0000-000060910000}"/>
    <cellStyle name="Normal 2 2 4 2 5 13" xfId="37218" xr:uid="{00000000-0005-0000-0000-000061910000}"/>
    <cellStyle name="Normal 2 2 4 2 5 13 2" xfId="37219" xr:uid="{00000000-0005-0000-0000-000062910000}"/>
    <cellStyle name="Normal 2 2 4 2 5 14" xfId="37220" xr:uid="{00000000-0005-0000-0000-000063910000}"/>
    <cellStyle name="Normal 2 2 4 2 5 2" xfId="37221" xr:uid="{00000000-0005-0000-0000-000064910000}"/>
    <cellStyle name="Normal 2 2 4 2 5 2 2" xfId="37222" xr:uid="{00000000-0005-0000-0000-000065910000}"/>
    <cellStyle name="Normal 2 2 4 2 5 2 2 2" xfId="37223" xr:uid="{00000000-0005-0000-0000-000066910000}"/>
    <cellStyle name="Normal 2 2 4 2 5 2 2 2 2" xfId="37224" xr:uid="{00000000-0005-0000-0000-000067910000}"/>
    <cellStyle name="Normal 2 2 4 2 5 2 2 2 2 2" xfId="37225" xr:uid="{00000000-0005-0000-0000-000068910000}"/>
    <cellStyle name="Normal 2 2 4 2 5 2 2 2 3" xfId="37226" xr:uid="{00000000-0005-0000-0000-000069910000}"/>
    <cellStyle name="Normal 2 2 4 2 5 2 2 3" xfId="37227" xr:uid="{00000000-0005-0000-0000-00006A910000}"/>
    <cellStyle name="Normal 2 2 4 2 5 2 2 3 2" xfId="37228" xr:uid="{00000000-0005-0000-0000-00006B910000}"/>
    <cellStyle name="Normal 2 2 4 2 5 2 2 4" xfId="37229" xr:uid="{00000000-0005-0000-0000-00006C910000}"/>
    <cellStyle name="Normal 2 2 4 2 5 2 3" xfId="37230" xr:uid="{00000000-0005-0000-0000-00006D910000}"/>
    <cellStyle name="Normal 2 2 4 2 5 2 3 2" xfId="37231" xr:uid="{00000000-0005-0000-0000-00006E910000}"/>
    <cellStyle name="Normal 2 2 4 2 5 2 3 2 2" xfId="37232" xr:uid="{00000000-0005-0000-0000-00006F910000}"/>
    <cellStyle name="Normal 2 2 4 2 5 2 3 3" xfId="37233" xr:uid="{00000000-0005-0000-0000-000070910000}"/>
    <cellStyle name="Normal 2 2 4 2 5 2 4" xfId="37234" xr:uid="{00000000-0005-0000-0000-000071910000}"/>
    <cellStyle name="Normal 2 2 4 2 5 2 4 2" xfId="37235" xr:uid="{00000000-0005-0000-0000-000072910000}"/>
    <cellStyle name="Normal 2 2 4 2 5 2 4 2 2" xfId="37236" xr:uid="{00000000-0005-0000-0000-000073910000}"/>
    <cellStyle name="Normal 2 2 4 2 5 2 4 3" xfId="37237" xr:uid="{00000000-0005-0000-0000-000074910000}"/>
    <cellStyle name="Normal 2 2 4 2 5 2 5" xfId="37238" xr:uid="{00000000-0005-0000-0000-000075910000}"/>
    <cellStyle name="Normal 2 2 4 2 5 2 5 2" xfId="37239" xr:uid="{00000000-0005-0000-0000-000076910000}"/>
    <cellStyle name="Normal 2 2 4 2 5 2 5 2 2" xfId="37240" xr:uid="{00000000-0005-0000-0000-000077910000}"/>
    <cellStyle name="Normal 2 2 4 2 5 2 5 3" xfId="37241" xr:uid="{00000000-0005-0000-0000-000078910000}"/>
    <cellStyle name="Normal 2 2 4 2 5 2 6" xfId="37242" xr:uid="{00000000-0005-0000-0000-000079910000}"/>
    <cellStyle name="Normal 2 2 4 2 5 2 6 2" xfId="37243" xr:uid="{00000000-0005-0000-0000-00007A910000}"/>
    <cellStyle name="Normal 2 2 4 2 5 2 6 2 2" xfId="37244" xr:uid="{00000000-0005-0000-0000-00007B910000}"/>
    <cellStyle name="Normal 2 2 4 2 5 2 6 3" xfId="37245" xr:uid="{00000000-0005-0000-0000-00007C910000}"/>
    <cellStyle name="Normal 2 2 4 2 5 2 7" xfId="37246" xr:uid="{00000000-0005-0000-0000-00007D910000}"/>
    <cellStyle name="Normal 2 2 4 2 5 2 7 2" xfId="37247" xr:uid="{00000000-0005-0000-0000-00007E910000}"/>
    <cellStyle name="Normal 2 2 4 2 5 2 8" xfId="37248" xr:uid="{00000000-0005-0000-0000-00007F910000}"/>
    <cellStyle name="Normal 2 2 4 2 5 3" xfId="37249" xr:uid="{00000000-0005-0000-0000-000080910000}"/>
    <cellStyle name="Normal 2 2 4 2 5 3 2" xfId="37250" xr:uid="{00000000-0005-0000-0000-000081910000}"/>
    <cellStyle name="Normal 2 2 4 2 5 3 2 2" xfId="37251" xr:uid="{00000000-0005-0000-0000-000082910000}"/>
    <cellStyle name="Normal 2 2 4 2 5 3 2 2 2" xfId="37252" xr:uid="{00000000-0005-0000-0000-000083910000}"/>
    <cellStyle name="Normal 2 2 4 2 5 3 2 2 2 2" xfId="37253" xr:uid="{00000000-0005-0000-0000-000084910000}"/>
    <cellStyle name="Normal 2 2 4 2 5 3 2 2 3" xfId="37254" xr:uid="{00000000-0005-0000-0000-000085910000}"/>
    <cellStyle name="Normal 2 2 4 2 5 3 2 3" xfId="37255" xr:uid="{00000000-0005-0000-0000-000086910000}"/>
    <cellStyle name="Normal 2 2 4 2 5 3 2 3 2" xfId="37256" xr:uid="{00000000-0005-0000-0000-000087910000}"/>
    <cellStyle name="Normal 2 2 4 2 5 3 2 4" xfId="37257" xr:uid="{00000000-0005-0000-0000-000088910000}"/>
    <cellStyle name="Normal 2 2 4 2 5 3 3" xfId="37258" xr:uid="{00000000-0005-0000-0000-000089910000}"/>
    <cellStyle name="Normal 2 2 4 2 5 3 3 2" xfId="37259" xr:uid="{00000000-0005-0000-0000-00008A910000}"/>
    <cellStyle name="Normal 2 2 4 2 5 3 3 2 2" xfId="37260" xr:uid="{00000000-0005-0000-0000-00008B910000}"/>
    <cellStyle name="Normal 2 2 4 2 5 3 3 3" xfId="37261" xr:uid="{00000000-0005-0000-0000-00008C910000}"/>
    <cellStyle name="Normal 2 2 4 2 5 3 4" xfId="37262" xr:uid="{00000000-0005-0000-0000-00008D910000}"/>
    <cellStyle name="Normal 2 2 4 2 5 3 4 2" xfId="37263" xr:uid="{00000000-0005-0000-0000-00008E910000}"/>
    <cellStyle name="Normal 2 2 4 2 5 3 4 2 2" xfId="37264" xr:uid="{00000000-0005-0000-0000-00008F910000}"/>
    <cellStyle name="Normal 2 2 4 2 5 3 4 3" xfId="37265" xr:uid="{00000000-0005-0000-0000-000090910000}"/>
    <cellStyle name="Normal 2 2 4 2 5 3 5" xfId="37266" xr:uid="{00000000-0005-0000-0000-000091910000}"/>
    <cellStyle name="Normal 2 2 4 2 5 3 5 2" xfId="37267" xr:uid="{00000000-0005-0000-0000-000092910000}"/>
    <cellStyle name="Normal 2 2 4 2 5 3 5 2 2" xfId="37268" xr:uid="{00000000-0005-0000-0000-000093910000}"/>
    <cellStyle name="Normal 2 2 4 2 5 3 5 3" xfId="37269" xr:uid="{00000000-0005-0000-0000-000094910000}"/>
    <cellStyle name="Normal 2 2 4 2 5 3 6" xfId="37270" xr:uid="{00000000-0005-0000-0000-000095910000}"/>
    <cellStyle name="Normal 2 2 4 2 5 3 6 2" xfId="37271" xr:uid="{00000000-0005-0000-0000-000096910000}"/>
    <cellStyle name="Normal 2 2 4 2 5 3 6 2 2" xfId="37272" xr:uid="{00000000-0005-0000-0000-000097910000}"/>
    <cellStyle name="Normal 2 2 4 2 5 3 6 3" xfId="37273" xr:uid="{00000000-0005-0000-0000-000098910000}"/>
    <cellStyle name="Normal 2 2 4 2 5 3 7" xfId="37274" xr:uid="{00000000-0005-0000-0000-000099910000}"/>
    <cellStyle name="Normal 2 2 4 2 5 3 7 2" xfId="37275" xr:uid="{00000000-0005-0000-0000-00009A910000}"/>
    <cellStyle name="Normal 2 2 4 2 5 3 8" xfId="37276" xr:uid="{00000000-0005-0000-0000-00009B910000}"/>
    <cellStyle name="Normal 2 2 4 2 5 4" xfId="37277" xr:uid="{00000000-0005-0000-0000-00009C910000}"/>
    <cellStyle name="Normal 2 2 4 2 5 4 2" xfId="37278" xr:uid="{00000000-0005-0000-0000-00009D910000}"/>
    <cellStyle name="Normal 2 2 4 2 5 4 2 2" xfId="37279" xr:uid="{00000000-0005-0000-0000-00009E910000}"/>
    <cellStyle name="Normal 2 2 4 2 5 4 2 2 2" xfId="37280" xr:uid="{00000000-0005-0000-0000-00009F910000}"/>
    <cellStyle name="Normal 2 2 4 2 5 4 2 2 2 2" xfId="37281" xr:uid="{00000000-0005-0000-0000-0000A0910000}"/>
    <cellStyle name="Normal 2 2 4 2 5 4 2 2 3" xfId="37282" xr:uid="{00000000-0005-0000-0000-0000A1910000}"/>
    <cellStyle name="Normal 2 2 4 2 5 4 2 3" xfId="37283" xr:uid="{00000000-0005-0000-0000-0000A2910000}"/>
    <cellStyle name="Normal 2 2 4 2 5 4 2 3 2" xfId="37284" xr:uid="{00000000-0005-0000-0000-0000A3910000}"/>
    <cellStyle name="Normal 2 2 4 2 5 4 2 4" xfId="37285" xr:uid="{00000000-0005-0000-0000-0000A4910000}"/>
    <cellStyle name="Normal 2 2 4 2 5 4 3" xfId="37286" xr:uid="{00000000-0005-0000-0000-0000A5910000}"/>
    <cellStyle name="Normal 2 2 4 2 5 4 3 2" xfId="37287" xr:uid="{00000000-0005-0000-0000-0000A6910000}"/>
    <cellStyle name="Normal 2 2 4 2 5 4 3 2 2" xfId="37288" xr:uid="{00000000-0005-0000-0000-0000A7910000}"/>
    <cellStyle name="Normal 2 2 4 2 5 4 3 3" xfId="37289" xr:uid="{00000000-0005-0000-0000-0000A8910000}"/>
    <cellStyle name="Normal 2 2 4 2 5 4 4" xfId="37290" xr:uid="{00000000-0005-0000-0000-0000A9910000}"/>
    <cellStyle name="Normal 2 2 4 2 5 4 4 2" xfId="37291" xr:uid="{00000000-0005-0000-0000-0000AA910000}"/>
    <cellStyle name="Normal 2 2 4 2 5 4 4 2 2" xfId="37292" xr:uid="{00000000-0005-0000-0000-0000AB910000}"/>
    <cellStyle name="Normal 2 2 4 2 5 4 4 3" xfId="37293" xr:uid="{00000000-0005-0000-0000-0000AC910000}"/>
    <cellStyle name="Normal 2 2 4 2 5 4 5" xfId="37294" xr:uid="{00000000-0005-0000-0000-0000AD910000}"/>
    <cellStyle name="Normal 2 2 4 2 5 4 5 2" xfId="37295" xr:uid="{00000000-0005-0000-0000-0000AE910000}"/>
    <cellStyle name="Normal 2 2 4 2 5 4 5 2 2" xfId="37296" xr:uid="{00000000-0005-0000-0000-0000AF910000}"/>
    <cellStyle name="Normal 2 2 4 2 5 4 5 3" xfId="37297" xr:uid="{00000000-0005-0000-0000-0000B0910000}"/>
    <cellStyle name="Normal 2 2 4 2 5 4 6" xfId="37298" xr:uid="{00000000-0005-0000-0000-0000B1910000}"/>
    <cellStyle name="Normal 2 2 4 2 5 4 6 2" xfId="37299" xr:uid="{00000000-0005-0000-0000-0000B2910000}"/>
    <cellStyle name="Normal 2 2 4 2 5 4 6 2 2" xfId="37300" xr:uid="{00000000-0005-0000-0000-0000B3910000}"/>
    <cellStyle name="Normal 2 2 4 2 5 4 6 3" xfId="37301" xr:uid="{00000000-0005-0000-0000-0000B4910000}"/>
    <cellStyle name="Normal 2 2 4 2 5 4 7" xfId="37302" xr:uid="{00000000-0005-0000-0000-0000B5910000}"/>
    <cellStyle name="Normal 2 2 4 2 5 4 7 2" xfId="37303" xr:uid="{00000000-0005-0000-0000-0000B6910000}"/>
    <cellStyle name="Normal 2 2 4 2 5 4 8" xfId="37304" xr:uid="{00000000-0005-0000-0000-0000B7910000}"/>
    <cellStyle name="Normal 2 2 4 2 5 5" xfId="37305" xr:uid="{00000000-0005-0000-0000-0000B8910000}"/>
    <cellStyle name="Normal 2 2 4 2 5 5 2" xfId="37306" xr:uid="{00000000-0005-0000-0000-0000B9910000}"/>
    <cellStyle name="Normal 2 2 4 2 5 5 2 2" xfId="37307" xr:uid="{00000000-0005-0000-0000-0000BA910000}"/>
    <cellStyle name="Normal 2 2 4 2 5 5 2 2 2" xfId="37308" xr:uid="{00000000-0005-0000-0000-0000BB910000}"/>
    <cellStyle name="Normal 2 2 4 2 5 5 2 2 2 2" xfId="37309" xr:uid="{00000000-0005-0000-0000-0000BC910000}"/>
    <cellStyle name="Normal 2 2 4 2 5 5 2 2 3" xfId="37310" xr:uid="{00000000-0005-0000-0000-0000BD910000}"/>
    <cellStyle name="Normal 2 2 4 2 5 5 2 3" xfId="37311" xr:uid="{00000000-0005-0000-0000-0000BE910000}"/>
    <cellStyle name="Normal 2 2 4 2 5 5 2 3 2" xfId="37312" xr:uid="{00000000-0005-0000-0000-0000BF910000}"/>
    <cellStyle name="Normal 2 2 4 2 5 5 2 4" xfId="37313" xr:uid="{00000000-0005-0000-0000-0000C0910000}"/>
    <cellStyle name="Normal 2 2 4 2 5 5 3" xfId="37314" xr:uid="{00000000-0005-0000-0000-0000C1910000}"/>
    <cellStyle name="Normal 2 2 4 2 5 5 3 2" xfId="37315" xr:uid="{00000000-0005-0000-0000-0000C2910000}"/>
    <cellStyle name="Normal 2 2 4 2 5 5 3 2 2" xfId="37316" xr:uid="{00000000-0005-0000-0000-0000C3910000}"/>
    <cellStyle name="Normal 2 2 4 2 5 5 3 3" xfId="37317" xr:uid="{00000000-0005-0000-0000-0000C4910000}"/>
    <cellStyle name="Normal 2 2 4 2 5 5 4" xfId="37318" xr:uid="{00000000-0005-0000-0000-0000C5910000}"/>
    <cellStyle name="Normal 2 2 4 2 5 5 4 2" xfId="37319" xr:uid="{00000000-0005-0000-0000-0000C6910000}"/>
    <cellStyle name="Normal 2 2 4 2 5 5 5" xfId="37320" xr:uid="{00000000-0005-0000-0000-0000C7910000}"/>
    <cellStyle name="Normal 2 2 4 2 5 6" xfId="37321" xr:uid="{00000000-0005-0000-0000-0000C8910000}"/>
    <cellStyle name="Normal 2 2 4 2 5 6 2" xfId="37322" xr:uid="{00000000-0005-0000-0000-0000C9910000}"/>
    <cellStyle name="Normal 2 2 4 2 5 6 2 2" xfId="37323" xr:uid="{00000000-0005-0000-0000-0000CA910000}"/>
    <cellStyle name="Normal 2 2 4 2 5 6 2 2 2" xfId="37324" xr:uid="{00000000-0005-0000-0000-0000CB910000}"/>
    <cellStyle name="Normal 2 2 4 2 5 6 2 2 2 2" xfId="37325" xr:uid="{00000000-0005-0000-0000-0000CC910000}"/>
    <cellStyle name="Normal 2 2 4 2 5 6 2 2 3" xfId="37326" xr:uid="{00000000-0005-0000-0000-0000CD910000}"/>
    <cellStyle name="Normal 2 2 4 2 5 6 2 3" xfId="37327" xr:uid="{00000000-0005-0000-0000-0000CE910000}"/>
    <cellStyle name="Normal 2 2 4 2 5 6 2 3 2" xfId="37328" xr:uid="{00000000-0005-0000-0000-0000CF910000}"/>
    <cellStyle name="Normal 2 2 4 2 5 6 2 4" xfId="37329" xr:uid="{00000000-0005-0000-0000-0000D0910000}"/>
    <cellStyle name="Normal 2 2 4 2 5 6 3" xfId="37330" xr:uid="{00000000-0005-0000-0000-0000D1910000}"/>
    <cellStyle name="Normal 2 2 4 2 5 6 3 2" xfId="37331" xr:uid="{00000000-0005-0000-0000-0000D2910000}"/>
    <cellStyle name="Normal 2 2 4 2 5 6 3 2 2" xfId="37332" xr:uid="{00000000-0005-0000-0000-0000D3910000}"/>
    <cellStyle name="Normal 2 2 4 2 5 6 3 3" xfId="37333" xr:uid="{00000000-0005-0000-0000-0000D4910000}"/>
    <cellStyle name="Normal 2 2 4 2 5 6 4" xfId="37334" xr:uid="{00000000-0005-0000-0000-0000D5910000}"/>
    <cellStyle name="Normal 2 2 4 2 5 6 4 2" xfId="37335" xr:uid="{00000000-0005-0000-0000-0000D6910000}"/>
    <cellStyle name="Normal 2 2 4 2 5 6 5" xfId="37336" xr:uid="{00000000-0005-0000-0000-0000D7910000}"/>
    <cellStyle name="Normal 2 2 4 2 5 7" xfId="37337" xr:uid="{00000000-0005-0000-0000-0000D8910000}"/>
    <cellStyle name="Normal 2 2 4 2 5 7 2" xfId="37338" xr:uid="{00000000-0005-0000-0000-0000D9910000}"/>
    <cellStyle name="Normal 2 2 4 2 5 7 2 2" xfId="37339" xr:uid="{00000000-0005-0000-0000-0000DA910000}"/>
    <cellStyle name="Normal 2 2 4 2 5 7 2 2 2" xfId="37340" xr:uid="{00000000-0005-0000-0000-0000DB910000}"/>
    <cellStyle name="Normal 2 2 4 2 5 7 2 3" xfId="37341" xr:uid="{00000000-0005-0000-0000-0000DC910000}"/>
    <cellStyle name="Normal 2 2 4 2 5 7 3" xfId="37342" xr:uid="{00000000-0005-0000-0000-0000DD910000}"/>
    <cellStyle name="Normal 2 2 4 2 5 7 3 2" xfId="37343" xr:uid="{00000000-0005-0000-0000-0000DE910000}"/>
    <cellStyle name="Normal 2 2 4 2 5 7 4" xfId="37344" xr:uid="{00000000-0005-0000-0000-0000DF910000}"/>
    <cellStyle name="Normal 2 2 4 2 5 8" xfId="37345" xr:uid="{00000000-0005-0000-0000-0000E0910000}"/>
    <cellStyle name="Normal 2 2 4 2 5 8 2" xfId="37346" xr:uid="{00000000-0005-0000-0000-0000E1910000}"/>
    <cellStyle name="Normal 2 2 4 2 5 8 2 2" xfId="37347" xr:uid="{00000000-0005-0000-0000-0000E2910000}"/>
    <cellStyle name="Normal 2 2 4 2 5 8 2 2 2" xfId="37348" xr:uid="{00000000-0005-0000-0000-0000E3910000}"/>
    <cellStyle name="Normal 2 2 4 2 5 8 2 3" xfId="37349" xr:uid="{00000000-0005-0000-0000-0000E4910000}"/>
    <cellStyle name="Normal 2 2 4 2 5 8 3" xfId="37350" xr:uid="{00000000-0005-0000-0000-0000E5910000}"/>
    <cellStyle name="Normal 2 2 4 2 5 8 3 2" xfId="37351" xr:uid="{00000000-0005-0000-0000-0000E6910000}"/>
    <cellStyle name="Normal 2 2 4 2 5 8 4" xfId="37352" xr:uid="{00000000-0005-0000-0000-0000E7910000}"/>
    <cellStyle name="Normal 2 2 4 2 5 9" xfId="37353" xr:uid="{00000000-0005-0000-0000-0000E8910000}"/>
    <cellStyle name="Normal 2 2 4 2 5 9 2" xfId="37354" xr:uid="{00000000-0005-0000-0000-0000E9910000}"/>
    <cellStyle name="Normal 2 2 4 2 5 9 2 2" xfId="37355" xr:uid="{00000000-0005-0000-0000-0000EA910000}"/>
    <cellStyle name="Normal 2 2 4 2 5 9 3" xfId="37356" xr:uid="{00000000-0005-0000-0000-0000EB910000}"/>
    <cellStyle name="Normal 2 2 4 2 6" xfId="37357" xr:uid="{00000000-0005-0000-0000-0000EC910000}"/>
    <cellStyle name="Normal 2 2 4 2 6 10" xfId="37358" xr:uid="{00000000-0005-0000-0000-0000ED910000}"/>
    <cellStyle name="Normal 2 2 4 2 6 10 2" xfId="37359" xr:uid="{00000000-0005-0000-0000-0000EE910000}"/>
    <cellStyle name="Normal 2 2 4 2 6 10 2 2" xfId="37360" xr:uid="{00000000-0005-0000-0000-0000EF910000}"/>
    <cellStyle name="Normal 2 2 4 2 6 10 3" xfId="37361" xr:uid="{00000000-0005-0000-0000-0000F0910000}"/>
    <cellStyle name="Normal 2 2 4 2 6 11" xfId="37362" xr:uid="{00000000-0005-0000-0000-0000F1910000}"/>
    <cellStyle name="Normal 2 2 4 2 6 11 2" xfId="37363" xr:uid="{00000000-0005-0000-0000-0000F2910000}"/>
    <cellStyle name="Normal 2 2 4 2 6 11 2 2" xfId="37364" xr:uid="{00000000-0005-0000-0000-0000F3910000}"/>
    <cellStyle name="Normal 2 2 4 2 6 11 3" xfId="37365" xr:uid="{00000000-0005-0000-0000-0000F4910000}"/>
    <cellStyle name="Normal 2 2 4 2 6 12" xfId="37366" xr:uid="{00000000-0005-0000-0000-0000F5910000}"/>
    <cellStyle name="Normal 2 2 4 2 6 12 2" xfId="37367" xr:uid="{00000000-0005-0000-0000-0000F6910000}"/>
    <cellStyle name="Normal 2 2 4 2 6 12 2 2" xfId="37368" xr:uid="{00000000-0005-0000-0000-0000F7910000}"/>
    <cellStyle name="Normal 2 2 4 2 6 12 3" xfId="37369" xr:uid="{00000000-0005-0000-0000-0000F8910000}"/>
    <cellStyle name="Normal 2 2 4 2 6 13" xfId="37370" xr:uid="{00000000-0005-0000-0000-0000F9910000}"/>
    <cellStyle name="Normal 2 2 4 2 6 13 2" xfId="37371" xr:uid="{00000000-0005-0000-0000-0000FA910000}"/>
    <cellStyle name="Normal 2 2 4 2 6 14" xfId="37372" xr:uid="{00000000-0005-0000-0000-0000FB910000}"/>
    <cellStyle name="Normal 2 2 4 2 6 2" xfId="37373" xr:uid="{00000000-0005-0000-0000-0000FC910000}"/>
    <cellStyle name="Normal 2 2 4 2 6 2 2" xfId="37374" xr:uid="{00000000-0005-0000-0000-0000FD910000}"/>
    <cellStyle name="Normal 2 2 4 2 6 2 2 2" xfId="37375" xr:uid="{00000000-0005-0000-0000-0000FE910000}"/>
    <cellStyle name="Normal 2 2 4 2 6 2 2 2 2" xfId="37376" xr:uid="{00000000-0005-0000-0000-0000FF910000}"/>
    <cellStyle name="Normal 2 2 4 2 6 2 2 2 2 2" xfId="37377" xr:uid="{00000000-0005-0000-0000-000000920000}"/>
    <cellStyle name="Normal 2 2 4 2 6 2 2 2 3" xfId="37378" xr:uid="{00000000-0005-0000-0000-000001920000}"/>
    <cellStyle name="Normal 2 2 4 2 6 2 2 3" xfId="37379" xr:uid="{00000000-0005-0000-0000-000002920000}"/>
    <cellStyle name="Normal 2 2 4 2 6 2 2 3 2" xfId="37380" xr:uid="{00000000-0005-0000-0000-000003920000}"/>
    <cellStyle name="Normal 2 2 4 2 6 2 2 4" xfId="37381" xr:uid="{00000000-0005-0000-0000-000004920000}"/>
    <cellStyle name="Normal 2 2 4 2 6 2 3" xfId="37382" xr:uid="{00000000-0005-0000-0000-000005920000}"/>
    <cellStyle name="Normal 2 2 4 2 6 2 3 2" xfId="37383" xr:uid="{00000000-0005-0000-0000-000006920000}"/>
    <cellStyle name="Normal 2 2 4 2 6 2 3 2 2" xfId="37384" xr:uid="{00000000-0005-0000-0000-000007920000}"/>
    <cellStyle name="Normal 2 2 4 2 6 2 3 3" xfId="37385" xr:uid="{00000000-0005-0000-0000-000008920000}"/>
    <cellStyle name="Normal 2 2 4 2 6 2 4" xfId="37386" xr:uid="{00000000-0005-0000-0000-000009920000}"/>
    <cellStyle name="Normal 2 2 4 2 6 2 4 2" xfId="37387" xr:uid="{00000000-0005-0000-0000-00000A920000}"/>
    <cellStyle name="Normal 2 2 4 2 6 2 4 2 2" xfId="37388" xr:uid="{00000000-0005-0000-0000-00000B920000}"/>
    <cellStyle name="Normal 2 2 4 2 6 2 4 3" xfId="37389" xr:uid="{00000000-0005-0000-0000-00000C920000}"/>
    <cellStyle name="Normal 2 2 4 2 6 2 5" xfId="37390" xr:uid="{00000000-0005-0000-0000-00000D920000}"/>
    <cellStyle name="Normal 2 2 4 2 6 2 5 2" xfId="37391" xr:uid="{00000000-0005-0000-0000-00000E920000}"/>
    <cellStyle name="Normal 2 2 4 2 6 2 5 2 2" xfId="37392" xr:uid="{00000000-0005-0000-0000-00000F920000}"/>
    <cellStyle name="Normal 2 2 4 2 6 2 5 3" xfId="37393" xr:uid="{00000000-0005-0000-0000-000010920000}"/>
    <cellStyle name="Normal 2 2 4 2 6 2 6" xfId="37394" xr:uid="{00000000-0005-0000-0000-000011920000}"/>
    <cellStyle name="Normal 2 2 4 2 6 2 6 2" xfId="37395" xr:uid="{00000000-0005-0000-0000-000012920000}"/>
    <cellStyle name="Normal 2 2 4 2 6 2 6 2 2" xfId="37396" xr:uid="{00000000-0005-0000-0000-000013920000}"/>
    <cellStyle name="Normal 2 2 4 2 6 2 6 3" xfId="37397" xr:uid="{00000000-0005-0000-0000-000014920000}"/>
    <cellStyle name="Normal 2 2 4 2 6 2 7" xfId="37398" xr:uid="{00000000-0005-0000-0000-000015920000}"/>
    <cellStyle name="Normal 2 2 4 2 6 2 7 2" xfId="37399" xr:uid="{00000000-0005-0000-0000-000016920000}"/>
    <cellStyle name="Normal 2 2 4 2 6 2 8" xfId="37400" xr:uid="{00000000-0005-0000-0000-000017920000}"/>
    <cellStyle name="Normal 2 2 4 2 6 3" xfId="37401" xr:uid="{00000000-0005-0000-0000-000018920000}"/>
    <cellStyle name="Normal 2 2 4 2 6 3 2" xfId="37402" xr:uid="{00000000-0005-0000-0000-000019920000}"/>
    <cellStyle name="Normal 2 2 4 2 6 3 2 2" xfId="37403" xr:uid="{00000000-0005-0000-0000-00001A920000}"/>
    <cellStyle name="Normal 2 2 4 2 6 3 2 2 2" xfId="37404" xr:uid="{00000000-0005-0000-0000-00001B920000}"/>
    <cellStyle name="Normal 2 2 4 2 6 3 2 2 2 2" xfId="37405" xr:uid="{00000000-0005-0000-0000-00001C920000}"/>
    <cellStyle name="Normal 2 2 4 2 6 3 2 2 3" xfId="37406" xr:uid="{00000000-0005-0000-0000-00001D920000}"/>
    <cellStyle name="Normal 2 2 4 2 6 3 2 3" xfId="37407" xr:uid="{00000000-0005-0000-0000-00001E920000}"/>
    <cellStyle name="Normal 2 2 4 2 6 3 2 3 2" xfId="37408" xr:uid="{00000000-0005-0000-0000-00001F920000}"/>
    <cellStyle name="Normal 2 2 4 2 6 3 2 4" xfId="37409" xr:uid="{00000000-0005-0000-0000-000020920000}"/>
    <cellStyle name="Normal 2 2 4 2 6 3 3" xfId="37410" xr:uid="{00000000-0005-0000-0000-000021920000}"/>
    <cellStyle name="Normal 2 2 4 2 6 3 3 2" xfId="37411" xr:uid="{00000000-0005-0000-0000-000022920000}"/>
    <cellStyle name="Normal 2 2 4 2 6 3 3 2 2" xfId="37412" xr:uid="{00000000-0005-0000-0000-000023920000}"/>
    <cellStyle name="Normal 2 2 4 2 6 3 3 3" xfId="37413" xr:uid="{00000000-0005-0000-0000-000024920000}"/>
    <cellStyle name="Normal 2 2 4 2 6 3 4" xfId="37414" xr:uid="{00000000-0005-0000-0000-000025920000}"/>
    <cellStyle name="Normal 2 2 4 2 6 3 4 2" xfId="37415" xr:uid="{00000000-0005-0000-0000-000026920000}"/>
    <cellStyle name="Normal 2 2 4 2 6 3 4 2 2" xfId="37416" xr:uid="{00000000-0005-0000-0000-000027920000}"/>
    <cellStyle name="Normal 2 2 4 2 6 3 4 3" xfId="37417" xr:uid="{00000000-0005-0000-0000-000028920000}"/>
    <cellStyle name="Normal 2 2 4 2 6 3 5" xfId="37418" xr:uid="{00000000-0005-0000-0000-000029920000}"/>
    <cellStyle name="Normal 2 2 4 2 6 3 5 2" xfId="37419" xr:uid="{00000000-0005-0000-0000-00002A920000}"/>
    <cellStyle name="Normal 2 2 4 2 6 3 5 2 2" xfId="37420" xr:uid="{00000000-0005-0000-0000-00002B920000}"/>
    <cellStyle name="Normal 2 2 4 2 6 3 5 3" xfId="37421" xr:uid="{00000000-0005-0000-0000-00002C920000}"/>
    <cellStyle name="Normal 2 2 4 2 6 3 6" xfId="37422" xr:uid="{00000000-0005-0000-0000-00002D920000}"/>
    <cellStyle name="Normal 2 2 4 2 6 3 6 2" xfId="37423" xr:uid="{00000000-0005-0000-0000-00002E920000}"/>
    <cellStyle name="Normal 2 2 4 2 6 3 6 2 2" xfId="37424" xr:uid="{00000000-0005-0000-0000-00002F920000}"/>
    <cellStyle name="Normal 2 2 4 2 6 3 6 3" xfId="37425" xr:uid="{00000000-0005-0000-0000-000030920000}"/>
    <cellStyle name="Normal 2 2 4 2 6 3 7" xfId="37426" xr:uid="{00000000-0005-0000-0000-000031920000}"/>
    <cellStyle name="Normal 2 2 4 2 6 3 7 2" xfId="37427" xr:uid="{00000000-0005-0000-0000-000032920000}"/>
    <cellStyle name="Normal 2 2 4 2 6 3 8" xfId="37428" xr:uid="{00000000-0005-0000-0000-000033920000}"/>
    <cellStyle name="Normal 2 2 4 2 6 4" xfId="37429" xr:uid="{00000000-0005-0000-0000-000034920000}"/>
    <cellStyle name="Normal 2 2 4 2 6 4 2" xfId="37430" xr:uid="{00000000-0005-0000-0000-000035920000}"/>
    <cellStyle name="Normal 2 2 4 2 6 4 2 2" xfId="37431" xr:uid="{00000000-0005-0000-0000-000036920000}"/>
    <cellStyle name="Normal 2 2 4 2 6 4 2 2 2" xfId="37432" xr:uid="{00000000-0005-0000-0000-000037920000}"/>
    <cellStyle name="Normal 2 2 4 2 6 4 2 2 2 2" xfId="37433" xr:uid="{00000000-0005-0000-0000-000038920000}"/>
    <cellStyle name="Normal 2 2 4 2 6 4 2 2 3" xfId="37434" xr:uid="{00000000-0005-0000-0000-000039920000}"/>
    <cellStyle name="Normal 2 2 4 2 6 4 2 3" xfId="37435" xr:uid="{00000000-0005-0000-0000-00003A920000}"/>
    <cellStyle name="Normal 2 2 4 2 6 4 2 3 2" xfId="37436" xr:uid="{00000000-0005-0000-0000-00003B920000}"/>
    <cellStyle name="Normal 2 2 4 2 6 4 2 4" xfId="37437" xr:uid="{00000000-0005-0000-0000-00003C920000}"/>
    <cellStyle name="Normal 2 2 4 2 6 4 3" xfId="37438" xr:uid="{00000000-0005-0000-0000-00003D920000}"/>
    <cellStyle name="Normal 2 2 4 2 6 4 3 2" xfId="37439" xr:uid="{00000000-0005-0000-0000-00003E920000}"/>
    <cellStyle name="Normal 2 2 4 2 6 4 3 2 2" xfId="37440" xr:uid="{00000000-0005-0000-0000-00003F920000}"/>
    <cellStyle name="Normal 2 2 4 2 6 4 3 3" xfId="37441" xr:uid="{00000000-0005-0000-0000-000040920000}"/>
    <cellStyle name="Normal 2 2 4 2 6 4 4" xfId="37442" xr:uid="{00000000-0005-0000-0000-000041920000}"/>
    <cellStyle name="Normal 2 2 4 2 6 4 4 2" xfId="37443" xr:uid="{00000000-0005-0000-0000-000042920000}"/>
    <cellStyle name="Normal 2 2 4 2 6 4 4 2 2" xfId="37444" xr:uid="{00000000-0005-0000-0000-000043920000}"/>
    <cellStyle name="Normal 2 2 4 2 6 4 4 3" xfId="37445" xr:uid="{00000000-0005-0000-0000-000044920000}"/>
    <cellStyle name="Normal 2 2 4 2 6 4 5" xfId="37446" xr:uid="{00000000-0005-0000-0000-000045920000}"/>
    <cellStyle name="Normal 2 2 4 2 6 4 5 2" xfId="37447" xr:uid="{00000000-0005-0000-0000-000046920000}"/>
    <cellStyle name="Normal 2 2 4 2 6 4 5 2 2" xfId="37448" xr:uid="{00000000-0005-0000-0000-000047920000}"/>
    <cellStyle name="Normal 2 2 4 2 6 4 5 3" xfId="37449" xr:uid="{00000000-0005-0000-0000-000048920000}"/>
    <cellStyle name="Normal 2 2 4 2 6 4 6" xfId="37450" xr:uid="{00000000-0005-0000-0000-000049920000}"/>
    <cellStyle name="Normal 2 2 4 2 6 4 6 2" xfId="37451" xr:uid="{00000000-0005-0000-0000-00004A920000}"/>
    <cellStyle name="Normal 2 2 4 2 6 4 6 2 2" xfId="37452" xr:uid="{00000000-0005-0000-0000-00004B920000}"/>
    <cellStyle name="Normal 2 2 4 2 6 4 6 3" xfId="37453" xr:uid="{00000000-0005-0000-0000-00004C920000}"/>
    <cellStyle name="Normal 2 2 4 2 6 4 7" xfId="37454" xr:uid="{00000000-0005-0000-0000-00004D920000}"/>
    <cellStyle name="Normal 2 2 4 2 6 4 7 2" xfId="37455" xr:uid="{00000000-0005-0000-0000-00004E920000}"/>
    <cellStyle name="Normal 2 2 4 2 6 4 8" xfId="37456" xr:uid="{00000000-0005-0000-0000-00004F920000}"/>
    <cellStyle name="Normal 2 2 4 2 6 5" xfId="37457" xr:uid="{00000000-0005-0000-0000-000050920000}"/>
    <cellStyle name="Normal 2 2 4 2 6 5 2" xfId="37458" xr:uid="{00000000-0005-0000-0000-000051920000}"/>
    <cellStyle name="Normal 2 2 4 2 6 5 2 2" xfId="37459" xr:uid="{00000000-0005-0000-0000-000052920000}"/>
    <cellStyle name="Normal 2 2 4 2 6 5 2 2 2" xfId="37460" xr:uid="{00000000-0005-0000-0000-000053920000}"/>
    <cellStyle name="Normal 2 2 4 2 6 5 2 2 2 2" xfId="37461" xr:uid="{00000000-0005-0000-0000-000054920000}"/>
    <cellStyle name="Normal 2 2 4 2 6 5 2 2 3" xfId="37462" xr:uid="{00000000-0005-0000-0000-000055920000}"/>
    <cellStyle name="Normal 2 2 4 2 6 5 2 3" xfId="37463" xr:uid="{00000000-0005-0000-0000-000056920000}"/>
    <cellStyle name="Normal 2 2 4 2 6 5 2 3 2" xfId="37464" xr:uid="{00000000-0005-0000-0000-000057920000}"/>
    <cellStyle name="Normal 2 2 4 2 6 5 2 4" xfId="37465" xr:uid="{00000000-0005-0000-0000-000058920000}"/>
    <cellStyle name="Normal 2 2 4 2 6 5 3" xfId="37466" xr:uid="{00000000-0005-0000-0000-000059920000}"/>
    <cellStyle name="Normal 2 2 4 2 6 5 3 2" xfId="37467" xr:uid="{00000000-0005-0000-0000-00005A920000}"/>
    <cellStyle name="Normal 2 2 4 2 6 5 3 2 2" xfId="37468" xr:uid="{00000000-0005-0000-0000-00005B920000}"/>
    <cellStyle name="Normal 2 2 4 2 6 5 3 3" xfId="37469" xr:uid="{00000000-0005-0000-0000-00005C920000}"/>
    <cellStyle name="Normal 2 2 4 2 6 5 4" xfId="37470" xr:uid="{00000000-0005-0000-0000-00005D920000}"/>
    <cellStyle name="Normal 2 2 4 2 6 5 4 2" xfId="37471" xr:uid="{00000000-0005-0000-0000-00005E920000}"/>
    <cellStyle name="Normal 2 2 4 2 6 5 5" xfId="37472" xr:uid="{00000000-0005-0000-0000-00005F920000}"/>
    <cellStyle name="Normal 2 2 4 2 6 6" xfId="37473" xr:uid="{00000000-0005-0000-0000-000060920000}"/>
    <cellStyle name="Normal 2 2 4 2 6 6 2" xfId="37474" xr:uid="{00000000-0005-0000-0000-000061920000}"/>
    <cellStyle name="Normal 2 2 4 2 6 6 2 2" xfId="37475" xr:uid="{00000000-0005-0000-0000-000062920000}"/>
    <cellStyle name="Normal 2 2 4 2 6 6 2 2 2" xfId="37476" xr:uid="{00000000-0005-0000-0000-000063920000}"/>
    <cellStyle name="Normal 2 2 4 2 6 6 2 2 2 2" xfId="37477" xr:uid="{00000000-0005-0000-0000-000064920000}"/>
    <cellStyle name="Normal 2 2 4 2 6 6 2 2 3" xfId="37478" xr:uid="{00000000-0005-0000-0000-000065920000}"/>
    <cellStyle name="Normal 2 2 4 2 6 6 2 3" xfId="37479" xr:uid="{00000000-0005-0000-0000-000066920000}"/>
    <cellStyle name="Normal 2 2 4 2 6 6 2 3 2" xfId="37480" xr:uid="{00000000-0005-0000-0000-000067920000}"/>
    <cellStyle name="Normal 2 2 4 2 6 6 2 4" xfId="37481" xr:uid="{00000000-0005-0000-0000-000068920000}"/>
    <cellStyle name="Normal 2 2 4 2 6 6 3" xfId="37482" xr:uid="{00000000-0005-0000-0000-000069920000}"/>
    <cellStyle name="Normal 2 2 4 2 6 6 3 2" xfId="37483" xr:uid="{00000000-0005-0000-0000-00006A920000}"/>
    <cellStyle name="Normal 2 2 4 2 6 6 3 2 2" xfId="37484" xr:uid="{00000000-0005-0000-0000-00006B920000}"/>
    <cellStyle name="Normal 2 2 4 2 6 6 3 3" xfId="37485" xr:uid="{00000000-0005-0000-0000-00006C920000}"/>
    <cellStyle name="Normal 2 2 4 2 6 6 4" xfId="37486" xr:uid="{00000000-0005-0000-0000-00006D920000}"/>
    <cellStyle name="Normal 2 2 4 2 6 6 4 2" xfId="37487" xr:uid="{00000000-0005-0000-0000-00006E920000}"/>
    <cellStyle name="Normal 2 2 4 2 6 6 5" xfId="37488" xr:uid="{00000000-0005-0000-0000-00006F920000}"/>
    <cellStyle name="Normal 2 2 4 2 6 7" xfId="37489" xr:uid="{00000000-0005-0000-0000-000070920000}"/>
    <cellStyle name="Normal 2 2 4 2 6 7 2" xfId="37490" xr:uid="{00000000-0005-0000-0000-000071920000}"/>
    <cellStyle name="Normal 2 2 4 2 6 7 2 2" xfId="37491" xr:uid="{00000000-0005-0000-0000-000072920000}"/>
    <cellStyle name="Normal 2 2 4 2 6 7 2 2 2" xfId="37492" xr:uid="{00000000-0005-0000-0000-000073920000}"/>
    <cellStyle name="Normal 2 2 4 2 6 7 2 3" xfId="37493" xr:uid="{00000000-0005-0000-0000-000074920000}"/>
    <cellStyle name="Normal 2 2 4 2 6 7 3" xfId="37494" xr:uid="{00000000-0005-0000-0000-000075920000}"/>
    <cellStyle name="Normal 2 2 4 2 6 7 3 2" xfId="37495" xr:uid="{00000000-0005-0000-0000-000076920000}"/>
    <cellStyle name="Normal 2 2 4 2 6 7 4" xfId="37496" xr:uid="{00000000-0005-0000-0000-000077920000}"/>
    <cellStyle name="Normal 2 2 4 2 6 8" xfId="37497" xr:uid="{00000000-0005-0000-0000-000078920000}"/>
    <cellStyle name="Normal 2 2 4 2 6 8 2" xfId="37498" xr:uid="{00000000-0005-0000-0000-000079920000}"/>
    <cellStyle name="Normal 2 2 4 2 6 8 2 2" xfId="37499" xr:uid="{00000000-0005-0000-0000-00007A920000}"/>
    <cellStyle name="Normal 2 2 4 2 6 8 2 2 2" xfId="37500" xr:uid="{00000000-0005-0000-0000-00007B920000}"/>
    <cellStyle name="Normal 2 2 4 2 6 8 2 3" xfId="37501" xr:uid="{00000000-0005-0000-0000-00007C920000}"/>
    <cellStyle name="Normal 2 2 4 2 6 8 3" xfId="37502" xr:uid="{00000000-0005-0000-0000-00007D920000}"/>
    <cellStyle name="Normal 2 2 4 2 6 8 3 2" xfId="37503" xr:uid="{00000000-0005-0000-0000-00007E920000}"/>
    <cellStyle name="Normal 2 2 4 2 6 8 4" xfId="37504" xr:uid="{00000000-0005-0000-0000-00007F920000}"/>
    <cellStyle name="Normal 2 2 4 2 6 9" xfId="37505" xr:uid="{00000000-0005-0000-0000-000080920000}"/>
    <cellStyle name="Normal 2 2 4 2 6 9 2" xfId="37506" xr:uid="{00000000-0005-0000-0000-000081920000}"/>
    <cellStyle name="Normal 2 2 4 2 6 9 2 2" xfId="37507" xr:uid="{00000000-0005-0000-0000-000082920000}"/>
    <cellStyle name="Normal 2 2 4 2 6 9 3" xfId="37508" xr:uid="{00000000-0005-0000-0000-000083920000}"/>
    <cellStyle name="Normal 2 2 4 2 7" xfId="37509" xr:uid="{00000000-0005-0000-0000-000084920000}"/>
    <cellStyle name="Normal 2 2 4 2 7 2" xfId="37510" xr:uid="{00000000-0005-0000-0000-000085920000}"/>
    <cellStyle name="Normal 2 2 4 2 7 2 2" xfId="37511" xr:uid="{00000000-0005-0000-0000-000086920000}"/>
    <cellStyle name="Normal 2 2 4 2 7 2 2 2" xfId="37512" xr:uid="{00000000-0005-0000-0000-000087920000}"/>
    <cellStyle name="Normal 2 2 4 2 7 2 2 2 2" xfId="37513" xr:uid="{00000000-0005-0000-0000-000088920000}"/>
    <cellStyle name="Normal 2 2 4 2 7 2 2 3" xfId="37514" xr:uid="{00000000-0005-0000-0000-000089920000}"/>
    <cellStyle name="Normal 2 2 4 2 7 2 3" xfId="37515" xr:uid="{00000000-0005-0000-0000-00008A920000}"/>
    <cellStyle name="Normal 2 2 4 2 7 2 3 2" xfId="37516" xr:uid="{00000000-0005-0000-0000-00008B920000}"/>
    <cellStyle name="Normal 2 2 4 2 7 2 4" xfId="37517" xr:uid="{00000000-0005-0000-0000-00008C920000}"/>
    <cellStyle name="Normal 2 2 4 2 7 3" xfId="37518" xr:uid="{00000000-0005-0000-0000-00008D920000}"/>
    <cellStyle name="Normal 2 2 4 2 7 3 2" xfId="37519" xr:uid="{00000000-0005-0000-0000-00008E920000}"/>
    <cellStyle name="Normal 2 2 4 2 7 3 2 2" xfId="37520" xr:uid="{00000000-0005-0000-0000-00008F920000}"/>
    <cellStyle name="Normal 2 2 4 2 7 3 3" xfId="37521" xr:uid="{00000000-0005-0000-0000-000090920000}"/>
    <cellStyle name="Normal 2 2 4 2 7 4" xfId="37522" xr:uid="{00000000-0005-0000-0000-000091920000}"/>
    <cellStyle name="Normal 2 2 4 2 7 4 2" xfId="37523" xr:uid="{00000000-0005-0000-0000-000092920000}"/>
    <cellStyle name="Normal 2 2 4 2 7 4 2 2" xfId="37524" xr:uid="{00000000-0005-0000-0000-000093920000}"/>
    <cellStyle name="Normal 2 2 4 2 7 4 3" xfId="37525" xr:uid="{00000000-0005-0000-0000-000094920000}"/>
    <cellStyle name="Normal 2 2 4 2 7 5" xfId="37526" xr:uid="{00000000-0005-0000-0000-000095920000}"/>
    <cellStyle name="Normal 2 2 4 2 7 5 2" xfId="37527" xr:uid="{00000000-0005-0000-0000-000096920000}"/>
    <cellStyle name="Normal 2 2 4 2 7 5 2 2" xfId="37528" xr:uid="{00000000-0005-0000-0000-000097920000}"/>
    <cellStyle name="Normal 2 2 4 2 7 5 3" xfId="37529" xr:uid="{00000000-0005-0000-0000-000098920000}"/>
    <cellStyle name="Normal 2 2 4 2 7 6" xfId="37530" xr:uid="{00000000-0005-0000-0000-000099920000}"/>
    <cellStyle name="Normal 2 2 4 2 7 6 2" xfId="37531" xr:uid="{00000000-0005-0000-0000-00009A920000}"/>
    <cellStyle name="Normal 2 2 4 2 7 6 2 2" xfId="37532" xr:uid="{00000000-0005-0000-0000-00009B920000}"/>
    <cellStyle name="Normal 2 2 4 2 7 6 3" xfId="37533" xr:uid="{00000000-0005-0000-0000-00009C920000}"/>
    <cellStyle name="Normal 2 2 4 2 7 7" xfId="37534" xr:uid="{00000000-0005-0000-0000-00009D920000}"/>
    <cellStyle name="Normal 2 2 4 2 7 7 2" xfId="37535" xr:uid="{00000000-0005-0000-0000-00009E920000}"/>
    <cellStyle name="Normal 2 2 4 2 7 8" xfId="37536" xr:uid="{00000000-0005-0000-0000-00009F920000}"/>
    <cellStyle name="Normal 2 2 4 2 8" xfId="37537" xr:uid="{00000000-0005-0000-0000-0000A0920000}"/>
    <cellStyle name="Normal 2 2 4 2 8 2" xfId="37538" xr:uid="{00000000-0005-0000-0000-0000A1920000}"/>
    <cellStyle name="Normal 2 2 4 2 8 2 2" xfId="37539" xr:uid="{00000000-0005-0000-0000-0000A2920000}"/>
    <cellStyle name="Normal 2 2 4 2 8 2 2 2" xfId="37540" xr:uid="{00000000-0005-0000-0000-0000A3920000}"/>
    <cellStyle name="Normal 2 2 4 2 8 2 2 2 2" xfId="37541" xr:uid="{00000000-0005-0000-0000-0000A4920000}"/>
    <cellStyle name="Normal 2 2 4 2 8 2 2 3" xfId="37542" xr:uid="{00000000-0005-0000-0000-0000A5920000}"/>
    <cellStyle name="Normal 2 2 4 2 8 2 3" xfId="37543" xr:uid="{00000000-0005-0000-0000-0000A6920000}"/>
    <cellStyle name="Normal 2 2 4 2 8 2 3 2" xfId="37544" xr:uid="{00000000-0005-0000-0000-0000A7920000}"/>
    <cellStyle name="Normal 2 2 4 2 8 2 4" xfId="37545" xr:uid="{00000000-0005-0000-0000-0000A8920000}"/>
    <cellStyle name="Normal 2 2 4 2 8 3" xfId="37546" xr:uid="{00000000-0005-0000-0000-0000A9920000}"/>
    <cellStyle name="Normal 2 2 4 2 8 3 2" xfId="37547" xr:uid="{00000000-0005-0000-0000-0000AA920000}"/>
    <cellStyle name="Normal 2 2 4 2 8 3 2 2" xfId="37548" xr:uid="{00000000-0005-0000-0000-0000AB920000}"/>
    <cellStyle name="Normal 2 2 4 2 8 3 3" xfId="37549" xr:uid="{00000000-0005-0000-0000-0000AC920000}"/>
    <cellStyle name="Normal 2 2 4 2 8 4" xfId="37550" xr:uid="{00000000-0005-0000-0000-0000AD920000}"/>
    <cellStyle name="Normal 2 2 4 2 8 4 2" xfId="37551" xr:uid="{00000000-0005-0000-0000-0000AE920000}"/>
    <cellStyle name="Normal 2 2 4 2 8 4 2 2" xfId="37552" xr:uid="{00000000-0005-0000-0000-0000AF920000}"/>
    <cellStyle name="Normal 2 2 4 2 8 4 3" xfId="37553" xr:uid="{00000000-0005-0000-0000-0000B0920000}"/>
    <cellStyle name="Normal 2 2 4 2 8 5" xfId="37554" xr:uid="{00000000-0005-0000-0000-0000B1920000}"/>
    <cellStyle name="Normal 2 2 4 2 8 5 2" xfId="37555" xr:uid="{00000000-0005-0000-0000-0000B2920000}"/>
    <cellStyle name="Normal 2 2 4 2 8 5 2 2" xfId="37556" xr:uid="{00000000-0005-0000-0000-0000B3920000}"/>
    <cellStyle name="Normal 2 2 4 2 8 5 3" xfId="37557" xr:uid="{00000000-0005-0000-0000-0000B4920000}"/>
    <cellStyle name="Normal 2 2 4 2 8 6" xfId="37558" xr:uid="{00000000-0005-0000-0000-0000B5920000}"/>
    <cellStyle name="Normal 2 2 4 2 8 6 2" xfId="37559" xr:uid="{00000000-0005-0000-0000-0000B6920000}"/>
    <cellStyle name="Normal 2 2 4 2 8 6 2 2" xfId="37560" xr:uid="{00000000-0005-0000-0000-0000B7920000}"/>
    <cellStyle name="Normal 2 2 4 2 8 6 3" xfId="37561" xr:uid="{00000000-0005-0000-0000-0000B8920000}"/>
    <cellStyle name="Normal 2 2 4 2 8 7" xfId="37562" xr:uid="{00000000-0005-0000-0000-0000B9920000}"/>
    <cellStyle name="Normal 2 2 4 2 8 7 2" xfId="37563" xr:uid="{00000000-0005-0000-0000-0000BA920000}"/>
    <cellStyle name="Normal 2 2 4 2 8 8" xfId="37564" xr:uid="{00000000-0005-0000-0000-0000BB920000}"/>
    <cellStyle name="Normal 2 2 4 2 9" xfId="37565" xr:uid="{00000000-0005-0000-0000-0000BC920000}"/>
    <cellStyle name="Normal 2 2 4 2 9 2" xfId="37566" xr:uid="{00000000-0005-0000-0000-0000BD920000}"/>
    <cellStyle name="Normal 2 2 4 2 9 2 2" xfId="37567" xr:uid="{00000000-0005-0000-0000-0000BE920000}"/>
    <cellStyle name="Normal 2 2 4 2 9 2 2 2" xfId="37568" xr:uid="{00000000-0005-0000-0000-0000BF920000}"/>
    <cellStyle name="Normal 2 2 4 2 9 2 2 2 2" xfId="37569" xr:uid="{00000000-0005-0000-0000-0000C0920000}"/>
    <cellStyle name="Normal 2 2 4 2 9 2 2 3" xfId="37570" xr:uid="{00000000-0005-0000-0000-0000C1920000}"/>
    <cellStyle name="Normal 2 2 4 2 9 2 3" xfId="37571" xr:uid="{00000000-0005-0000-0000-0000C2920000}"/>
    <cellStyle name="Normal 2 2 4 2 9 2 3 2" xfId="37572" xr:uid="{00000000-0005-0000-0000-0000C3920000}"/>
    <cellStyle name="Normal 2 2 4 2 9 2 4" xfId="37573" xr:uid="{00000000-0005-0000-0000-0000C4920000}"/>
    <cellStyle name="Normal 2 2 4 2 9 3" xfId="37574" xr:uid="{00000000-0005-0000-0000-0000C5920000}"/>
    <cellStyle name="Normal 2 2 4 2 9 3 2" xfId="37575" xr:uid="{00000000-0005-0000-0000-0000C6920000}"/>
    <cellStyle name="Normal 2 2 4 2 9 3 2 2" xfId="37576" xr:uid="{00000000-0005-0000-0000-0000C7920000}"/>
    <cellStyle name="Normal 2 2 4 2 9 3 3" xfId="37577" xr:uid="{00000000-0005-0000-0000-0000C8920000}"/>
    <cellStyle name="Normal 2 2 4 2 9 4" xfId="37578" xr:uid="{00000000-0005-0000-0000-0000C9920000}"/>
    <cellStyle name="Normal 2 2 4 2 9 4 2" xfId="37579" xr:uid="{00000000-0005-0000-0000-0000CA920000}"/>
    <cellStyle name="Normal 2 2 4 2 9 4 2 2" xfId="37580" xr:uid="{00000000-0005-0000-0000-0000CB920000}"/>
    <cellStyle name="Normal 2 2 4 2 9 4 3" xfId="37581" xr:uid="{00000000-0005-0000-0000-0000CC920000}"/>
    <cellStyle name="Normal 2 2 4 2 9 5" xfId="37582" xr:uid="{00000000-0005-0000-0000-0000CD920000}"/>
    <cellStyle name="Normal 2 2 4 2 9 5 2" xfId="37583" xr:uid="{00000000-0005-0000-0000-0000CE920000}"/>
    <cellStyle name="Normal 2 2 4 2 9 5 2 2" xfId="37584" xr:uid="{00000000-0005-0000-0000-0000CF920000}"/>
    <cellStyle name="Normal 2 2 4 2 9 5 3" xfId="37585" xr:uid="{00000000-0005-0000-0000-0000D0920000}"/>
    <cellStyle name="Normal 2 2 4 2 9 6" xfId="37586" xr:uid="{00000000-0005-0000-0000-0000D1920000}"/>
    <cellStyle name="Normal 2 2 4 2 9 6 2" xfId="37587" xr:uid="{00000000-0005-0000-0000-0000D2920000}"/>
    <cellStyle name="Normal 2 2 4 2 9 6 2 2" xfId="37588" xr:uid="{00000000-0005-0000-0000-0000D3920000}"/>
    <cellStyle name="Normal 2 2 4 2 9 6 3" xfId="37589" xr:uid="{00000000-0005-0000-0000-0000D4920000}"/>
    <cellStyle name="Normal 2 2 4 2 9 7" xfId="37590" xr:uid="{00000000-0005-0000-0000-0000D5920000}"/>
    <cellStyle name="Normal 2 2 4 2 9 7 2" xfId="37591" xr:uid="{00000000-0005-0000-0000-0000D6920000}"/>
    <cellStyle name="Normal 2 2 4 2 9 8" xfId="37592" xr:uid="{00000000-0005-0000-0000-0000D7920000}"/>
    <cellStyle name="Normal 2 2 4 20" xfId="37593" xr:uid="{00000000-0005-0000-0000-0000D8920000}"/>
    <cellStyle name="Normal 2 2 4 20 2" xfId="37594" xr:uid="{00000000-0005-0000-0000-0000D9920000}"/>
    <cellStyle name="Normal 2 2 4 21" xfId="37595" xr:uid="{00000000-0005-0000-0000-0000DA920000}"/>
    <cellStyle name="Normal 2 2 4 3" xfId="37596" xr:uid="{00000000-0005-0000-0000-0000DB920000}"/>
    <cellStyle name="Normal 2 2 4 3 10" xfId="37597" xr:uid="{00000000-0005-0000-0000-0000DC920000}"/>
    <cellStyle name="Normal 2 2 4 3 10 2" xfId="37598" xr:uid="{00000000-0005-0000-0000-0000DD920000}"/>
    <cellStyle name="Normal 2 2 4 3 10 2 2" xfId="37599" xr:uid="{00000000-0005-0000-0000-0000DE920000}"/>
    <cellStyle name="Normal 2 2 4 3 10 3" xfId="37600" xr:uid="{00000000-0005-0000-0000-0000DF920000}"/>
    <cellStyle name="Normal 2 2 4 3 11" xfId="37601" xr:uid="{00000000-0005-0000-0000-0000E0920000}"/>
    <cellStyle name="Normal 2 2 4 3 11 2" xfId="37602" xr:uid="{00000000-0005-0000-0000-0000E1920000}"/>
    <cellStyle name="Normal 2 2 4 3 11 2 2" xfId="37603" xr:uid="{00000000-0005-0000-0000-0000E2920000}"/>
    <cellStyle name="Normal 2 2 4 3 11 3" xfId="37604" xr:uid="{00000000-0005-0000-0000-0000E3920000}"/>
    <cellStyle name="Normal 2 2 4 3 12" xfId="37605" xr:uid="{00000000-0005-0000-0000-0000E4920000}"/>
    <cellStyle name="Normal 2 2 4 3 12 2" xfId="37606" xr:uid="{00000000-0005-0000-0000-0000E5920000}"/>
    <cellStyle name="Normal 2 2 4 3 12 2 2" xfId="37607" xr:uid="{00000000-0005-0000-0000-0000E6920000}"/>
    <cellStyle name="Normal 2 2 4 3 12 3" xfId="37608" xr:uid="{00000000-0005-0000-0000-0000E7920000}"/>
    <cellStyle name="Normal 2 2 4 3 13" xfId="37609" xr:uid="{00000000-0005-0000-0000-0000E8920000}"/>
    <cellStyle name="Normal 2 2 4 3 13 2" xfId="37610" xr:uid="{00000000-0005-0000-0000-0000E9920000}"/>
    <cellStyle name="Normal 2 2 4 3 14" xfId="37611" xr:uid="{00000000-0005-0000-0000-0000EA920000}"/>
    <cellStyle name="Normal 2 2 4 3 2" xfId="37612" xr:uid="{00000000-0005-0000-0000-0000EB920000}"/>
    <cellStyle name="Normal 2 2 4 3 2 2" xfId="37613" xr:uid="{00000000-0005-0000-0000-0000EC920000}"/>
    <cellStyle name="Normal 2 2 4 3 2 2 2" xfId="37614" xr:uid="{00000000-0005-0000-0000-0000ED920000}"/>
    <cellStyle name="Normal 2 2 4 3 2 2 2 2" xfId="37615" xr:uid="{00000000-0005-0000-0000-0000EE920000}"/>
    <cellStyle name="Normal 2 2 4 3 2 2 2 2 2" xfId="37616" xr:uid="{00000000-0005-0000-0000-0000EF920000}"/>
    <cellStyle name="Normal 2 2 4 3 2 2 2 3" xfId="37617" xr:uid="{00000000-0005-0000-0000-0000F0920000}"/>
    <cellStyle name="Normal 2 2 4 3 2 2 3" xfId="37618" xr:uid="{00000000-0005-0000-0000-0000F1920000}"/>
    <cellStyle name="Normal 2 2 4 3 2 2 3 2" xfId="37619" xr:uid="{00000000-0005-0000-0000-0000F2920000}"/>
    <cellStyle name="Normal 2 2 4 3 2 2 4" xfId="37620" xr:uid="{00000000-0005-0000-0000-0000F3920000}"/>
    <cellStyle name="Normal 2 2 4 3 2 3" xfId="37621" xr:uid="{00000000-0005-0000-0000-0000F4920000}"/>
    <cellStyle name="Normal 2 2 4 3 2 3 2" xfId="37622" xr:uid="{00000000-0005-0000-0000-0000F5920000}"/>
    <cellStyle name="Normal 2 2 4 3 2 3 2 2" xfId="37623" xr:uid="{00000000-0005-0000-0000-0000F6920000}"/>
    <cellStyle name="Normal 2 2 4 3 2 3 3" xfId="37624" xr:uid="{00000000-0005-0000-0000-0000F7920000}"/>
    <cellStyle name="Normal 2 2 4 3 2 4" xfId="37625" xr:uid="{00000000-0005-0000-0000-0000F8920000}"/>
    <cellStyle name="Normal 2 2 4 3 2 4 2" xfId="37626" xr:uid="{00000000-0005-0000-0000-0000F9920000}"/>
    <cellStyle name="Normal 2 2 4 3 2 4 2 2" xfId="37627" xr:uid="{00000000-0005-0000-0000-0000FA920000}"/>
    <cellStyle name="Normal 2 2 4 3 2 4 3" xfId="37628" xr:uid="{00000000-0005-0000-0000-0000FB920000}"/>
    <cellStyle name="Normal 2 2 4 3 2 5" xfId="37629" xr:uid="{00000000-0005-0000-0000-0000FC920000}"/>
    <cellStyle name="Normal 2 2 4 3 2 5 2" xfId="37630" xr:uid="{00000000-0005-0000-0000-0000FD920000}"/>
    <cellStyle name="Normal 2 2 4 3 2 5 2 2" xfId="37631" xr:uid="{00000000-0005-0000-0000-0000FE920000}"/>
    <cellStyle name="Normal 2 2 4 3 2 5 3" xfId="37632" xr:uid="{00000000-0005-0000-0000-0000FF920000}"/>
    <cellStyle name="Normal 2 2 4 3 2 6" xfId="37633" xr:uid="{00000000-0005-0000-0000-000000930000}"/>
    <cellStyle name="Normal 2 2 4 3 2 6 2" xfId="37634" xr:uid="{00000000-0005-0000-0000-000001930000}"/>
    <cellStyle name="Normal 2 2 4 3 2 6 2 2" xfId="37635" xr:uid="{00000000-0005-0000-0000-000002930000}"/>
    <cellStyle name="Normal 2 2 4 3 2 6 3" xfId="37636" xr:uid="{00000000-0005-0000-0000-000003930000}"/>
    <cellStyle name="Normal 2 2 4 3 2 7" xfId="37637" xr:uid="{00000000-0005-0000-0000-000004930000}"/>
    <cellStyle name="Normal 2 2 4 3 2 7 2" xfId="37638" xr:uid="{00000000-0005-0000-0000-000005930000}"/>
    <cellStyle name="Normal 2 2 4 3 2 8" xfId="37639" xr:uid="{00000000-0005-0000-0000-000006930000}"/>
    <cellStyle name="Normal 2 2 4 3 3" xfId="37640" xr:uid="{00000000-0005-0000-0000-000007930000}"/>
    <cellStyle name="Normal 2 2 4 3 3 2" xfId="37641" xr:uid="{00000000-0005-0000-0000-000008930000}"/>
    <cellStyle name="Normal 2 2 4 3 3 2 2" xfId="37642" xr:uid="{00000000-0005-0000-0000-000009930000}"/>
    <cellStyle name="Normal 2 2 4 3 3 2 2 2" xfId="37643" xr:uid="{00000000-0005-0000-0000-00000A930000}"/>
    <cellStyle name="Normal 2 2 4 3 3 2 2 2 2" xfId="37644" xr:uid="{00000000-0005-0000-0000-00000B930000}"/>
    <cellStyle name="Normal 2 2 4 3 3 2 2 3" xfId="37645" xr:uid="{00000000-0005-0000-0000-00000C930000}"/>
    <cellStyle name="Normal 2 2 4 3 3 2 3" xfId="37646" xr:uid="{00000000-0005-0000-0000-00000D930000}"/>
    <cellStyle name="Normal 2 2 4 3 3 2 3 2" xfId="37647" xr:uid="{00000000-0005-0000-0000-00000E930000}"/>
    <cellStyle name="Normal 2 2 4 3 3 2 4" xfId="37648" xr:uid="{00000000-0005-0000-0000-00000F930000}"/>
    <cellStyle name="Normal 2 2 4 3 3 3" xfId="37649" xr:uid="{00000000-0005-0000-0000-000010930000}"/>
    <cellStyle name="Normal 2 2 4 3 3 3 2" xfId="37650" xr:uid="{00000000-0005-0000-0000-000011930000}"/>
    <cellStyle name="Normal 2 2 4 3 3 3 2 2" xfId="37651" xr:uid="{00000000-0005-0000-0000-000012930000}"/>
    <cellStyle name="Normal 2 2 4 3 3 3 3" xfId="37652" xr:uid="{00000000-0005-0000-0000-000013930000}"/>
    <cellStyle name="Normal 2 2 4 3 3 4" xfId="37653" xr:uid="{00000000-0005-0000-0000-000014930000}"/>
    <cellStyle name="Normal 2 2 4 3 3 4 2" xfId="37654" xr:uid="{00000000-0005-0000-0000-000015930000}"/>
    <cellStyle name="Normal 2 2 4 3 3 4 2 2" xfId="37655" xr:uid="{00000000-0005-0000-0000-000016930000}"/>
    <cellStyle name="Normal 2 2 4 3 3 4 3" xfId="37656" xr:uid="{00000000-0005-0000-0000-000017930000}"/>
    <cellStyle name="Normal 2 2 4 3 3 5" xfId="37657" xr:uid="{00000000-0005-0000-0000-000018930000}"/>
    <cellStyle name="Normal 2 2 4 3 3 5 2" xfId="37658" xr:uid="{00000000-0005-0000-0000-000019930000}"/>
    <cellStyle name="Normal 2 2 4 3 3 5 2 2" xfId="37659" xr:uid="{00000000-0005-0000-0000-00001A930000}"/>
    <cellStyle name="Normal 2 2 4 3 3 5 3" xfId="37660" xr:uid="{00000000-0005-0000-0000-00001B930000}"/>
    <cellStyle name="Normal 2 2 4 3 3 6" xfId="37661" xr:uid="{00000000-0005-0000-0000-00001C930000}"/>
    <cellStyle name="Normal 2 2 4 3 3 6 2" xfId="37662" xr:uid="{00000000-0005-0000-0000-00001D930000}"/>
    <cellStyle name="Normal 2 2 4 3 3 6 2 2" xfId="37663" xr:uid="{00000000-0005-0000-0000-00001E930000}"/>
    <cellStyle name="Normal 2 2 4 3 3 6 3" xfId="37664" xr:uid="{00000000-0005-0000-0000-00001F930000}"/>
    <cellStyle name="Normal 2 2 4 3 3 7" xfId="37665" xr:uid="{00000000-0005-0000-0000-000020930000}"/>
    <cellStyle name="Normal 2 2 4 3 3 7 2" xfId="37666" xr:uid="{00000000-0005-0000-0000-000021930000}"/>
    <cellStyle name="Normal 2 2 4 3 3 8" xfId="37667" xr:uid="{00000000-0005-0000-0000-000022930000}"/>
    <cellStyle name="Normal 2 2 4 3 4" xfId="37668" xr:uid="{00000000-0005-0000-0000-000023930000}"/>
    <cellStyle name="Normal 2 2 4 3 4 2" xfId="37669" xr:uid="{00000000-0005-0000-0000-000024930000}"/>
    <cellStyle name="Normal 2 2 4 3 4 2 2" xfId="37670" xr:uid="{00000000-0005-0000-0000-000025930000}"/>
    <cellStyle name="Normal 2 2 4 3 4 2 2 2" xfId="37671" xr:uid="{00000000-0005-0000-0000-000026930000}"/>
    <cellStyle name="Normal 2 2 4 3 4 2 2 2 2" xfId="37672" xr:uid="{00000000-0005-0000-0000-000027930000}"/>
    <cellStyle name="Normal 2 2 4 3 4 2 2 3" xfId="37673" xr:uid="{00000000-0005-0000-0000-000028930000}"/>
    <cellStyle name="Normal 2 2 4 3 4 2 3" xfId="37674" xr:uid="{00000000-0005-0000-0000-000029930000}"/>
    <cellStyle name="Normal 2 2 4 3 4 2 3 2" xfId="37675" xr:uid="{00000000-0005-0000-0000-00002A930000}"/>
    <cellStyle name="Normal 2 2 4 3 4 2 4" xfId="37676" xr:uid="{00000000-0005-0000-0000-00002B930000}"/>
    <cellStyle name="Normal 2 2 4 3 4 3" xfId="37677" xr:uid="{00000000-0005-0000-0000-00002C930000}"/>
    <cellStyle name="Normal 2 2 4 3 4 3 2" xfId="37678" xr:uid="{00000000-0005-0000-0000-00002D930000}"/>
    <cellStyle name="Normal 2 2 4 3 4 3 2 2" xfId="37679" xr:uid="{00000000-0005-0000-0000-00002E930000}"/>
    <cellStyle name="Normal 2 2 4 3 4 3 3" xfId="37680" xr:uid="{00000000-0005-0000-0000-00002F930000}"/>
    <cellStyle name="Normal 2 2 4 3 4 4" xfId="37681" xr:uid="{00000000-0005-0000-0000-000030930000}"/>
    <cellStyle name="Normal 2 2 4 3 4 4 2" xfId="37682" xr:uid="{00000000-0005-0000-0000-000031930000}"/>
    <cellStyle name="Normal 2 2 4 3 4 4 2 2" xfId="37683" xr:uid="{00000000-0005-0000-0000-000032930000}"/>
    <cellStyle name="Normal 2 2 4 3 4 4 3" xfId="37684" xr:uid="{00000000-0005-0000-0000-000033930000}"/>
    <cellStyle name="Normal 2 2 4 3 4 5" xfId="37685" xr:uid="{00000000-0005-0000-0000-000034930000}"/>
    <cellStyle name="Normal 2 2 4 3 4 5 2" xfId="37686" xr:uid="{00000000-0005-0000-0000-000035930000}"/>
    <cellStyle name="Normal 2 2 4 3 4 5 2 2" xfId="37687" xr:uid="{00000000-0005-0000-0000-000036930000}"/>
    <cellStyle name="Normal 2 2 4 3 4 5 3" xfId="37688" xr:uid="{00000000-0005-0000-0000-000037930000}"/>
    <cellStyle name="Normal 2 2 4 3 4 6" xfId="37689" xr:uid="{00000000-0005-0000-0000-000038930000}"/>
    <cellStyle name="Normal 2 2 4 3 4 6 2" xfId="37690" xr:uid="{00000000-0005-0000-0000-000039930000}"/>
    <cellStyle name="Normal 2 2 4 3 4 6 2 2" xfId="37691" xr:uid="{00000000-0005-0000-0000-00003A930000}"/>
    <cellStyle name="Normal 2 2 4 3 4 6 3" xfId="37692" xr:uid="{00000000-0005-0000-0000-00003B930000}"/>
    <cellStyle name="Normal 2 2 4 3 4 7" xfId="37693" xr:uid="{00000000-0005-0000-0000-00003C930000}"/>
    <cellStyle name="Normal 2 2 4 3 4 7 2" xfId="37694" xr:uid="{00000000-0005-0000-0000-00003D930000}"/>
    <cellStyle name="Normal 2 2 4 3 4 8" xfId="37695" xr:uid="{00000000-0005-0000-0000-00003E930000}"/>
    <cellStyle name="Normal 2 2 4 3 5" xfId="37696" xr:uid="{00000000-0005-0000-0000-00003F930000}"/>
    <cellStyle name="Normal 2 2 4 3 5 2" xfId="37697" xr:uid="{00000000-0005-0000-0000-000040930000}"/>
    <cellStyle name="Normal 2 2 4 3 5 2 2" xfId="37698" xr:uid="{00000000-0005-0000-0000-000041930000}"/>
    <cellStyle name="Normal 2 2 4 3 5 2 2 2" xfId="37699" xr:uid="{00000000-0005-0000-0000-000042930000}"/>
    <cellStyle name="Normal 2 2 4 3 5 2 2 2 2" xfId="37700" xr:uid="{00000000-0005-0000-0000-000043930000}"/>
    <cellStyle name="Normal 2 2 4 3 5 2 2 3" xfId="37701" xr:uid="{00000000-0005-0000-0000-000044930000}"/>
    <cellStyle name="Normal 2 2 4 3 5 2 3" xfId="37702" xr:uid="{00000000-0005-0000-0000-000045930000}"/>
    <cellStyle name="Normal 2 2 4 3 5 2 3 2" xfId="37703" xr:uid="{00000000-0005-0000-0000-000046930000}"/>
    <cellStyle name="Normal 2 2 4 3 5 2 4" xfId="37704" xr:uid="{00000000-0005-0000-0000-000047930000}"/>
    <cellStyle name="Normal 2 2 4 3 5 3" xfId="37705" xr:uid="{00000000-0005-0000-0000-000048930000}"/>
    <cellStyle name="Normal 2 2 4 3 5 3 2" xfId="37706" xr:uid="{00000000-0005-0000-0000-000049930000}"/>
    <cellStyle name="Normal 2 2 4 3 5 3 2 2" xfId="37707" xr:uid="{00000000-0005-0000-0000-00004A930000}"/>
    <cellStyle name="Normal 2 2 4 3 5 3 3" xfId="37708" xr:uid="{00000000-0005-0000-0000-00004B930000}"/>
    <cellStyle name="Normal 2 2 4 3 5 4" xfId="37709" xr:uid="{00000000-0005-0000-0000-00004C930000}"/>
    <cellStyle name="Normal 2 2 4 3 5 4 2" xfId="37710" xr:uid="{00000000-0005-0000-0000-00004D930000}"/>
    <cellStyle name="Normal 2 2 4 3 5 5" xfId="37711" xr:uid="{00000000-0005-0000-0000-00004E930000}"/>
    <cellStyle name="Normal 2 2 4 3 6" xfId="37712" xr:uid="{00000000-0005-0000-0000-00004F930000}"/>
    <cellStyle name="Normal 2 2 4 3 6 2" xfId="37713" xr:uid="{00000000-0005-0000-0000-000050930000}"/>
    <cellStyle name="Normal 2 2 4 3 6 2 2" xfId="37714" xr:uid="{00000000-0005-0000-0000-000051930000}"/>
    <cellStyle name="Normal 2 2 4 3 6 2 2 2" xfId="37715" xr:uid="{00000000-0005-0000-0000-000052930000}"/>
    <cellStyle name="Normal 2 2 4 3 6 2 2 2 2" xfId="37716" xr:uid="{00000000-0005-0000-0000-000053930000}"/>
    <cellStyle name="Normal 2 2 4 3 6 2 2 3" xfId="37717" xr:uid="{00000000-0005-0000-0000-000054930000}"/>
    <cellStyle name="Normal 2 2 4 3 6 2 3" xfId="37718" xr:uid="{00000000-0005-0000-0000-000055930000}"/>
    <cellStyle name="Normal 2 2 4 3 6 2 3 2" xfId="37719" xr:uid="{00000000-0005-0000-0000-000056930000}"/>
    <cellStyle name="Normal 2 2 4 3 6 2 4" xfId="37720" xr:uid="{00000000-0005-0000-0000-000057930000}"/>
    <cellStyle name="Normal 2 2 4 3 6 3" xfId="37721" xr:uid="{00000000-0005-0000-0000-000058930000}"/>
    <cellStyle name="Normal 2 2 4 3 6 3 2" xfId="37722" xr:uid="{00000000-0005-0000-0000-000059930000}"/>
    <cellStyle name="Normal 2 2 4 3 6 3 2 2" xfId="37723" xr:uid="{00000000-0005-0000-0000-00005A930000}"/>
    <cellStyle name="Normal 2 2 4 3 6 3 3" xfId="37724" xr:uid="{00000000-0005-0000-0000-00005B930000}"/>
    <cellStyle name="Normal 2 2 4 3 6 4" xfId="37725" xr:uid="{00000000-0005-0000-0000-00005C930000}"/>
    <cellStyle name="Normal 2 2 4 3 6 4 2" xfId="37726" xr:uid="{00000000-0005-0000-0000-00005D930000}"/>
    <cellStyle name="Normal 2 2 4 3 6 5" xfId="37727" xr:uid="{00000000-0005-0000-0000-00005E930000}"/>
    <cellStyle name="Normal 2 2 4 3 7" xfId="37728" xr:uid="{00000000-0005-0000-0000-00005F930000}"/>
    <cellStyle name="Normal 2 2 4 3 7 2" xfId="37729" xr:uid="{00000000-0005-0000-0000-000060930000}"/>
    <cellStyle name="Normal 2 2 4 3 7 2 2" xfId="37730" xr:uid="{00000000-0005-0000-0000-000061930000}"/>
    <cellStyle name="Normal 2 2 4 3 7 2 2 2" xfId="37731" xr:uid="{00000000-0005-0000-0000-000062930000}"/>
    <cellStyle name="Normal 2 2 4 3 7 2 3" xfId="37732" xr:uid="{00000000-0005-0000-0000-000063930000}"/>
    <cellStyle name="Normal 2 2 4 3 7 3" xfId="37733" xr:uid="{00000000-0005-0000-0000-000064930000}"/>
    <cellStyle name="Normal 2 2 4 3 7 3 2" xfId="37734" xr:uid="{00000000-0005-0000-0000-000065930000}"/>
    <cellStyle name="Normal 2 2 4 3 7 4" xfId="37735" xr:uid="{00000000-0005-0000-0000-000066930000}"/>
    <cellStyle name="Normal 2 2 4 3 8" xfId="37736" xr:uid="{00000000-0005-0000-0000-000067930000}"/>
    <cellStyle name="Normal 2 2 4 3 8 2" xfId="37737" xr:uid="{00000000-0005-0000-0000-000068930000}"/>
    <cellStyle name="Normal 2 2 4 3 8 2 2" xfId="37738" xr:uid="{00000000-0005-0000-0000-000069930000}"/>
    <cellStyle name="Normal 2 2 4 3 8 2 2 2" xfId="37739" xr:uid="{00000000-0005-0000-0000-00006A930000}"/>
    <cellStyle name="Normal 2 2 4 3 8 2 3" xfId="37740" xr:uid="{00000000-0005-0000-0000-00006B930000}"/>
    <cellStyle name="Normal 2 2 4 3 8 3" xfId="37741" xr:uid="{00000000-0005-0000-0000-00006C930000}"/>
    <cellStyle name="Normal 2 2 4 3 8 3 2" xfId="37742" xr:uid="{00000000-0005-0000-0000-00006D930000}"/>
    <cellStyle name="Normal 2 2 4 3 8 4" xfId="37743" xr:uid="{00000000-0005-0000-0000-00006E930000}"/>
    <cellStyle name="Normal 2 2 4 3 9" xfId="37744" xr:uid="{00000000-0005-0000-0000-00006F930000}"/>
    <cellStyle name="Normal 2 2 4 3 9 2" xfId="37745" xr:uid="{00000000-0005-0000-0000-000070930000}"/>
    <cellStyle name="Normal 2 2 4 3 9 2 2" xfId="37746" xr:uid="{00000000-0005-0000-0000-000071930000}"/>
    <cellStyle name="Normal 2 2 4 3 9 3" xfId="37747" xr:uid="{00000000-0005-0000-0000-000072930000}"/>
    <cellStyle name="Normal 2 2 4 4" xfId="37748" xr:uid="{00000000-0005-0000-0000-000073930000}"/>
    <cellStyle name="Normal 2 2 4 4 10" xfId="37749" xr:uid="{00000000-0005-0000-0000-000074930000}"/>
    <cellStyle name="Normal 2 2 4 4 10 2" xfId="37750" xr:uid="{00000000-0005-0000-0000-000075930000}"/>
    <cellStyle name="Normal 2 2 4 4 10 2 2" xfId="37751" xr:uid="{00000000-0005-0000-0000-000076930000}"/>
    <cellStyle name="Normal 2 2 4 4 10 3" xfId="37752" xr:uid="{00000000-0005-0000-0000-000077930000}"/>
    <cellStyle name="Normal 2 2 4 4 11" xfId="37753" xr:uid="{00000000-0005-0000-0000-000078930000}"/>
    <cellStyle name="Normal 2 2 4 4 11 2" xfId="37754" xr:uid="{00000000-0005-0000-0000-000079930000}"/>
    <cellStyle name="Normal 2 2 4 4 11 2 2" xfId="37755" xr:uid="{00000000-0005-0000-0000-00007A930000}"/>
    <cellStyle name="Normal 2 2 4 4 11 3" xfId="37756" xr:uid="{00000000-0005-0000-0000-00007B930000}"/>
    <cellStyle name="Normal 2 2 4 4 12" xfId="37757" xr:uid="{00000000-0005-0000-0000-00007C930000}"/>
    <cellStyle name="Normal 2 2 4 4 12 2" xfId="37758" xr:uid="{00000000-0005-0000-0000-00007D930000}"/>
    <cellStyle name="Normal 2 2 4 4 12 2 2" xfId="37759" xr:uid="{00000000-0005-0000-0000-00007E930000}"/>
    <cellStyle name="Normal 2 2 4 4 12 3" xfId="37760" xr:uid="{00000000-0005-0000-0000-00007F930000}"/>
    <cellStyle name="Normal 2 2 4 4 13" xfId="37761" xr:uid="{00000000-0005-0000-0000-000080930000}"/>
    <cellStyle name="Normal 2 2 4 4 13 2" xfId="37762" xr:uid="{00000000-0005-0000-0000-000081930000}"/>
    <cellStyle name="Normal 2 2 4 4 14" xfId="37763" xr:uid="{00000000-0005-0000-0000-000082930000}"/>
    <cellStyle name="Normal 2 2 4 4 2" xfId="37764" xr:uid="{00000000-0005-0000-0000-000083930000}"/>
    <cellStyle name="Normal 2 2 4 4 2 2" xfId="37765" xr:uid="{00000000-0005-0000-0000-000084930000}"/>
    <cellStyle name="Normal 2 2 4 4 2 2 2" xfId="37766" xr:uid="{00000000-0005-0000-0000-000085930000}"/>
    <cellStyle name="Normal 2 2 4 4 2 2 2 2" xfId="37767" xr:uid="{00000000-0005-0000-0000-000086930000}"/>
    <cellStyle name="Normal 2 2 4 4 2 2 2 2 2" xfId="37768" xr:uid="{00000000-0005-0000-0000-000087930000}"/>
    <cellStyle name="Normal 2 2 4 4 2 2 2 3" xfId="37769" xr:uid="{00000000-0005-0000-0000-000088930000}"/>
    <cellStyle name="Normal 2 2 4 4 2 2 3" xfId="37770" xr:uid="{00000000-0005-0000-0000-000089930000}"/>
    <cellStyle name="Normal 2 2 4 4 2 2 3 2" xfId="37771" xr:uid="{00000000-0005-0000-0000-00008A930000}"/>
    <cellStyle name="Normal 2 2 4 4 2 2 4" xfId="37772" xr:uid="{00000000-0005-0000-0000-00008B930000}"/>
    <cellStyle name="Normal 2 2 4 4 2 3" xfId="37773" xr:uid="{00000000-0005-0000-0000-00008C930000}"/>
    <cellStyle name="Normal 2 2 4 4 2 3 2" xfId="37774" xr:uid="{00000000-0005-0000-0000-00008D930000}"/>
    <cellStyle name="Normal 2 2 4 4 2 3 2 2" xfId="37775" xr:uid="{00000000-0005-0000-0000-00008E930000}"/>
    <cellStyle name="Normal 2 2 4 4 2 3 3" xfId="37776" xr:uid="{00000000-0005-0000-0000-00008F930000}"/>
    <cellStyle name="Normal 2 2 4 4 2 4" xfId="37777" xr:uid="{00000000-0005-0000-0000-000090930000}"/>
    <cellStyle name="Normal 2 2 4 4 2 4 2" xfId="37778" xr:uid="{00000000-0005-0000-0000-000091930000}"/>
    <cellStyle name="Normal 2 2 4 4 2 4 2 2" xfId="37779" xr:uid="{00000000-0005-0000-0000-000092930000}"/>
    <cellStyle name="Normal 2 2 4 4 2 4 3" xfId="37780" xr:uid="{00000000-0005-0000-0000-000093930000}"/>
    <cellStyle name="Normal 2 2 4 4 2 5" xfId="37781" xr:uid="{00000000-0005-0000-0000-000094930000}"/>
    <cellStyle name="Normal 2 2 4 4 2 5 2" xfId="37782" xr:uid="{00000000-0005-0000-0000-000095930000}"/>
    <cellStyle name="Normal 2 2 4 4 2 5 2 2" xfId="37783" xr:uid="{00000000-0005-0000-0000-000096930000}"/>
    <cellStyle name="Normal 2 2 4 4 2 5 3" xfId="37784" xr:uid="{00000000-0005-0000-0000-000097930000}"/>
    <cellStyle name="Normal 2 2 4 4 2 6" xfId="37785" xr:uid="{00000000-0005-0000-0000-000098930000}"/>
    <cellStyle name="Normal 2 2 4 4 2 6 2" xfId="37786" xr:uid="{00000000-0005-0000-0000-000099930000}"/>
    <cellStyle name="Normal 2 2 4 4 2 6 2 2" xfId="37787" xr:uid="{00000000-0005-0000-0000-00009A930000}"/>
    <cellStyle name="Normal 2 2 4 4 2 6 3" xfId="37788" xr:uid="{00000000-0005-0000-0000-00009B930000}"/>
    <cellStyle name="Normal 2 2 4 4 2 7" xfId="37789" xr:uid="{00000000-0005-0000-0000-00009C930000}"/>
    <cellStyle name="Normal 2 2 4 4 2 7 2" xfId="37790" xr:uid="{00000000-0005-0000-0000-00009D930000}"/>
    <cellStyle name="Normal 2 2 4 4 2 8" xfId="37791" xr:uid="{00000000-0005-0000-0000-00009E930000}"/>
    <cellStyle name="Normal 2 2 4 4 3" xfId="37792" xr:uid="{00000000-0005-0000-0000-00009F930000}"/>
    <cellStyle name="Normal 2 2 4 4 3 2" xfId="37793" xr:uid="{00000000-0005-0000-0000-0000A0930000}"/>
    <cellStyle name="Normal 2 2 4 4 3 2 2" xfId="37794" xr:uid="{00000000-0005-0000-0000-0000A1930000}"/>
    <cellStyle name="Normal 2 2 4 4 3 2 2 2" xfId="37795" xr:uid="{00000000-0005-0000-0000-0000A2930000}"/>
    <cellStyle name="Normal 2 2 4 4 3 2 2 2 2" xfId="37796" xr:uid="{00000000-0005-0000-0000-0000A3930000}"/>
    <cellStyle name="Normal 2 2 4 4 3 2 2 3" xfId="37797" xr:uid="{00000000-0005-0000-0000-0000A4930000}"/>
    <cellStyle name="Normal 2 2 4 4 3 2 3" xfId="37798" xr:uid="{00000000-0005-0000-0000-0000A5930000}"/>
    <cellStyle name="Normal 2 2 4 4 3 2 3 2" xfId="37799" xr:uid="{00000000-0005-0000-0000-0000A6930000}"/>
    <cellStyle name="Normal 2 2 4 4 3 2 4" xfId="37800" xr:uid="{00000000-0005-0000-0000-0000A7930000}"/>
    <cellStyle name="Normal 2 2 4 4 3 3" xfId="37801" xr:uid="{00000000-0005-0000-0000-0000A8930000}"/>
    <cellStyle name="Normal 2 2 4 4 3 3 2" xfId="37802" xr:uid="{00000000-0005-0000-0000-0000A9930000}"/>
    <cellStyle name="Normal 2 2 4 4 3 3 2 2" xfId="37803" xr:uid="{00000000-0005-0000-0000-0000AA930000}"/>
    <cellStyle name="Normal 2 2 4 4 3 3 3" xfId="37804" xr:uid="{00000000-0005-0000-0000-0000AB930000}"/>
    <cellStyle name="Normal 2 2 4 4 3 4" xfId="37805" xr:uid="{00000000-0005-0000-0000-0000AC930000}"/>
    <cellStyle name="Normal 2 2 4 4 3 4 2" xfId="37806" xr:uid="{00000000-0005-0000-0000-0000AD930000}"/>
    <cellStyle name="Normal 2 2 4 4 3 4 2 2" xfId="37807" xr:uid="{00000000-0005-0000-0000-0000AE930000}"/>
    <cellStyle name="Normal 2 2 4 4 3 4 3" xfId="37808" xr:uid="{00000000-0005-0000-0000-0000AF930000}"/>
    <cellStyle name="Normal 2 2 4 4 3 5" xfId="37809" xr:uid="{00000000-0005-0000-0000-0000B0930000}"/>
    <cellStyle name="Normal 2 2 4 4 3 5 2" xfId="37810" xr:uid="{00000000-0005-0000-0000-0000B1930000}"/>
    <cellStyle name="Normal 2 2 4 4 3 5 2 2" xfId="37811" xr:uid="{00000000-0005-0000-0000-0000B2930000}"/>
    <cellStyle name="Normal 2 2 4 4 3 5 3" xfId="37812" xr:uid="{00000000-0005-0000-0000-0000B3930000}"/>
    <cellStyle name="Normal 2 2 4 4 3 6" xfId="37813" xr:uid="{00000000-0005-0000-0000-0000B4930000}"/>
    <cellStyle name="Normal 2 2 4 4 3 6 2" xfId="37814" xr:uid="{00000000-0005-0000-0000-0000B5930000}"/>
    <cellStyle name="Normal 2 2 4 4 3 6 2 2" xfId="37815" xr:uid="{00000000-0005-0000-0000-0000B6930000}"/>
    <cellStyle name="Normal 2 2 4 4 3 6 3" xfId="37816" xr:uid="{00000000-0005-0000-0000-0000B7930000}"/>
    <cellStyle name="Normal 2 2 4 4 3 7" xfId="37817" xr:uid="{00000000-0005-0000-0000-0000B8930000}"/>
    <cellStyle name="Normal 2 2 4 4 3 7 2" xfId="37818" xr:uid="{00000000-0005-0000-0000-0000B9930000}"/>
    <cellStyle name="Normal 2 2 4 4 3 8" xfId="37819" xr:uid="{00000000-0005-0000-0000-0000BA930000}"/>
    <cellStyle name="Normal 2 2 4 4 4" xfId="37820" xr:uid="{00000000-0005-0000-0000-0000BB930000}"/>
    <cellStyle name="Normal 2 2 4 4 4 2" xfId="37821" xr:uid="{00000000-0005-0000-0000-0000BC930000}"/>
    <cellStyle name="Normal 2 2 4 4 4 2 2" xfId="37822" xr:uid="{00000000-0005-0000-0000-0000BD930000}"/>
    <cellStyle name="Normal 2 2 4 4 4 2 2 2" xfId="37823" xr:uid="{00000000-0005-0000-0000-0000BE930000}"/>
    <cellStyle name="Normal 2 2 4 4 4 2 2 2 2" xfId="37824" xr:uid="{00000000-0005-0000-0000-0000BF930000}"/>
    <cellStyle name="Normal 2 2 4 4 4 2 2 3" xfId="37825" xr:uid="{00000000-0005-0000-0000-0000C0930000}"/>
    <cellStyle name="Normal 2 2 4 4 4 2 3" xfId="37826" xr:uid="{00000000-0005-0000-0000-0000C1930000}"/>
    <cellStyle name="Normal 2 2 4 4 4 2 3 2" xfId="37827" xr:uid="{00000000-0005-0000-0000-0000C2930000}"/>
    <cellStyle name="Normal 2 2 4 4 4 2 4" xfId="37828" xr:uid="{00000000-0005-0000-0000-0000C3930000}"/>
    <cellStyle name="Normal 2 2 4 4 4 3" xfId="37829" xr:uid="{00000000-0005-0000-0000-0000C4930000}"/>
    <cellStyle name="Normal 2 2 4 4 4 3 2" xfId="37830" xr:uid="{00000000-0005-0000-0000-0000C5930000}"/>
    <cellStyle name="Normal 2 2 4 4 4 3 2 2" xfId="37831" xr:uid="{00000000-0005-0000-0000-0000C6930000}"/>
    <cellStyle name="Normal 2 2 4 4 4 3 3" xfId="37832" xr:uid="{00000000-0005-0000-0000-0000C7930000}"/>
    <cellStyle name="Normal 2 2 4 4 4 4" xfId="37833" xr:uid="{00000000-0005-0000-0000-0000C8930000}"/>
    <cellStyle name="Normal 2 2 4 4 4 4 2" xfId="37834" xr:uid="{00000000-0005-0000-0000-0000C9930000}"/>
    <cellStyle name="Normal 2 2 4 4 4 4 2 2" xfId="37835" xr:uid="{00000000-0005-0000-0000-0000CA930000}"/>
    <cellStyle name="Normal 2 2 4 4 4 4 3" xfId="37836" xr:uid="{00000000-0005-0000-0000-0000CB930000}"/>
    <cellStyle name="Normal 2 2 4 4 4 5" xfId="37837" xr:uid="{00000000-0005-0000-0000-0000CC930000}"/>
    <cellStyle name="Normal 2 2 4 4 4 5 2" xfId="37838" xr:uid="{00000000-0005-0000-0000-0000CD930000}"/>
    <cellStyle name="Normal 2 2 4 4 4 5 2 2" xfId="37839" xr:uid="{00000000-0005-0000-0000-0000CE930000}"/>
    <cellStyle name="Normal 2 2 4 4 4 5 3" xfId="37840" xr:uid="{00000000-0005-0000-0000-0000CF930000}"/>
    <cellStyle name="Normal 2 2 4 4 4 6" xfId="37841" xr:uid="{00000000-0005-0000-0000-0000D0930000}"/>
    <cellStyle name="Normal 2 2 4 4 4 6 2" xfId="37842" xr:uid="{00000000-0005-0000-0000-0000D1930000}"/>
    <cellStyle name="Normal 2 2 4 4 4 6 2 2" xfId="37843" xr:uid="{00000000-0005-0000-0000-0000D2930000}"/>
    <cellStyle name="Normal 2 2 4 4 4 6 3" xfId="37844" xr:uid="{00000000-0005-0000-0000-0000D3930000}"/>
    <cellStyle name="Normal 2 2 4 4 4 7" xfId="37845" xr:uid="{00000000-0005-0000-0000-0000D4930000}"/>
    <cellStyle name="Normal 2 2 4 4 4 7 2" xfId="37846" xr:uid="{00000000-0005-0000-0000-0000D5930000}"/>
    <cellStyle name="Normal 2 2 4 4 4 8" xfId="37847" xr:uid="{00000000-0005-0000-0000-0000D6930000}"/>
    <cellStyle name="Normal 2 2 4 4 5" xfId="37848" xr:uid="{00000000-0005-0000-0000-0000D7930000}"/>
    <cellStyle name="Normal 2 2 4 4 5 2" xfId="37849" xr:uid="{00000000-0005-0000-0000-0000D8930000}"/>
    <cellStyle name="Normal 2 2 4 4 5 2 2" xfId="37850" xr:uid="{00000000-0005-0000-0000-0000D9930000}"/>
    <cellStyle name="Normal 2 2 4 4 5 2 2 2" xfId="37851" xr:uid="{00000000-0005-0000-0000-0000DA930000}"/>
    <cellStyle name="Normal 2 2 4 4 5 2 2 2 2" xfId="37852" xr:uid="{00000000-0005-0000-0000-0000DB930000}"/>
    <cellStyle name="Normal 2 2 4 4 5 2 2 3" xfId="37853" xr:uid="{00000000-0005-0000-0000-0000DC930000}"/>
    <cellStyle name="Normal 2 2 4 4 5 2 3" xfId="37854" xr:uid="{00000000-0005-0000-0000-0000DD930000}"/>
    <cellStyle name="Normal 2 2 4 4 5 2 3 2" xfId="37855" xr:uid="{00000000-0005-0000-0000-0000DE930000}"/>
    <cellStyle name="Normal 2 2 4 4 5 2 4" xfId="37856" xr:uid="{00000000-0005-0000-0000-0000DF930000}"/>
    <cellStyle name="Normal 2 2 4 4 5 3" xfId="37857" xr:uid="{00000000-0005-0000-0000-0000E0930000}"/>
    <cellStyle name="Normal 2 2 4 4 5 3 2" xfId="37858" xr:uid="{00000000-0005-0000-0000-0000E1930000}"/>
    <cellStyle name="Normal 2 2 4 4 5 3 2 2" xfId="37859" xr:uid="{00000000-0005-0000-0000-0000E2930000}"/>
    <cellStyle name="Normal 2 2 4 4 5 3 3" xfId="37860" xr:uid="{00000000-0005-0000-0000-0000E3930000}"/>
    <cellStyle name="Normal 2 2 4 4 5 4" xfId="37861" xr:uid="{00000000-0005-0000-0000-0000E4930000}"/>
    <cellStyle name="Normal 2 2 4 4 5 4 2" xfId="37862" xr:uid="{00000000-0005-0000-0000-0000E5930000}"/>
    <cellStyle name="Normal 2 2 4 4 5 5" xfId="37863" xr:uid="{00000000-0005-0000-0000-0000E6930000}"/>
    <cellStyle name="Normal 2 2 4 4 6" xfId="37864" xr:uid="{00000000-0005-0000-0000-0000E7930000}"/>
    <cellStyle name="Normal 2 2 4 4 6 2" xfId="37865" xr:uid="{00000000-0005-0000-0000-0000E8930000}"/>
    <cellStyle name="Normal 2 2 4 4 6 2 2" xfId="37866" xr:uid="{00000000-0005-0000-0000-0000E9930000}"/>
    <cellStyle name="Normal 2 2 4 4 6 2 2 2" xfId="37867" xr:uid="{00000000-0005-0000-0000-0000EA930000}"/>
    <cellStyle name="Normal 2 2 4 4 6 2 2 2 2" xfId="37868" xr:uid="{00000000-0005-0000-0000-0000EB930000}"/>
    <cellStyle name="Normal 2 2 4 4 6 2 2 3" xfId="37869" xr:uid="{00000000-0005-0000-0000-0000EC930000}"/>
    <cellStyle name="Normal 2 2 4 4 6 2 3" xfId="37870" xr:uid="{00000000-0005-0000-0000-0000ED930000}"/>
    <cellStyle name="Normal 2 2 4 4 6 2 3 2" xfId="37871" xr:uid="{00000000-0005-0000-0000-0000EE930000}"/>
    <cellStyle name="Normal 2 2 4 4 6 2 4" xfId="37872" xr:uid="{00000000-0005-0000-0000-0000EF930000}"/>
    <cellStyle name="Normal 2 2 4 4 6 3" xfId="37873" xr:uid="{00000000-0005-0000-0000-0000F0930000}"/>
    <cellStyle name="Normal 2 2 4 4 6 3 2" xfId="37874" xr:uid="{00000000-0005-0000-0000-0000F1930000}"/>
    <cellStyle name="Normal 2 2 4 4 6 3 2 2" xfId="37875" xr:uid="{00000000-0005-0000-0000-0000F2930000}"/>
    <cellStyle name="Normal 2 2 4 4 6 3 3" xfId="37876" xr:uid="{00000000-0005-0000-0000-0000F3930000}"/>
    <cellStyle name="Normal 2 2 4 4 6 4" xfId="37877" xr:uid="{00000000-0005-0000-0000-0000F4930000}"/>
    <cellStyle name="Normal 2 2 4 4 6 4 2" xfId="37878" xr:uid="{00000000-0005-0000-0000-0000F5930000}"/>
    <cellStyle name="Normal 2 2 4 4 6 5" xfId="37879" xr:uid="{00000000-0005-0000-0000-0000F6930000}"/>
    <cellStyle name="Normal 2 2 4 4 7" xfId="37880" xr:uid="{00000000-0005-0000-0000-0000F7930000}"/>
    <cellStyle name="Normal 2 2 4 4 7 2" xfId="37881" xr:uid="{00000000-0005-0000-0000-0000F8930000}"/>
    <cellStyle name="Normal 2 2 4 4 7 2 2" xfId="37882" xr:uid="{00000000-0005-0000-0000-0000F9930000}"/>
    <cellStyle name="Normal 2 2 4 4 7 2 2 2" xfId="37883" xr:uid="{00000000-0005-0000-0000-0000FA930000}"/>
    <cellStyle name="Normal 2 2 4 4 7 2 3" xfId="37884" xr:uid="{00000000-0005-0000-0000-0000FB930000}"/>
    <cellStyle name="Normal 2 2 4 4 7 3" xfId="37885" xr:uid="{00000000-0005-0000-0000-0000FC930000}"/>
    <cellStyle name="Normal 2 2 4 4 7 3 2" xfId="37886" xr:uid="{00000000-0005-0000-0000-0000FD930000}"/>
    <cellStyle name="Normal 2 2 4 4 7 4" xfId="37887" xr:uid="{00000000-0005-0000-0000-0000FE930000}"/>
    <cellStyle name="Normal 2 2 4 4 8" xfId="37888" xr:uid="{00000000-0005-0000-0000-0000FF930000}"/>
    <cellStyle name="Normal 2 2 4 4 8 2" xfId="37889" xr:uid="{00000000-0005-0000-0000-000000940000}"/>
    <cellStyle name="Normal 2 2 4 4 8 2 2" xfId="37890" xr:uid="{00000000-0005-0000-0000-000001940000}"/>
    <cellStyle name="Normal 2 2 4 4 8 2 2 2" xfId="37891" xr:uid="{00000000-0005-0000-0000-000002940000}"/>
    <cellStyle name="Normal 2 2 4 4 8 2 3" xfId="37892" xr:uid="{00000000-0005-0000-0000-000003940000}"/>
    <cellStyle name="Normal 2 2 4 4 8 3" xfId="37893" xr:uid="{00000000-0005-0000-0000-000004940000}"/>
    <cellStyle name="Normal 2 2 4 4 8 3 2" xfId="37894" xr:uid="{00000000-0005-0000-0000-000005940000}"/>
    <cellStyle name="Normal 2 2 4 4 8 4" xfId="37895" xr:uid="{00000000-0005-0000-0000-000006940000}"/>
    <cellStyle name="Normal 2 2 4 4 9" xfId="37896" xr:uid="{00000000-0005-0000-0000-000007940000}"/>
    <cellStyle name="Normal 2 2 4 4 9 2" xfId="37897" xr:uid="{00000000-0005-0000-0000-000008940000}"/>
    <cellStyle name="Normal 2 2 4 4 9 2 2" xfId="37898" xr:uid="{00000000-0005-0000-0000-000009940000}"/>
    <cellStyle name="Normal 2 2 4 4 9 3" xfId="37899" xr:uid="{00000000-0005-0000-0000-00000A940000}"/>
    <cellStyle name="Normal 2 2 4 5" xfId="37900" xr:uid="{00000000-0005-0000-0000-00000B940000}"/>
    <cellStyle name="Normal 2 2 4 5 10" xfId="37901" xr:uid="{00000000-0005-0000-0000-00000C940000}"/>
    <cellStyle name="Normal 2 2 4 5 10 2" xfId="37902" xr:uid="{00000000-0005-0000-0000-00000D940000}"/>
    <cellStyle name="Normal 2 2 4 5 10 2 2" xfId="37903" xr:uid="{00000000-0005-0000-0000-00000E940000}"/>
    <cellStyle name="Normal 2 2 4 5 10 3" xfId="37904" xr:uid="{00000000-0005-0000-0000-00000F940000}"/>
    <cellStyle name="Normal 2 2 4 5 11" xfId="37905" xr:uid="{00000000-0005-0000-0000-000010940000}"/>
    <cellStyle name="Normal 2 2 4 5 11 2" xfId="37906" xr:uid="{00000000-0005-0000-0000-000011940000}"/>
    <cellStyle name="Normal 2 2 4 5 11 2 2" xfId="37907" xr:uid="{00000000-0005-0000-0000-000012940000}"/>
    <cellStyle name="Normal 2 2 4 5 11 3" xfId="37908" xr:uid="{00000000-0005-0000-0000-000013940000}"/>
    <cellStyle name="Normal 2 2 4 5 12" xfId="37909" xr:uid="{00000000-0005-0000-0000-000014940000}"/>
    <cellStyle name="Normal 2 2 4 5 12 2" xfId="37910" xr:uid="{00000000-0005-0000-0000-000015940000}"/>
    <cellStyle name="Normal 2 2 4 5 12 2 2" xfId="37911" xr:uid="{00000000-0005-0000-0000-000016940000}"/>
    <cellStyle name="Normal 2 2 4 5 12 3" xfId="37912" xr:uid="{00000000-0005-0000-0000-000017940000}"/>
    <cellStyle name="Normal 2 2 4 5 13" xfId="37913" xr:uid="{00000000-0005-0000-0000-000018940000}"/>
    <cellStyle name="Normal 2 2 4 5 13 2" xfId="37914" xr:uid="{00000000-0005-0000-0000-000019940000}"/>
    <cellStyle name="Normal 2 2 4 5 14" xfId="37915" xr:uid="{00000000-0005-0000-0000-00001A940000}"/>
    <cellStyle name="Normal 2 2 4 5 2" xfId="37916" xr:uid="{00000000-0005-0000-0000-00001B940000}"/>
    <cellStyle name="Normal 2 2 4 5 2 2" xfId="37917" xr:uid="{00000000-0005-0000-0000-00001C940000}"/>
    <cellStyle name="Normal 2 2 4 5 2 2 2" xfId="37918" xr:uid="{00000000-0005-0000-0000-00001D940000}"/>
    <cellStyle name="Normal 2 2 4 5 2 2 2 2" xfId="37919" xr:uid="{00000000-0005-0000-0000-00001E940000}"/>
    <cellStyle name="Normal 2 2 4 5 2 2 2 2 2" xfId="37920" xr:uid="{00000000-0005-0000-0000-00001F940000}"/>
    <cellStyle name="Normal 2 2 4 5 2 2 2 3" xfId="37921" xr:uid="{00000000-0005-0000-0000-000020940000}"/>
    <cellStyle name="Normal 2 2 4 5 2 2 3" xfId="37922" xr:uid="{00000000-0005-0000-0000-000021940000}"/>
    <cellStyle name="Normal 2 2 4 5 2 2 3 2" xfId="37923" xr:uid="{00000000-0005-0000-0000-000022940000}"/>
    <cellStyle name="Normal 2 2 4 5 2 2 4" xfId="37924" xr:uid="{00000000-0005-0000-0000-000023940000}"/>
    <cellStyle name="Normal 2 2 4 5 2 3" xfId="37925" xr:uid="{00000000-0005-0000-0000-000024940000}"/>
    <cellStyle name="Normal 2 2 4 5 2 3 2" xfId="37926" xr:uid="{00000000-0005-0000-0000-000025940000}"/>
    <cellStyle name="Normal 2 2 4 5 2 3 2 2" xfId="37927" xr:uid="{00000000-0005-0000-0000-000026940000}"/>
    <cellStyle name="Normal 2 2 4 5 2 3 3" xfId="37928" xr:uid="{00000000-0005-0000-0000-000027940000}"/>
    <cellStyle name="Normal 2 2 4 5 2 4" xfId="37929" xr:uid="{00000000-0005-0000-0000-000028940000}"/>
    <cellStyle name="Normal 2 2 4 5 2 4 2" xfId="37930" xr:uid="{00000000-0005-0000-0000-000029940000}"/>
    <cellStyle name="Normal 2 2 4 5 2 4 2 2" xfId="37931" xr:uid="{00000000-0005-0000-0000-00002A940000}"/>
    <cellStyle name="Normal 2 2 4 5 2 4 3" xfId="37932" xr:uid="{00000000-0005-0000-0000-00002B940000}"/>
    <cellStyle name="Normal 2 2 4 5 2 5" xfId="37933" xr:uid="{00000000-0005-0000-0000-00002C940000}"/>
    <cellStyle name="Normal 2 2 4 5 2 5 2" xfId="37934" xr:uid="{00000000-0005-0000-0000-00002D940000}"/>
    <cellStyle name="Normal 2 2 4 5 2 5 2 2" xfId="37935" xr:uid="{00000000-0005-0000-0000-00002E940000}"/>
    <cellStyle name="Normal 2 2 4 5 2 5 3" xfId="37936" xr:uid="{00000000-0005-0000-0000-00002F940000}"/>
    <cellStyle name="Normal 2 2 4 5 2 6" xfId="37937" xr:uid="{00000000-0005-0000-0000-000030940000}"/>
    <cellStyle name="Normal 2 2 4 5 2 6 2" xfId="37938" xr:uid="{00000000-0005-0000-0000-000031940000}"/>
    <cellStyle name="Normal 2 2 4 5 2 6 2 2" xfId="37939" xr:uid="{00000000-0005-0000-0000-000032940000}"/>
    <cellStyle name="Normal 2 2 4 5 2 6 3" xfId="37940" xr:uid="{00000000-0005-0000-0000-000033940000}"/>
    <cellStyle name="Normal 2 2 4 5 2 7" xfId="37941" xr:uid="{00000000-0005-0000-0000-000034940000}"/>
    <cellStyle name="Normal 2 2 4 5 2 7 2" xfId="37942" xr:uid="{00000000-0005-0000-0000-000035940000}"/>
    <cellStyle name="Normal 2 2 4 5 2 8" xfId="37943" xr:uid="{00000000-0005-0000-0000-000036940000}"/>
    <cellStyle name="Normal 2 2 4 5 3" xfId="37944" xr:uid="{00000000-0005-0000-0000-000037940000}"/>
    <cellStyle name="Normal 2 2 4 5 3 2" xfId="37945" xr:uid="{00000000-0005-0000-0000-000038940000}"/>
    <cellStyle name="Normal 2 2 4 5 3 2 2" xfId="37946" xr:uid="{00000000-0005-0000-0000-000039940000}"/>
    <cellStyle name="Normal 2 2 4 5 3 2 2 2" xfId="37947" xr:uid="{00000000-0005-0000-0000-00003A940000}"/>
    <cellStyle name="Normal 2 2 4 5 3 2 2 2 2" xfId="37948" xr:uid="{00000000-0005-0000-0000-00003B940000}"/>
    <cellStyle name="Normal 2 2 4 5 3 2 2 3" xfId="37949" xr:uid="{00000000-0005-0000-0000-00003C940000}"/>
    <cellStyle name="Normal 2 2 4 5 3 2 3" xfId="37950" xr:uid="{00000000-0005-0000-0000-00003D940000}"/>
    <cellStyle name="Normal 2 2 4 5 3 2 3 2" xfId="37951" xr:uid="{00000000-0005-0000-0000-00003E940000}"/>
    <cellStyle name="Normal 2 2 4 5 3 2 4" xfId="37952" xr:uid="{00000000-0005-0000-0000-00003F940000}"/>
    <cellStyle name="Normal 2 2 4 5 3 3" xfId="37953" xr:uid="{00000000-0005-0000-0000-000040940000}"/>
    <cellStyle name="Normal 2 2 4 5 3 3 2" xfId="37954" xr:uid="{00000000-0005-0000-0000-000041940000}"/>
    <cellStyle name="Normal 2 2 4 5 3 3 2 2" xfId="37955" xr:uid="{00000000-0005-0000-0000-000042940000}"/>
    <cellStyle name="Normal 2 2 4 5 3 3 3" xfId="37956" xr:uid="{00000000-0005-0000-0000-000043940000}"/>
    <cellStyle name="Normal 2 2 4 5 3 4" xfId="37957" xr:uid="{00000000-0005-0000-0000-000044940000}"/>
    <cellStyle name="Normal 2 2 4 5 3 4 2" xfId="37958" xr:uid="{00000000-0005-0000-0000-000045940000}"/>
    <cellStyle name="Normal 2 2 4 5 3 4 2 2" xfId="37959" xr:uid="{00000000-0005-0000-0000-000046940000}"/>
    <cellStyle name="Normal 2 2 4 5 3 4 3" xfId="37960" xr:uid="{00000000-0005-0000-0000-000047940000}"/>
    <cellStyle name="Normal 2 2 4 5 3 5" xfId="37961" xr:uid="{00000000-0005-0000-0000-000048940000}"/>
    <cellStyle name="Normal 2 2 4 5 3 5 2" xfId="37962" xr:uid="{00000000-0005-0000-0000-000049940000}"/>
    <cellStyle name="Normal 2 2 4 5 3 5 2 2" xfId="37963" xr:uid="{00000000-0005-0000-0000-00004A940000}"/>
    <cellStyle name="Normal 2 2 4 5 3 5 3" xfId="37964" xr:uid="{00000000-0005-0000-0000-00004B940000}"/>
    <cellStyle name="Normal 2 2 4 5 3 6" xfId="37965" xr:uid="{00000000-0005-0000-0000-00004C940000}"/>
    <cellStyle name="Normal 2 2 4 5 3 6 2" xfId="37966" xr:uid="{00000000-0005-0000-0000-00004D940000}"/>
    <cellStyle name="Normal 2 2 4 5 3 6 2 2" xfId="37967" xr:uid="{00000000-0005-0000-0000-00004E940000}"/>
    <cellStyle name="Normal 2 2 4 5 3 6 3" xfId="37968" xr:uid="{00000000-0005-0000-0000-00004F940000}"/>
    <cellStyle name="Normal 2 2 4 5 3 7" xfId="37969" xr:uid="{00000000-0005-0000-0000-000050940000}"/>
    <cellStyle name="Normal 2 2 4 5 3 7 2" xfId="37970" xr:uid="{00000000-0005-0000-0000-000051940000}"/>
    <cellStyle name="Normal 2 2 4 5 3 8" xfId="37971" xr:uid="{00000000-0005-0000-0000-000052940000}"/>
    <cellStyle name="Normal 2 2 4 5 4" xfId="37972" xr:uid="{00000000-0005-0000-0000-000053940000}"/>
    <cellStyle name="Normal 2 2 4 5 4 2" xfId="37973" xr:uid="{00000000-0005-0000-0000-000054940000}"/>
    <cellStyle name="Normal 2 2 4 5 4 2 2" xfId="37974" xr:uid="{00000000-0005-0000-0000-000055940000}"/>
    <cellStyle name="Normal 2 2 4 5 4 2 2 2" xfId="37975" xr:uid="{00000000-0005-0000-0000-000056940000}"/>
    <cellStyle name="Normal 2 2 4 5 4 2 2 2 2" xfId="37976" xr:uid="{00000000-0005-0000-0000-000057940000}"/>
    <cellStyle name="Normal 2 2 4 5 4 2 2 3" xfId="37977" xr:uid="{00000000-0005-0000-0000-000058940000}"/>
    <cellStyle name="Normal 2 2 4 5 4 2 3" xfId="37978" xr:uid="{00000000-0005-0000-0000-000059940000}"/>
    <cellStyle name="Normal 2 2 4 5 4 2 3 2" xfId="37979" xr:uid="{00000000-0005-0000-0000-00005A940000}"/>
    <cellStyle name="Normal 2 2 4 5 4 2 4" xfId="37980" xr:uid="{00000000-0005-0000-0000-00005B940000}"/>
    <cellStyle name="Normal 2 2 4 5 4 3" xfId="37981" xr:uid="{00000000-0005-0000-0000-00005C940000}"/>
    <cellStyle name="Normal 2 2 4 5 4 3 2" xfId="37982" xr:uid="{00000000-0005-0000-0000-00005D940000}"/>
    <cellStyle name="Normal 2 2 4 5 4 3 2 2" xfId="37983" xr:uid="{00000000-0005-0000-0000-00005E940000}"/>
    <cellStyle name="Normal 2 2 4 5 4 3 3" xfId="37984" xr:uid="{00000000-0005-0000-0000-00005F940000}"/>
    <cellStyle name="Normal 2 2 4 5 4 4" xfId="37985" xr:uid="{00000000-0005-0000-0000-000060940000}"/>
    <cellStyle name="Normal 2 2 4 5 4 4 2" xfId="37986" xr:uid="{00000000-0005-0000-0000-000061940000}"/>
    <cellStyle name="Normal 2 2 4 5 4 4 2 2" xfId="37987" xr:uid="{00000000-0005-0000-0000-000062940000}"/>
    <cellStyle name="Normal 2 2 4 5 4 4 3" xfId="37988" xr:uid="{00000000-0005-0000-0000-000063940000}"/>
    <cellStyle name="Normal 2 2 4 5 4 5" xfId="37989" xr:uid="{00000000-0005-0000-0000-000064940000}"/>
    <cellStyle name="Normal 2 2 4 5 4 5 2" xfId="37990" xr:uid="{00000000-0005-0000-0000-000065940000}"/>
    <cellStyle name="Normal 2 2 4 5 4 5 2 2" xfId="37991" xr:uid="{00000000-0005-0000-0000-000066940000}"/>
    <cellStyle name="Normal 2 2 4 5 4 5 3" xfId="37992" xr:uid="{00000000-0005-0000-0000-000067940000}"/>
    <cellStyle name="Normal 2 2 4 5 4 6" xfId="37993" xr:uid="{00000000-0005-0000-0000-000068940000}"/>
    <cellStyle name="Normal 2 2 4 5 4 6 2" xfId="37994" xr:uid="{00000000-0005-0000-0000-000069940000}"/>
    <cellStyle name="Normal 2 2 4 5 4 6 2 2" xfId="37995" xr:uid="{00000000-0005-0000-0000-00006A940000}"/>
    <cellStyle name="Normal 2 2 4 5 4 6 3" xfId="37996" xr:uid="{00000000-0005-0000-0000-00006B940000}"/>
    <cellStyle name="Normal 2 2 4 5 4 7" xfId="37997" xr:uid="{00000000-0005-0000-0000-00006C940000}"/>
    <cellStyle name="Normal 2 2 4 5 4 7 2" xfId="37998" xr:uid="{00000000-0005-0000-0000-00006D940000}"/>
    <cellStyle name="Normal 2 2 4 5 4 8" xfId="37999" xr:uid="{00000000-0005-0000-0000-00006E940000}"/>
    <cellStyle name="Normal 2 2 4 5 5" xfId="38000" xr:uid="{00000000-0005-0000-0000-00006F940000}"/>
    <cellStyle name="Normal 2 2 4 5 5 2" xfId="38001" xr:uid="{00000000-0005-0000-0000-000070940000}"/>
    <cellStyle name="Normal 2 2 4 5 5 2 2" xfId="38002" xr:uid="{00000000-0005-0000-0000-000071940000}"/>
    <cellStyle name="Normal 2 2 4 5 5 2 2 2" xfId="38003" xr:uid="{00000000-0005-0000-0000-000072940000}"/>
    <cellStyle name="Normal 2 2 4 5 5 2 2 2 2" xfId="38004" xr:uid="{00000000-0005-0000-0000-000073940000}"/>
    <cellStyle name="Normal 2 2 4 5 5 2 2 3" xfId="38005" xr:uid="{00000000-0005-0000-0000-000074940000}"/>
    <cellStyle name="Normal 2 2 4 5 5 2 3" xfId="38006" xr:uid="{00000000-0005-0000-0000-000075940000}"/>
    <cellStyle name="Normal 2 2 4 5 5 2 3 2" xfId="38007" xr:uid="{00000000-0005-0000-0000-000076940000}"/>
    <cellStyle name="Normal 2 2 4 5 5 2 4" xfId="38008" xr:uid="{00000000-0005-0000-0000-000077940000}"/>
    <cellStyle name="Normal 2 2 4 5 5 3" xfId="38009" xr:uid="{00000000-0005-0000-0000-000078940000}"/>
    <cellStyle name="Normal 2 2 4 5 5 3 2" xfId="38010" xr:uid="{00000000-0005-0000-0000-000079940000}"/>
    <cellStyle name="Normal 2 2 4 5 5 3 2 2" xfId="38011" xr:uid="{00000000-0005-0000-0000-00007A940000}"/>
    <cellStyle name="Normal 2 2 4 5 5 3 3" xfId="38012" xr:uid="{00000000-0005-0000-0000-00007B940000}"/>
    <cellStyle name="Normal 2 2 4 5 5 4" xfId="38013" xr:uid="{00000000-0005-0000-0000-00007C940000}"/>
    <cellStyle name="Normal 2 2 4 5 5 4 2" xfId="38014" xr:uid="{00000000-0005-0000-0000-00007D940000}"/>
    <cellStyle name="Normal 2 2 4 5 5 5" xfId="38015" xr:uid="{00000000-0005-0000-0000-00007E940000}"/>
    <cellStyle name="Normal 2 2 4 5 6" xfId="38016" xr:uid="{00000000-0005-0000-0000-00007F940000}"/>
    <cellStyle name="Normal 2 2 4 5 6 2" xfId="38017" xr:uid="{00000000-0005-0000-0000-000080940000}"/>
    <cellStyle name="Normal 2 2 4 5 6 2 2" xfId="38018" xr:uid="{00000000-0005-0000-0000-000081940000}"/>
    <cellStyle name="Normal 2 2 4 5 6 2 2 2" xfId="38019" xr:uid="{00000000-0005-0000-0000-000082940000}"/>
    <cellStyle name="Normal 2 2 4 5 6 2 2 2 2" xfId="38020" xr:uid="{00000000-0005-0000-0000-000083940000}"/>
    <cellStyle name="Normal 2 2 4 5 6 2 2 3" xfId="38021" xr:uid="{00000000-0005-0000-0000-000084940000}"/>
    <cellStyle name="Normal 2 2 4 5 6 2 3" xfId="38022" xr:uid="{00000000-0005-0000-0000-000085940000}"/>
    <cellStyle name="Normal 2 2 4 5 6 2 3 2" xfId="38023" xr:uid="{00000000-0005-0000-0000-000086940000}"/>
    <cellStyle name="Normal 2 2 4 5 6 2 4" xfId="38024" xr:uid="{00000000-0005-0000-0000-000087940000}"/>
    <cellStyle name="Normal 2 2 4 5 6 3" xfId="38025" xr:uid="{00000000-0005-0000-0000-000088940000}"/>
    <cellStyle name="Normal 2 2 4 5 6 3 2" xfId="38026" xr:uid="{00000000-0005-0000-0000-000089940000}"/>
    <cellStyle name="Normal 2 2 4 5 6 3 2 2" xfId="38027" xr:uid="{00000000-0005-0000-0000-00008A940000}"/>
    <cellStyle name="Normal 2 2 4 5 6 3 3" xfId="38028" xr:uid="{00000000-0005-0000-0000-00008B940000}"/>
    <cellStyle name="Normal 2 2 4 5 6 4" xfId="38029" xr:uid="{00000000-0005-0000-0000-00008C940000}"/>
    <cellStyle name="Normal 2 2 4 5 6 4 2" xfId="38030" xr:uid="{00000000-0005-0000-0000-00008D940000}"/>
    <cellStyle name="Normal 2 2 4 5 6 5" xfId="38031" xr:uid="{00000000-0005-0000-0000-00008E940000}"/>
    <cellStyle name="Normal 2 2 4 5 7" xfId="38032" xr:uid="{00000000-0005-0000-0000-00008F940000}"/>
    <cellStyle name="Normal 2 2 4 5 7 2" xfId="38033" xr:uid="{00000000-0005-0000-0000-000090940000}"/>
    <cellStyle name="Normal 2 2 4 5 7 2 2" xfId="38034" xr:uid="{00000000-0005-0000-0000-000091940000}"/>
    <cellStyle name="Normal 2 2 4 5 7 2 2 2" xfId="38035" xr:uid="{00000000-0005-0000-0000-000092940000}"/>
    <cellStyle name="Normal 2 2 4 5 7 2 3" xfId="38036" xr:uid="{00000000-0005-0000-0000-000093940000}"/>
    <cellStyle name="Normal 2 2 4 5 7 3" xfId="38037" xr:uid="{00000000-0005-0000-0000-000094940000}"/>
    <cellStyle name="Normal 2 2 4 5 7 3 2" xfId="38038" xr:uid="{00000000-0005-0000-0000-000095940000}"/>
    <cellStyle name="Normal 2 2 4 5 7 4" xfId="38039" xr:uid="{00000000-0005-0000-0000-000096940000}"/>
    <cellStyle name="Normal 2 2 4 5 8" xfId="38040" xr:uid="{00000000-0005-0000-0000-000097940000}"/>
    <cellStyle name="Normal 2 2 4 5 8 2" xfId="38041" xr:uid="{00000000-0005-0000-0000-000098940000}"/>
    <cellStyle name="Normal 2 2 4 5 8 2 2" xfId="38042" xr:uid="{00000000-0005-0000-0000-000099940000}"/>
    <cellStyle name="Normal 2 2 4 5 8 2 2 2" xfId="38043" xr:uid="{00000000-0005-0000-0000-00009A940000}"/>
    <cellStyle name="Normal 2 2 4 5 8 2 3" xfId="38044" xr:uid="{00000000-0005-0000-0000-00009B940000}"/>
    <cellStyle name="Normal 2 2 4 5 8 3" xfId="38045" xr:uid="{00000000-0005-0000-0000-00009C940000}"/>
    <cellStyle name="Normal 2 2 4 5 8 3 2" xfId="38046" xr:uid="{00000000-0005-0000-0000-00009D940000}"/>
    <cellStyle name="Normal 2 2 4 5 8 4" xfId="38047" xr:uid="{00000000-0005-0000-0000-00009E940000}"/>
    <cellStyle name="Normal 2 2 4 5 9" xfId="38048" xr:uid="{00000000-0005-0000-0000-00009F940000}"/>
    <cellStyle name="Normal 2 2 4 5 9 2" xfId="38049" xr:uid="{00000000-0005-0000-0000-0000A0940000}"/>
    <cellStyle name="Normal 2 2 4 5 9 2 2" xfId="38050" xr:uid="{00000000-0005-0000-0000-0000A1940000}"/>
    <cellStyle name="Normal 2 2 4 5 9 3" xfId="38051" xr:uid="{00000000-0005-0000-0000-0000A2940000}"/>
    <cellStyle name="Normal 2 2 4 6" xfId="38052" xr:uid="{00000000-0005-0000-0000-0000A3940000}"/>
    <cellStyle name="Normal 2 2 4 6 10" xfId="38053" xr:uid="{00000000-0005-0000-0000-0000A4940000}"/>
    <cellStyle name="Normal 2 2 4 6 10 2" xfId="38054" xr:uid="{00000000-0005-0000-0000-0000A5940000}"/>
    <cellStyle name="Normal 2 2 4 6 10 2 2" xfId="38055" xr:uid="{00000000-0005-0000-0000-0000A6940000}"/>
    <cellStyle name="Normal 2 2 4 6 10 3" xfId="38056" xr:uid="{00000000-0005-0000-0000-0000A7940000}"/>
    <cellStyle name="Normal 2 2 4 6 11" xfId="38057" xr:uid="{00000000-0005-0000-0000-0000A8940000}"/>
    <cellStyle name="Normal 2 2 4 6 11 2" xfId="38058" xr:uid="{00000000-0005-0000-0000-0000A9940000}"/>
    <cellStyle name="Normal 2 2 4 6 11 2 2" xfId="38059" xr:uid="{00000000-0005-0000-0000-0000AA940000}"/>
    <cellStyle name="Normal 2 2 4 6 11 3" xfId="38060" xr:uid="{00000000-0005-0000-0000-0000AB940000}"/>
    <cellStyle name="Normal 2 2 4 6 12" xfId="38061" xr:uid="{00000000-0005-0000-0000-0000AC940000}"/>
    <cellStyle name="Normal 2 2 4 6 12 2" xfId="38062" xr:uid="{00000000-0005-0000-0000-0000AD940000}"/>
    <cellStyle name="Normal 2 2 4 6 12 2 2" xfId="38063" xr:uid="{00000000-0005-0000-0000-0000AE940000}"/>
    <cellStyle name="Normal 2 2 4 6 12 3" xfId="38064" xr:uid="{00000000-0005-0000-0000-0000AF940000}"/>
    <cellStyle name="Normal 2 2 4 6 13" xfId="38065" xr:uid="{00000000-0005-0000-0000-0000B0940000}"/>
    <cellStyle name="Normal 2 2 4 6 13 2" xfId="38066" xr:uid="{00000000-0005-0000-0000-0000B1940000}"/>
    <cellStyle name="Normal 2 2 4 6 14" xfId="38067" xr:uid="{00000000-0005-0000-0000-0000B2940000}"/>
    <cellStyle name="Normal 2 2 4 6 2" xfId="38068" xr:uid="{00000000-0005-0000-0000-0000B3940000}"/>
    <cellStyle name="Normal 2 2 4 6 2 2" xfId="38069" xr:uid="{00000000-0005-0000-0000-0000B4940000}"/>
    <cellStyle name="Normal 2 2 4 6 2 2 2" xfId="38070" xr:uid="{00000000-0005-0000-0000-0000B5940000}"/>
    <cellStyle name="Normal 2 2 4 6 2 2 2 2" xfId="38071" xr:uid="{00000000-0005-0000-0000-0000B6940000}"/>
    <cellStyle name="Normal 2 2 4 6 2 2 2 2 2" xfId="38072" xr:uid="{00000000-0005-0000-0000-0000B7940000}"/>
    <cellStyle name="Normal 2 2 4 6 2 2 2 3" xfId="38073" xr:uid="{00000000-0005-0000-0000-0000B8940000}"/>
    <cellStyle name="Normal 2 2 4 6 2 2 3" xfId="38074" xr:uid="{00000000-0005-0000-0000-0000B9940000}"/>
    <cellStyle name="Normal 2 2 4 6 2 2 3 2" xfId="38075" xr:uid="{00000000-0005-0000-0000-0000BA940000}"/>
    <cellStyle name="Normal 2 2 4 6 2 2 4" xfId="38076" xr:uid="{00000000-0005-0000-0000-0000BB940000}"/>
    <cellStyle name="Normal 2 2 4 6 2 3" xfId="38077" xr:uid="{00000000-0005-0000-0000-0000BC940000}"/>
    <cellStyle name="Normal 2 2 4 6 2 3 2" xfId="38078" xr:uid="{00000000-0005-0000-0000-0000BD940000}"/>
    <cellStyle name="Normal 2 2 4 6 2 3 2 2" xfId="38079" xr:uid="{00000000-0005-0000-0000-0000BE940000}"/>
    <cellStyle name="Normal 2 2 4 6 2 3 3" xfId="38080" xr:uid="{00000000-0005-0000-0000-0000BF940000}"/>
    <cellStyle name="Normal 2 2 4 6 2 4" xfId="38081" xr:uid="{00000000-0005-0000-0000-0000C0940000}"/>
    <cellStyle name="Normal 2 2 4 6 2 4 2" xfId="38082" xr:uid="{00000000-0005-0000-0000-0000C1940000}"/>
    <cellStyle name="Normal 2 2 4 6 2 4 2 2" xfId="38083" xr:uid="{00000000-0005-0000-0000-0000C2940000}"/>
    <cellStyle name="Normal 2 2 4 6 2 4 3" xfId="38084" xr:uid="{00000000-0005-0000-0000-0000C3940000}"/>
    <cellStyle name="Normal 2 2 4 6 2 5" xfId="38085" xr:uid="{00000000-0005-0000-0000-0000C4940000}"/>
    <cellStyle name="Normal 2 2 4 6 2 5 2" xfId="38086" xr:uid="{00000000-0005-0000-0000-0000C5940000}"/>
    <cellStyle name="Normal 2 2 4 6 2 5 2 2" xfId="38087" xr:uid="{00000000-0005-0000-0000-0000C6940000}"/>
    <cellStyle name="Normal 2 2 4 6 2 5 3" xfId="38088" xr:uid="{00000000-0005-0000-0000-0000C7940000}"/>
    <cellStyle name="Normal 2 2 4 6 2 6" xfId="38089" xr:uid="{00000000-0005-0000-0000-0000C8940000}"/>
    <cellStyle name="Normal 2 2 4 6 2 6 2" xfId="38090" xr:uid="{00000000-0005-0000-0000-0000C9940000}"/>
    <cellStyle name="Normal 2 2 4 6 2 6 2 2" xfId="38091" xr:uid="{00000000-0005-0000-0000-0000CA940000}"/>
    <cellStyle name="Normal 2 2 4 6 2 6 3" xfId="38092" xr:uid="{00000000-0005-0000-0000-0000CB940000}"/>
    <cellStyle name="Normal 2 2 4 6 2 7" xfId="38093" xr:uid="{00000000-0005-0000-0000-0000CC940000}"/>
    <cellStyle name="Normal 2 2 4 6 2 7 2" xfId="38094" xr:uid="{00000000-0005-0000-0000-0000CD940000}"/>
    <cellStyle name="Normal 2 2 4 6 2 8" xfId="38095" xr:uid="{00000000-0005-0000-0000-0000CE940000}"/>
    <cellStyle name="Normal 2 2 4 6 3" xfId="38096" xr:uid="{00000000-0005-0000-0000-0000CF940000}"/>
    <cellStyle name="Normal 2 2 4 6 3 2" xfId="38097" xr:uid="{00000000-0005-0000-0000-0000D0940000}"/>
    <cellStyle name="Normal 2 2 4 6 3 2 2" xfId="38098" xr:uid="{00000000-0005-0000-0000-0000D1940000}"/>
    <cellStyle name="Normal 2 2 4 6 3 2 2 2" xfId="38099" xr:uid="{00000000-0005-0000-0000-0000D2940000}"/>
    <cellStyle name="Normal 2 2 4 6 3 2 2 2 2" xfId="38100" xr:uid="{00000000-0005-0000-0000-0000D3940000}"/>
    <cellStyle name="Normal 2 2 4 6 3 2 2 3" xfId="38101" xr:uid="{00000000-0005-0000-0000-0000D4940000}"/>
    <cellStyle name="Normal 2 2 4 6 3 2 3" xfId="38102" xr:uid="{00000000-0005-0000-0000-0000D5940000}"/>
    <cellStyle name="Normal 2 2 4 6 3 2 3 2" xfId="38103" xr:uid="{00000000-0005-0000-0000-0000D6940000}"/>
    <cellStyle name="Normal 2 2 4 6 3 2 4" xfId="38104" xr:uid="{00000000-0005-0000-0000-0000D7940000}"/>
    <cellStyle name="Normal 2 2 4 6 3 3" xfId="38105" xr:uid="{00000000-0005-0000-0000-0000D8940000}"/>
    <cellStyle name="Normal 2 2 4 6 3 3 2" xfId="38106" xr:uid="{00000000-0005-0000-0000-0000D9940000}"/>
    <cellStyle name="Normal 2 2 4 6 3 3 2 2" xfId="38107" xr:uid="{00000000-0005-0000-0000-0000DA940000}"/>
    <cellStyle name="Normal 2 2 4 6 3 3 3" xfId="38108" xr:uid="{00000000-0005-0000-0000-0000DB940000}"/>
    <cellStyle name="Normal 2 2 4 6 3 4" xfId="38109" xr:uid="{00000000-0005-0000-0000-0000DC940000}"/>
    <cellStyle name="Normal 2 2 4 6 3 4 2" xfId="38110" xr:uid="{00000000-0005-0000-0000-0000DD940000}"/>
    <cellStyle name="Normal 2 2 4 6 3 4 2 2" xfId="38111" xr:uid="{00000000-0005-0000-0000-0000DE940000}"/>
    <cellStyle name="Normal 2 2 4 6 3 4 3" xfId="38112" xr:uid="{00000000-0005-0000-0000-0000DF940000}"/>
    <cellStyle name="Normal 2 2 4 6 3 5" xfId="38113" xr:uid="{00000000-0005-0000-0000-0000E0940000}"/>
    <cellStyle name="Normal 2 2 4 6 3 5 2" xfId="38114" xr:uid="{00000000-0005-0000-0000-0000E1940000}"/>
    <cellStyle name="Normal 2 2 4 6 3 5 2 2" xfId="38115" xr:uid="{00000000-0005-0000-0000-0000E2940000}"/>
    <cellStyle name="Normal 2 2 4 6 3 5 3" xfId="38116" xr:uid="{00000000-0005-0000-0000-0000E3940000}"/>
    <cellStyle name="Normal 2 2 4 6 3 6" xfId="38117" xr:uid="{00000000-0005-0000-0000-0000E4940000}"/>
    <cellStyle name="Normal 2 2 4 6 3 6 2" xfId="38118" xr:uid="{00000000-0005-0000-0000-0000E5940000}"/>
    <cellStyle name="Normal 2 2 4 6 3 6 2 2" xfId="38119" xr:uid="{00000000-0005-0000-0000-0000E6940000}"/>
    <cellStyle name="Normal 2 2 4 6 3 6 3" xfId="38120" xr:uid="{00000000-0005-0000-0000-0000E7940000}"/>
    <cellStyle name="Normal 2 2 4 6 3 7" xfId="38121" xr:uid="{00000000-0005-0000-0000-0000E8940000}"/>
    <cellStyle name="Normal 2 2 4 6 3 7 2" xfId="38122" xr:uid="{00000000-0005-0000-0000-0000E9940000}"/>
    <cellStyle name="Normal 2 2 4 6 3 8" xfId="38123" xr:uid="{00000000-0005-0000-0000-0000EA940000}"/>
    <cellStyle name="Normal 2 2 4 6 4" xfId="38124" xr:uid="{00000000-0005-0000-0000-0000EB940000}"/>
    <cellStyle name="Normal 2 2 4 6 4 2" xfId="38125" xr:uid="{00000000-0005-0000-0000-0000EC940000}"/>
    <cellStyle name="Normal 2 2 4 6 4 2 2" xfId="38126" xr:uid="{00000000-0005-0000-0000-0000ED940000}"/>
    <cellStyle name="Normal 2 2 4 6 4 2 2 2" xfId="38127" xr:uid="{00000000-0005-0000-0000-0000EE940000}"/>
    <cellStyle name="Normal 2 2 4 6 4 2 2 2 2" xfId="38128" xr:uid="{00000000-0005-0000-0000-0000EF940000}"/>
    <cellStyle name="Normal 2 2 4 6 4 2 2 3" xfId="38129" xr:uid="{00000000-0005-0000-0000-0000F0940000}"/>
    <cellStyle name="Normal 2 2 4 6 4 2 3" xfId="38130" xr:uid="{00000000-0005-0000-0000-0000F1940000}"/>
    <cellStyle name="Normal 2 2 4 6 4 2 3 2" xfId="38131" xr:uid="{00000000-0005-0000-0000-0000F2940000}"/>
    <cellStyle name="Normal 2 2 4 6 4 2 4" xfId="38132" xr:uid="{00000000-0005-0000-0000-0000F3940000}"/>
    <cellStyle name="Normal 2 2 4 6 4 3" xfId="38133" xr:uid="{00000000-0005-0000-0000-0000F4940000}"/>
    <cellStyle name="Normal 2 2 4 6 4 3 2" xfId="38134" xr:uid="{00000000-0005-0000-0000-0000F5940000}"/>
    <cellStyle name="Normal 2 2 4 6 4 3 2 2" xfId="38135" xr:uid="{00000000-0005-0000-0000-0000F6940000}"/>
    <cellStyle name="Normal 2 2 4 6 4 3 3" xfId="38136" xr:uid="{00000000-0005-0000-0000-0000F7940000}"/>
    <cellStyle name="Normal 2 2 4 6 4 4" xfId="38137" xr:uid="{00000000-0005-0000-0000-0000F8940000}"/>
    <cellStyle name="Normal 2 2 4 6 4 4 2" xfId="38138" xr:uid="{00000000-0005-0000-0000-0000F9940000}"/>
    <cellStyle name="Normal 2 2 4 6 4 4 2 2" xfId="38139" xr:uid="{00000000-0005-0000-0000-0000FA940000}"/>
    <cellStyle name="Normal 2 2 4 6 4 4 3" xfId="38140" xr:uid="{00000000-0005-0000-0000-0000FB940000}"/>
    <cellStyle name="Normal 2 2 4 6 4 5" xfId="38141" xr:uid="{00000000-0005-0000-0000-0000FC940000}"/>
    <cellStyle name="Normal 2 2 4 6 4 5 2" xfId="38142" xr:uid="{00000000-0005-0000-0000-0000FD940000}"/>
    <cellStyle name="Normal 2 2 4 6 4 5 2 2" xfId="38143" xr:uid="{00000000-0005-0000-0000-0000FE940000}"/>
    <cellStyle name="Normal 2 2 4 6 4 5 3" xfId="38144" xr:uid="{00000000-0005-0000-0000-0000FF940000}"/>
    <cellStyle name="Normal 2 2 4 6 4 6" xfId="38145" xr:uid="{00000000-0005-0000-0000-000000950000}"/>
    <cellStyle name="Normal 2 2 4 6 4 6 2" xfId="38146" xr:uid="{00000000-0005-0000-0000-000001950000}"/>
    <cellStyle name="Normal 2 2 4 6 4 6 2 2" xfId="38147" xr:uid="{00000000-0005-0000-0000-000002950000}"/>
    <cellStyle name="Normal 2 2 4 6 4 6 3" xfId="38148" xr:uid="{00000000-0005-0000-0000-000003950000}"/>
    <cellStyle name="Normal 2 2 4 6 4 7" xfId="38149" xr:uid="{00000000-0005-0000-0000-000004950000}"/>
    <cellStyle name="Normal 2 2 4 6 4 7 2" xfId="38150" xr:uid="{00000000-0005-0000-0000-000005950000}"/>
    <cellStyle name="Normal 2 2 4 6 4 8" xfId="38151" xr:uid="{00000000-0005-0000-0000-000006950000}"/>
    <cellStyle name="Normal 2 2 4 6 5" xfId="38152" xr:uid="{00000000-0005-0000-0000-000007950000}"/>
    <cellStyle name="Normal 2 2 4 6 5 2" xfId="38153" xr:uid="{00000000-0005-0000-0000-000008950000}"/>
    <cellStyle name="Normal 2 2 4 6 5 2 2" xfId="38154" xr:uid="{00000000-0005-0000-0000-000009950000}"/>
    <cellStyle name="Normal 2 2 4 6 5 2 2 2" xfId="38155" xr:uid="{00000000-0005-0000-0000-00000A950000}"/>
    <cellStyle name="Normal 2 2 4 6 5 2 2 2 2" xfId="38156" xr:uid="{00000000-0005-0000-0000-00000B950000}"/>
    <cellStyle name="Normal 2 2 4 6 5 2 2 3" xfId="38157" xr:uid="{00000000-0005-0000-0000-00000C950000}"/>
    <cellStyle name="Normal 2 2 4 6 5 2 3" xfId="38158" xr:uid="{00000000-0005-0000-0000-00000D950000}"/>
    <cellStyle name="Normal 2 2 4 6 5 2 3 2" xfId="38159" xr:uid="{00000000-0005-0000-0000-00000E950000}"/>
    <cellStyle name="Normal 2 2 4 6 5 2 4" xfId="38160" xr:uid="{00000000-0005-0000-0000-00000F950000}"/>
    <cellStyle name="Normal 2 2 4 6 5 3" xfId="38161" xr:uid="{00000000-0005-0000-0000-000010950000}"/>
    <cellStyle name="Normal 2 2 4 6 5 3 2" xfId="38162" xr:uid="{00000000-0005-0000-0000-000011950000}"/>
    <cellStyle name="Normal 2 2 4 6 5 3 2 2" xfId="38163" xr:uid="{00000000-0005-0000-0000-000012950000}"/>
    <cellStyle name="Normal 2 2 4 6 5 3 3" xfId="38164" xr:uid="{00000000-0005-0000-0000-000013950000}"/>
    <cellStyle name="Normal 2 2 4 6 5 4" xfId="38165" xr:uid="{00000000-0005-0000-0000-000014950000}"/>
    <cellStyle name="Normal 2 2 4 6 5 4 2" xfId="38166" xr:uid="{00000000-0005-0000-0000-000015950000}"/>
    <cellStyle name="Normal 2 2 4 6 5 5" xfId="38167" xr:uid="{00000000-0005-0000-0000-000016950000}"/>
    <cellStyle name="Normal 2 2 4 6 6" xfId="38168" xr:uid="{00000000-0005-0000-0000-000017950000}"/>
    <cellStyle name="Normal 2 2 4 6 6 2" xfId="38169" xr:uid="{00000000-0005-0000-0000-000018950000}"/>
    <cellStyle name="Normal 2 2 4 6 6 2 2" xfId="38170" xr:uid="{00000000-0005-0000-0000-000019950000}"/>
    <cellStyle name="Normal 2 2 4 6 6 2 2 2" xfId="38171" xr:uid="{00000000-0005-0000-0000-00001A950000}"/>
    <cellStyle name="Normal 2 2 4 6 6 2 2 2 2" xfId="38172" xr:uid="{00000000-0005-0000-0000-00001B950000}"/>
    <cellStyle name="Normal 2 2 4 6 6 2 2 3" xfId="38173" xr:uid="{00000000-0005-0000-0000-00001C950000}"/>
    <cellStyle name="Normal 2 2 4 6 6 2 3" xfId="38174" xr:uid="{00000000-0005-0000-0000-00001D950000}"/>
    <cellStyle name="Normal 2 2 4 6 6 2 3 2" xfId="38175" xr:uid="{00000000-0005-0000-0000-00001E950000}"/>
    <cellStyle name="Normal 2 2 4 6 6 2 4" xfId="38176" xr:uid="{00000000-0005-0000-0000-00001F950000}"/>
    <cellStyle name="Normal 2 2 4 6 6 3" xfId="38177" xr:uid="{00000000-0005-0000-0000-000020950000}"/>
    <cellStyle name="Normal 2 2 4 6 6 3 2" xfId="38178" xr:uid="{00000000-0005-0000-0000-000021950000}"/>
    <cellStyle name="Normal 2 2 4 6 6 3 2 2" xfId="38179" xr:uid="{00000000-0005-0000-0000-000022950000}"/>
    <cellStyle name="Normal 2 2 4 6 6 3 3" xfId="38180" xr:uid="{00000000-0005-0000-0000-000023950000}"/>
    <cellStyle name="Normal 2 2 4 6 6 4" xfId="38181" xr:uid="{00000000-0005-0000-0000-000024950000}"/>
    <cellStyle name="Normal 2 2 4 6 6 4 2" xfId="38182" xr:uid="{00000000-0005-0000-0000-000025950000}"/>
    <cellStyle name="Normal 2 2 4 6 6 5" xfId="38183" xr:uid="{00000000-0005-0000-0000-000026950000}"/>
    <cellStyle name="Normal 2 2 4 6 7" xfId="38184" xr:uid="{00000000-0005-0000-0000-000027950000}"/>
    <cellStyle name="Normal 2 2 4 6 7 2" xfId="38185" xr:uid="{00000000-0005-0000-0000-000028950000}"/>
    <cellStyle name="Normal 2 2 4 6 7 2 2" xfId="38186" xr:uid="{00000000-0005-0000-0000-000029950000}"/>
    <cellStyle name="Normal 2 2 4 6 7 2 2 2" xfId="38187" xr:uid="{00000000-0005-0000-0000-00002A950000}"/>
    <cellStyle name="Normal 2 2 4 6 7 2 3" xfId="38188" xr:uid="{00000000-0005-0000-0000-00002B950000}"/>
    <cellStyle name="Normal 2 2 4 6 7 3" xfId="38189" xr:uid="{00000000-0005-0000-0000-00002C950000}"/>
    <cellStyle name="Normal 2 2 4 6 7 3 2" xfId="38190" xr:uid="{00000000-0005-0000-0000-00002D950000}"/>
    <cellStyle name="Normal 2 2 4 6 7 4" xfId="38191" xr:uid="{00000000-0005-0000-0000-00002E950000}"/>
    <cellStyle name="Normal 2 2 4 6 8" xfId="38192" xr:uid="{00000000-0005-0000-0000-00002F950000}"/>
    <cellStyle name="Normal 2 2 4 6 8 2" xfId="38193" xr:uid="{00000000-0005-0000-0000-000030950000}"/>
    <cellStyle name="Normal 2 2 4 6 8 2 2" xfId="38194" xr:uid="{00000000-0005-0000-0000-000031950000}"/>
    <cellStyle name="Normal 2 2 4 6 8 2 2 2" xfId="38195" xr:uid="{00000000-0005-0000-0000-000032950000}"/>
    <cellStyle name="Normal 2 2 4 6 8 2 3" xfId="38196" xr:uid="{00000000-0005-0000-0000-000033950000}"/>
    <cellStyle name="Normal 2 2 4 6 8 3" xfId="38197" xr:uid="{00000000-0005-0000-0000-000034950000}"/>
    <cellStyle name="Normal 2 2 4 6 8 3 2" xfId="38198" xr:uid="{00000000-0005-0000-0000-000035950000}"/>
    <cellStyle name="Normal 2 2 4 6 8 4" xfId="38199" xr:uid="{00000000-0005-0000-0000-000036950000}"/>
    <cellStyle name="Normal 2 2 4 6 9" xfId="38200" xr:uid="{00000000-0005-0000-0000-000037950000}"/>
    <cellStyle name="Normal 2 2 4 6 9 2" xfId="38201" xr:uid="{00000000-0005-0000-0000-000038950000}"/>
    <cellStyle name="Normal 2 2 4 6 9 2 2" xfId="38202" xr:uid="{00000000-0005-0000-0000-000039950000}"/>
    <cellStyle name="Normal 2 2 4 6 9 3" xfId="38203" xr:uid="{00000000-0005-0000-0000-00003A950000}"/>
    <cellStyle name="Normal 2 2 4 7" xfId="38204" xr:uid="{00000000-0005-0000-0000-00003B950000}"/>
    <cellStyle name="Normal 2 2 4 7 10" xfId="38205" xr:uid="{00000000-0005-0000-0000-00003C950000}"/>
    <cellStyle name="Normal 2 2 4 7 10 2" xfId="38206" xr:uid="{00000000-0005-0000-0000-00003D950000}"/>
    <cellStyle name="Normal 2 2 4 7 10 2 2" xfId="38207" xr:uid="{00000000-0005-0000-0000-00003E950000}"/>
    <cellStyle name="Normal 2 2 4 7 10 3" xfId="38208" xr:uid="{00000000-0005-0000-0000-00003F950000}"/>
    <cellStyle name="Normal 2 2 4 7 11" xfId="38209" xr:uid="{00000000-0005-0000-0000-000040950000}"/>
    <cellStyle name="Normal 2 2 4 7 11 2" xfId="38210" xr:uid="{00000000-0005-0000-0000-000041950000}"/>
    <cellStyle name="Normal 2 2 4 7 11 2 2" xfId="38211" xr:uid="{00000000-0005-0000-0000-000042950000}"/>
    <cellStyle name="Normal 2 2 4 7 11 3" xfId="38212" xr:uid="{00000000-0005-0000-0000-000043950000}"/>
    <cellStyle name="Normal 2 2 4 7 12" xfId="38213" xr:uid="{00000000-0005-0000-0000-000044950000}"/>
    <cellStyle name="Normal 2 2 4 7 12 2" xfId="38214" xr:uid="{00000000-0005-0000-0000-000045950000}"/>
    <cellStyle name="Normal 2 2 4 7 12 2 2" xfId="38215" xr:uid="{00000000-0005-0000-0000-000046950000}"/>
    <cellStyle name="Normal 2 2 4 7 12 3" xfId="38216" xr:uid="{00000000-0005-0000-0000-000047950000}"/>
    <cellStyle name="Normal 2 2 4 7 13" xfId="38217" xr:uid="{00000000-0005-0000-0000-000048950000}"/>
    <cellStyle name="Normal 2 2 4 7 13 2" xfId="38218" xr:uid="{00000000-0005-0000-0000-000049950000}"/>
    <cellStyle name="Normal 2 2 4 7 14" xfId="38219" xr:uid="{00000000-0005-0000-0000-00004A950000}"/>
    <cellStyle name="Normal 2 2 4 7 2" xfId="38220" xr:uid="{00000000-0005-0000-0000-00004B950000}"/>
    <cellStyle name="Normal 2 2 4 7 2 2" xfId="38221" xr:uid="{00000000-0005-0000-0000-00004C950000}"/>
    <cellStyle name="Normal 2 2 4 7 2 2 2" xfId="38222" xr:uid="{00000000-0005-0000-0000-00004D950000}"/>
    <cellStyle name="Normal 2 2 4 7 2 2 2 2" xfId="38223" xr:uid="{00000000-0005-0000-0000-00004E950000}"/>
    <cellStyle name="Normal 2 2 4 7 2 2 2 2 2" xfId="38224" xr:uid="{00000000-0005-0000-0000-00004F950000}"/>
    <cellStyle name="Normal 2 2 4 7 2 2 2 3" xfId="38225" xr:uid="{00000000-0005-0000-0000-000050950000}"/>
    <cellStyle name="Normal 2 2 4 7 2 2 3" xfId="38226" xr:uid="{00000000-0005-0000-0000-000051950000}"/>
    <cellStyle name="Normal 2 2 4 7 2 2 3 2" xfId="38227" xr:uid="{00000000-0005-0000-0000-000052950000}"/>
    <cellStyle name="Normal 2 2 4 7 2 2 4" xfId="38228" xr:uid="{00000000-0005-0000-0000-000053950000}"/>
    <cellStyle name="Normal 2 2 4 7 2 3" xfId="38229" xr:uid="{00000000-0005-0000-0000-000054950000}"/>
    <cellStyle name="Normal 2 2 4 7 2 3 2" xfId="38230" xr:uid="{00000000-0005-0000-0000-000055950000}"/>
    <cellStyle name="Normal 2 2 4 7 2 3 2 2" xfId="38231" xr:uid="{00000000-0005-0000-0000-000056950000}"/>
    <cellStyle name="Normal 2 2 4 7 2 3 3" xfId="38232" xr:uid="{00000000-0005-0000-0000-000057950000}"/>
    <cellStyle name="Normal 2 2 4 7 2 4" xfId="38233" xr:uid="{00000000-0005-0000-0000-000058950000}"/>
    <cellStyle name="Normal 2 2 4 7 2 4 2" xfId="38234" xr:uid="{00000000-0005-0000-0000-000059950000}"/>
    <cellStyle name="Normal 2 2 4 7 2 4 2 2" xfId="38235" xr:uid="{00000000-0005-0000-0000-00005A950000}"/>
    <cellStyle name="Normal 2 2 4 7 2 4 3" xfId="38236" xr:uid="{00000000-0005-0000-0000-00005B950000}"/>
    <cellStyle name="Normal 2 2 4 7 2 5" xfId="38237" xr:uid="{00000000-0005-0000-0000-00005C950000}"/>
    <cellStyle name="Normal 2 2 4 7 2 5 2" xfId="38238" xr:uid="{00000000-0005-0000-0000-00005D950000}"/>
    <cellStyle name="Normal 2 2 4 7 2 5 2 2" xfId="38239" xr:uid="{00000000-0005-0000-0000-00005E950000}"/>
    <cellStyle name="Normal 2 2 4 7 2 5 3" xfId="38240" xr:uid="{00000000-0005-0000-0000-00005F950000}"/>
    <cellStyle name="Normal 2 2 4 7 2 6" xfId="38241" xr:uid="{00000000-0005-0000-0000-000060950000}"/>
    <cellStyle name="Normal 2 2 4 7 2 6 2" xfId="38242" xr:uid="{00000000-0005-0000-0000-000061950000}"/>
    <cellStyle name="Normal 2 2 4 7 2 6 2 2" xfId="38243" xr:uid="{00000000-0005-0000-0000-000062950000}"/>
    <cellStyle name="Normal 2 2 4 7 2 6 3" xfId="38244" xr:uid="{00000000-0005-0000-0000-000063950000}"/>
    <cellStyle name="Normal 2 2 4 7 2 7" xfId="38245" xr:uid="{00000000-0005-0000-0000-000064950000}"/>
    <cellStyle name="Normal 2 2 4 7 2 7 2" xfId="38246" xr:uid="{00000000-0005-0000-0000-000065950000}"/>
    <cellStyle name="Normal 2 2 4 7 2 8" xfId="38247" xr:uid="{00000000-0005-0000-0000-000066950000}"/>
    <cellStyle name="Normal 2 2 4 7 3" xfId="38248" xr:uid="{00000000-0005-0000-0000-000067950000}"/>
    <cellStyle name="Normal 2 2 4 7 3 2" xfId="38249" xr:uid="{00000000-0005-0000-0000-000068950000}"/>
    <cellStyle name="Normal 2 2 4 7 3 2 2" xfId="38250" xr:uid="{00000000-0005-0000-0000-000069950000}"/>
    <cellStyle name="Normal 2 2 4 7 3 2 2 2" xfId="38251" xr:uid="{00000000-0005-0000-0000-00006A950000}"/>
    <cellStyle name="Normal 2 2 4 7 3 2 2 2 2" xfId="38252" xr:uid="{00000000-0005-0000-0000-00006B950000}"/>
    <cellStyle name="Normal 2 2 4 7 3 2 2 3" xfId="38253" xr:uid="{00000000-0005-0000-0000-00006C950000}"/>
    <cellStyle name="Normal 2 2 4 7 3 2 3" xfId="38254" xr:uid="{00000000-0005-0000-0000-00006D950000}"/>
    <cellStyle name="Normal 2 2 4 7 3 2 3 2" xfId="38255" xr:uid="{00000000-0005-0000-0000-00006E950000}"/>
    <cellStyle name="Normal 2 2 4 7 3 2 4" xfId="38256" xr:uid="{00000000-0005-0000-0000-00006F950000}"/>
    <cellStyle name="Normal 2 2 4 7 3 3" xfId="38257" xr:uid="{00000000-0005-0000-0000-000070950000}"/>
    <cellStyle name="Normal 2 2 4 7 3 3 2" xfId="38258" xr:uid="{00000000-0005-0000-0000-000071950000}"/>
    <cellStyle name="Normal 2 2 4 7 3 3 2 2" xfId="38259" xr:uid="{00000000-0005-0000-0000-000072950000}"/>
    <cellStyle name="Normal 2 2 4 7 3 3 3" xfId="38260" xr:uid="{00000000-0005-0000-0000-000073950000}"/>
    <cellStyle name="Normal 2 2 4 7 3 4" xfId="38261" xr:uid="{00000000-0005-0000-0000-000074950000}"/>
    <cellStyle name="Normal 2 2 4 7 3 4 2" xfId="38262" xr:uid="{00000000-0005-0000-0000-000075950000}"/>
    <cellStyle name="Normal 2 2 4 7 3 4 2 2" xfId="38263" xr:uid="{00000000-0005-0000-0000-000076950000}"/>
    <cellStyle name="Normal 2 2 4 7 3 4 3" xfId="38264" xr:uid="{00000000-0005-0000-0000-000077950000}"/>
    <cellStyle name="Normal 2 2 4 7 3 5" xfId="38265" xr:uid="{00000000-0005-0000-0000-000078950000}"/>
    <cellStyle name="Normal 2 2 4 7 3 5 2" xfId="38266" xr:uid="{00000000-0005-0000-0000-000079950000}"/>
    <cellStyle name="Normal 2 2 4 7 3 5 2 2" xfId="38267" xr:uid="{00000000-0005-0000-0000-00007A950000}"/>
    <cellStyle name="Normal 2 2 4 7 3 5 3" xfId="38268" xr:uid="{00000000-0005-0000-0000-00007B950000}"/>
    <cellStyle name="Normal 2 2 4 7 3 6" xfId="38269" xr:uid="{00000000-0005-0000-0000-00007C950000}"/>
    <cellStyle name="Normal 2 2 4 7 3 6 2" xfId="38270" xr:uid="{00000000-0005-0000-0000-00007D950000}"/>
    <cellStyle name="Normal 2 2 4 7 3 6 2 2" xfId="38271" xr:uid="{00000000-0005-0000-0000-00007E950000}"/>
    <cellStyle name="Normal 2 2 4 7 3 6 3" xfId="38272" xr:uid="{00000000-0005-0000-0000-00007F950000}"/>
    <cellStyle name="Normal 2 2 4 7 3 7" xfId="38273" xr:uid="{00000000-0005-0000-0000-000080950000}"/>
    <cellStyle name="Normal 2 2 4 7 3 7 2" xfId="38274" xr:uid="{00000000-0005-0000-0000-000081950000}"/>
    <cellStyle name="Normal 2 2 4 7 3 8" xfId="38275" xr:uid="{00000000-0005-0000-0000-000082950000}"/>
    <cellStyle name="Normal 2 2 4 7 4" xfId="38276" xr:uid="{00000000-0005-0000-0000-000083950000}"/>
    <cellStyle name="Normal 2 2 4 7 4 2" xfId="38277" xr:uid="{00000000-0005-0000-0000-000084950000}"/>
    <cellStyle name="Normal 2 2 4 7 4 2 2" xfId="38278" xr:uid="{00000000-0005-0000-0000-000085950000}"/>
    <cellStyle name="Normal 2 2 4 7 4 2 2 2" xfId="38279" xr:uid="{00000000-0005-0000-0000-000086950000}"/>
    <cellStyle name="Normal 2 2 4 7 4 2 2 2 2" xfId="38280" xr:uid="{00000000-0005-0000-0000-000087950000}"/>
    <cellStyle name="Normal 2 2 4 7 4 2 2 3" xfId="38281" xr:uid="{00000000-0005-0000-0000-000088950000}"/>
    <cellStyle name="Normal 2 2 4 7 4 2 3" xfId="38282" xr:uid="{00000000-0005-0000-0000-000089950000}"/>
    <cellStyle name="Normal 2 2 4 7 4 2 3 2" xfId="38283" xr:uid="{00000000-0005-0000-0000-00008A950000}"/>
    <cellStyle name="Normal 2 2 4 7 4 2 4" xfId="38284" xr:uid="{00000000-0005-0000-0000-00008B950000}"/>
    <cellStyle name="Normal 2 2 4 7 4 3" xfId="38285" xr:uid="{00000000-0005-0000-0000-00008C950000}"/>
    <cellStyle name="Normal 2 2 4 7 4 3 2" xfId="38286" xr:uid="{00000000-0005-0000-0000-00008D950000}"/>
    <cellStyle name="Normal 2 2 4 7 4 3 2 2" xfId="38287" xr:uid="{00000000-0005-0000-0000-00008E950000}"/>
    <cellStyle name="Normal 2 2 4 7 4 3 3" xfId="38288" xr:uid="{00000000-0005-0000-0000-00008F950000}"/>
    <cellStyle name="Normal 2 2 4 7 4 4" xfId="38289" xr:uid="{00000000-0005-0000-0000-000090950000}"/>
    <cellStyle name="Normal 2 2 4 7 4 4 2" xfId="38290" xr:uid="{00000000-0005-0000-0000-000091950000}"/>
    <cellStyle name="Normal 2 2 4 7 4 4 2 2" xfId="38291" xr:uid="{00000000-0005-0000-0000-000092950000}"/>
    <cellStyle name="Normal 2 2 4 7 4 4 3" xfId="38292" xr:uid="{00000000-0005-0000-0000-000093950000}"/>
    <cellStyle name="Normal 2 2 4 7 4 5" xfId="38293" xr:uid="{00000000-0005-0000-0000-000094950000}"/>
    <cellStyle name="Normal 2 2 4 7 4 5 2" xfId="38294" xr:uid="{00000000-0005-0000-0000-000095950000}"/>
    <cellStyle name="Normal 2 2 4 7 4 5 2 2" xfId="38295" xr:uid="{00000000-0005-0000-0000-000096950000}"/>
    <cellStyle name="Normal 2 2 4 7 4 5 3" xfId="38296" xr:uid="{00000000-0005-0000-0000-000097950000}"/>
    <cellStyle name="Normal 2 2 4 7 4 6" xfId="38297" xr:uid="{00000000-0005-0000-0000-000098950000}"/>
    <cellStyle name="Normal 2 2 4 7 4 6 2" xfId="38298" xr:uid="{00000000-0005-0000-0000-000099950000}"/>
    <cellStyle name="Normal 2 2 4 7 4 6 2 2" xfId="38299" xr:uid="{00000000-0005-0000-0000-00009A950000}"/>
    <cellStyle name="Normal 2 2 4 7 4 6 3" xfId="38300" xr:uid="{00000000-0005-0000-0000-00009B950000}"/>
    <cellStyle name="Normal 2 2 4 7 4 7" xfId="38301" xr:uid="{00000000-0005-0000-0000-00009C950000}"/>
    <cellStyle name="Normal 2 2 4 7 4 7 2" xfId="38302" xr:uid="{00000000-0005-0000-0000-00009D950000}"/>
    <cellStyle name="Normal 2 2 4 7 4 8" xfId="38303" xr:uid="{00000000-0005-0000-0000-00009E950000}"/>
    <cellStyle name="Normal 2 2 4 7 5" xfId="38304" xr:uid="{00000000-0005-0000-0000-00009F950000}"/>
    <cellStyle name="Normal 2 2 4 7 5 2" xfId="38305" xr:uid="{00000000-0005-0000-0000-0000A0950000}"/>
    <cellStyle name="Normal 2 2 4 7 5 2 2" xfId="38306" xr:uid="{00000000-0005-0000-0000-0000A1950000}"/>
    <cellStyle name="Normal 2 2 4 7 5 2 2 2" xfId="38307" xr:uid="{00000000-0005-0000-0000-0000A2950000}"/>
    <cellStyle name="Normal 2 2 4 7 5 2 2 2 2" xfId="38308" xr:uid="{00000000-0005-0000-0000-0000A3950000}"/>
    <cellStyle name="Normal 2 2 4 7 5 2 2 3" xfId="38309" xr:uid="{00000000-0005-0000-0000-0000A4950000}"/>
    <cellStyle name="Normal 2 2 4 7 5 2 3" xfId="38310" xr:uid="{00000000-0005-0000-0000-0000A5950000}"/>
    <cellStyle name="Normal 2 2 4 7 5 2 3 2" xfId="38311" xr:uid="{00000000-0005-0000-0000-0000A6950000}"/>
    <cellStyle name="Normal 2 2 4 7 5 2 4" xfId="38312" xr:uid="{00000000-0005-0000-0000-0000A7950000}"/>
    <cellStyle name="Normal 2 2 4 7 5 3" xfId="38313" xr:uid="{00000000-0005-0000-0000-0000A8950000}"/>
    <cellStyle name="Normal 2 2 4 7 5 3 2" xfId="38314" xr:uid="{00000000-0005-0000-0000-0000A9950000}"/>
    <cellStyle name="Normal 2 2 4 7 5 3 2 2" xfId="38315" xr:uid="{00000000-0005-0000-0000-0000AA950000}"/>
    <cellStyle name="Normal 2 2 4 7 5 3 3" xfId="38316" xr:uid="{00000000-0005-0000-0000-0000AB950000}"/>
    <cellStyle name="Normal 2 2 4 7 5 4" xfId="38317" xr:uid="{00000000-0005-0000-0000-0000AC950000}"/>
    <cellStyle name="Normal 2 2 4 7 5 4 2" xfId="38318" xr:uid="{00000000-0005-0000-0000-0000AD950000}"/>
    <cellStyle name="Normal 2 2 4 7 5 5" xfId="38319" xr:uid="{00000000-0005-0000-0000-0000AE950000}"/>
    <cellStyle name="Normal 2 2 4 7 6" xfId="38320" xr:uid="{00000000-0005-0000-0000-0000AF950000}"/>
    <cellStyle name="Normal 2 2 4 7 6 2" xfId="38321" xr:uid="{00000000-0005-0000-0000-0000B0950000}"/>
    <cellStyle name="Normal 2 2 4 7 6 2 2" xfId="38322" xr:uid="{00000000-0005-0000-0000-0000B1950000}"/>
    <cellStyle name="Normal 2 2 4 7 6 2 2 2" xfId="38323" xr:uid="{00000000-0005-0000-0000-0000B2950000}"/>
    <cellStyle name="Normal 2 2 4 7 6 2 2 2 2" xfId="38324" xr:uid="{00000000-0005-0000-0000-0000B3950000}"/>
    <cellStyle name="Normal 2 2 4 7 6 2 2 3" xfId="38325" xr:uid="{00000000-0005-0000-0000-0000B4950000}"/>
    <cellStyle name="Normal 2 2 4 7 6 2 3" xfId="38326" xr:uid="{00000000-0005-0000-0000-0000B5950000}"/>
    <cellStyle name="Normal 2 2 4 7 6 2 3 2" xfId="38327" xr:uid="{00000000-0005-0000-0000-0000B6950000}"/>
    <cellStyle name="Normal 2 2 4 7 6 2 4" xfId="38328" xr:uid="{00000000-0005-0000-0000-0000B7950000}"/>
    <cellStyle name="Normal 2 2 4 7 6 3" xfId="38329" xr:uid="{00000000-0005-0000-0000-0000B8950000}"/>
    <cellStyle name="Normal 2 2 4 7 6 3 2" xfId="38330" xr:uid="{00000000-0005-0000-0000-0000B9950000}"/>
    <cellStyle name="Normal 2 2 4 7 6 3 2 2" xfId="38331" xr:uid="{00000000-0005-0000-0000-0000BA950000}"/>
    <cellStyle name="Normal 2 2 4 7 6 3 3" xfId="38332" xr:uid="{00000000-0005-0000-0000-0000BB950000}"/>
    <cellStyle name="Normal 2 2 4 7 6 4" xfId="38333" xr:uid="{00000000-0005-0000-0000-0000BC950000}"/>
    <cellStyle name="Normal 2 2 4 7 6 4 2" xfId="38334" xr:uid="{00000000-0005-0000-0000-0000BD950000}"/>
    <cellStyle name="Normal 2 2 4 7 6 5" xfId="38335" xr:uid="{00000000-0005-0000-0000-0000BE950000}"/>
    <cellStyle name="Normal 2 2 4 7 7" xfId="38336" xr:uid="{00000000-0005-0000-0000-0000BF950000}"/>
    <cellStyle name="Normal 2 2 4 7 7 2" xfId="38337" xr:uid="{00000000-0005-0000-0000-0000C0950000}"/>
    <cellStyle name="Normal 2 2 4 7 7 2 2" xfId="38338" xr:uid="{00000000-0005-0000-0000-0000C1950000}"/>
    <cellStyle name="Normal 2 2 4 7 7 2 2 2" xfId="38339" xr:uid="{00000000-0005-0000-0000-0000C2950000}"/>
    <cellStyle name="Normal 2 2 4 7 7 2 3" xfId="38340" xr:uid="{00000000-0005-0000-0000-0000C3950000}"/>
    <cellStyle name="Normal 2 2 4 7 7 3" xfId="38341" xr:uid="{00000000-0005-0000-0000-0000C4950000}"/>
    <cellStyle name="Normal 2 2 4 7 7 3 2" xfId="38342" xr:uid="{00000000-0005-0000-0000-0000C5950000}"/>
    <cellStyle name="Normal 2 2 4 7 7 4" xfId="38343" xr:uid="{00000000-0005-0000-0000-0000C6950000}"/>
    <cellStyle name="Normal 2 2 4 7 8" xfId="38344" xr:uid="{00000000-0005-0000-0000-0000C7950000}"/>
    <cellStyle name="Normal 2 2 4 7 8 2" xfId="38345" xr:uid="{00000000-0005-0000-0000-0000C8950000}"/>
    <cellStyle name="Normal 2 2 4 7 8 2 2" xfId="38346" xr:uid="{00000000-0005-0000-0000-0000C9950000}"/>
    <cellStyle name="Normal 2 2 4 7 8 2 2 2" xfId="38347" xr:uid="{00000000-0005-0000-0000-0000CA950000}"/>
    <cellStyle name="Normal 2 2 4 7 8 2 3" xfId="38348" xr:uid="{00000000-0005-0000-0000-0000CB950000}"/>
    <cellStyle name="Normal 2 2 4 7 8 3" xfId="38349" xr:uid="{00000000-0005-0000-0000-0000CC950000}"/>
    <cellStyle name="Normal 2 2 4 7 8 3 2" xfId="38350" xr:uid="{00000000-0005-0000-0000-0000CD950000}"/>
    <cellStyle name="Normal 2 2 4 7 8 4" xfId="38351" xr:uid="{00000000-0005-0000-0000-0000CE950000}"/>
    <cellStyle name="Normal 2 2 4 7 9" xfId="38352" xr:uid="{00000000-0005-0000-0000-0000CF950000}"/>
    <cellStyle name="Normal 2 2 4 7 9 2" xfId="38353" xr:uid="{00000000-0005-0000-0000-0000D0950000}"/>
    <cellStyle name="Normal 2 2 4 7 9 2 2" xfId="38354" xr:uid="{00000000-0005-0000-0000-0000D1950000}"/>
    <cellStyle name="Normal 2 2 4 7 9 3" xfId="38355" xr:uid="{00000000-0005-0000-0000-0000D2950000}"/>
    <cellStyle name="Normal 2 2 4 8" xfId="38356" xr:uid="{00000000-0005-0000-0000-0000D3950000}"/>
    <cellStyle name="Normal 2 2 4 8 2" xfId="38357" xr:uid="{00000000-0005-0000-0000-0000D4950000}"/>
    <cellStyle name="Normal 2 2 4 8 2 2" xfId="38358" xr:uid="{00000000-0005-0000-0000-0000D5950000}"/>
    <cellStyle name="Normal 2 2 4 8 2 2 2" xfId="38359" xr:uid="{00000000-0005-0000-0000-0000D6950000}"/>
    <cellStyle name="Normal 2 2 4 8 2 2 2 2" xfId="38360" xr:uid="{00000000-0005-0000-0000-0000D7950000}"/>
    <cellStyle name="Normal 2 2 4 8 2 2 3" xfId="38361" xr:uid="{00000000-0005-0000-0000-0000D8950000}"/>
    <cellStyle name="Normal 2 2 4 8 2 3" xfId="38362" xr:uid="{00000000-0005-0000-0000-0000D9950000}"/>
    <cellStyle name="Normal 2 2 4 8 2 3 2" xfId="38363" xr:uid="{00000000-0005-0000-0000-0000DA950000}"/>
    <cellStyle name="Normal 2 2 4 8 2 4" xfId="38364" xr:uid="{00000000-0005-0000-0000-0000DB950000}"/>
    <cellStyle name="Normal 2 2 4 8 3" xfId="38365" xr:uid="{00000000-0005-0000-0000-0000DC950000}"/>
    <cellStyle name="Normal 2 2 4 8 3 2" xfId="38366" xr:uid="{00000000-0005-0000-0000-0000DD950000}"/>
    <cellStyle name="Normal 2 2 4 8 3 2 2" xfId="38367" xr:uid="{00000000-0005-0000-0000-0000DE950000}"/>
    <cellStyle name="Normal 2 2 4 8 3 3" xfId="38368" xr:uid="{00000000-0005-0000-0000-0000DF950000}"/>
    <cellStyle name="Normal 2 2 4 8 4" xfId="38369" xr:uid="{00000000-0005-0000-0000-0000E0950000}"/>
    <cellStyle name="Normal 2 2 4 8 4 2" xfId="38370" xr:uid="{00000000-0005-0000-0000-0000E1950000}"/>
    <cellStyle name="Normal 2 2 4 8 4 2 2" xfId="38371" xr:uid="{00000000-0005-0000-0000-0000E2950000}"/>
    <cellStyle name="Normal 2 2 4 8 4 3" xfId="38372" xr:uid="{00000000-0005-0000-0000-0000E3950000}"/>
    <cellStyle name="Normal 2 2 4 8 5" xfId="38373" xr:uid="{00000000-0005-0000-0000-0000E4950000}"/>
    <cellStyle name="Normal 2 2 4 8 5 2" xfId="38374" xr:uid="{00000000-0005-0000-0000-0000E5950000}"/>
    <cellStyle name="Normal 2 2 4 8 5 2 2" xfId="38375" xr:uid="{00000000-0005-0000-0000-0000E6950000}"/>
    <cellStyle name="Normal 2 2 4 8 5 3" xfId="38376" xr:uid="{00000000-0005-0000-0000-0000E7950000}"/>
    <cellStyle name="Normal 2 2 4 8 6" xfId="38377" xr:uid="{00000000-0005-0000-0000-0000E8950000}"/>
    <cellStyle name="Normal 2 2 4 8 6 2" xfId="38378" xr:uid="{00000000-0005-0000-0000-0000E9950000}"/>
    <cellStyle name="Normal 2 2 4 8 6 2 2" xfId="38379" xr:uid="{00000000-0005-0000-0000-0000EA950000}"/>
    <cellStyle name="Normal 2 2 4 8 6 3" xfId="38380" xr:uid="{00000000-0005-0000-0000-0000EB950000}"/>
    <cellStyle name="Normal 2 2 4 8 7" xfId="38381" xr:uid="{00000000-0005-0000-0000-0000EC950000}"/>
    <cellStyle name="Normal 2 2 4 8 7 2" xfId="38382" xr:uid="{00000000-0005-0000-0000-0000ED950000}"/>
    <cellStyle name="Normal 2 2 4 8 8" xfId="38383" xr:uid="{00000000-0005-0000-0000-0000EE950000}"/>
    <cellStyle name="Normal 2 2 4 9" xfId="38384" xr:uid="{00000000-0005-0000-0000-0000EF950000}"/>
    <cellStyle name="Normal 2 2 4 9 2" xfId="38385" xr:uid="{00000000-0005-0000-0000-0000F0950000}"/>
    <cellStyle name="Normal 2 2 4 9 2 2" xfId="38386" xr:uid="{00000000-0005-0000-0000-0000F1950000}"/>
    <cellStyle name="Normal 2 2 4 9 2 2 2" xfId="38387" xr:uid="{00000000-0005-0000-0000-0000F2950000}"/>
    <cellStyle name="Normal 2 2 4 9 2 2 2 2" xfId="38388" xr:uid="{00000000-0005-0000-0000-0000F3950000}"/>
    <cellStyle name="Normal 2 2 4 9 2 2 3" xfId="38389" xr:uid="{00000000-0005-0000-0000-0000F4950000}"/>
    <cellStyle name="Normal 2 2 4 9 2 3" xfId="38390" xr:uid="{00000000-0005-0000-0000-0000F5950000}"/>
    <cellStyle name="Normal 2 2 4 9 2 3 2" xfId="38391" xr:uid="{00000000-0005-0000-0000-0000F6950000}"/>
    <cellStyle name="Normal 2 2 4 9 2 4" xfId="38392" xr:uid="{00000000-0005-0000-0000-0000F7950000}"/>
    <cellStyle name="Normal 2 2 4 9 3" xfId="38393" xr:uid="{00000000-0005-0000-0000-0000F8950000}"/>
    <cellStyle name="Normal 2 2 4 9 3 2" xfId="38394" xr:uid="{00000000-0005-0000-0000-0000F9950000}"/>
    <cellStyle name="Normal 2 2 4 9 3 2 2" xfId="38395" xr:uid="{00000000-0005-0000-0000-0000FA950000}"/>
    <cellStyle name="Normal 2 2 4 9 3 3" xfId="38396" xr:uid="{00000000-0005-0000-0000-0000FB950000}"/>
    <cellStyle name="Normal 2 2 4 9 4" xfId="38397" xr:uid="{00000000-0005-0000-0000-0000FC950000}"/>
    <cellStyle name="Normal 2 2 4 9 4 2" xfId="38398" xr:uid="{00000000-0005-0000-0000-0000FD950000}"/>
    <cellStyle name="Normal 2 2 4 9 4 2 2" xfId="38399" xr:uid="{00000000-0005-0000-0000-0000FE950000}"/>
    <cellStyle name="Normal 2 2 4 9 4 3" xfId="38400" xr:uid="{00000000-0005-0000-0000-0000FF950000}"/>
    <cellStyle name="Normal 2 2 4 9 5" xfId="38401" xr:uid="{00000000-0005-0000-0000-000000960000}"/>
    <cellStyle name="Normal 2 2 4 9 5 2" xfId="38402" xr:uid="{00000000-0005-0000-0000-000001960000}"/>
    <cellStyle name="Normal 2 2 4 9 5 2 2" xfId="38403" xr:uid="{00000000-0005-0000-0000-000002960000}"/>
    <cellStyle name="Normal 2 2 4 9 5 3" xfId="38404" xr:uid="{00000000-0005-0000-0000-000003960000}"/>
    <cellStyle name="Normal 2 2 4 9 6" xfId="38405" xr:uid="{00000000-0005-0000-0000-000004960000}"/>
    <cellStyle name="Normal 2 2 4 9 6 2" xfId="38406" xr:uid="{00000000-0005-0000-0000-000005960000}"/>
    <cellStyle name="Normal 2 2 4 9 6 2 2" xfId="38407" xr:uid="{00000000-0005-0000-0000-000006960000}"/>
    <cellStyle name="Normal 2 2 4 9 6 3" xfId="38408" xr:uid="{00000000-0005-0000-0000-000007960000}"/>
    <cellStyle name="Normal 2 2 4 9 7" xfId="38409" xr:uid="{00000000-0005-0000-0000-000008960000}"/>
    <cellStyle name="Normal 2 2 4 9 7 2" xfId="38410" xr:uid="{00000000-0005-0000-0000-000009960000}"/>
    <cellStyle name="Normal 2 2 4 9 8" xfId="38411" xr:uid="{00000000-0005-0000-0000-00000A960000}"/>
    <cellStyle name="Normal 2 2 5" xfId="38412" xr:uid="{00000000-0005-0000-0000-00000B960000}"/>
    <cellStyle name="Normal 2 2 5 10" xfId="38413" xr:uid="{00000000-0005-0000-0000-00000C960000}"/>
    <cellStyle name="Normal 2 2 5 10 2" xfId="38414" xr:uid="{00000000-0005-0000-0000-00000D960000}"/>
    <cellStyle name="Normal 2 2 5 10 2 2" xfId="38415" xr:uid="{00000000-0005-0000-0000-00000E960000}"/>
    <cellStyle name="Normal 2 2 5 10 2 2 2" xfId="38416" xr:uid="{00000000-0005-0000-0000-00000F960000}"/>
    <cellStyle name="Normal 2 2 5 10 2 2 2 2" xfId="38417" xr:uid="{00000000-0005-0000-0000-000010960000}"/>
    <cellStyle name="Normal 2 2 5 10 2 2 3" xfId="38418" xr:uid="{00000000-0005-0000-0000-000011960000}"/>
    <cellStyle name="Normal 2 2 5 10 2 3" xfId="38419" xr:uid="{00000000-0005-0000-0000-000012960000}"/>
    <cellStyle name="Normal 2 2 5 10 2 3 2" xfId="38420" xr:uid="{00000000-0005-0000-0000-000013960000}"/>
    <cellStyle name="Normal 2 2 5 10 2 4" xfId="38421" xr:uid="{00000000-0005-0000-0000-000014960000}"/>
    <cellStyle name="Normal 2 2 5 10 3" xfId="38422" xr:uid="{00000000-0005-0000-0000-000015960000}"/>
    <cellStyle name="Normal 2 2 5 10 3 2" xfId="38423" xr:uid="{00000000-0005-0000-0000-000016960000}"/>
    <cellStyle name="Normal 2 2 5 10 3 2 2" xfId="38424" xr:uid="{00000000-0005-0000-0000-000017960000}"/>
    <cellStyle name="Normal 2 2 5 10 3 3" xfId="38425" xr:uid="{00000000-0005-0000-0000-000018960000}"/>
    <cellStyle name="Normal 2 2 5 10 4" xfId="38426" xr:uid="{00000000-0005-0000-0000-000019960000}"/>
    <cellStyle name="Normal 2 2 5 10 4 2" xfId="38427" xr:uid="{00000000-0005-0000-0000-00001A960000}"/>
    <cellStyle name="Normal 2 2 5 10 5" xfId="38428" xr:uid="{00000000-0005-0000-0000-00001B960000}"/>
    <cellStyle name="Normal 2 2 5 11" xfId="38429" xr:uid="{00000000-0005-0000-0000-00001C960000}"/>
    <cellStyle name="Normal 2 2 5 11 2" xfId="38430" xr:uid="{00000000-0005-0000-0000-00001D960000}"/>
    <cellStyle name="Normal 2 2 5 11 2 2" xfId="38431" xr:uid="{00000000-0005-0000-0000-00001E960000}"/>
    <cellStyle name="Normal 2 2 5 11 2 2 2" xfId="38432" xr:uid="{00000000-0005-0000-0000-00001F960000}"/>
    <cellStyle name="Normal 2 2 5 11 2 2 2 2" xfId="38433" xr:uid="{00000000-0005-0000-0000-000020960000}"/>
    <cellStyle name="Normal 2 2 5 11 2 2 3" xfId="38434" xr:uid="{00000000-0005-0000-0000-000021960000}"/>
    <cellStyle name="Normal 2 2 5 11 2 3" xfId="38435" xr:uid="{00000000-0005-0000-0000-000022960000}"/>
    <cellStyle name="Normal 2 2 5 11 2 3 2" xfId="38436" xr:uid="{00000000-0005-0000-0000-000023960000}"/>
    <cellStyle name="Normal 2 2 5 11 2 4" xfId="38437" xr:uid="{00000000-0005-0000-0000-000024960000}"/>
    <cellStyle name="Normal 2 2 5 11 3" xfId="38438" xr:uid="{00000000-0005-0000-0000-000025960000}"/>
    <cellStyle name="Normal 2 2 5 11 3 2" xfId="38439" xr:uid="{00000000-0005-0000-0000-000026960000}"/>
    <cellStyle name="Normal 2 2 5 11 3 2 2" xfId="38440" xr:uid="{00000000-0005-0000-0000-000027960000}"/>
    <cellStyle name="Normal 2 2 5 11 3 3" xfId="38441" xr:uid="{00000000-0005-0000-0000-000028960000}"/>
    <cellStyle name="Normal 2 2 5 11 4" xfId="38442" xr:uid="{00000000-0005-0000-0000-000029960000}"/>
    <cellStyle name="Normal 2 2 5 11 4 2" xfId="38443" xr:uid="{00000000-0005-0000-0000-00002A960000}"/>
    <cellStyle name="Normal 2 2 5 11 5" xfId="38444" xr:uid="{00000000-0005-0000-0000-00002B960000}"/>
    <cellStyle name="Normal 2 2 5 12" xfId="38445" xr:uid="{00000000-0005-0000-0000-00002C960000}"/>
    <cellStyle name="Normal 2 2 5 12 2" xfId="38446" xr:uid="{00000000-0005-0000-0000-00002D960000}"/>
    <cellStyle name="Normal 2 2 5 12 2 2" xfId="38447" xr:uid="{00000000-0005-0000-0000-00002E960000}"/>
    <cellStyle name="Normal 2 2 5 12 2 2 2" xfId="38448" xr:uid="{00000000-0005-0000-0000-00002F960000}"/>
    <cellStyle name="Normal 2 2 5 12 2 2 2 2" xfId="38449" xr:uid="{00000000-0005-0000-0000-000030960000}"/>
    <cellStyle name="Normal 2 2 5 12 2 2 3" xfId="38450" xr:uid="{00000000-0005-0000-0000-000031960000}"/>
    <cellStyle name="Normal 2 2 5 12 2 3" xfId="38451" xr:uid="{00000000-0005-0000-0000-000032960000}"/>
    <cellStyle name="Normal 2 2 5 12 2 3 2" xfId="38452" xr:uid="{00000000-0005-0000-0000-000033960000}"/>
    <cellStyle name="Normal 2 2 5 12 2 4" xfId="38453" xr:uid="{00000000-0005-0000-0000-000034960000}"/>
    <cellStyle name="Normal 2 2 5 12 3" xfId="38454" xr:uid="{00000000-0005-0000-0000-000035960000}"/>
    <cellStyle name="Normal 2 2 5 12 3 2" xfId="38455" xr:uid="{00000000-0005-0000-0000-000036960000}"/>
    <cellStyle name="Normal 2 2 5 12 3 2 2" xfId="38456" xr:uid="{00000000-0005-0000-0000-000037960000}"/>
    <cellStyle name="Normal 2 2 5 12 3 3" xfId="38457" xr:uid="{00000000-0005-0000-0000-000038960000}"/>
    <cellStyle name="Normal 2 2 5 12 4" xfId="38458" xr:uid="{00000000-0005-0000-0000-000039960000}"/>
    <cellStyle name="Normal 2 2 5 12 4 2" xfId="38459" xr:uid="{00000000-0005-0000-0000-00003A960000}"/>
    <cellStyle name="Normal 2 2 5 12 5" xfId="38460" xr:uid="{00000000-0005-0000-0000-00003B960000}"/>
    <cellStyle name="Normal 2 2 5 13" xfId="38461" xr:uid="{00000000-0005-0000-0000-00003C960000}"/>
    <cellStyle name="Normal 2 2 5 13 2" xfId="38462" xr:uid="{00000000-0005-0000-0000-00003D960000}"/>
    <cellStyle name="Normal 2 2 5 13 2 2" xfId="38463" xr:uid="{00000000-0005-0000-0000-00003E960000}"/>
    <cellStyle name="Normal 2 2 5 13 2 2 2" xfId="38464" xr:uid="{00000000-0005-0000-0000-00003F960000}"/>
    <cellStyle name="Normal 2 2 5 13 2 3" xfId="38465" xr:uid="{00000000-0005-0000-0000-000040960000}"/>
    <cellStyle name="Normal 2 2 5 13 3" xfId="38466" xr:uid="{00000000-0005-0000-0000-000041960000}"/>
    <cellStyle name="Normal 2 2 5 13 3 2" xfId="38467" xr:uid="{00000000-0005-0000-0000-000042960000}"/>
    <cellStyle name="Normal 2 2 5 13 4" xfId="38468" xr:uid="{00000000-0005-0000-0000-000043960000}"/>
    <cellStyle name="Normal 2 2 5 14" xfId="38469" xr:uid="{00000000-0005-0000-0000-000044960000}"/>
    <cellStyle name="Normal 2 2 5 14 2" xfId="38470" xr:uid="{00000000-0005-0000-0000-000045960000}"/>
    <cellStyle name="Normal 2 2 5 14 2 2" xfId="38471" xr:uid="{00000000-0005-0000-0000-000046960000}"/>
    <cellStyle name="Normal 2 2 5 14 2 2 2" xfId="38472" xr:uid="{00000000-0005-0000-0000-000047960000}"/>
    <cellStyle name="Normal 2 2 5 14 2 3" xfId="38473" xr:uid="{00000000-0005-0000-0000-000048960000}"/>
    <cellStyle name="Normal 2 2 5 14 3" xfId="38474" xr:uid="{00000000-0005-0000-0000-000049960000}"/>
    <cellStyle name="Normal 2 2 5 14 3 2" xfId="38475" xr:uid="{00000000-0005-0000-0000-00004A960000}"/>
    <cellStyle name="Normal 2 2 5 14 4" xfId="38476" xr:uid="{00000000-0005-0000-0000-00004B960000}"/>
    <cellStyle name="Normal 2 2 5 15" xfId="38477" xr:uid="{00000000-0005-0000-0000-00004C960000}"/>
    <cellStyle name="Normal 2 2 5 15 2" xfId="38478" xr:uid="{00000000-0005-0000-0000-00004D960000}"/>
    <cellStyle name="Normal 2 2 5 15 2 2" xfId="38479" xr:uid="{00000000-0005-0000-0000-00004E960000}"/>
    <cellStyle name="Normal 2 2 5 15 3" xfId="38480" xr:uid="{00000000-0005-0000-0000-00004F960000}"/>
    <cellStyle name="Normal 2 2 5 16" xfId="38481" xr:uid="{00000000-0005-0000-0000-000050960000}"/>
    <cellStyle name="Normal 2 2 5 16 2" xfId="38482" xr:uid="{00000000-0005-0000-0000-000051960000}"/>
    <cellStyle name="Normal 2 2 5 16 2 2" xfId="38483" xr:uid="{00000000-0005-0000-0000-000052960000}"/>
    <cellStyle name="Normal 2 2 5 16 3" xfId="38484" xr:uid="{00000000-0005-0000-0000-000053960000}"/>
    <cellStyle name="Normal 2 2 5 17" xfId="38485" xr:uid="{00000000-0005-0000-0000-000054960000}"/>
    <cellStyle name="Normal 2 2 5 17 2" xfId="38486" xr:uid="{00000000-0005-0000-0000-000055960000}"/>
    <cellStyle name="Normal 2 2 5 17 2 2" xfId="38487" xr:uid="{00000000-0005-0000-0000-000056960000}"/>
    <cellStyle name="Normal 2 2 5 17 3" xfId="38488" xr:uid="{00000000-0005-0000-0000-000057960000}"/>
    <cellStyle name="Normal 2 2 5 18" xfId="38489" xr:uid="{00000000-0005-0000-0000-000058960000}"/>
    <cellStyle name="Normal 2 2 5 18 2" xfId="38490" xr:uid="{00000000-0005-0000-0000-000059960000}"/>
    <cellStyle name="Normal 2 2 5 18 2 2" xfId="38491" xr:uid="{00000000-0005-0000-0000-00005A960000}"/>
    <cellStyle name="Normal 2 2 5 18 3" xfId="38492" xr:uid="{00000000-0005-0000-0000-00005B960000}"/>
    <cellStyle name="Normal 2 2 5 19" xfId="38493" xr:uid="{00000000-0005-0000-0000-00005C960000}"/>
    <cellStyle name="Normal 2 2 5 19 2" xfId="38494" xr:uid="{00000000-0005-0000-0000-00005D960000}"/>
    <cellStyle name="Normal 2 2 5 2" xfId="38495" xr:uid="{00000000-0005-0000-0000-00005E960000}"/>
    <cellStyle name="Normal 2 2 5 2 10" xfId="38496" xr:uid="{00000000-0005-0000-0000-00005F960000}"/>
    <cellStyle name="Normal 2 2 5 2 10 2" xfId="38497" xr:uid="{00000000-0005-0000-0000-000060960000}"/>
    <cellStyle name="Normal 2 2 5 2 10 2 2" xfId="38498" xr:uid="{00000000-0005-0000-0000-000061960000}"/>
    <cellStyle name="Normal 2 2 5 2 10 3" xfId="38499" xr:uid="{00000000-0005-0000-0000-000062960000}"/>
    <cellStyle name="Normal 2 2 5 2 11" xfId="38500" xr:uid="{00000000-0005-0000-0000-000063960000}"/>
    <cellStyle name="Normal 2 2 5 2 11 2" xfId="38501" xr:uid="{00000000-0005-0000-0000-000064960000}"/>
    <cellStyle name="Normal 2 2 5 2 11 2 2" xfId="38502" xr:uid="{00000000-0005-0000-0000-000065960000}"/>
    <cellStyle name="Normal 2 2 5 2 11 3" xfId="38503" xr:uid="{00000000-0005-0000-0000-000066960000}"/>
    <cellStyle name="Normal 2 2 5 2 12" xfId="38504" xr:uid="{00000000-0005-0000-0000-000067960000}"/>
    <cellStyle name="Normal 2 2 5 2 12 2" xfId="38505" xr:uid="{00000000-0005-0000-0000-000068960000}"/>
    <cellStyle name="Normal 2 2 5 2 12 2 2" xfId="38506" xr:uid="{00000000-0005-0000-0000-000069960000}"/>
    <cellStyle name="Normal 2 2 5 2 12 3" xfId="38507" xr:uid="{00000000-0005-0000-0000-00006A960000}"/>
    <cellStyle name="Normal 2 2 5 2 13" xfId="38508" xr:uid="{00000000-0005-0000-0000-00006B960000}"/>
    <cellStyle name="Normal 2 2 5 2 13 2" xfId="38509" xr:uid="{00000000-0005-0000-0000-00006C960000}"/>
    <cellStyle name="Normal 2 2 5 2 14" xfId="38510" xr:uid="{00000000-0005-0000-0000-00006D960000}"/>
    <cellStyle name="Normal 2 2 5 2 2" xfId="38511" xr:uid="{00000000-0005-0000-0000-00006E960000}"/>
    <cellStyle name="Normal 2 2 5 2 2 2" xfId="38512" xr:uid="{00000000-0005-0000-0000-00006F960000}"/>
    <cellStyle name="Normal 2 2 5 2 2 2 2" xfId="38513" xr:uid="{00000000-0005-0000-0000-000070960000}"/>
    <cellStyle name="Normal 2 2 5 2 2 2 2 2" xfId="38514" xr:uid="{00000000-0005-0000-0000-000071960000}"/>
    <cellStyle name="Normal 2 2 5 2 2 2 2 2 2" xfId="38515" xr:uid="{00000000-0005-0000-0000-000072960000}"/>
    <cellStyle name="Normal 2 2 5 2 2 2 2 3" xfId="38516" xr:uid="{00000000-0005-0000-0000-000073960000}"/>
    <cellStyle name="Normal 2 2 5 2 2 2 3" xfId="38517" xr:uid="{00000000-0005-0000-0000-000074960000}"/>
    <cellStyle name="Normal 2 2 5 2 2 2 3 2" xfId="38518" xr:uid="{00000000-0005-0000-0000-000075960000}"/>
    <cellStyle name="Normal 2 2 5 2 2 2 4" xfId="38519" xr:uid="{00000000-0005-0000-0000-000076960000}"/>
    <cellStyle name="Normal 2 2 5 2 2 3" xfId="38520" xr:uid="{00000000-0005-0000-0000-000077960000}"/>
    <cellStyle name="Normal 2 2 5 2 2 3 2" xfId="38521" xr:uid="{00000000-0005-0000-0000-000078960000}"/>
    <cellStyle name="Normal 2 2 5 2 2 3 2 2" xfId="38522" xr:uid="{00000000-0005-0000-0000-000079960000}"/>
    <cellStyle name="Normal 2 2 5 2 2 3 3" xfId="38523" xr:uid="{00000000-0005-0000-0000-00007A960000}"/>
    <cellStyle name="Normal 2 2 5 2 2 4" xfId="38524" xr:uid="{00000000-0005-0000-0000-00007B960000}"/>
    <cellStyle name="Normal 2 2 5 2 2 4 2" xfId="38525" xr:uid="{00000000-0005-0000-0000-00007C960000}"/>
    <cellStyle name="Normal 2 2 5 2 2 4 2 2" xfId="38526" xr:uid="{00000000-0005-0000-0000-00007D960000}"/>
    <cellStyle name="Normal 2 2 5 2 2 4 3" xfId="38527" xr:uid="{00000000-0005-0000-0000-00007E960000}"/>
    <cellStyle name="Normal 2 2 5 2 2 5" xfId="38528" xr:uid="{00000000-0005-0000-0000-00007F960000}"/>
    <cellStyle name="Normal 2 2 5 2 2 5 2" xfId="38529" xr:uid="{00000000-0005-0000-0000-000080960000}"/>
    <cellStyle name="Normal 2 2 5 2 2 5 2 2" xfId="38530" xr:uid="{00000000-0005-0000-0000-000081960000}"/>
    <cellStyle name="Normal 2 2 5 2 2 5 3" xfId="38531" xr:uid="{00000000-0005-0000-0000-000082960000}"/>
    <cellStyle name="Normal 2 2 5 2 2 6" xfId="38532" xr:uid="{00000000-0005-0000-0000-000083960000}"/>
    <cellStyle name="Normal 2 2 5 2 2 6 2" xfId="38533" xr:uid="{00000000-0005-0000-0000-000084960000}"/>
    <cellStyle name="Normal 2 2 5 2 2 6 2 2" xfId="38534" xr:uid="{00000000-0005-0000-0000-000085960000}"/>
    <cellStyle name="Normal 2 2 5 2 2 6 3" xfId="38535" xr:uid="{00000000-0005-0000-0000-000086960000}"/>
    <cellStyle name="Normal 2 2 5 2 2 7" xfId="38536" xr:uid="{00000000-0005-0000-0000-000087960000}"/>
    <cellStyle name="Normal 2 2 5 2 2 7 2" xfId="38537" xr:uid="{00000000-0005-0000-0000-000088960000}"/>
    <cellStyle name="Normal 2 2 5 2 2 8" xfId="38538" xr:uid="{00000000-0005-0000-0000-000089960000}"/>
    <cellStyle name="Normal 2 2 5 2 3" xfId="38539" xr:uid="{00000000-0005-0000-0000-00008A960000}"/>
    <cellStyle name="Normal 2 2 5 2 3 2" xfId="38540" xr:uid="{00000000-0005-0000-0000-00008B960000}"/>
    <cellStyle name="Normal 2 2 5 2 3 2 2" xfId="38541" xr:uid="{00000000-0005-0000-0000-00008C960000}"/>
    <cellStyle name="Normal 2 2 5 2 3 2 2 2" xfId="38542" xr:uid="{00000000-0005-0000-0000-00008D960000}"/>
    <cellStyle name="Normal 2 2 5 2 3 2 2 2 2" xfId="38543" xr:uid="{00000000-0005-0000-0000-00008E960000}"/>
    <cellStyle name="Normal 2 2 5 2 3 2 2 3" xfId="38544" xr:uid="{00000000-0005-0000-0000-00008F960000}"/>
    <cellStyle name="Normal 2 2 5 2 3 2 3" xfId="38545" xr:uid="{00000000-0005-0000-0000-000090960000}"/>
    <cellStyle name="Normal 2 2 5 2 3 2 3 2" xfId="38546" xr:uid="{00000000-0005-0000-0000-000091960000}"/>
    <cellStyle name="Normal 2 2 5 2 3 2 4" xfId="38547" xr:uid="{00000000-0005-0000-0000-000092960000}"/>
    <cellStyle name="Normal 2 2 5 2 3 3" xfId="38548" xr:uid="{00000000-0005-0000-0000-000093960000}"/>
    <cellStyle name="Normal 2 2 5 2 3 3 2" xfId="38549" xr:uid="{00000000-0005-0000-0000-000094960000}"/>
    <cellStyle name="Normal 2 2 5 2 3 3 2 2" xfId="38550" xr:uid="{00000000-0005-0000-0000-000095960000}"/>
    <cellStyle name="Normal 2 2 5 2 3 3 3" xfId="38551" xr:uid="{00000000-0005-0000-0000-000096960000}"/>
    <cellStyle name="Normal 2 2 5 2 3 4" xfId="38552" xr:uid="{00000000-0005-0000-0000-000097960000}"/>
    <cellStyle name="Normal 2 2 5 2 3 4 2" xfId="38553" xr:uid="{00000000-0005-0000-0000-000098960000}"/>
    <cellStyle name="Normal 2 2 5 2 3 4 2 2" xfId="38554" xr:uid="{00000000-0005-0000-0000-000099960000}"/>
    <cellStyle name="Normal 2 2 5 2 3 4 3" xfId="38555" xr:uid="{00000000-0005-0000-0000-00009A960000}"/>
    <cellStyle name="Normal 2 2 5 2 3 5" xfId="38556" xr:uid="{00000000-0005-0000-0000-00009B960000}"/>
    <cellStyle name="Normal 2 2 5 2 3 5 2" xfId="38557" xr:uid="{00000000-0005-0000-0000-00009C960000}"/>
    <cellStyle name="Normal 2 2 5 2 3 5 2 2" xfId="38558" xr:uid="{00000000-0005-0000-0000-00009D960000}"/>
    <cellStyle name="Normal 2 2 5 2 3 5 3" xfId="38559" xr:uid="{00000000-0005-0000-0000-00009E960000}"/>
    <cellStyle name="Normal 2 2 5 2 3 6" xfId="38560" xr:uid="{00000000-0005-0000-0000-00009F960000}"/>
    <cellStyle name="Normal 2 2 5 2 3 6 2" xfId="38561" xr:uid="{00000000-0005-0000-0000-0000A0960000}"/>
    <cellStyle name="Normal 2 2 5 2 3 6 2 2" xfId="38562" xr:uid="{00000000-0005-0000-0000-0000A1960000}"/>
    <cellStyle name="Normal 2 2 5 2 3 6 3" xfId="38563" xr:uid="{00000000-0005-0000-0000-0000A2960000}"/>
    <cellStyle name="Normal 2 2 5 2 3 7" xfId="38564" xr:uid="{00000000-0005-0000-0000-0000A3960000}"/>
    <cellStyle name="Normal 2 2 5 2 3 7 2" xfId="38565" xr:uid="{00000000-0005-0000-0000-0000A4960000}"/>
    <cellStyle name="Normal 2 2 5 2 3 8" xfId="38566" xr:uid="{00000000-0005-0000-0000-0000A5960000}"/>
    <cellStyle name="Normal 2 2 5 2 4" xfId="38567" xr:uid="{00000000-0005-0000-0000-0000A6960000}"/>
    <cellStyle name="Normal 2 2 5 2 4 2" xfId="38568" xr:uid="{00000000-0005-0000-0000-0000A7960000}"/>
    <cellStyle name="Normal 2 2 5 2 4 2 2" xfId="38569" xr:uid="{00000000-0005-0000-0000-0000A8960000}"/>
    <cellStyle name="Normal 2 2 5 2 4 2 2 2" xfId="38570" xr:uid="{00000000-0005-0000-0000-0000A9960000}"/>
    <cellStyle name="Normal 2 2 5 2 4 2 2 2 2" xfId="38571" xr:uid="{00000000-0005-0000-0000-0000AA960000}"/>
    <cellStyle name="Normal 2 2 5 2 4 2 2 3" xfId="38572" xr:uid="{00000000-0005-0000-0000-0000AB960000}"/>
    <cellStyle name="Normal 2 2 5 2 4 2 3" xfId="38573" xr:uid="{00000000-0005-0000-0000-0000AC960000}"/>
    <cellStyle name="Normal 2 2 5 2 4 2 3 2" xfId="38574" xr:uid="{00000000-0005-0000-0000-0000AD960000}"/>
    <cellStyle name="Normal 2 2 5 2 4 2 4" xfId="38575" xr:uid="{00000000-0005-0000-0000-0000AE960000}"/>
    <cellStyle name="Normal 2 2 5 2 4 3" xfId="38576" xr:uid="{00000000-0005-0000-0000-0000AF960000}"/>
    <cellStyle name="Normal 2 2 5 2 4 3 2" xfId="38577" xr:uid="{00000000-0005-0000-0000-0000B0960000}"/>
    <cellStyle name="Normal 2 2 5 2 4 3 2 2" xfId="38578" xr:uid="{00000000-0005-0000-0000-0000B1960000}"/>
    <cellStyle name="Normal 2 2 5 2 4 3 3" xfId="38579" xr:uid="{00000000-0005-0000-0000-0000B2960000}"/>
    <cellStyle name="Normal 2 2 5 2 4 4" xfId="38580" xr:uid="{00000000-0005-0000-0000-0000B3960000}"/>
    <cellStyle name="Normal 2 2 5 2 4 4 2" xfId="38581" xr:uid="{00000000-0005-0000-0000-0000B4960000}"/>
    <cellStyle name="Normal 2 2 5 2 4 4 2 2" xfId="38582" xr:uid="{00000000-0005-0000-0000-0000B5960000}"/>
    <cellStyle name="Normal 2 2 5 2 4 4 3" xfId="38583" xr:uid="{00000000-0005-0000-0000-0000B6960000}"/>
    <cellStyle name="Normal 2 2 5 2 4 5" xfId="38584" xr:uid="{00000000-0005-0000-0000-0000B7960000}"/>
    <cellStyle name="Normal 2 2 5 2 4 5 2" xfId="38585" xr:uid="{00000000-0005-0000-0000-0000B8960000}"/>
    <cellStyle name="Normal 2 2 5 2 4 5 2 2" xfId="38586" xr:uid="{00000000-0005-0000-0000-0000B9960000}"/>
    <cellStyle name="Normal 2 2 5 2 4 5 3" xfId="38587" xr:uid="{00000000-0005-0000-0000-0000BA960000}"/>
    <cellStyle name="Normal 2 2 5 2 4 6" xfId="38588" xr:uid="{00000000-0005-0000-0000-0000BB960000}"/>
    <cellStyle name="Normal 2 2 5 2 4 6 2" xfId="38589" xr:uid="{00000000-0005-0000-0000-0000BC960000}"/>
    <cellStyle name="Normal 2 2 5 2 4 6 2 2" xfId="38590" xr:uid="{00000000-0005-0000-0000-0000BD960000}"/>
    <cellStyle name="Normal 2 2 5 2 4 6 3" xfId="38591" xr:uid="{00000000-0005-0000-0000-0000BE960000}"/>
    <cellStyle name="Normal 2 2 5 2 4 7" xfId="38592" xr:uid="{00000000-0005-0000-0000-0000BF960000}"/>
    <cellStyle name="Normal 2 2 5 2 4 7 2" xfId="38593" xr:uid="{00000000-0005-0000-0000-0000C0960000}"/>
    <cellStyle name="Normal 2 2 5 2 4 8" xfId="38594" xr:uid="{00000000-0005-0000-0000-0000C1960000}"/>
    <cellStyle name="Normal 2 2 5 2 5" xfId="38595" xr:uid="{00000000-0005-0000-0000-0000C2960000}"/>
    <cellStyle name="Normal 2 2 5 2 5 2" xfId="38596" xr:uid="{00000000-0005-0000-0000-0000C3960000}"/>
    <cellStyle name="Normal 2 2 5 2 5 2 2" xfId="38597" xr:uid="{00000000-0005-0000-0000-0000C4960000}"/>
    <cellStyle name="Normal 2 2 5 2 5 2 2 2" xfId="38598" xr:uid="{00000000-0005-0000-0000-0000C5960000}"/>
    <cellStyle name="Normal 2 2 5 2 5 2 2 2 2" xfId="38599" xr:uid="{00000000-0005-0000-0000-0000C6960000}"/>
    <cellStyle name="Normal 2 2 5 2 5 2 2 3" xfId="38600" xr:uid="{00000000-0005-0000-0000-0000C7960000}"/>
    <cellStyle name="Normal 2 2 5 2 5 2 3" xfId="38601" xr:uid="{00000000-0005-0000-0000-0000C8960000}"/>
    <cellStyle name="Normal 2 2 5 2 5 2 3 2" xfId="38602" xr:uid="{00000000-0005-0000-0000-0000C9960000}"/>
    <cellStyle name="Normal 2 2 5 2 5 2 4" xfId="38603" xr:uid="{00000000-0005-0000-0000-0000CA960000}"/>
    <cellStyle name="Normal 2 2 5 2 5 3" xfId="38604" xr:uid="{00000000-0005-0000-0000-0000CB960000}"/>
    <cellStyle name="Normal 2 2 5 2 5 3 2" xfId="38605" xr:uid="{00000000-0005-0000-0000-0000CC960000}"/>
    <cellStyle name="Normal 2 2 5 2 5 3 2 2" xfId="38606" xr:uid="{00000000-0005-0000-0000-0000CD960000}"/>
    <cellStyle name="Normal 2 2 5 2 5 3 3" xfId="38607" xr:uid="{00000000-0005-0000-0000-0000CE960000}"/>
    <cellStyle name="Normal 2 2 5 2 5 4" xfId="38608" xr:uid="{00000000-0005-0000-0000-0000CF960000}"/>
    <cellStyle name="Normal 2 2 5 2 5 4 2" xfId="38609" xr:uid="{00000000-0005-0000-0000-0000D0960000}"/>
    <cellStyle name="Normal 2 2 5 2 5 5" xfId="38610" xr:uid="{00000000-0005-0000-0000-0000D1960000}"/>
    <cellStyle name="Normal 2 2 5 2 6" xfId="38611" xr:uid="{00000000-0005-0000-0000-0000D2960000}"/>
    <cellStyle name="Normal 2 2 5 2 6 2" xfId="38612" xr:uid="{00000000-0005-0000-0000-0000D3960000}"/>
    <cellStyle name="Normal 2 2 5 2 6 2 2" xfId="38613" xr:uid="{00000000-0005-0000-0000-0000D4960000}"/>
    <cellStyle name="Normal 2 2 5 2 6 2 2 2" xfId="38614" xr:uid="{00000000-0005-0000-0000-0000D5960000}"/>
    <cellStyle name="Normal 2 2 5 2 6 2 2 2 2" xfId="38615" xr:uid="{00000000-0005-0000-0000-0000D6960000}"/>
    <cellStyle name="Normal 2 2 5 2 6 2 2 3" xfId="38616" xr:uid="{00000000-0005-0000-0000-0000D7960000}"/>
    <cellStyle name="Normal 2 2 5 2 6 2 3" xfId="38617" xr:uid="{00000000-0005-0000-0000-0000D8960000}"/>
    <cellStyle name="Normal 2 2 5 2 6 2 3 2" xfId="38618" xr:uid="{00000000-0005-0000-0000-0000D9960000}"/>
    <cellStyle name="Normal 2 2 5 2 6 2 4" xfId="38619" xr:uid="{00000000-0005-0000-0000-0000DA960000}"/>
    <cellStyle name="Normal 2 2 5 2 6 3" xfId="38620" xr:uid="{00000000-0005-0000-0000-0000DB960000}"/>
    <cellStyle name="Normal 2 2 5 2 6 3 2" xfId="38621" xr:uid="{00000000-0005-0000-0000-0000DC960000}"/>
    <cellStyle name="Normal 2 2 5 2 6 3 2 2" xfId="38622" xr:uid="{00000000-0005-0000-0000-0000DD960000}"/>
    <cellStyle name="Normal 2 2 5 2 6 3 3" xfId="38623" xr:uid="{00000000-0005-0000-0000-0000DE960000}"/>
    <cellStyle name="Normal 2 2 5 2 6 4" xfId="38624" xr:uid="{00000000-0005-0000-0000-0000DF960000}"/>
    <cellStyle name="Normal 2 2 5 2 6 4 2" xfId="38625" xr:uid="{00000000-0005-0000-0000-0000E0960000}"/>
    <cellStyle name="Normal 2 2 5 2 6 5" xfId="38626" xr:uid="{00000000-0005-0000-0000-0000E1960000}"/>
    <cellStyle name="Normal 2 2 5 2 7" xfId="38627" xr:uid="{00000000-0005-0000-0000-0000E2960000}"/>
    <cellStyle name="Normal 2 2 5 2 7 2" xfId="38628" xr:uid="{00000000-0005-0000-0000-0000E3960000}"/>
    <cellStyle name="Normal 2 2 5 2 7 2 2" xfId="38629" xr:uid="{00000000-0005-0000-0000-0000E4960000}"/>
    <cellStyle name="Normal 2 2 5 2 7 2 2 2" xfId="38630" xr:uid="{00000000-0005-0000-0000-0000E5960000}"/>
    <cellStyle name="Normal 2 2 5 2 7 2 3" xfId="38631" xr:uid="{00000000-0005-0000-0000-0000E6960000}"/>
    <cellStyle name="Normal 2 2 5 2 7 3" xfId="38632" xr:uid="{00000000-0005-0000-0000-0000E7960000}"/>
    <cellStyle name="Normal 2 2 5 2 7 3 2" xfId="38633" xr:uid="{00000000-0005-0000-0000-0000E8960000}"/>
    <cellStyle name="Normal 2 2 5 2 7 4" xfId="38634" xr:uid="{00000000-0005-0000-0000-0000E9960000}"/>
    <cellStyle name="Normal 2 2 5 2 8" xfId="38635" xr:uid="{00000000-0005-0000-0000-0000EA960000}"/>
    <cellStyle name="Normal 2 2 5 2 8 2" xfId="38636" xr:uid="{00000000-0005-0000-0000-0000EB960000}"/>
    <cellStyle name="Normal 2 2 5 2 8 2 2" xfId="38637" xr:uid="{00000000-0005-0000-0000-0000EC960000}"/>
    <cellStyle name="Normal 2 2 5 2 8 2 2 2" xfId="38638" xr:uid="{00000000-0005-0000-0000-0000ED960000}"/>
    <cellStyle name="Normal 2 2 5 2 8 2 3" xfId="38639" xr:uid="{00000000-0005-0000-0000-0000EE960000}"/>
    <cellStyle name="Normal 2 2 5 2 8 3" xfId="38640" xr:uid="{00000000-0005-0000-0000-0000EF960000}"/>
    <cellStyle name="Normal 2 2 5 2 8 3 2" xfId="38641" xr:uid="{00000000-0005-0000-0000-0000F0960000}"/>
    <cellStyle name="Normal 2 2 5 2 8 4" xfId="38642" xr:uid="{00000000-0005-0000-0000-0000F1960000}"/>
    <cellStyle name="Normal 2 2 5 2 9" xfId="38643" xr:uid="{00000000-0005-0000-0000-0000F2960000}"/>
    <cellStyle name="Normal 2 2 5 2 9 2" xfId="38644" xr:uid="{00000000-0005-0000-0000-0000F3960000}"/>
    <cellStyle name="Normal 2 2 5 2 9 2 2" xfId="38645" xr:uid="{00000000-0005-0000-0000-0000F4960000}"/>
    <cellStyle name="Normal 2 2 5 2 9 3" xfId="38646" xr:uid="{00000000-0005-0000-0000-0000F5960000}"/>
    <cellStyle name="Normal 2 2 5 20" xfId="38647" xr:uid="{00000000-0005-0000-0000-0000F6960000}"/>
    <cellStyle name="Normal 2 2 5 3" xfId="38648" xr:uid="{00000000-0005-0000-0000-0000F7960000}"/>
    <cellStyle name="Normal 2 2 5 3 10" xfId="38649" xr:uid="{00000000-0005-0000-0000-0000F8960000}"/>
    <cellStyle name="Normal 2 2 5 3 10 2" xfId="38650" xr:uid="{00000000-0005-0000-0000-0000F9960000}"/>
    <cellStyle name="Normal 2 2 5 3 10 2 2" xfId="38651" xr:uid="{00000000-0005-0000-0000-0000FA960000}"/>
    <cellStyle name="Normal 2 2 5 3 10 3" xfId="38652" xr:uid="{00000000-0005-0000-0000-0000FB960000}"/>
    <cellStyle name="Normal 2 2 5 3 11" xfId="38653" xr:uid="{00000000-0005-0000-0000-0000FC960000}"/>
    <cellStyle name="Normal 2 2 5 3 11 2" xfId="38654" xr:uid="{00000000-0005-0000-0000-0000FD960000}"/>
    <cellStyle name="Normal 2 2 5 3 11 2 2" xfId="38655" xr:uid="{00000000-0005-0000-0000-0000FE960000}"/>
    <cellStyle name="Normal 2 2 5 3 11 3" xfId="38656" xr:uid="{00000000-0005-0000-0000-0000FF960000}"/>
    <cellStyle name="Normal 2 2 5 3 12" xfId="38657" xr:uid="{00000000-0005-0000-0000-000000970000}"/>
    <cellStyle name="Normal 2 2 5 3 12 2" xfId="38658" xr:uid="{00000000-0005-0000-0000-000001970000}"/>
    <cellStyle name="Normal 2 2 5 3 12 2 2" xfId="38659" xr:uid="{00000000-0005-0000-0000-000002970000}"/>
    <cellStyle name="Normal 2 2 5 3 12 3" xfId="38660" xr:uid="{00000000-0005-0000-0000-000003970000}"/>
    <cellStyle name="Normal 2 2 5 3 13" xfId="38661" xr:uid="{00000000-0005-0000-0000-000004970000}"/>
    <cellStyle name="Normal 2 2 5 3 13 2" xfId="38662" xr:uid="{00000000-0005-0000-0000-000005970000}"/>
    <cellStyle name="Normal 2 2 5 3 14" xfId="38663" xr:uid="{00000000-0005-0000-0000-000006970000}"/>
    <cellStyle name="Normal 2 2 5 3 2" xfId="38664" xr:uid="{00000000-0005-0000-0000-000007970000}"/>
    <cellStyle name="Normal 2 2 5 3 2 2" xfId="38665" xr:uid="{00000000-0005-0000-0000-000008970000}"/>
    <cellStyle name="Normal 2 2 5 3 2 2 2" xfId="38666" xr:uid="{00000000-0005-0000-0000-000009970000}"/>
    <cellStyle name="Normal 2 2 5 3 2 2 2 2" xfId="38667" xr:uid="{00000000-0005-0000-0000-00000A970000}"/>
    <cellStyle name="Normal 2 2 5 3 2 2 2 2 2" xfId="38668" xr:uid="{00000000-0005-0000-0000-00000B970000}"/>
    <cellStyle name="Normal 2 2 5 3 2 2 2 3" xfId="38669" xr:uid="{00000000-0005-0000-0000-00000C970000}"/>
    <cellStyle name="Normal 2 2 5 3 2 2 3" xfId="38670" xr:uid="{00000000-0005-0000-0000-00000D970000}"/>
    <cellStyle name="Normal 2 2 5 3 2 2 3 2" xfId="38671" xr:uid="{00000000-0005-0000-0000-00000E970000}"/>
    <cellStyle name="Normal 2 2 5 3 2 2 4" xfId="38672" xr:uid="{00000000-0005-0000-0000-00000F970000}"/>
    <cellStyle name="Normal 2 2 5 3 2 3" xfId="38673" xr:uid="{00000000-0005-0000-0000-000010970000}"/>
    <cellStyle name="Normal 2 2 5 3 2 3 2" xfId="38674" xr:uid="{00000000-0005-0000-0000-000011970000}"/>
    <cellStyle name="Normal 2 2 5 3 2 3 2 2" xfId="38675" xr:uid="{00000000-0005-0000-0000-000012970000}"/>
    <cellStyle name="Normal 2 2 5 3 2 3 3" xfId="38676" xr:uid="{00000000-0005-0000-0000-000013970000}"/>
    <cellStyle name="Normal 2 2 5 3 2 4" xfId="38677" xr:uid="{00000000-0005-0000-0000-000014970000}"/>
    <cellStyle name="Normal 2 2 5 3 2 4 2" xfId="38678" xr:uid="{00000000-0005-0000-0000-000015970000}"/>
    <cellStyle name="Normal 2 2 5 3 2 4 2 2" xfId="38679" xr:uid="{00000000-0005-0000-0000-000016970000}"/>
    <cellStyle name="Normal 2 2 5 3 2 4 3" xfId="38680" xr:uid="{00000000-0005-0000-0000-000017970000}"/>
    <cellStyle name="Normal 2 2 5 3 2 5" xfId="38681" xr:uid="{00000000-0005-0000-0000-000018970000}"/>
    <cellStyle name="Normal 2 2 5 3 2 5 2" xfId="38682" xr:uid="{00000000-0005-0000-0000-000019970000}"/>
    <cellStyle name="Normal 2 2 5 3 2 5 2 2" xfId="38683" xr:uid="{00000000-0005-0000-0000-00001A970000}"/>
    <cellStyle name="Normal 2 2 5 3 2 5 3" xfId="38684" xr:uid="{00000000-0005-0000-0000-00001B970000}"/>
    <cellStyle name="Normal 2 2 5 3 2 6" xfId="38685" xr:uid="{00000000-0005-0000-0000-00001C970000}"/>
    <cellStyle name="Normal 2 2 5 3 2 6 2" xfId="38686" xr:uid="{00000000-0005-0000-0000-00001D970000}"/>
    <cellStyle name="Normal 2 2 5 3 2 6 2 2" xfId="38687" xr:uid="{00000000-0005-0000-0000-00001E970000}"/>
    <cellStyle name="Normal 2 2 5 3 2 6 3" xfId="38688" xr:uid="{00000000-0005-0000-0000-00001F970000}"/>
    <cellStyle name="Normal 2 2 5 3 2 7" xfId="38689" xr:uid="{00000000-0005-0000-0000-000020970000}"/>
    <cellStyle name="Normal 2 2 5 3 2 7 2" xfId="38690" xr:uid="{00000000-0005-0000-0000-000021970000}"/>
    <cellStyle name="Normal 2 2 5 3 2 8" xfId="38691" xr:uid="{00000000-0005-0000-0000-000022970000}"/>
    <cellStyle name="Normal 2 2 5 3 3" xfId="38692" xr:uid="{00000000-0005-0000-0000-000023970000}"/>
    <cellStyle name="Normal 2 2 5 3 3 2" xfId="38693" xr:uid="{00000000-0005-0000-0000-000024970000}"/>
    <cellStyle name="Normal 2 2 5 3 3 2 2" xfId="38694" xr:uid="{00000000-0005-0000-0000-000025970000}"/>
    <cellStyle name="Normal 2 2 5 3 3 2 2 2" xfId="38695" xr:uid="{00000000-0005-0000-0000-000026970000}"/>
    <cellStyle name="Normal 2 2 5 3 3 2 2 2 2" xfId="38696" xr:uid="{00000000-0005-0000-0000-000027970000}"/>
    <cellStyle name="Normal 2 2 5 3 3 2 2 3" xfId="38697" xr:uid="{00000000-0005-0000-0000-000028970000}"/>
    <cellStyle name="Normal 2 2 5 3 3 2 3" xfId="38698" xr:uid="{00000000-0005-0000-0000-000029970000}"/>
    <cellStyle name="Normal 2 2 5 3 3 2 3 2" xfId="38699" xr:uid="{00000000-0005-0000-0000-00002A970000}"/>
    <cellStyle name="Normal 2 2 5 3 3 2 4" xfId="38700" xr:uid="{00000000-0005-0000-0000-00002B970000}"/>
    <cellStyle name="Normal 2 2 5 3 3 3" xfId="38701" xr:uid="{00000000-0005-0000-0000-00002C970000}"/>
    <cellStyle name="Normal 2 2 5 3 3 3 2" xfId="38702" xr:uid="{00000000-0005-0000-0000-00002D970000}"/>
    <cellStyle name="Normal 2 2 5 3 3 3 2 2" xfId="38703" xr:uid="{00000000-0005-0000-0000-00002E970000}"/>
    <cellStyle name="Normal 2 2 5 3 3 3 3" xfId="38704" xr:uid="{00000000-0005-0000-0000-00002F970000}"/>
    <cellStyle name="Normal 2 2 5 3 3 4" xfId="38705" xr:uid="{00000000-0005-0000-0000-000030970000}"/>
    <cellStyle name="Normal 2 2 5 3 3 4 2" xfId="38706" xr:uid="{00000000-0005-0000-0000-000031970000}"/>
    <cellStyle name="Normal 2 2 5 3 3 4 2 2" xfId="38707" xr:uid="{00000000-0005-0000-0000-000032970000}"/>
    <cellStyle name="Normal 2 2 5 3 3 4 3" xfId="38708" xr:uid="{00000000-0005-0000-0000-000033970000}"/>
    <cellStyle name="Normal 2 2 5 3 3 5" xfId="38709" xr:uid="{00000000-0005-0000-0000-000034970000}"/>
    <cellStyle name="Normal 2 2 5 3 3 5 2" xfId="38710" xr:uid="{00000000-0005-0000-0000-000035970000}"/>
    <cellStyle name="Normal 2 2 5 3 3 5 2 2" xfId="38711" xr:uid="{00000000-0005-0000-0000-000036970000}"/>
    <cellStyle name="Normal 2 2 5 3 3 5 3" xfId="38712" xr:uid="{00000000-0005-0000-0000-000037970000}"/>
    <cellStyle name="Normal 2 2 5 3 3 6" xfId="38713" xr:uid="{00000000-0005-0000-0000-000038970000}"/>
    <cellStyle name="Normal 2 2 5 3 3 6 2" xfId="38714" xr:uid="{00000000-0005-0000-0000-000039970000}"/>
    <cellStyle name="Normal 2 2 5 3 3 6 2 2" xfId="38715" xr:uid="{00000000-0005-0000-0000-00003A970000}"/>
    <cellStyle name="Normal 2 2 5 3 3 6 3" xfId="38716" xr:uid="{00000000-0005-0000-0000-00003B970000}"/>
    <cellStyle name="Normal 2 2 5 3 3 7" xfId="38717" xr:uid="{00000000-0005-0000-0000-00003C970000}"/>
    <cellStyle name="Normal 2 2 5 3 3 7 2" xfId="38718" xr:uid="{00000000-0005-0000-0000-00003D970000}"/>
    <cellStyle name="Normal 2 2 5 3 3 8" xfId="38719" xr:uid="{00000000-0005-0000-0000-00003E970000}"/>
    <cellStyle name="Normal 2 2 5 3 4" xfId="38720" xr:uid="{00000000-0005-0000-0000-00003F970000}"/>
    <cellStyle name="Normal 2 2 5 3 4 2" xfId="38721" xr:uid="{00000000-0005-0000-0000-000040970000}"/>
    <cellStyle name="Normal 2 2 5 3 4 2 2" xfId="38722" xr:uid="{00000000-0005-0000-0000-000041970000}"/>
    <cellStyle name="Normal 2 2 5 3 4 2 2 2" xfId="38723" xr:uid="{00000000-0005-0000-0000-000042970000}"/>
    <cellStyle name="Normal 2 2 5 3 4 2 2 2 2" xfId="38724" xr:uid="{00000000-0005-0000-0000-000043970000}"/>
    <cellStyle name="Normal 2 2 5 3 4 2 2 3" xfId="38725" xr:uid="{00000000-0005-0000-0000-000044970000}"/>
    <cellStyle name="Normal 2 2 5 3 4 2 3" xfId="38726" xr:uid="{00000000-0005-0000-0000-000045970000}"/>
    <cellStyle name="Normal 2 2 5 3 4 2 3 2" xfId="38727" xr:uid="{00000000-0005-0000-0000-000046970000}"/>
    <cellStyle name="Normal 2 2 5 3 4 2 4" xfId="38728" xr:uid="{00000000-0005-0000-0000-000047970000}"/>
    <cellStyle name="Normal 2 2 5 3 4 3" xfId="38729" xr:uid="{00000000-0005-0000-0000-000048970000}"/>
    <cellStyle name="Normal 2 2 5 3 4 3 2" xfId="38730" xr:uid="{00000000-0005-0000-0000-000049970000}"/>
    <cellStyle name="Normal 2 2 5 3 4 3 2 2" xfId="38731" xr:uid="{00000000-0005-0000-0000-00004A970000}"/>
    <cellStyle name="Normal 2 2 5 3 4 3 3" xfId="38732" xr:uid="{00000000-0005-0000-0000-00004B970000}"/>
    <cellStyle name="Normal 2 2 5 3 4 4" xfId="38733" xr:uid="{00000000-0005-0000-0000-00004C970000}"/>
    <cellStyle name="Normal 2 2 5 3 4 4 2" xfId="38734" xr:uid="{00000000-0005-0000-0000-00004D970000}"/>
    <cellStyle name="Normal 2 2 5 3 4 4 2 2" xfId="38735" xr:uid="{00000000-0005-0000-0000-00004E970000}"/>
    <cellStyle name="Normal 2 2 5 3 4 4 3" xfId="38736" xr:uid="{00000000-0005-0000-0000-00004F970000}"/>
    <cellStyle name="Normal 2 2 5 3 4 5" xfId="38737" xr:uid="{00000000-0005-0000-0000-000050970000}"/>
    <cellStyle name="Normal 2 2 5 3 4 5 2" xfId="38738" xr:uid="{00000000-0005-0000-0000-000051970000}"/>
    <cellStyle name="Normal 2 2 5 3 4 5 2 2" xfId="38739" xr:uid="{00000000-0005-0000-0000-000052970000}"/>
    <cellStyle name="Normal 2 2 5 3 4 5 3" xfId="38740" xr:uid="{00000000-0005-0000-0000-000053970000}"/>
    <cellStyle name="Normal 2 2 5 3 4 6" xfId="38741" xr:uid="{00000000-0005-0000-0000-000054970000}"/>
    <cellStyle name="Normal 2 2 5 3 4 6 2" xfId="38742" xr:uid="{00000000-0005-0000-0000-000055970000}"/>
    <cellStyle name="Normal 2 2 5 3 4 6 2 2" xfId="38743" xr:uid="{00000000-0005-0000-0000-000056970000}"/>
    <cellStyle name="Normal 2 2 5 3 4 6 3" xfId="38744" xr:uid="{00000000-0005-0000-0000-000057970000}"/>
    <cellStyle name="Normal 2 2 5 3 4 7" xfId="38745" xr:uid="{00000000-0005-0000-0000-000058970000}"/>
    <cellStyle name="Normal 2 2 5 3 4 7 2" xfId="38746" xr:uid="{00000000-0005-0000-0000-000059970000}"/>
    <cellStyle name="Normal 2 2 5 3 4 8" xfId="38747" xr:uid="{00000000-0005-0000-0000-00005A970000}"/>
    <cellStyle name="Normal 2 2 5 3 5" xfId="38748" xr:uid="{00000000-0005-0000-0000-00005B970000}"/>
    <cellStyle name="Normal 2 2 5 3 5 2" xfId="38749" xr:uid="{00000000-0005-0000-0000-00005C970000}"/>
    <cellStyle name="Normal 2 2 5 3 5 2 2" xfId="38750" xr:uid="{00000000-0005-0000-0000-00005D970000}"/>
    <cellStyle name="Normal 2 2 5 3 5 2 2 2" xfId="38751" xr:uid="{00000000-0005-0000-0000-00005E970000}"/>
    <cellStyle name="Normal 2 2 5 3 5 2 2 2 2" xfId="38752" xr:uid="{00000000-0005-0000-0000-00005F970000}"/>
    <cellStyle name="Normal 2 2 5 3 5 2 2 3" xfId="38753" xr:uid="{00000000-0005-0000-0000-000060970000}"/>
    <cellStyle name="Normal 2 2 5 3 5 2 3" xfId="38754" xr:uid="{00000000-0005-0000-0000-000061970000}"/>
    <cellStyle name="Normal 2 2 5 3 5 2 3 2" xfId="38755" xr:uid="{00000000-0005-0000-0000-000062970000}"/>
    <cellStyle name="Normal 2 2 5 3 5 2 4" xfId="38756" xr:uid="{00000000-0005-0000-0000-000063970000}"/>
    <cellStyle name="Normal 2 2 5 3 5 3" xfId="38757" xr:uid="{00000000-0005-0000-0000-000064970000}"/>
    <cellStyle name="Normal 2 2 5 3 5 3 2" xfId="38758" xr:uid="{00000000-0005-0000-0000-000065970000}"/>
    <cellStyle name="Normal 2 2 5 3 5 3 2 2" xfId="38759" xr:uid="{00000000-0005-0000-0000-000066970000}"/>
    <cellStyle name="Normal 2 2 5 3 5 3 3" xfId="38760" xr:uid="{00000000-0005-0000-0000-000067970000}"/>
    <cellStyle name="Normal 2 2 5 3 5 4" xfId="38761" xr:uid="{00000000-0005-0000-0000-000068970000}"/>
    <cellStyle name="Normal 2 2 5 3 5 4 2" xfId="38762" xr:uid="{00000000-0005-0000-0000-000069970000}"/>
    <cellStyle name="Normal 2 2 5 3 5 5" xfId="38763" xr:uid="{00000000-0005-0000-0000-00006A970000}"/>
    <cellStyle name="Normal 2 2 5 3 6" xfId="38764" xr:uid="{00000000-0005-0000-0000-00006B970000}"/>
    <cellStyle name="Normal 2 2 5 3 6 2" xfId="38765" xr:uid="{00000000-0005-0000-0000-00006C970000}"/>
    <cellStyle name="Normal 2 2 5 3 6 2 2" xfId="38766" xr:uid="{00000000-0005-0000-0000-00006D970000}"/>
    <cellStyle name="Normal 2 2 5 3 6 2 2 2" xfId="38767" xr:uid="{00000000-0005-0000-0000-00006E970000}"/>
    <cellStyle name="Normal 2 2 5 3 6 2 2 2 2" xfId="38768" xr:uid="{00000000-0005-0000-0000-00006F970000}"/>
    <cellStyle name="Normal 2 2 5 3 6 2 2 3" xfId="38769" xr:uid="{00000000-0005-0000-0000-000070970000}"/>
    <cellStyle name="Normal 2 2 5 3 6 2 3" xfId="38770" xr:uid="{00000000-0005-0000-0000-000071970000}"/>
    <cellStyle name="Normal 2 2 5 3 6 2 3 2" xfId="38771" xr:uid="{00000000-0005-0000-0000-000072970000}"/>
    <cellStyle name="Normal 2 2 5 3 6 2 4" xfId="38772" xr:uid="{00000000-0005-0000-0000-000073970000}"/>
    <cellStyle name="Normal 2 2 5 3 6 3" xfId="38773" xr:uid="{00000000-0005-0000-0000-000074970000}"/>
    <cellStyle name="Normal 2 2 5 3 6 3 2" xfId="38774" xr:uid="{00000000-0005-0000-0000-000075970000}"/>
    <cellStyle name="Normal 2 2 5 3 6 3 2 2" xfId="38775" xr:uid="{00000000-0005-0000-0000-000076970000}"/>
    <cellStyle name="Normal 2 2 5 3 6 3 3" xfId="38776" xr:uid="{00000000-0005-0000-0000-000077970000}"/>
    <cellStyle name="Normal 2 2 5 3 6 4" xfId="38777" xr:uid="{00000000-0005-0000-0000-000078970000}"/>
    <cellStyle name="Normal 2 2 5 3 6 4 2" xfId="38778" xr:uid="{00000000-0005-0000-0000-000079970000}"/>
    <cellStyle name="Normal 2 2 5 3 6 5" xfId="38779" xr:uid="{00000000-0005-0000-0000-00007A970000}"/>
    <cellStyle name="Normal 2 2 5 3 7" xfId="38780" xr:uid="{00000000-0005-0000-0000-00007B970000}"/>
    <cellStyle name="Normal 2 2 5 3 7 2" xfId="38781" xr:uid="{00000000-0005-0000-0000-00007C970000}"/>
    <cellStyle name="Normal 2 2 5 3 7 2 2" xfId="38782" xr:uid="{00000000-0005-0000-0000-00007D970000}"/>
    <cellStyle name="Normal 2 2 5 3 7 2 2 2" xfId="38783" xr:uid="{00000000-0005-0000-0000-00007E970000}"/>
    <cellStyle name="Normal 2 2 5 3 7 2 3" xfId="38784" xr:uid="{00000000-0005-0000-0000-00007F970000}"/>
    <cellStyle name="Normal 2 2 5 3 7 3" xfId="38785" xr:uid="{00000000-0005-0000-0000-000080970000}"/>
    <cellStyle name="Normal 2 2 5 3 7 3 2" xfId="38786" xr:uid="{00000000-0005-0000-0000-000081970000}"/>
    <cellStyle name="Normal 2 2 5 3 7 4" xfId="38787" xr:uid="{00000000-0005-0000-0000-000082970000}"/>
    <cellStyle name="Normal 2 2 5 3 8" xfId="38788" xr:uid="{00000000-0005-0000-0000-000083970000}"/>
    <cellStyle name="Normal 2 2 5 3 8 2" xfId="38789" xr:uid="{00000000-0005-0000-0000-000084970000}"/>
    <cellStyle name="Normal 2 2 5 3 8 2 2" xfId="38790" xr:uid="{00000000-0005-0000-0000-000085970000}"/>
    <cellStyle name="Normal 2 2 5 3 8 2 2 2" xfId="38791" xr:uid="{00000000-0005-0000-0000-000086970000}"/>
    <cellStyle name="Normal 2 2 5 3 8 2 3" xfId="38792" xr:uid="{00000000-0005-0000-0000-000087970000}"/>
    <cellStyle name="Normal 2 2 5 3 8 3" xfId="38793" xr:uid="{00000000-0005-0000-0000-000088970000}"/>
    <cellStyle name="Normal 2 2 5 3 8 3 2" xfId="38794" xr:uid="{00000000-0005-0000-0000-000089970000}"/>
    <cellStyle name="Normal 2 2 5 3 8 4" xfId="38795" xr:uid="{00000000-0005-0000-0000-00008A970000}"/>
    <cellStyle name="Normal 2 2 5 3 9" xfId="38796" xr:uid="{00000000-0005-0000-0000-00008B970000}"/>
    <cellStyle name="Normal 2 2 5 3 9 2" xfId="38797" xr:uid="{00000000-0005-0000-0000-00008C970000}"/>
    <cellStyle name="Normal 2 2 5 3 9 2 2" xfId="38798" xr:uid="{00000000-0005-0000-0000-00008D970000}"/>
    <cellStyle name="Normal 2 2 5 3 9 3" xfId="38799" xr:uid="{00000000-0005-0000-0000-00008E970000}"/>
    <cellStyle name="Normal 2 2 5 4" xfId="38800" xr:uid="{00000000-0005-0000-0000-00008F970000}"/>
    <cellStyle name="Normal 2 2 5 4 10" xfId="38801" xr:uid="{00000000-0005-0000-0000-000090970000}"/>
    <cellStyle name="Normal 2 2 5 4 10 2" xfId="38802" xr:uid="{00000000-0005-0000-0000-000091970000}"/>
    <cellStyle name="Normal 2 2 5 4 10 2 2" xfId="38803" xr:uid="{00000000-0005-0000-0000-000092970000}"/>
    <cellStyle name="Normal 2 2 5 4 10 3" xfId="38804" xr:uid="{00000000-0005-0000-0000-000093970000}"/>
    <cellStyle name="Normal 2 2 5 4 11" xfId="38805" xr:uid="{00000000-0005-0000-0000-000094970000}"/>
    <cellStyle name="Normal 2 2 5 4 11 2" xfId="38806" xr:uid="{00000000-0005-0000-0000-000095970000}"/>
    <cellStyle name="Normal 2 2 5 4 11 2 2" xfId="38807" xr:uid="{00000000-0005-0000-0000-000096970000}"/>
    <cellStyle name="Normal 2 2 5 4 11 3" xfId="38808" xr:uid="{00000000-0005-0000-0000-000097970000}"/>
    <cellStyle name="Normal 2 2 5 4 12" xfId="38809" xr:uid="{00000000-0005-0000-0000-000098970000}"/>
    <cellStyle name="Normal 2 2 5 4 12 2" xfId="38810" xr:uid="{00000000-0005-0000-0000-000099970000}"/>
    <cellStyle name="Normal 2 2 5 4 12 2 2" xfId="38811" xr:uid="{00000000-0005-0000-0000-00009A970000}"/>
    <cellStyle name="Normal 2 2 5 4 12 3" xfId="38812" xr:uid="{00000000-0005-0000-0000-00009B970000}"/>
    <cellStyle name="Normal 2 2 5 4 13" xfId="38813" xr:uid="{00000000-0005-0000-0000-00009C970000}"/>
    <cellStyle name="Normal 2 2 5 4 13 2" xfId="38814" xr:uid="{00000000-0005-0000-0000-00009D970000}"/>
    <cellStyle name="Normal 2 2 5 4 14" xfId="38815" xr:uid="{00000000-0005-0000-0000-00009E970000}"/>
    <cellStyle name="Normal 2 2 5 4 2" xfId="38816" xr:uid="{00000000-0005-0000-0000-00009F970000}"/>
    <cellStyle name="Normal 2 2 5 4 2 2" xfId="38817" xr:uid="{00000000-0005-0000-0000-0000A0970000}"/>
    <cellStyle name="Normal 2 2 5 4 2 2 2" xfId="38818" xr:uid="{00000000-0005-0000-0000-0000A1970000}"/>
    <cellStyle name="Normal 2 2 5 4 2 2 2 2" xfId="38819" xr:uid="{00000000-0005-0000-0000-0000A2970000}"/>
    <cellStyle name="Normal 2 2 5 4 2 2 2 2 2" xfId="38820" xr:uid="{00000000-0005-0000-0000-0000A3970000}"/>
    <cellStyle name="Normal 2 2 5 4 2 2 2 3" xfId="38821" xr:uid="{00000000-0005-0000-0000-0000A4970000}"/>
    <cellStyle name="Normal 2 2 5 4 2 2 3" xfId="38822" xr:uid="{00000000-0005-0000-0000-0000A5970000}"/>
    <cellStyle name="Normal 2 2 5 4 2 2 3 2" xfId="38823" xr:uid="{00000000-0005-0000-0000-0000A6970000}"/>
    <cellStyle name="Normal 2 2 5 4 2 2 4" xfId="38824" xr:uid="{00000000-0005-0000-0000-0000A7970000}"/>
    <cellStyle name="Normal 2 2 5 4 2 3" xfId="38825" xr:uid="{00000000-0005-0000-0000-0000A8970000}"/>
    <cellStyle name="Normal 2 2 5 4 2 3 2" xfId="38826" xr:uid="{00000000-0005-0000-0000-0000A9970000}"/>
    <cellStyle name="Normal 2 2 5 4 2 3 2 2" xfId="38827" xr:uid="{00000000-0005-0000-0000-0000AA970000}"/>
    <cellStyle name="Normal 2 2 5 4 2 3 3" xfId="38828" xr:uid="{00000000-0005-0000-0000-0000AB970000}"/>
    <cellStyle name="Normal 2 2 5 4 2 4" xfId="38829" xr:uid="{00000000-0005-0000-0000-0000AC970000}"/>
    <cellStyle name="Normal 2 2 5 4 2 4 2" xfId="38830" xr:uid="{00000000-0005-0000-0000-0000AD970000}"/>
    <cellStyle name="Normal 2 2 5 4 2 4 2 2" xfId="38831" xr:uid="{00000000-0005-0000-0000-0000AE970000}"/>
    <cellStyle name="Normal 2 2 5 4 2 4 3" xfId="38832" xr:uid="{00000000-0005-0000-0000-0000AF970000}"/>
    <cellStyle name="Normal 2 2 5 4 2 5" xfId="38833" xr:uid="{00000000-0005-0000-0000-0000B0970000}"/>
    <cellStyle name="Normal 2 2 5 4 2 5 2" xfId="38834" xr:uid="{00000000-0005-0000-0000-0000B1970000}"/>
    <cellStyle name="Normal 2 2 5 4 2 5 2 2" xfId="38835" xr:uid="{00000000-0005-0000-0000-0000B2970000}"/>
    <cellStyle name="Normal 2 2 5 4 2 5 3" xfId="38836" xr:uid="{00000000-0005-0000-0000-0000B3970000}"/>
    <cellStyle name="Normal 2 2 5 4 2 6" xfId="38837" xr:uid="{00000000-0005-0000-0000-0000B4970000}"/>
    <cellStyle name="Normal 2 2 5 4 2 6 2" xfId="38838" xr:uid="{00000000-0005-0000-0000-0000B5970000}"/>
    <cellStyle name="Normal 2 2 5 4 2 6 2 2" xfId="38839" xr:uid="{00000000-0005-0000-0000-0000B6970000}"/>
    <cellStyle name="Normal 2 2 5 4 2 6 3" xfId="38840" xr:uid="{00000000-0005-0000-0000-0000B7970000}"/>
    <cellStyle name="Normal 2 2 5 4 2 7" xfId="38841" xr:uid="{00000000-0005-0000-0000-0000B8970000}"/>
    <cellStyle name="Normal 2 2 5 4 2 7 2" xfId="38842" xr:uid="{00000000-0005-0000-0000-0000B9970000}"/>
    <cellStyle name="Normal 2 2 5 4 2 8" xfId="38843" xr:uid="{00000000-0005-0000-0000-0000BA970000}"/>
    <cellStyle name="Normal 2 2 5 4 3" xfId="38844" xr:uid="{00000000-0005-0000-0000-0000BB970000}"/>
    <cellStyle name="Normal 2 2 5 4 3 2" xfId="38845" xr:uid="{00000000-0005-0000-0000-0000BC970000}"/>
    <cellStyle name="Normal 2 2 5 4 3 2 2" xfId="38846" xr:uid="{00000000-0005-0000-0000-0000BD970000}"/>
    <cellStyle name="Normal 2 2 5 4 3 2 2 2" xfId="38847" xr:uid="{00000000-0005-0000-0000-0000BE970000}"/>
    <cellStyle name="Normal 2 2 5 4 3 2 2 2 2" xfId="38848" xr:uid="{00000000-0005-0000-0000-0000BF970000}"/>
    <cellStyle name="Normal 2 2 5 4 3 2 2 3" xfId="38849" xr:uid="{00000000-0005-0000-0000-0000C0970000}"/>
    <cellStyle name="Normal 2 2 5 4 3 2 3" xfId="38850" xr:uid="{00000000-0005-0000-0000-0000C1970000}"/>
    <cellStyle name="Normal 2 2 5 4 3 2 3 2" xfId="38851" xr:uid="{00000000-0005-0000-0000-0000C2970000}"/>
    <cellStyle name="Normal 2 2 5 4 3 2 4" xfId="38852" xr:uid="{00000000-0005-0000-0000-0000C3970000}"/>
    <cellStyle name="Normal 2 2 5 4 3 3" xfId="38853" xr:uid="{00000000-0005-0000-0000-0000C4970000}"/>
    <cellStyle name="Normal 2 2 5 4 3 3 2" xfId="38854" xr:uid="{00000000-0005-0000-0000-0000C5970000}"/>
    <cellStyle name="Normal 2 2 5 4 3 3 2 2" xfId="38855" xr:uid="{00000000-0005-0000-0000-0000C6970000}"/>
    <cellStyle name="Normal 2 2 5 4 3 3 3" xfId="38856" xr:uid="{00000000-0005-0000-0000-0000C7970000}"/>
    <cellStyle name="Normal 2 2 5 4 3 4" xfId="38857" xr:uid="{00000000-0005-0000-0000-0000C8970000}"/>
    <cellStyle name="Normal 2 2 5 4 3 4 2" xfId="38858" xr:uid="{00000000-0005-0000-0000-0000C9970000}"/>
    <cellStyle name="Normal 2 2 5 4 3 4 2 2" xfId="38859" xr:uid="{00000000-0005-0000-0000-0000CA970000}"/>
    <cellStyle name="Normal 2 2 5 4 3 4 3" xfId="38860" xr:uid="{00000000-0005-0000-0000-0000CB970000}"/>
    <cellStyle name="Normal 2 2 5 4 3 5" xfId="38861" xr:uid="{00000000-0005-0000-0000-0000CC970000}"/>
    <cellStyle name="Normal 2 2 5 4 3 5 2" xfId="38862" xr:uid="{00000000-0005-0000-0000-0000CD970000}"/>
    <cellStyle name="Normal 2 2 5 4 3 5 2 2" xfId="38863" xr:uid="{00000000-0005-0000-0000-0000CE970000}"/>
    <cellStyle name="Normal 2 2 5 4 3 5 3" xfId="38864" xr:uid="{00000000-0005-0000-0000-0000CF970000}"/>
    <cellStyle name="Normal 2 2 5 4 3 6" xfId="38865" xr:uid="{00000000-0005-0000-0000-0000D0970000}"/>
    <cellStyle name="Normal 2 2 5 4 3 6 2" xfId="38866" xr:uid="{00000000-0005-0000-0000-0000D1970000}"/>
    <cellStyle name="Normal 2 2 5 4 3 6 2 2" xfId="38867" xr:uid="{00000000-0005-0000-0000-0000D2970000}"/>
    <cellStyle name="Normal 2 2 5 4 3 6 3" xfId="38868" xr:uid="{00000000-0005-0000-0000-0000D3970000}"/>
    <cellStyle name="Normal 2 2 5 4 3 7" xfId="38869" xr:uid="{00000000-0005-0000-0000-0000D4970000}"/>
    <cellStyle name="Normal 2 2 5 4 3 7 2" xfId="38870" xr:uid="{00000000-0005-0000-0000-0000D5970000}"/>
    <cellStyle name="Normal 2 2 5 4 3 8" xfId="38871" xr:uid="{00000000-0005-0000-0000-0000D6970000}"/>
    <cellStyle name="Normal 2 2 5 4 4" xfId="38872" xr:uid="{00000000-0005-0000-0000-0000D7970000}"/>
    <cellStyle name="Normal 2 2 5 4 4 2" xfId="38873" xr:uid="{00000000-0005-0000-0000-0000D8970000}"/>
    <cellStyle name="Normal 2 2 5 4 4 2 2" xfId="38874" xr:uid="{00000000-0005-0000-0000-0000D9970000}"/>
    <cellStyle name="Normal 2 2 5 4 4 2 2 2" xfId="38875" xr:uid="{00000000-0005-0000-0000-0000DA970000}"/>
    <cellStyle name="Normal 2 2 5 4 4 2 2 2 2" xfId="38876" xr:uid="{00000000-0005-0000-0000-0000DB970000}"/>
    <cellStyle name="Normal 2 2 5 4 4 2 2 3" xfId="38877" xr:uid="{00000000-0005-0000-0000-0000DC970000}"/>
    <cellStyle name="Normal 2 2 5 4 4 2 3" xfId="38878" xr:uid="{00000000-0005-0000-0000-0000DD970000}"/>
    <cellStyle name="Normal 2 2 5 4 4 2 3 2" xfId="38879" xr:uid="{00000000-0005-0000-0000-0000DE970000}"/>
    <cellStyle name="Normal 2 2 5 4 4 2 4" xfId="38880" xr:uid="{00000000-0005-0000-0000-0000DF970000}"/>
    <cellStyle name="Normal 2 2 5 4 4 3" xfId="38881" xr:uid="{00000000-0005-0000-0000-0000E0970000}"/>
    <cellStyle name="Normal 2 2 5 4 4 3 2" xfId="38882" xr:uid="{00000000-0005-0000-0000-0000E1970000}"/>
    <cellStyle name="Normal 2 2 5 4 4 3 2 2" xfId="38883" xr:uid="{00000000-0005-0000-0000-0000E2970000}"/>
    <cellStyle name="Normal 2 2 5 4 4 3 3" xfId="38884" xr:uid="{00000000-0005-0000-0000-0000E3970000}"/>
    <cellStyle name="Normal 2 2 5 4 4 4" xfId="38885" xr:uid="{00000000-0005-0000-0000-0000E4970000}"/>
    <cellStyle name="Normal 2 2 5 4 4 4 2" xfId="38886" xr:uid="{00000000-0005-0000-0000-0000E5970000}"/>
    <cellStyle name="Normal 2 2 5 4 4 4 2 2" xfId="38887" xr:uid="{00000000-0005-0000-0000-0000E6970000}"/>
    <cellStyle name="Normal 2 2 5 4 4 4 3" xfId="38888" xr:uid="{00000000-0005-0000-0000-0000E7970000}"/>
    <cellStyle name="Normal 2 2 5 4 4 5" xfId="38889" xr:uid="{00000000-0005-0000-0000-0000E8970000}"/>
    <cellStyle name="Normal 2 2 5 4 4 5 2" xfId="38890" xr:uid="{00000000-0005-0000-0000-0000E9970000}"/>
    <cellStyle name="Normal 2 2 5 4 4 5 2 2" xfId="38891" xr:uid="{00000000-0005-0000-0000-0000EA970000}"/>
    <cellStyle name="Normal 2 2 5 4 4 5 3" xfId="38892" xr:uid="{00000000-0005-0000-0000-0000EB970000}"/>
    <cellStyle name="Normal 2 2 5 4 4 6" xfId="38893" xr:uid="{00000000-0005-0000-0000-0000EC970000}"/>
    <cellStyle name="Normal 2 2 5 4 4 6 2" xfId="38894" xr:uid="{00000000-0005-0000-0000-0000ED970000}"/>
    <cellStyle name="Normal 2 2 5 4 4 6 2 2" xfId="38895" xr:uid="{00000000-0005-0000-0000-0000EE970000}"/>
    <cellStyle name="Normal 2 2 5 4 4 6 3" xfId="38896" xr:uid="{00000000-0005-0000-0000-0000EF970000}"/>
    <cellStyle name="Normal 2 2 5 4 4 7" xfId="38897" xr:uid="{00000000-0005-0000-0000-0000F0970000}"/>
    <cellStyle name="Normal 2 2 5 4 4 7 2" xfId="38898" xr:uid="{00000000-0005-0000-0000-0000F1970000}"/>
    <cellStyle name="Normal 2 2 5 4 4 8" xfId="38899" xr:uid="{00000000-0005-0000-0000-0000F2970000}"/>
    <cellStyle name="Normal 2 2 5 4 5" xfId="38900" xr:uid="{00000000-0005-0000-0000-0000F3970000}"/>
    <cellStyle name="Normal 2 2 5 4 5 2" xfId="38901" xr:uid="{00000000-0005-0000-0000-0000F4970000}"/>
    <cellStyle name="Normal 2 2 5 4 5 2 2" xfId="38902" xr:uid="{00000000-0005-0000-0000-0000F5970000}"/>
    <cellStyle name="Normal 2 2 5 4 5 2 2 2" xfId="38903" xr:uid="{00000000-0005-0000-0000-0000F6970000}"/>
    <cellStyle name="Normal 2 2 5 4 5 2 2 2 2" xfId="38904" xr:uid="{00000000-0005-0000-0000-0000F7970000}"/>
    <cellStyle name="Normal 2 2 5 4 5 2 2 3" xfId="38905" xr:uid="{00000000-0005-0000-0000-0000F8970000}"/>
    <cellStyle name="Normal 2 2 5 4 5 2 3" xfId="38906" xr:uid="{00000000-0005-0000-0000-0000F9970000}"/>
    <cellStyle name="Normal 2 2 5 4 5 2 3 2" xfId="38907" xr:uid="{00000000-0005-0000-0000-0000FA970000}"/>
    <cellStyle name="Normal 2 2 5 4 5 2 4" xfId="38908" xr:uid="{00000000-0005-0000-0000-0000FB970000}"/>
    <cellStyle name="Normal 2 2 5 4 5 3" xfId="38909" xr:uid="{00000000-0005-0000-0000-0000FC970000}"/>
    <cellStyle name="Normal 2 2 5 4 5 3 2" xfId="38910" xr:uid="{00000000-0005-0000-0000-0000FD970000}"/>
    <cellStyle name="Normal 2 2 5 4 5 3 2 2" xfId="38911" xr:uid="{00000000-0005-0000-0000-0000FE970000}"/>
    <cellStyle name="Normal 2 2 5 4 5 3 3" xfId="38912" xr:uid="{00000000-0005-0000-0000-0000FF970000}"/>
    <cellStyle name="Normal 2 2 5 4 5 4" xfId="38913" xr:uid="{00000000-0005-0000-0000-000000980000}"/>
    <cellStyle name="Normal 2 2 5 4 5 4 2" xfId="38914" xr:uid="{00000000-0005-0000-0000-000001980000}"/>
    <cellStyle name="Normal 2 2 5 4 5 5" xfId="38915" xr:uid="{00000000-0005-0000-0000-000002980000}"/>
    <cellStyle name="Normal 2 2 5 4 6" xfId="38916" xr:uid="{00000000-0005-0000-0000-000003980000}"/>
    <cellStyle name="Normal 2 2 5 4 6 2" xfId="38917" xr:uid="{00000000-0005-0000-0000-000004980000}"/>
    <cellStyle name="Normal 2 2 5 4 6 2 2" xfId="38918" xr:uid="{00000000-0005-0000-0000-000005980000}"/>
    <cellStyle name="Normal 2 2 5 4 6 2 2 2" xfId="38919" xr:uid="{00000000-0005-0000-0000-000006980000}"/>
    <cellStyle name="Normal 2 2 5 4 6 2 2 2 2" xfId="38920" xr:uid="{00000000-0005-0000-0000-000007980000}"/>
    <cellStyle name="Normal 2 2 5 4 6 2 2 3" xfId="38921" xr:uid="{00000000-0005-0000-0000-000008980000}"/>
    <cellStyle name="Normal 2 2 5 4 6 2 3" xfId="38922" xr:uid="{00000000-0005-0000-0000-000009980000}"/>
    <cellStyle name="Normal 2 2 5 4 6 2 3 2" xfId="38923" xr:uid="{00000000-0005-0000-0000-00000A980000}"/>
    <cellStyle name="Normal 2 2 5 4 6 2 4" xfId="38924" xr:uid="{00000000-0005-0000-0000-00000B980000}"/>
    <cellStyle name="Normal 2 2 5 4 6 3" xfId="38925" xr:uid="{00000000-0005-0000-0000-00000C980000}"/>
    <cellStyle name="Normal 2 2 5 4 6 3 2" xfId="38926" xr:uid="{00000000-0005-0000-0000-00000D980000}"/>
    <cellStyle name="Normal 2 2 5 4 6 3 2 2" xfId="38927" xr:uid="{00000000-0005-0000-0000-00000E980000}"/>
    <cellStyle name="Normal 2 2 5 4 6 3 3" xfId="38928" xr:uid="{00000000-0005-0000-0000-00000F980000}"/>
    <cellStyle name="Normal 2 2 5 4 6 4" xfId="38929" xr:uid="{00000000-0005-0000-0000-000010980000}"/>
    <cellStyle name="Normal 2 2 5 4 6 4 2" xfId="38930" xr:uid="{00000000-0005-0000-0000-000011980000}"/>
    <cellStyle name="Normal 2 2 5 4 6 5" xfId="38931" xr:uid="{00000000-0005-0000-0000-000012980000}"/>
    <cellStyle name="Normal 2 2 5 4 7" xfId="38932" xr:uid="{00000000-0005-0000-0000-000013980000}"/>
    <cellStyle name="Normal 2 2 5 4 7 2" xfId="38933" xr:uid="{00000000-0005-0000-0000-000014980000}"/>
    <cellStyle name="Normal 2 2 5 4 7 2 2" xfId="38934" xr:uid="{00000000-0005-0000-0000-000015980000}"/>
    <cellStyle name="Normal 2 2 5 4 7 2 2 2" xfId="38935" xr:uid="{00000000-0005-0000-0000-000016980000}"/>
    <cellStyle name="Normal 2 2 5 4 7 2 3" xfId="38936" xr:uid="{00000000-0005-0000-0000-000017980000}"/>
    <cellStyle name="Normal 2 2 5 4 7 3" xfId="38937" xr:uid="{00000000-0005-0000-0000-000018980000}"/>
    <cellStyle name="Normal 2 2 5 4 7 3 2" xfId="38938" xr:uid="{00000000-0005-0000-0000-000019980000}"/>
    <cellStyle name="Normal 2 2 5 4 7 4" xfId="38939" xr:uid="{00000000-0005-0000-0000-00001A980000}"/>
    <cellStyle name="Normal 2 2 5 4 8" xfId="38940" xr:uid="{00000000-0005-0000-0000-00001B980000}"/>
    <cellStyle name="Normal 2 2 5 4 8 2" xfId="38941" xr:uid="{00000000-0005-0000-0000-00001C980000}"/>
    <cellStyle name="Normal 2 2 5 4 8 2 2" xfId="38942" xr:uid="{00000000-0005-0000-0000-00001D980000}"/>
    <cellStyle name="Normal 2 2 5 4 8 2 2 2" xfId="38943" xr:uid="{00000000-0005-0000-0000-00001E980000}"/>
    <cellStyle name="Normal 2 2 5 4 8 2 3" xfId="38944" xr:uid="{00000000-0005-0000-0000-00001F980000}"/>
    <cellStyle name="Normal 2 2 5 4 8 3" xfId="38945" xr:uid="{00000000-0005-0000-0000-000020980000}"/>
    <cellStyle name="Normal 2 2 5 4 8 3 2" xfId="38946" xr:uid="{00000000-0005-0000-0000-000021980000}"/>
    <cellStyle name="Normal 2 2 5 4 8 4" xfId="38947" xr:uid="{00000000-0005-0000-0000-000022980000}"/>
    <cellStyle name="Normal 2 2 5 4 9" xfId="38948" xr:uid="{00000000-0005-0000-0000-000023980000}"/>
    <cellStyle name="Normal 2 2 5 4 9 2" xfId="38949" xr:uid="{00000000-0005-0000-0000-000024980000}"/>
    <cellStyle name="Normal 2 2 5 4 9 2 2" xfId="38950" xr:uid="{00000000-0005-0000-0000-000025980000}"/>
    <cellStyle name="Normal 2 2 5 4 9 3" xfId="38951" xr:uid="{00000000-0005-0000-0000-000026980000}"/>
    <cellStyle name="Normal 2 2 5 5" xfId="38952" xr:uid="{00000000-0005-0000-0000-000027980000}"/>
    <cellStyle name="Normal 2 2 5 5 10" xfId="38953" xr:uid="{00000000-0005-0000-0000-000028980000}"/>
    <cellStyle name="Normal 2 2 5 5 10 2" xfId="38954" xr:uid="{00000000-0005-0000-0000-000029980000}"/>
    <cellStyle name="Normal 2 2 5 5 10 2 2" xfId="38955" xr:uid="{00000000-0005-0000-0000-00002A980000}"/>
    <cellStyle name="Normal 2 2 5 5 10 3" xfId="38956" xr:uid="{00000000-0005-0000-0000-00002B980000}"/>
    <cellStyle name="Normal 2 2 5 5 11" xfId="38957" xr:uid="{00000000-0005-0000-0000-00002C980000}"/>
    <cellStyle name="Normal 2 2 5 5 11 2" xfId="38958" xr:uid="{00000000-0005-0000-0000-00002D980000}"/>
    <cellStyle name="Normal 2 2 5 5 11 2 2" xfId="38959" xr:uid="{00000000-0005-0000-0000-00002E980000}"/>
    <cellStyle name="Normal 2 2 5 5 11 3" xfId="38960" xr:uid="{00000000-0005-0000-0000-00002F980000}"/>
    <cellStyle name="Normal 2 2 5 5 12" xfId="38961" xr:uid="{00000000-0005-0000-0000-000030980000}"/>
    <cellStyle name="Normal 2 2 5 5 12 2" xfId="38962" xr:uid="{00000000-0005-0000-0000-000031980000}"/>
    <cellStyle name="Normal 2 2 5 5 12 2 2" xfId="38963" xr:uid="{00000000-0005-0000-0000-000032980000}"/>
    <cellStyle name="Normal 2 2 5 5 12 3" xfId="38964" xr:uid="{00000000-0005-0000-0000-000033980000}"/>
    <cellStyle name="Normal 2 2 5 5 13" xfId="38965" xr:uid="{00000000-0005-0000-0000-000034980000}"/>
    <cellStyle name="Normal 2 2 5 5 13 2" xfId="38966" xr:uid="{00000000-0005-0000-0000-000035980000}"/>
    <cellStyle name="Normal 2 2 5 5 14" xfId="38967" xr:uid="{00000000-0005-0000-0000-000036980000}"/>
    <cellStyle name="Normal 2 2 5 5 2" xfId="38968" xr:uid="{00000000-0005-0000-0000-000037980000}"/>
    <cellStyle name="Normal 2 2 5 5 2 2" xfId="38969" xr:uid="{00000000-0005-0000-0000-000038980000}"/>
    <cellStyle name="Normal 2 2 5 5 2 2 2" xfId="38970" xr:uid="{00000000-0005-0000-0000-000039980000}"/>
    <cellStyle name="Normal 2 2 5 5 2 2 2 2" xfId="38971" xr:uid="{00000000-0005-0000-0000-00003A980000}"/>
    <cellStyle name="Normal 2 2 5 5 2 2 2 2 2" xfId="38972" xr:uid="{00000000-0005-0000-0000-00003B980000}"/>
    <cellStyle name="Normal 2 2 5 5 2 2 2 3" xfId="38973" xr:uid="{00000000-0005-0000-0000-00003C980000}"/>
    <cellStyle name="Normal 2 2 5 5 2 2 3" xfId="38974" xr:uid="{00000000-0005-0000-0000-00003D980000}"/>
    <cellStyle name="Normal 2 2 5 5 2 2 3 2" xfId="38975" xr:uid="{00000000-0005-0000-0000-00003E980000}"/>
    <cellStyle name="Normal 2 2 5 5 2 2 4" xfId="38976" xr:uid="{00000000-0005-0000-0000-00003F980000}"/>
    <cellStyle name="Normal 2 2 5 5 2 3" xfId="38977" xr:uid="{00000000-0005-0000-0000-000040980000}"/>
    <cellStyle name="Normal 2 2 5 5 2 3 2" xfId="38978" xr:uid="{00000000-0005-0000-0000-000041980000}"/>
    <cellStyle name="Normal 2 2 5 5 2 3 2 2" xfId="38979" xr:uid="{00000000-0005-0000-0000-000042980000}"/>
    <cellStyle name="Normal 2 2 5 5 2 3 3" xfId="38980" xr:uid="{00000000-0005-0000-0000-000043980000}"/>
    <cellStyle name="Normal 2 2 5 5 2 4" xfId="38981" xr:uid="{00000000-0005-0000-0000-000044980000}"/>
    <cellStyle name="Normal 2 2 5 5 2 4 2" xfId="38982" xr:uid="{00000000-0005-0000-0000-000045980000}"/>
    <cellStyle name="Normal 2 2 5 5 2 4 2 2" xfId="38983" xr:uid="{00000000-0005-0000-0000-000046980000}"/>
    <cellStyle name="Normal 2 2 5 5 2 4 3" xfId="38984" xr:uid="{00000000-0005-0000-0000-000047980000}"/>
    <cellStyle name="Normal 2 2 5 5 2 5" xfId="38985" xr:uid="{00000000-0005-0000-0000-000048980000}"/>
    <cellStyle name="Normal 2 2 5 5 2 5 2" xfId="38986" xr:uid="{00000000-0005-0000-0000-000049980000}"/>
    <cellStyle name="Normal 2 2 5 5 2 5 2 2" xfId="38987" xr:uid="{00000000-0005-0000-0000-00004A980000}"/>
    <cellStyle name="Normal 2 2 5 5 2 5 3" xfId="38988" xr:uid="{00000000-0005-0000-0000-00004B980000}"/>
    <cellStyle name="Normal 2 2 5 5 2 6" xfId="38989" xr:uid="{00000000-0005-0000-0000-00004C980000}"/>
    <cellStyle name="Normal 2 2 5 5 2 6 2" xfId="38990" xr:uid="{00000000-0005-0000-0000-00004D980000}"/>
    <cellStyle name="Normal 2 2 5 5 2 6 2 2" xfId="38991" xr:uid="{00000000-0005-0000-0000-00004E980000}"/>
    <cellStyle name="Normal 2 2 5 5 2 6 3" xfId="38992" xr:uid="{00000000-0005-0000-0000-00004F980000}"/>
    <cellStyle name="Normal 2 2 5 5 2 7" xfId="38993" xr:uid="{00000000-0005-0000-0000-000050980000}"/>
    <cellStyle name="Normal 2 2 5 5 2 7 2" xfId="38994" xr:uid="{00000000-0005-0000-0000-000051980000}"/>
    <cellStyle name="Normal 2 2 5 5 2 8" xfId="38995" xr:uid="{00000000-0005-0000-0000-000052980000}"/>
    <cellStyle name="Normal 2 2 5 5 3" xfId="38996" xr:uid="{00000000-0005-0000-0000-000053980000}"/>
    <cellStyle name="Normal 2 2 5 5 3 2" xfId="38997" xr:uid="{00000000-0005-0000-0000-000054980000}"/>
    <cellStyle name="Normal 2 2 5 5 3 2 2" xfId="38998" xr:uid="{00000000-0005-0000-0000-000055980000}"/>
    <cellStyle name="Normal 2 2 5 5 3 2 2 2" xfId="38999" xr:uid="{00000000-0005-0000-0000-000056980000}"/>
    <cellStyle name="Normal 2 2 5 5 3 2 2 2 2" xfId="39000" xr:uid="{00000000-0005-0000-0000-000057980000}"/>
    <cellStyle name="Normal 2 2 5 5 3 2 2 3" xfId="39001" xr:uid="{00000000-0005-0000-0000-000058980000}"/>
    <cellStyle name="Normal 2 2 5 5 3 2 3" xfId="39002" xr:uid="{00000000-0005-0000-0000-000059980000}"/>
    <cellStyle name="Normal 2 2 5 5 3 2 3 2" xfId="39003" xr:uid="{00000000-0005-0000-0000-00005A980000}"/>
    <cellStyle name="Normal 2 2 5 5 3 2 4" xfId="39004" xr:uid="{00000000-0005-0000-0000-00005B980000}"/>
    <cellStyle name="Normal 2 2 5 5 3 3" xfId="39005" xr:uid="{00000000-0005-0000-0000-00005C980000}"/>
    <cellStyle name="Normal 2 2 5 5 3 3 2" xfId="39006" xr:uid="{00000000-0005-0000-0000-00005D980000}"/>
    <cellStyle name="Normal 2 2 5 5 3 3 2 2" xfId="39007" xr:uid="{00000000-0005-0000-0000-00005E980000}"/>
    <cellStyle name="Normal 2 2 5 5 3 3 3" xfId="39008" xr:uid="{00000000-0005-0000-0000-00005F980000}"/>
    <cellStyle name="Normal 2 2 5 5 3 4" xfId="39009" xr:uid="{00000000-0005-0000-0000-000060980000}"/>
    <cellStyle name="Normal 2 2 5 5 3 4 2" xfId="39010" xr:uid="{00000000-0005-0000-0000-000061980000}"/>
    <cellStyle name="Normal 2 2 5 5 3 4 2 2" xfId="39011" xr:uid="{00000000-0005-0000-0000-000062980000}"/>
    <cellStyle name="Normal 2 2 5 5 3 4 3" xfId="39012" xr:uid="{00000000-0005-0000-0000-000063980000}"/>
    <cellStyle name="Normal 2 2 5 5 3 5" xfId="39013" xr:uid="{00000000-0005-0000-0000-000064980000}"/>
    <cellStyle name="Normal 2 2 5 5 3 5 2" xfId="39014" xr:uid="{00000000-0005-0000-0000-000065980000}"/>
    <cellStyle name="Normal 2 2 5 5 3 5 2 2" xfId="39015" xr:uid="{00000000-0005-0000-0000-000066980000}"/>
    <cellStyle name="Normal 2 2 5 5 3 5 3" xfId="39016" xr:uid="{00000000-0005-0000-0000-000067980000}"/>
    <cellStyle name="Normal 2 2 5 5 3 6" xfId="39017" xr:uid="{00000000-0005-0000-0000-000068980000}"/>
    <cellStyle name="Normal 2 2 5 5 3 6 2" xfId="39018" xr:uid="{00000000-0005-0000-0000-000069980000}"/>
    <cellStyle name="Normal 2 2 5 5 3 6 2 2" xfId="39019" xr:uid="{00000000-0005-0000-0000-00006A980000}"/>
    <cellStyle name="Normal 2 2 5 5 3 6 3" xfId="39020" xr:uid="{00000000-0005-0000-0000-00006B980000}"/>
    <cellStyle name="Normal 2 2 5 5 3 7" xfId="39021" xr:uid="{00000000-0005-0000-0000-00006C980000}"/>
    <cellStyle name="Normal 2 2 5 5 3 7 2" xfId="39022" xr:uid="{00000000-0005-0000-0000-00006D980000}"/>
    <cellStyle name="Normal 2 2 5 5 3 8" xfId="39023" xr:uid="{00000000-0005-0000-0000-00006E980000}"/>
    <cellStyle name="Normal 2 2 5 5 4" xfId="39024" xr:uid="{00000000-0005-0000-0000-00006F980000}"/>
    <cellStyle name="Normal 2 2 5 5 4 2" xfId="39025" xr:uid="{00000000-0005-0000-0000-000070980000}"/>
    <cellStyle name="Normal 2 2 5 5 4 2 2" xfId="39026" xr:uid="{00000000-0005-0000-0000-000071980000}"/>
    <cellStyle name="Normal 2 2 5 5 4 2 2 2" xfId="39027" xr:uid="{00000000-0005-0000-0000-000072980000}"/>
    <cellStyle name="Normal 2 2 5 5 4 2 2 2 2" xfId="39028" xr:uid="{00000000-0005-0000-0000-000073980000}"/>
    <cellStyle name="Normal 2 2 5 5 4 2 2 3" xfId="39029" xr:uid="{00000000-0005-0000-0000-000074980000}"/>
    <cellStyle name="Normal 2 2 5 5 4 2 3" xfId="39030" xr:uid="{00000000-0005-0000-0000-000075980000}"/>
    <cellStyle name="Normal 2 2 5 5 4 2 3 2" xfId="39031" xr:uid="{00000000-0005-0000-0000-000076980000}"/>
    <cellStyle name="Normal 2 2 5 5 4 2 4" xfId="39032" xr:uid="{00000000-0005-0000-0000-000077980000}"/>
    <cellStyle name="Normal 2 2 5 5 4 3" xfId="39033" xr:uid="{00000000-0005-0000-0000-000078980000}"/>
    <cellStyle name="Normal 2 2 5 5 4 3 2" xfId="39034" xr:uid="{00000000-0005-0000-0000-000079980000}"/>
    <cellStyle name="Normal 2 2 5 5 4 3 2 2" xfId="39035" xr:uid="{00000000-0005-0000-0000-00007A980000}"/>
    <cellStyle name="Normal 2 2 5 5 4 3 3" xfId="39036" xr:uid="{00000000-0005-0000-0000-00007B980000}"/>
    <cellStyle name="Normal 2 2 5 5 4 4" xfId="39037" xr:uid="{00000000-0005-0000-0000-00007C980000}"/>
    <cellStyle name="Normal 2 2 5 5 4 4 2" xfId="39038" xr:uid="{00000000-0005-0000-0000-00007D980000}"/>
    <cellStyle name="Normal 2 2 5 5 4 4 2 2" xfId="39039" xr:uid="{00000000-0005-0000-0000-00007E980000}"/>
    <cellStyle name="Normal 2 2 5 5 4 4 3" xfId="39040" xr:uid="{00000000-0005-0000-0000-00007F980000}"/>
    <cellStyle name="Normal 2 2 5 5 4 5" xfId="39041" xr:uid="{00000000-0005-0000-0000-000080980000}"/>
    <cellStyle name="Normal 2 2 5 5 4 5 2" xfId="39042" xr:uid="{00000000-0005-0000-0000-000081980000}"/>
    <cellStyle name="Normal 2 2 5 5 4 5 2 2" xfId="39043" xr:uid="{00000000-0005-0000-0000-000082980000}"/>
    <cellStyle name="Normal 2 2 5 5 4 5 3" xfId="39044" xr:uid="{00000000-0005-0000-0000-000083980000}"/>
    <cellStyle name="Normal 2 2 5 5 4 6" xfId="39045" xr:uid="{00000000-0005-0000-0000-000084980000}"/>
    <cellStyle name="Normal 2 2 5 5 4 6 2" xfId="39046" xr:uid="{00000000-0005-0000-0000-000085980000}"/>
    <cellStyle name="Normal 2 2 5 5 4 6 2 2" xfId="39047" xr:uid="{00000000-0005-0000-0000-000086980000}"/>
    <cellStyle name="Normal 2 2 5 5 4 6 3" xfId="39048" xr:uid="{00000000-0005-0000-0000-000087980000}"/>
    <cellStyle name="Normal 2 2 5 5 4 7" xfId="39049" xr:uid="{00000000-0005-0000-0000-000088980000}"/>
    <cellStyle name="Normal 2 2 5 5 4 7 2" xfId="39050" xr:uid="{00000000-0005-0000-0000-000089980000}"/>
    <cellStyle name="Normal 2 2 5 5 4 8" xfId="39051" xr:uid="{00000000-0005-0000-0000-00008A980000}"/>
    <cellStyle name="Normal 2 2 5 5 5" xfId="39052" xr:uid="{00000000-0005-0000-0000-00008B980000}"/>
    <cellStyle name="Normal 2 2 5 5 5 2" xfId="39053" xr:uid="{00000000-0005-0000-0000-00008C980000}"/>
    <cellStyle name="Normal 2 2 5 5 5 2 2" xfId="39054" xr:uid="{00000000-0005-0000-0000-00008D980000}"/>
    <cellStyle name="Normal 2 2 5 5 5 2 2 2" xfId="39055" xr:uid="{00000000-0005-0000-0000-00008E980000}"/>
    <cellStyle name="Normal 2 2 5 5 5 2 2 2 2" xfId="39056" xr:uid="{00000000-0005-0000-0000-00008F980000}"/>
    <cellStyle name="Normal 2 2 5 5 5 2 2 3" xfId="39057" xr:uid="{00000000-0005-0000-0000-000090980000}"/>
    <cellStyle name="Normal 2 2 5 5 5 2 3" xfId="39058" xr:uid="{00000000-0005-0000-0000-000091980000}"/>
    <cellStyle name="Normal 2 2 5 5 5 2 3 2" xfId="39059" xr:uid="{00000000-0005-0000-0000-000092980000}"/>
    <cellStyle name="Normal 2 2 5 5 5 2 4" xfId="39060" xr:uid="{00000000-0005-0000-0000-000093980000}"/>
    <cellStyle name="Normal 2 2 5 5 5 3" xfId="39061" xr:uid="{00000000-0005-0000-0000-000094980000}"/>
    <cellStyle name="Normal 2 2 5 5 5 3 2" xfId="39062" xr:uid="{00000000-0005-0000-0000-000095980000}"/>
    <cellStyle name="Normal 2 2 5 5 5 3 2 2" xfId="39063" xr:uid="{00000000-0005-0000-0000-000096980000}"/>
    <cellStyle name="Normal 2 2 5 5 5 3 3" xfId="39064" xr:uid="{00000000-0005-0000-0000-000097980000}"/>
    <cellStyle name="Normal 2 2 5 5 5 4" xfId="39065" xr:uid="{00000000-0005-0000-0000-000098980000}"/>
    <cellStyle name="Normal 2 2 5 5 5 4 2" xfId="39066" xr:uid="{00000000-0005-0000-0000-000099980000}"/>
    <cellStyle name="Normal 2 2 5 5 5 5" xfId="39067" xr:uid="{00000000-0005-0000-0000-00009A980000}"/>
    <cellStyle name="Normal 2 2 5 5 6" xfId="39068" xr:uid="{00000000-0005-0000-0000-00009B980000}"/>
    <cellStyle name="Normal 2 2 5 5 6 2" xfId="39069" xr:uid="{00000000-0005-0000-0000-00009C980000}"/>
    <cellStyle name="Normal 2 2 5 5 6 2 2" xfId="39070" xr:uid="{00000000-0005-0000-0000-00009D980000}"/>
    <cellStyle name="Normal 2 2 5 5 6 2 2 2" xfId="39071" xr:uid="{00000000-0005-0000-0000-00009E980000}"/>
    <cellStyle name="Normal 2 2 5 5 6 2 2 2 2" xfId="39072" xr:uid="{00000000-0005-0000-0000-00009F980000}"/>
    <cellStyle name="Normal 2 2 5 5 6 2 2 3" xfId="39073" xr:uid="{00000000-0005-0000-0000-0000A0980000}"/>
    <cellStyle name="Normal 2 2 5 5 6 2 3" xfId="39074" xr:uid="{00000000-0005-0000-0000-0000A1980000}"/>
    <cellStyle name="Normal 2 2 5 5 6 2 3 2" xfId="39075" xr:uid="{00000000-0005-0000-0000-0000A2980000}"/>
    <cellStyle name="Normal 2 2 5 5 6 2 4" xfId="39076" xr:uid="{00000000-0005-0000-0000-0000A3980000}"/>
    <cellStyle name="Normal 2 2 5 5 6 3" xfId="39077" xr:uid="{00000000-0005-0000-0000-0000A4980000}"/>
    <cellStyle name="Normal 2 2 5 5 6 3 2" xfId="39078" xr:uid="{00000000-0005-0000-0000-0000A5980000}"/>
    <cellStyle name="Normal 2 2 5 5 6 3 2 2" xfId="39079" xr:uid="{00000000-0005-0000-0000-0000A6980000}"/>
    <cellStyle name="Normal 2 2 5 5 6 3 3" xfId="39080" xr:uid="{00000000-0005-0000-0000-0000A7980000}"/>
    <cellStyle name="Normal 2 2 5 5 6 4" xfId="39081" xr:uid="{00000000-0005-0000-0000-0000A8980000}"/>
    <cellStyle name="Normal 2 2 5 5 6 4 2" xfId="39082" xr:uid="{00000000-0005-0000-0000-0000A9980000}"/>
    <cellStyle name="Normal 2 2 5 5 6 5" xfId="39083" xr:uid="{00000000-0005-0000-0000-0000AA980000}"/>
    <cellStyle name="Normal 2 2 5 5 7" xfId="39084" xr:uid="{00000000-0005-0000-0000-0000AB980000}"/>
    <cellStyle name="Normal 2 2 5 5 7 2" xfId="39085" xr:uid="{00000000-0005-0000-0000-0000AC980000}"/>
    <cellStyle name="Normal 2 2 5 5 7 2 2" xfId="39086" xr:uid="{00000000-0005-0000-0000-0000AD980000}"/>
    <cellStyle name="Normal 2 2 5 5 7 2 2 2" xfId="39087" xr:uid="{00000000-0005-0000-0000-0000AE980000}"/>
    <cellStyle name="Normal 2 2 5 5 7 2 3" xfId="39088" xr:uid="{00000000-0005-0000-0000-0000AF980000}"/>
    <cellStyle name="Normal 2 2 5 5 7 3" xfId="39089" xr:uid="{00000000-0005-0000-0000-0000B0980000}"/>
    <cellStyle name="Normal 2 2 5 5 7 3 2" xfId="39090" xr:uid="{00000000-0005-0000-0000-0000B1980000}"/>
    <cellStyle name="Normal 2 2 5 5 7 4" xfId="39091" xr:uid="{00000000-0005-0000-0000-0000B2980000}"/>
    <cellStyle name="Normal 2 2 5 5 8" xfId="39092" xr:uid="{00000000-0005-0000-0000-0000B3980000}"/>
    <cellStyle name="Normal 2 2 5 5 8 2" xfId="39093" xr:uid="{00000000-0005-0000-0000-0000B4980000}"/>
    <cellStyle name="Normal 2 2 5 5 8 2 2" xfId="39094" xr:uid="{00000000-0005-0000-0000-0000B5980000}"/>
    <cellStyle name="Normal 2 2 5 5 8 2 2 2" xfId="39095" xr:uid="{00000000-0005-0000-0000-0000B6980000}"/>
    <cellStyle name="Normal 2 2 5 5 8 2 3" xfId="39096" xr:uid="{00000000-0005-0000-0000-0000B7980000}"/>
    <cellStyle name="Normal 2 2 5 5 8 3" xfId="39097" xr:uid="{00000000-0005-0000-0000-0000B8980000}"/>
    <cellStyle name="Normal 2 2 5 5 8 3 2" xfId="39098" xr:uid="{00000000-0005-0000-0000-0000B9980000}"/>
    <cellStyle name="Normal 2 2 5 5 8 4" xfId="39099" xr:uid="{00000000-0005-0000-0000-0000BA980000}"/>
    <cellStyle name="Normal 2 2 5 5 9" xfId="39100" xr:uid="{00000000-0005-0000-0000-0000BB980000}"/>
    <cellStyle name="Normal 2 2 5 5 9 2" xfId="39101" xr:uid="{00000000-0005-0000-0000-0000BC980000}"/>
    <cellStyle name="Normal 2 2 5 5 9 2 2" xfId="39102" xr:uid="{00000000-0005-0000-0000-0000BD980000}"/>
    <cellStyle name="Normal 2 2 5 5 9 3" xfId="39103" xr:uid="{00000000-0005-0000-0000-0000BE980000}"/>
    <cellStyle name="Normal 2 2 5 6" xfId="39104" xr:uid="{00000000-0005-0000-0000-0000BF980000}"/>
    <cellStyle name="Normal 2 2 5 6 10" xfId="39105" xr:uid="{00000000-0005-0000-0000-0000C0980000}"/>
    <cellStyle name="Normal 2 2 5 6 10 2" xfId="39106" xr:uid="{00000000-0005-0000-0000-0000C1980000}"/>
    <cellStyle name="Normal 2 2 5 6 10 2 2" xfId="39107" xr:uid="{00000000-0005-0000-0000-0000C2980000}"/>
    <cellStyle name="Normal 2 2 5 6 10 3" xfId="39108" xr:uid="{00000000-0005-0000-0000-0000C3980000}"/>
    <cellStyle name="Normal 2 2 5 6 11" xfId="39109" xr:uid="{00000000-0005-0000-0000-0000C4980000}"/>
    <cellStyle name="Normal 2 2 5 6 11 2" xfId="39110" xr:uid="{00000000-0005-0000-0000-0000C5980000}"/>
    <cellStyle name="Normal 2 2 5 6 11 2 2" xfId="39111" xr:uid="{00000000-0005-0000-0000-0000C6980000}"/>
    <cellStyle name="Normal 2 2 5 6 11 3" xfId="39112" xr:uid="{00000000-0005-0000-0000-0000C7980000}"/>
    <cellStyle name="Normal 2 2 5 6 12" xfId="39113" xr:uid="{00000000-0005-0000-0000-0000C8980000}"/>
    <cellStyle name="Normal 2 2 5 6 12 2" xfId="39114" xr:uid="{00000000-0005-0000-0000-0000C9980000}"/>
    <cellStyle name="Normal 2 2 5 6 12 2 2" xfId="39115" xr:uid="{00000000-0005-0000-0000-0000CA980000}"/>
    <cellStyle name="Normal 2 2 5 6 12 3" xfId="39116" xr:uid="{00000000-0005-0000-0000-0000CB980000}"/>
    <cellStyle name="Normal 2 2 5 6 13" xfId="39117" xr:uid="{00000000-0005-0000-0000-0000CC980000}"/>
    <cellStyle name="Normal 2 2 5 6 13 2" xfId="39118" xr:uid="{00000000-0005-0000-0000-0000CD980000}"/>
    <cellStyle name="Normal 2 2 5 6 14" xfId="39119" xr:uid="{00000000-0005-0000-0000-0000CE980000}"/>
    <cellStyle name="Normal 2 2 5 6 2" xfId="39120" xr:uid="{00000000-0005-0000-0000-0000CF980000}"/>
    <cellStyle name="Normal 2 2 5 6 2 2" xfId="39121" xr:uid="{00000000-0005-0000-0000-0000D0980000}"/>
    <cellStyle name="Normal 2 2 5 6 2 2 2" xfId="39122" xr:uid="{00000000-0005-0000-0000-0000D1980000}"/>
    <cellStyle name="Normal 2 2 5 6 2 2 2 2" xfId="39123" xr:uid="{00000000-0005-0000-0000-0000D2980000}"/>
    <cellStyle name="Normal 2 2 5 6 2 2 2 2 2" xfId="39124" xr:uid="{00000000-0005-0000-0000-0000D3980000}"/>
    <cellStyle name="Normal 2 2 5 6 2 2 2 3" xfId="39125" xr:uid="{00000000-0005-0000-0000-0000D4980000}"/>
    <cellStyle name="Normal 2 2 5 6 2 2 3" xfId="39126" xr:uid="{00000000-0005-0000-0000-0000D5980000}"/>
    <cellStyle name="Normal 2 2 5 6 2 2 3 2" xfId="39127" xr:uid="{00000000-0005-0000-0000-0000D6980000}"/>
    <cellStyle name="Normal 2 2 5 6 2 2 4" xfId="39128" xr:uid="{00000000-0005-0000-0000-0000D7980000}"/>
    <cellStyle name="Normal 2 2 5 6 2 3" xfId="39129" xr:uid="{00000000-0005-0000-0000-0000D8980000}"/>
    <cellStyle name="Normal 2 2 5 6 2 3 2" xfId="39130" xr:uid="{00000000-0005-0000-0000-0000D9980000}"/>
    <cellStyle name="Normal 2 2 5 6 2 3 2 2" xfId="39131" xr:uid="{00000000-0005-0000-0000-0000DA980000}"/>
    <cellStyle name="Normal 2 2 5 6 2 3 3" xfId="39132" xr:uid="{00000000-0005-0000-0000-0000DB980000}"/>
    <cellStyle name="Normal 2 2 5 6 2 4" xfId="39133" xr:uid="{00000000-0005-0000-0000-0000DC980000}"/>
    <cellStyle name="Normal 2 2 5 6 2 4 2" xfId="39134" xr:uid="{00000000-0005-0000-0000-0000DD980000}"/>
    <cellStyle name="Normal 2 2 5 6 2 4 2 2" xfId="39135" xr:uid="{00000000-0005-0000-0000-0000DE980000}"/>
    <cellStyle name="Normal 2 2 5 6 2 4 3" xfId="39136" xr:uid="{00000000-0005-0000-0000-0000DF980000}"/>
    <cellStyle name="Normal 2 2 5 6 2 5" xfId="39137" xr:uid="{00000000-0005-0000-0000-0000E0980000}"/>
    <cellStyle name="Normal 2 2 5 6 2 5 2" xfId="39138" xr:uid="{00000000-0005-0000-0000-0000E1980000}"/>
    <cellStyle name="Normal 2 2 5 6 2 5 2 2" xfId="39139" xr:uid="{00000000-0005-0000-0000-0000E2980000}"/>
    <cellStyle name="Normal 2 2 5 6 2 5 3" xfId="39140" xr:uid="{00000000-0005-0000-0000-0000E3980000}"/>
    <cellStyle name="Normal 2 2 5 6 2 6" xfId="39141" xr:uid="{00000000-0005-0000-0000-0000E4980000}"/>
    <cellStyle name="Normal 2 2 5 6 2 6 2" xfId="39142" xr:uid="{00000000-0005-0000-0000-0000E5980000}"/>
    <cellStyle name="Normal 2 2 5 6 2 6 2 2" xfId="39143" xr:uid="{00000000-0005-0000-0000-0000E6980000}"/>
    <cellStyle name="Normal 2 2 5 6 2 6 3" xfId="39144" xr:uid="{00000000-0005-0000-0000-0000E7980000}"/>
    <cellStyle name="Normal 2 2 5 6 2 7" xfId="39145" xr:uid="{00000000-0005-0000-0000-0000E8980000}"/>
    <cellStyle name="Normal 2 2 5 6 2 7 2" xfId="39146" xr:uid="{00000000-0005-0000-0000-0000E9980000}"/>
    <cellStyle name="Normal 2 2 5 6 2 8" xfId="39147" xr:uid="{00000000-0005-0000-0000-0000EA980000}"/>
    <cellStyle name="Normal 2 2 5 6 3" xfId="39148" xr:uid="{00000000-0005-0000-0000-0000EB980000}"/>
    <cellStyle name="Normal 2 2 5 6 3 2" xfId="39149" xr:uid="{00000000-0005-0000-0000-0000EC980000}"/>
    <cellStyle name="Normal 2 2 5 6 3 2 2" xfId="39150" xr:uid="{00000000-0005-0000-0000-0000ED980000}"/>
    <cellStyle name="Normal 2 2 5 6 3 2 2 2" xfId="39151" xr:uid="{00000000-0005-0000-0000-0000EE980000}"/>
    <cellStyle name="Normal 2 2 5 6 3 2 2 2 2" xfId="39152" xr:uid="{00000000-0005-0000-0000-0000EF980000}"/>
    <cellStyle name="Normal 2 2 5 6 3 2 2 3" xfId="39153" xr:uid="{00000000-0005-0000-0000-0000F0980000}"/>
    <cellStyle name="Normal 2 2 5 6 3 2 3" xfId="39154" xr:uid="{00000000-0005-0000-0000-0000F1980000}"/>
    <cellStyle name="Normal 2 2 5 6 3 2 3 2" xfId="39155" xr:uid="{00000000-0005-0000-0000-0000F2980000}"/>
    <cellStyle name="Normal 2 2 5 6 3 2 4" xfId="39156" xr:uid="{00000000-0005-0000-0000-0000F3980000}"/>
    <cellStyle name="Normal 2 2 5 6 3 3" xfId="39157" xr:uid="{00000000-0005-0000-0000-0000F4980000}"/>
    <cellStyle name="Normal 2 2 5 6 3 3 2" xfId="39158" xr:uid="{00000000-0005-0000-0000-0000F5980000}"/>
    <cellStyle name="Normal 2 2 5 6 3 3 2 2" xfId="39159" xr:uid="{00000000-0005-0000-0000-0000F6980000}"/>
    <cellStyle name="Normal 2 2 5 6 3 3 3" xfId="39160" xr:uid="{00000000-0005-0000-0000-0000F7980000}"/>
    <cellStyle name="Normal 2 2 5 6 3 4" xfId="39161" xr:uid="{00000000-0005-0000-0000-0000F8980000}"/>
    <cellStyle name="Normal 2 2 5 6 3 4 2" xfId="39162" xr:uid="{00000000-0005-0000-0000-0000F9980000}"/>
    <cellStyle name="Normal 2 2 5 6 3 4 2 2" xfId="39163" xr:uid="{00000000-0005-0000-0000-0000FA980000}"/>
    <cellStyle name="Normal 2 2 5 6 3 4 3" xfId="39164" xr:uid="{00000000-0005-0000-0000-0000FB980000}"/>
    <cellStyle name="Normal 2 2 5 6 3 5" xfId="39165" xr:uid="{00000000-0005-0000-0000-0000FC980000}"/>
    <cellStyle name="Normal 2 2 5 6 3 5 2" xfId="39166" xr:uid="{00000000-0005-0000-0000-0000FD980000}"/>
    <cellStyle name="Normal 2 2 5 6 3 5 2 2" xfId="39167" xr:uid="{00000000-0005-0000-0000-0000FE980000}"/>
    <cellStyle name="Normal 2 2 5 6 3 5 3" xfId="39168" xr:uid="{00000000-0005-0000-0000-0000FF980000}"/>
    <cellStyle name="Normal 2 2 5 6 3 6" xfId="39169" xr:uid="{00000000-0005-0000-0000-000000990000}"/>
    <cellStyle name="Normal 2 2 5 6 3 6 2" xfId="39170" xr:uid="{00000000-0005-0000-0000-000001990000}"/>
    <cellStyle name="Normal 2 2 5 6 3 6 2 2" xfId="39171" xr:uid="{00000000-0005-0000-0000-000002990000}"/>
    <cellStyle name="Normal 2 2 5 6 3 6 3" xfId="39172" xr:uid="{00000000-0005-0000-0000-000003990000}"/>
    <cellStyle name="Normal 2 2 5 6 3 7" xfId="39173" xr:uid="{00000000-0005-0000-0000-000004990000}"/>
    <cellStyle name="Normal 2 2 5 6 3 7 2" xfId="39174" xr:uid="{00000000-0005-0000-0000-000005990000}"/>
    <cellStyle name="Normal 2 2 5 6 3 8" xfId="39175" xr:uid="{00000000-0005-0000-0000-000006990000}"/>
    <cellStyle name="Normal 2 2 5 6 4" xfId="39176" xr:uid="{00000000-0005-0000-0000-000007990000}"/>
    <cellStyle name="Normal 2 2 5 6 4 2" xfId="39177" xr:uid="{00000000-0005-0000-0000-000008990000}"/>
    <cellStyle name="Normal 2 2 5 6 4 2 2" xfId="39178" xr:uid="{00000000-0005-0000-0000-000009990000}"/>
    <cellStyle name="Normal 2 2 5 6 4 2 2 2" xfId="39179" xr:uid="{00000000-0005-0000-0000-00000A990000}"/>
    <cellStyle name="Normal 2 2 5 6 4 2 2 2 2" xfId="39180" xr:uid="{00000000-0005-0000-0000-00000B990000}"/>
    <cellStyle name="Normal 2 2 5 6 4 2 2 3" xfId="39181" xr:uid="{00000000-0005-0000-0000-00000C990000}"/>
    <cellStyle name="Normal 2 2 5 6 4 2 3" xfId="39182" xr:uid="{00000000-0005-0000-0000-00000D990000}"/>
    <cellStyle name="Normal 2 2 5 6 4 2 3 2" xfId="39183" xr:uid="{00000000-0005-0000-0000-00000E990000}"/>
    <cellStyle name="Normal 2 2 5 6 4 2 4" xfId="39184" xr:uid="{00000000-0005-0000-0000-00000F990000}"/>
    <cellStyle name="Normal 2 2 5 6 4 3" xfId="39185" xr:uid="{00000000-0005-0000-0000-000010990000}"/>
    <cellStyle name="Normal 2 2 5 6 4 3 2" xfId="39186" xr:uid="{00000000-0005-0000-0000-000011990000}"/>
    <cellStyle name="Normal 2 2 5 6 4 3 2 2" xfId="39187" xr:uid="{00000000-0005-0000-0000-000012990000}"/>
    <cellStyle name="Normal 2 2 5 6 4 3 3" xfId="39188" xr:uid="{00000000-0005-0000-0000-000013990000}"/>
    <cellStyle name="Normal 2 2 5 6 4 4" xfId="39189" xr:uid="{00000000-0005-0000-0000-000014990000}"/>
    <cellStyle name="Normal 2 2 5 6 4 4 2" xfId="39190" xr:uid="{00000000-0005-0000-0000-000015990000}"/>
    <cellStyle name="Normal 2 2 5 6 4 4 2 2" xfId="39191" xr:uid="{00000000-0005-0000-0000-000016990000}"/>
    <cellStyle name="Normal 2 2 5 6 4 4 3" xfId="39192" xr:uid="{00000000-0005-0000-0000-000017990000}"/>
    <cellStyle name="Normal 2 2 5 6 4 5" xfId="39193" xr:uid="{00000000-0005-0000-0000-000018990000}"/>
    <cellStyle name="Normal 2 2 5 6 4 5 2" xfId="39194" xr:uid="{00000000-0005-0000-0000-000019990000}"/>
    <cellStyle name="Normal 2 2 5 6 4 5 2 2" xfId="39195" xr:uid="{00000000-0005-0000-0000-00001A990000}"/>
    <cellStyle name="Normal 2 2 5 6 4 5 3" xfId="39196" xr:uid="{00000000-0005-0000-0000-00001B990000}"/>
    <cellStyle name="Normal 2 2 5 6 4 6" xfId="39197" xr:uid="{00000000-0005-0000-0000-00001C990000}"/>
    <cellStyle name="Normal 2 2 5 6 4 6 2" xfId="39198" xr:uid="{00000000-0005-0000-0000-00001D990000}"/>
    <cellStyle name="Normal 2 2 5 6 4 6 2 2" xfId="39199" xr:uid="{00000000-0005-0000-0000-00001E990000}"/>
    <cellStyle name="Normal 2 2 5 6 4 6 3" xfId="39200" xr:uid="{00000000-0005-0000-0000-00001F990000}"/>
    <cellStyle name="Normal 2 2 5 6 4 7" xfId="39201" xr:uid="{00000000-0005-0000-0000-000020990000}"/>
    <cellStyle name="Normal 2 2 5 6 4 7 2" xfId="39202" xr:uid="{00000000-0005-0000-0000-000021990000}"/>
    <cellStyle name="Normal 2 2 5 6 4 8" xfId="39203" xr:uid="{00000000-0005-0000-0000-000022990000}"/>
    <cellStyle name="Normal 2 2 5 6 5" xfId="39204" xr:uid="{00000000-0005-0000-0000-000023990000}"/>
    <cellStyle name="Normal 2 2 5 6 5 2" xfId="39205" xr:uid="{00000000-0005-0000-0000-000024990000}"/>
    <cellStyle name="Normal 2 2 5 6 5 2 2" xfId="39206" xr:uid="{00000000-0005-0000-0000-000025990000}"/>
    <cellStyle name="Normal 2 2 5 6 5 2 2 2" xfId="39207" xr:uid="{00000000-0005-0000-0000-000026990000}"/>
    <cellStyle name="Normal 2 2 5 6 5 2 2 2 2" xfId="39208" xr:uid="{00000000-0005-0000-0000-000027990000}"/>
    <cellStyle name="Normal 2 2 5 6 5 2 2 3" xfId="39209" xr:uid="{00000000-0005-0000-0000-000028990000}"/>
    <cellStyle name="Normal 2 2 5 6 5 2 3" xfId="39210" xr:uid="{00000000-0005-0000-0000-000029990000}"/>
    <cellStyle name="Normal 2 2 5 6 5 2 3 2" xfId="39211" xr:uid="{00000000-0005-0000-0000-00002A990000}"/>
    <cellStyle name="Normal 2 2 5 6 5 2 4" xfId="39212" xr:uid="{00000000-0005-0000-0000-00002B990000}"/>
    <cellStyle name="Normal 2 2 5 6 5 3" xfId="39213" xr:uid="{00000000-0005-0000-0000-00002C990000}"/>
    <cellStyle name="Normal 2 2 5 6 5 3 2" xfId="39214" xr:uid="{00000000-0005-0000-0000-00002D990000}"/>
    <cellStyle name="Normal 2 2 5 6 5 3 2 2" xfId="39215" xr:uid="{00000000-0005-0000-0000-00002E990000}"/>
    <cellStyle name="Normal 2 2 5 6 5 3 3" xfId="39216" xr:uid="{00000000-0005-0000-0000-00002F990000}"/>
    <cellStyle name="Normal 2 2 5 6 5 4" xfId="39217" xr:uid="{00000000-0005-0000-0000-000030990000}"/>
    <cellStyle name="Normal 2 2 5 6 5 4 2" xfId="39218" xr:uid="{00000000-0005-0000-0000-000031990000}"/>
    <cellStyle name="Normal 2 2 5 6 5 5" xfId="39219" xr:uid="{00000000-0005-0000-0000-000032990000}"/>
    <cellStyle name="Normal 2 2 5 6 6" xfId="39220" xr:uid="{00000000-0005-0000-0000-000033990000}"/>
    <cellStyle name="Normal 2 2 5 6 6 2" xfId="39221" xr:uid="{00000000-0005-0000-0000-000034990000}"/>
    <cellStyle name="Normal 2 2 5 6 6 2 2" xfId="39222" xr:uid="{00000000-0005-0000-0000-000035990000}"/>
    <cellStyle name="Normal 2 2 5 6 6 2 2 2" xfId="39223" xr:uid="{00000000-0005-0000-0000-000036990000}"/>
    <cellStyle name="Normal 2 2 5 6 6 2 2 2 2" xfId="39224" xr:uid="{00000000-0005-0000-0000-000037990000}"/>
    <cellStyle name="Normal 2 2 5 6 6 2 2 3" xfId="39225" xr:uid="{00000000-0005-0000-0000-000038990000}"/>
    <cellStyle name="Normal 2 2 5 6 6 2 3" xfId="39226" xr:uid="{00000000-0005-0000-0000-000039990000}"/>
    <cellStyle name="Normal 2 2 5 6 6 2 3 2" xfId="39227" xr:uid="{00000000-0005-0000-0000-00003A990000}"/>
    <cellStyle name="Normal 2 2 5 6 6 2 4" xfId="39228" xr:uid="{00000000-0005-0000-0000-00003B990000}"/>
    <cellStyle name="Normal 2 2 5 6 6 3" xfId="39229" xr:uid="{00000000-0005-0000-0000-00003C990000}"/>
    <cellStyle name="Normal 2 2 5 6 6 3 2" xfId="39230" xr:uid="{00000000-0005-0000-0000-00003D990000}"/>
    <cellStyle name="Normal 2 2 5 6 6 3 2 2" xfId="39231" xr:uid="{00000000-0005-0000-0000-00003E990000}"/>
    <cellStyle name="Normal 2 2 5 6 6 3 3" xfId="39232" xr:uid="{00000000-0005-0000-0000-00003F990000}"/>
    <cellStyle name="Normal 2 2 5 6 6 4" xfId="39233" xr:uid="{00000000-0005-0000-0000-000040990000}"/>
    <cellStyle name="Normal 2 2 5 6 6 4 2" xfId="39234" xr:uid="{00000000-0005-0000-0000-000041990000}"/>
    <cellStyle name="Normal 2 2 5 6 6 5" xfId="39235" xr:uid="{00000000-0005-0000-0000-000042990000}"/>
    <cellStyle name="Normal 2 2 5 6 7" xfId="39236" xr:uid="{00000000-0005-0000-0000-000043990000}"/>
    <cellStyle name="Normal 2 2 5 6 7 2" xfId="39237" xr:uid="{00000000-0005-0000-0000-000044990000}"/>
    <cellStyle name="Normal 2 2 5 6 7 2 2" xfId="39238" xr:uid="{00000000-0005-0000-0000-000045990000}"/>
    <cellStyle name="Normal 2 2 5 6 7 2 2 2" xfId="39239" xr:uid="{00000000-0005-0000-0000-000046990000}"/>
    <cellStyle name="Normal 2 2 5 6 7 2 3" xfId="39240" xr:uid="{00000000-0005-0000-0000-000047990000}"/>
    <cellStyle name="Normal 2 2 5 6 7 3" xfId="39241" xr:uid="{00000000-0005-0000-0000-000048990000}"/>
    <cellStyle name="Normal 2 2 5 6 7 3 2" xfId="39242" xr:uid="{00000000-0005-0000-0000-000049990000}"/>
    <cellStyle name="Normal 2 2 5 6 7 4" xfId="39243" xr:uid="{00000000-0005-0000-0000-00004A990000}"/>
    <cellStyle name="Normal 2 2 5 6 8" xfId="39244" xr:uid="{00000000-0005-0000-0000-00004B990000}"/>
    <cellStyle name="Normal 2 2 5 6 8 2" xfId="39245" xr:uid="{00000000-0005-0000-0000-00004C990000}"/>
    <cellStyle name="Normal 2 2 5 6 8 2 2" xfId="39246" xr:uid="{00000000-0005-0000-0000-00004D990000}"/>
    <cellStyle name="Normal 2 2 5 6 8 2 2 2" xfId="39247" xr:uid="{00000000-0005-0000-0000-00004E990000}"/>
    <cellStyle name="Normal 2 2 5 6 8 2 3" xfId="39248" xr:uid="{00000000-0005-0000-0000-00004F990000}"/>
    <cellStyle name="Normal 2 2 5 6 8 3" xfId="39249" xr:uid="{00000000-0005-0000-0000-000050990000}"/>
    <cellStyle name="Normal 2 2 5 6 8 3 2" xfId="39250" xr:uid="{00000000-0005-0000-0000-000051990000}"/>
    <cellStyle name="Normal 2 2 5 6 8 4" xfId="39251" xr:uid="{00000000-0005-0000-0000-000052990000}"/>
    <cellStyle name="Normal 2 2 5 6 9" xfId="39252" xr:uid="{00000000-0005-0000-0000-000053990000}"/>
    <cellStyle name="Normal 2 2 5 6 9 2" xfId="39253" xr:uid="{00000000-0005-0000-0000-000054990000}"/>
    <cellStyle name="Normal 2 2 5 6 9 2 2" xfId="39254" xr:uid="{00000000-0005-0000-0000-000055990000}"/>
    <cellStyle name="Normal 2 2 5 6 9 3" xfId="39255" xr:uid="{00000000-0005-0000-0000-000056990000}"/>
    <cellStyle name="Normal 2 2 5 7" xfId="39256" xr:uid="{00000000-0005-0000-0000-000057990000}"/>
    <cellStyle name="Normal 2 2 5 7 2" xfId="39257" xr:uid="{00000000-0005-0000-0000-000058990000}"/>
    <cellStyle name="Normal 2 2 5 7 2 2" xfId="39258" xr:uid="{00000000-0005-0000-0000-000059990000}"/>
    <cellStyle name="Normal 2 2 5 7 2 2 2" xfId="39259" xr:uid="{00000000-0005-0000-0000-00005A990000}"/>
    <cellStyle name="Normal 2 2 5 7 2 2 2 2" xfId="39260" xr:uid="{00000000-0005-0000-0000-00005B990000}"/>
    <cellStyle name="Normal 2 2 5 7 2 2 3" xfId="39261" xr:uid="{00000000-0005-0000-0000-00005C990000}"/>
    <cellStyle name="Normal 2 2 5 7 2 3" xfId="39262" xr:uid="{00000000-0005-0000-0000-00005D990000}"/>
    <cellStyle name="Normal 2 2 5 7 2 3 2" xfId="39263" xr:uid="{00000000-0005-0000-0000-00005E990000}"/>
    <cellStyle name="Normal 2 2 5 7 2 4" xfId="39264" xr:uid="{00000000-0005-0000-0000-00005F990000}"/>
    <cellStyle name="Normal 2 2 5 7 3" xfId="39265" xr:uid="{00000000-0005-0000-0000-000060990000}"/>
    <cellStyle name="Normal 2 2 5 7 3 2" xfId="39266" xr:uid="{00000000-0005-0000-0000-000061990000}"/>
    <cellStyle name="Normal 2 2 5 7 3 2 2" xfId="39267" xr:uid="{00000000-0005-0000-0000-000062990000}"/>
    <cellStyle name="Normal 2 2 5 7 3 3" xfId="39268" xr:uid="{00000000-0005-0000-0000-000063990000}"/>
    <cellStyle name="Normal 2 2 5 7 4" xfId="39269" xr:uid="{00000000-0005-0000-0000-000064990000}"/>
    <cellStyle name="Normal 2 2 5 7 4 2" xfId="39270" xr:uid="{00000000-0005-0000-0000-000065990000}"/>
    <cellStyle name="Normal 2 2 5 7 4 2 2" xfId="39271" xr:uid="{00000000-0005-0000-0000-000066990000}"/>
    <cellStyle name="Normal 2 2 5 7 4 3" xfId="39272" xr:uid="{00000000-0005-0000-0000-000067990000}"/>
    <cellStyle name="Normal 2 2 5 7 5" xfId="39273" xr:uid="{00000000-0005-0000-0000-000068990000}"/>
    <cellStyle name="Normal 2 2 5 7 5 2" xfId="39274" xr:uid="{00000000-0005-0000-0000-000069990000}"/>
    <cellStyle name="Normal 2 2 5 7 5 2 2" xfId="39275" xr:uid="{00000000-0005-0000-0000-00006A990000}"/>
    <cellStyle name="Normal 2 2 5 7 5 3" xfId="39276" xr:uid="{00000000-0005-0000-0000-00006B990000}"/>
    <cellStyle name="Normal 2 2 5 7 6" xfId="39277" xr:uid="{00000000-0005-0000-0000-00006C990000}"/>
    <cellStyle name="Normal 2 2 5 7 6 2" xfId="39278" xr:uid="{00000000-0005-0000-0000-00006D990000}"/>
    <cellStyle name="Normal 2 2 5 7 6 2 2" xfId="39279" xr:uid="{00000000-0005-0000-0000-00006E990000}"/>
    <cellStyle name="Normal 2 2 5 7 6 3" xfId="39280" xr:uid="{00000000-0005-0000-0000-00006F990000}"/>
    <cellStyle name="Normal 2 2 5 7 7" xfId="39281" xr:uid="{00000000-0005-0000-0000-000070990000}"/>
    <cellStyle name="Normal 2 2 5 7 7 2" xfId="39282" xr:uid="{00000000-0005-0000-0000-000071990000}"/>
    <cellStyle name="Normal 2 2 5 7 8" xfId="39283" xr:uid="{00000000-0005-0000-0000-000072990000}"/>
    <cellStyle name="Normal 2 2 5 8" xfId="39284" xr:uid="{00000000-0005-0000-0000-000073990000}"/>
    <cellStyle name="Normal 2 2 5 8 2" xfId="39285" xr:uid="{00000000-0005-0000-0000-000074990000}"/>
    <cellStyle name="Normal 2 2 5 8 2 2" xfId="39286" xr:uid="{00000000-0005-0000-0000-000075990000}"/>
    <cellStyle name="Normal 2 2 5 8 2 2 2" xfId="39287" xr:uid="{00000000-0005-0000-0000-000076990000}"/>
    <cellStyle name="Normal 2 2 5 8 2 2 2 2" xfId="39288" xr:uid="{00000000-0005-0000-0000-000077990000}"/>
    <cellStyle name="Normal 2 2 5 8 2 2 3" xfId="39289" xr:uid="{00000000-0005-0000-0000-000078990000}"/>
    <cellStyle name="Normal 2 2 5 8 2 3" xfId="39290" xr:uid="{00000000-0005-0000-0000-000079990000}"/>
    <cellStyle name="Normal 2 2 5 8 2 3 2" xfId="39291" xr:uid="{00000000-0005-0000-0000-00007A990000}"/>
    <cellStyle name="Normal 2 2 5 8 2 4" xfId="39292" xr:uid="{00000000-0005-0000-0000-00007B990000}"/>
    <cellStyle name="Normal 2 2 5 8 3" xfId="39293" xr:uid="{00000000-0005-0000-0000-00007C990000}"/>
    <cellStyle name="Normal 2 2 5 8 3 2" xfId="39294" xr:uid="{00000000-0005-0000-0000-00007D990000}"/>
    <cellStyle name="Normal 2 2 5 8 3 2 2" xfId="39295" xr:uid="{00000000-0005-0000-0000-00007E990000}"/>
    <cellStyle name="Normal 2 2 5 8 3 3" xfId="39296" xr:uid="{00000000-0005-0000-0000-00007F990000}"/>
    <cellStyle name="Normal 2 2 5 8 4" xfId="39297" xr:uid="{00000000-0005-0000-0000-000080990000}"/>
    <cellStyle name="Normal 2 2 5 8 4 2" xfId="39298" xr:uid="{00000000-0005-0000-0000-000081990000}"/>
    <cellStyle name="Normal 2 2 5 8 4 2 2" xfId="39299" xr:uid="{00000000-0005-0000-0000-000082990000}"/>
    <cellStyle name="Normal 2 2 5 8 4 3" xfId="39300" xr:uid="{00000000-0005-0000-0000-000083990000}"/>
    <cellStyle name="Normal 2 2 5 8 5" xfId="39301" xr:uid="{00000000-0005-0000-0000-000084990000}"/>
    <cellStyle name="Normal 2 2 5 8 5 2" xfId="39302" xr:uid="{00000000-0005-0000-0000-000085990000}"/>
    <cellStyle name="Normal 2 2 5 8 5 2 2" xfId="39303" xr:uid="{00000000-0005-0000-0000-000086990000}"/>
    <cellStyle name="Normal 2 2 5 8 5 3" xfId="39304" xr:uid="{00000000-0005-0000-0000-000087990000}"/>
    <cellStyle name="Normal 2 2 5 8 6" xfId="39305" xr:uid="{00000000-0005-0000-0000-000088990000}"/>
    <cellStyle name="Normal 2 2 5 8 6 2" xfId="39306" xr:uid="{00000000-0005-0000-0000-000089990000}"/>
    <cellStyle name="Normal 2 2 5 8 6 2 2" xfId="39307" xr:uid="{00000000-0005-0000-0000-00008A990000}"/>
    <cellStyle name="Normal 2 2 5 8 6 3" xfId="39308" xr:uid="{00000000-0005-0000-0000-00008B990000}"/>
    <cellStyle name="Normal 2 2 5 8 7" xfId="39309" xr:uid="{00000000-0005-0000-0000-00008C990000}"/>
    <cellStyle name="Normal 2 2 5 8 7 2" xfId="39310" xr:uid="{00000000-0005-0000-0000-00008D990000}"/>
    <cellStyle name="Normal 2 2 5 8 8" xfId="39311" xr:uid="{00000000-0005-0000-0000-00008E990000}"/>
    <cellStyle name="Normal 2 2 5 9" xfId="39312" xr:uid="{00000000-0005-0000-0000-00008F990000}"/>
    <cellStyle name="Normal 2 2 5 9 2" xfId="39313" xr:uid="{00000000-0005-0000-0000-000090990000}"/>
    <cellStyle name="Normal 2 2 5 9 2 2" xfId="39314" xr:uid="{00000000-0005-0000-0000-000091990000}"/>
    <cellStyle name="Normal 2 2 5 9 2 2 2" xfId="39315" xr:uid="{00000000-0005-0000-0000-000092990000}"/>
    <cellStyle name="Normal 2 2 5 9 2 2 2 2" xfId="39316" xr:uid="{00000000-0005-0000-0000-000093990000}"/>
    <cellStyle name="Normal 2 2 5 9 2 2 3" xfId="39317" xr:uid="{00000000-0005-0000-0000-000094990000}"/>
    <cellStyle name="Normal 2 2 5 9 2 3" xfId="39318" xr:uid="{00000000-0005-0000-0000-000095990000}"/>
    <cellStyle name="Normal 2 2 5 9 2 3 2" xfId="39319" xr:uid="{00000000-0005-0000-0000-000096990000}"/>
    <cellStyle name="Normal 2 2 5 9 2 4" xfId="39320" xr:uid="{00000000-0005-0000-0000-000097990000}"/>
    <cellStyle name="Normal 2 2 5 9 3" xfId="39321" xr:uid="{00000000-0005-0000-0000-000098990000}"/>
    <cellStyle name="Normal 2 2 5 9 3 2" xfId="39322" xr:uid="{00000000-0005-0000-0000-000099990000}"/>
    <cellStyle name="Normal 2 2 5 9 3 2 2" xfId="39323" xr:uid="{00000000-0005-0000-0000-00009A990000}"/>
    <cellStyle name="Normal 2 2 5 9 3 3" xfId="39324" xr:uid="{00000000-0005-0000-0000-00009B990000}"/>
    <cellStyle name="Normal 2 2 5 9 4" xfId="39325" xr:uid="{00000000-0005-0000-0000-00009C990000}"/>
    <cellStyle name="Normal 2 2 5 9 4 2" xfId="39326" xr:uid="{00000000-0005-0000-0000-00009D990000}"/>
    <cellStyle name="Normal 2 2 5 9 4 2 2" xfId="39327" xr:uid="{00000000-0005-0000-0000-00009E990000}"/>
    <cellStyle name="Normal 2 2 5 9 4 3" xfId="39328" xr:uid="{00000000-0005-0000-0000-00009F990000}"/>
    <cellStyle name="Normal 2 2 5 9 5" xfId="39329" xr:uid="{00000000-0005-0000-0000-0000A0990000}"/>
    <cellStyle name="Normal 2 2 5 9 5 2" xfId="39330" xr:uid="{00000000-0005-0000-0000-0000A1990000}"/>
    <cellStyle name="Normal 2 2 5 9 5 2 2" xfId="39331" xr:uid="{00000000-0005-0000-0000-0000A2990000}"/>
    <cellStyle name="Normal 2 2 5 9 5 3" xfId="39332" xr:uid="{00000000-0005-0000-0000-0000A3990000}"/>
    <cellStyle name="Normal 2 2 5 9 6" xfId="39333" xr:uid="{00000000-0005-0000-0000-0000A4990000}"/>
    <cellStyle name="Normal 2 2 5 9 6 2" xfId="39334" xr:uid="{00000000-0005-0000-0000-0000A5990000}"/>
    <cellStyle name="Normal 2 2 5 9 6 2 2" xfId="39335" xr:uid="{00000000-0005-0000-0000-0000A6990000}"/>
    <cellStyle name="Normal 2 2 5 9 6 3" xfId="39336" xr:uid="{00000000-0005-0000-0000-0000A7990000}"/>
    <cellStyle name="Normal 2 2 5 9 7" xfId="39337" xr:uid="{00000000-0005-0000-0000-0000A8990000}"/>
    <cellStyle name="Normal 2 2 5 9 7 2" xfId="39338" xr:uid="{00000000-0005-0000-0000-0000A9990000}"/>
    <cellStyle name="Normal 2 2 5 9 8" xfId="39339" xr:uid="{00000000-0005-0000-0000-0000AA990000}"/>
    <cellStyle name="Normal 2 2 6" xfId="39340" xr:uid="{00000000-0005-0000-0000-0000AB990000}"/>
    <cellStyle name="Normal 2 2 6 10" xfId="39341" xr:uid="{00000000-0005-0000-0000-0000AC990000}"/>
    <cellStyle name="Normal 2 2 6 10 2" xfId="39342" xr:uid="{00000000-0005-0000-0000-0000AD990000}"/>
    <cellStyle name="Normal 2 2 6 10 2 2" xfId="39343" xr:uid="{00000000-0005-0000-0000-0000AE990000}"/>
    <cellStyle name="Normal 2 2 6 10 3" xfId="39344" xr:uid="{00000000-0005-0000-0000-0000AF990000}"/>
    <cellStyle name="Normal 2 2 6 11" xfId="39345" xr:uid="{00000000-0005-0000-0000-0000B0990000}"/>
    <cellStyle name="Normal 2 2 6 11 2" xfId="39346" xr:uid="{00000000-0005-0000-0000-0000B1990000}"/>
    <cellStyle name="Normal 2 2 6 11 2 2" xfId="39347" xr:uid="{00000000-0005-0000-0000-0000B2990000}"/>
    <cellStyle name="Normal 2 2 6 11 3" xfId="39348" xr:uid="{00000000-0005-0000-0000-0000B3990000}"/>
    <cellStyle name="Normal 2 2 6 12" xfId="39349" xr:uid="{00000000-0005-0000-0000-0000B4990000}"/>
    <cellStyle name="Normal 2 2 6 12 2" xfId="39350" xr:uid="{00000000-0005-0000-0000-0000B5990000}"/>
    <cellStyle name="Normal 2 2 6 12 2 2" xfId="39351" xr:uid="{00000000-0005-0000-0000-0000B6990000}"/>
    <cellStyle name="Normal 2 2 6 12 3" xfId="39352" xr:uid="{00000000-0005-0000-0000-0000B7990000}"/>
    <cellStyle name="Normal 2 2 6 13" xfId="39353" xr:uid="{00000000-0005-0000-0000-0000B8990000}"/>
    <cellStyle name="Normal 2 2 6 13 2" xfId="39354" xr:uid="{00000000-0005-0000-0000-0000B9990000}"/>
    <cellStyle name="Normal 2 2 6 14" xfId="39355" xr:uid="{00000000-0005-0000-0000-0000BA990000}"/>
    <cellStyle name="Normal 2 2 6 2" xfId="39356" xr:uid="{00000000-0005-0000-0000-0000BB990000}"/>
    <cellStyle name="Normal 2 2 6 2 2" xfId="39357" xr:uid="{00000000-0005-0000-0000-0000BC990000}"/>
    <cellStyle name="Normal 2 2 6 2 2 2" xfId="39358" xr:uid="{00000000-0005-0000-0000-0000BD990000}"/>
    <cellStyle name="Normal 2 2 6 2 2 2 2" xfId="39359" xr:uid="{00000000-0005-0000-0000-0000BE990000}"/>
    <cellStyle name="Normal 2 2 6 2 2 2 2 2" xfId="39360" xr:uid="{00000000-0005-0000-0000-0000BF990000}"/>
    <cellStyle name="Normal 2 2 6 2 2 2 3" xfId="39361" xr:uid="{00000000-0005-0000-0000-0000C0990000}"/>
    <cellStyle name="Normal 2 2 6 2 2 3" xfId="39362" xr:uid="{00000000-0005-0000-0000-0000C1990000}"/>
    <cellStyle name="Normal 2 2 6 2 2 3 2" xfId="39363" xr:uid="{00000000-0005-0000-0000-0000C2990000}"/>
    <cellStyle name="Normal 2 2 6 2 2 4" xfId="39364" xr:uid="{00000000-0005-0000-0000-0000C3990000}"/>
    <cellStyle name="Normal 2 2 6 2 3" xfId="39365" xr:uid="{00000000-0005-0000-0000-0000C4990000}"/>
    <cellStyle name="Normal 2 2 6 2 3 2" xfId="39366" xr:uid="{00000000-0005-0000-0000-0000C5990000}"/>
    <cellStyle name="Normal 2 2 6 2 3 2 2" xfId="39367" xr:uid="{00000000-0005-0000-0000-0000C6990000}"/>
    <cellStyle name="Normal 2 2 6 2 3 3" xfId="39368" xr:uid="{00000000-0005-0000-0000-0000C7990000}"/>
    <cellStyle name="Normal 2 2 6 2 4" xfId="39369" xr:uid="{00000000-0005-0000-0000-0000C8990000}"/>
    <cellStyle name="Normal 2 2 6 2 4 2" xfId="39370" xr:uid="{00000000-0005-0000-0000-0000C9990000}"/>
    <cellStyle name="Normal 2 2 6 2 4 2 2" xfId="39371" xr:uid="{00000000-0005-0000-0000-0000CA990000}"/>
    <cellStyle name="Normal 2 2 6 2 4 3" xfId="39372" xr:uid="{00000000-0005-0000-0000-0000CB990000}"/>
    <cellStyle name="Normal 2 2 6 2 5" xfId="39373" xr:uid="{00000000-0005-0000-0000-0000CC990000}"/>
    <cellStyle name="Normal 2 2 6 2 5 2" xfId="39374" xr:uid="{00000000-0005-0000-0000-0000CD990000}"/>
    <cellStyle name="Normal 2 2 6 2 5 2 2" xfId="39375" xr:uid="{00000000-0005-0000-0000-0000CE990000}"/>
    <cellStyle name="Normal 2 2 6 2 5 3" xfId="39376" xr:uid="{00000000-0005-0000-0000-0000CF990000}"/>
    <cellStyle name="Normal 2 2 6 2 6" xfId="39377" xr:uid="{00000000-0005-0000-0000-0000D0990000}"/>
    <cellStyle name="Normal 2 2 6 2 6 2" xfId="39378" xr:uid="{00000000-0005-0000-0000-0000D1990000}"/>
    <cellStyle name="Normal 2 2 6 2 6 2 2" xfId="39379" xr:uid="{00000000-0005-0000-0000-0000D2990000}"/>
    <cellStyle name="Normal 2 2 6 2 6 3" xfId="39380" xr:uid="{00000000-0005-0000-0000-0000D3990000}"/>
    <cellStyle name="Normal 2 2 6 2 7" xfId="39381" xr:uid="{00000000-0005-0000-0000-0000D4990000}"/>
    <cellStyle name="Normal 2 2 6 2 7 2" xfId="39382" xr:uid="{00000000-0005-0000-0000-0000D5990000}"/>
    <cellStyle name="Normal 2 2 6 2 8" xfId="39383" xr:uid="{00000000-0005-0000-0000-0000D6990000}"/>
    <cellStyle name="Normal 2 2 6 3" xfId="39384" xr:uid="{00000000-0005-0000-0000-0000D7990000}"/>
    <cellStyle name="Normal 2 2 6 3 2" xfId="39385" xr:uid="{00000000-0005-0000-0000-0000D8990000}"/>
    <cellStyle name="Normal 2 2 6 3 2 2" xfId="39386" xr:uid="{00000000-0005-0000-0000-0000D9990000}"/>
    <cellStyle name="Normal 2 2 6 3 2 2 2" xfId="39387" xr:uid="{00000000-0005-0000-0000-0000DA990000}"/>
    <cellStyle name="Normal 2 2 6 3 2 2 2 2" xfId="39388" xr:uid="{00000000-0005-0000-0000-0000DB990000}"/>
    <cellStyle name="Normal 2 2 6 3 2 2 3" xfId="39389" xr:uid="{00000000-0005-0000-0000-0000DC990000}"/>
    <cellStyle name="Normal 2 2 6 3 2 3" xfId="39390" xr:uid="{00000000-0005-0000-0000-0000DD990000}"/>
    <cellStyle name="Normal 2 2 6 3 2 3 2" xfId="39391" xr:uid="{00000000-0005-0000-0000-0000DE990000}"/>
    <cellStyle name="Normal 2 2 6 3 2 4" xfId="39392" xr:uid="{00000000-0005-0000-0000-0000DF990000}"/>
    <cellStyle name="Normal 2 2 6 3 3" xfId="39393" xr:uid="{00000000-0005-0000-0000-0000E0990000}"/>
    <cellStyle name="Normal 2 2 6 3 3 2" xfId="39394" xr:uid="{00000000-0005-0000-0000-0000E1990000}"/>
    <cellStyle name="Normal 2 2 6 3 3 2 2" xfId="39395" xr:uid="{00000000-0005-0000-0000-0000E2990000}"/>
    <cellStyle name="Normal 2 2 6 3 3 3" xfId="39396" xr:uid="{00000000-0005-0000-0000-0000E3990000}"/>
    <cellStyle name="Normal 2 2 6 3 4" xfId="39397" xr:uid="{00000000-0005-0000-0000-0000E4990000}"/>
    <cellStyle name="Normal 2 2 6 3 4 2" xfId="39398" xr:uid="{00000000-0005-0000-0000-0000E5990000}"/>
    <cellStyle name="Normal 2 2 6 3 4 2 2" xfId="39399" xr:uid="{00000000-0005-0000-0000-0000E6990000}"/>
    <cellStyle name="Normal 2 2 6 3 4 3" xfId="39400" xr:uid="{00000000-0005-0000-0000-0000E7990000}"/>
    <cellStyle name="Normal 2 2 6 3 5" xfId="39401" xr:uid="{00000000-0005-0000-0000-0000E8990000}"/>
    <cellStyle name="Normal 2 2 6 3 5 2" xfId="39402" xr:uid="{00000000-0005-0000-0000-0000E9990000}"/>
    <cellStyle name="Normal 2 2 6 3 5 2 2" xfId="39403" xr:uid="{00000000-0005-0000-0000-0000EA990000}"/>
    <cellStyle name="Normal 2 2 6 3 5 3" xfId="39404" xr:uid="{00000000-0005-0000-0000-0000EB990000}"/>
    <cellStyle name="Normal 2 2 6 3 6" xfId="39405" xr:uid="{00000000-0005-0000-0000-0000EC990000}"/>
    <cellStyle name="Normal 2 2 6 3 6 2" xfId="39406" xr:uid="{00000000-0005-0000-0000-0000ED990000}"/>
    <cellStyle name="Normal 2 2 6 3 6 2 2" xfId="39407" xr:uid="{00000000-0005-0000-0000-0000EE990000}"/>
    <cellStyle name="Normal 2 2 6 3 6 3" xfId="39408" xr:uid="{00000000-0005-0000-0000-0000EF990000}"/>
    <cellStyle name="Normal 2 2 6 3 7" xfId="39409" xr:uid="{00000000-0005-0000-0000-0000F0990000}"/>
    <cellStyle name="Normal 2 2 6 3 7 2" xfId="39410" xr:uid="{00000000-0005-0000-0000-0000F1990000}"/>
    <cellStyle name="Normal 2 2 6 3 8" xfId="39411" xr:uid="{00000000-0005-0000-0000-0000F2990000}"/>
    <cellStyle name="Normal 2 2 6 4" xfId="39412" xr:uid="{00000000-0005-0000-0000-0000F3990000}"/>
    <cellStyle name="Normal 2 2 6 4 2" xfId="39413" xr:uid="{00000000-0005-0000-0000-0000F4990000}"/>
    <cellStyle name="Normal 2 2 6 4 2 2" xfId="39414" xr:uid="{00000000-0005-0000-0000-0000F5990000}"/>
    <cellStyle name="Normal 2 2 6 4 2 2 2" xfId="39415" xr:uid="{00000000-0005-0000-0000-0000F6990000}"/>
    <cellStyle name="Normal 2 2 6 4 2 2 2 2" xfId="39416" xr:uid="{00000000-0005-0000-0000-0000F7990000}"/>
    <cellStyle name="Normal 2 2 6 4 2 2 3" xfId="39417" xr:uid="{00000000-0005-0000-0000-0000F8990000}"/>
    <cellStyle name="Normal 2 2 6 4 2 3" xfId="39418" xr:uid="{00000000-0005-0000-0000-0000F9990000}"/>
    <cellStyle name="Normal 2 2 6 4 2 3 2" xfId="39419" xr:uid="{00000000-0005-0000-0000-0000FA990000}"/>
    <cellStyle name="Normal 2 2 6 4 2 4" xfId="39420" xr:uid="{00000000-0005-0000-0000-0000FB990000}"/>
    <cellStyle name="Normal 2 2 6 4 3" xfId="39421" xr:uid="{00000000-0005-0000-0000-0000FC990000}"/>
    <cellStyle name="Normal 2 2 6 4 3 2" xfId="39422" xr:uid="{00000000-0005-0000-0000-0000FD990000}"/>
    <cellStyle name="Normal 2 2 6 4 3 2 2" xfId="39423" xr:uid="{00000000-0005-0000-0000-0000FE990000}"/>
    <cellStyle name="Normal 2 2 6 4 3 3" xfId="39424" xr:uid="{00000000-0005-0000-0000-0000FF990000}"/>
    <cellStyle name="Normal 2 2 6 4 4" xfId="39425" xr:uid="{00000000-0005-0000-0000-0000009A0000}"/>
    <cellStyle name="Normal 2 2 6 4 4 2" xfId="39426" xr:uid="{00000000-0005-0000-0000-0000019A0000}"/>
    <cellStyle name="Normal 2 2 6 4 4 2 2" xfId="39427" xr:uid="{00000000-0005-0000-0000-0000029A0000}"/>
    <cellStyle name="Normal 2 2 6 4 4 3" xfId="39428" xr:uid="{00000000-0005-0000-0000-0000039A0000}"/>
    <cellStyle name="Normal 2 2 6 4 5" xfId="39429" xr:uid="{00000000-0005-0000-0000-0000049A0000}"/>
    <cellStyle name="Normal 2 2 6 4 5 2" xfId="39430" xr:uid="{00000000-0005-0000-0000-0000059A0000}"/>
    <cellStyle name="Normal 2 2 6 4 5 2 2" xfId="39431" xr:uid="{00000000-0005-0000-0000-0000069A0000}"/>
    <cellStyle name="Normal 2 2 6 4 5 3" xfId="39432" xr:uid="{00000000-0005-0000-0000-0000079A0000}"/>
    <cellStyle name="Normal 2 2 6 4 6" xfId="39433" xr:uid="{00000000-0005-0000-0000-0000089A0000}"/>
    <cellStyle name="Normal 2 2 6 4 6 2" xfId="39434" xr:uid="{00000000-0005-0000-0000-0000099A0000}"/>
    <cellStyle name="Normal 2 2 6 4 6 2 2" xfId="39435" xr:uid="{00000000-0005-0000-0000-00000A9A0000}"/>
    <cellStyle name="Normal 2 2 6 4 6 3" xfId="39436" xr:uid="{00000000-0005-0000-0000-00000B9A0000}"/>
    <cellStyle name="Normal 2 2 6 4 7" xfId="39437" xr:uid="{00000000-0005-0000-0000-00000C9A0000}"/>
    <cellStyle name="Normal 2 2 6 4 7 2" xfId="39438" xr:uid="{00000000-0005-0000-0000-00000D9A0000}"/>
    <cellStyle name="Normal 2 2 6 4 8" xfId="39439" xr:uid="{00000000-0005-0000-0000-00000E9A0000}"/>
    <cellStyle name="Normal 2 2 6 5" xfId="39440" xr:uid="{00000000-0005-0000-0000-00000F9A0000}"/>
    <cellStyle name="Normal 2 2 6 5 2" xfId="39441" xr:uid="{00000000-0005-0000-0000-0000109A0000}"/>
    <cellStyle name="Normal 2 2 6 5 2 2" xfId="39442" xr:uid="{00000000-0005-0000-0000-0000119A0000}"/>
    <cellStyle name="Normal 2 2 6 5 2 2 2" xfId="39443" xr:uid="{00000000-0005-0000-0000-0000129A0000}"/>
    <cellStyle name="Normal 2 2 6 5 2 2 2 2" xfId="39444" xr:uid="{00000000-0005-0000-0000-0000139A0000}"/>
    <cellStyle name="Normal 2 2 6 5 2 2 3" xfId="39445" xr:uid="{00000000-0005-0000-0000-0000149A0000}"/>
    <cellStyle name="Normal 2 2 6 5 2 3" xfId="39446" xr:uid="{00000000-0005-0000-0000-0000159A0000}"/>
    <cellStyle name="Normal 2 2 6 5 2 3 2" xfId="39447" xr:uid="{00000000-0005-0000-0000-0000169A0000}"/>
    <cellStyle name="Normal 2 2 6 5 2 4" xfId="39448" xr:uid="{00000000-0005-0000-0000-0000179A0000}"/>
    <cellStyle name="Normal 2 2 6 5 3" xfId="39449" xr:uid="{00000000-0005-0000-0000-0000189A0000}"/>
    <cellStyle name="Normal 2 2 6 5 3 2" xfId="39450" xr:uid="{00000000-0005-0000-0000-0000199A0000}"/>
    <cellStyle name="Normal 2 2 6 5 3 2 2" xfId="39451" xr:uid="{00000000-0005-0000-0000-00001A9A0000}"/>
    <cellStyle name="Normal 2 2 6 5 3 3" xfId="39452" xr:uid="{00000000-0005-0000-0000-00001B9A0000}"/>
    <cellStyle name="Normal 2 2 6 5 4" xfId="39453" xr:uid="{00000000-0005-0000-0000-00001C9A0000}"/>
    <cellStyle name="Normal 2 2 6 5 4 2" xfId="39454" xr:uid="{00000000-0005-0000-0000-00001D9A0000}"/>
    <cellStyle name="Normal 2 2 6 5 5" xfId="39455" xr:uid="{00000000-0005-0000-0000-00001E9A0000}"/>
    <cellStyle name="Normal 2 2 6 6" xfId="39456" xr:uid="{00000000-0005-0000-0000-00001F9A0000}"/>
    <cellStyle name="Normal 2 2 6 6 2" xfId="39457" xr:uid="{00000000-0005-0000-0000-0000209A0000}"/>
    <cellStyle name="Normal 2 2 6 6 2 2" xfId="39458" xr:uid="{00000000-0005-0000-0000-0000219A0000}"/>
    <cellStyle name="Normal 2 2 6 6 2 2 2" xfId="39459" xr:uid="{00000000-0005-0000-0000-0000229A0000}"/>
    <cellStyle name="Normal 2 2 6 6 2 2 2 2" xfId="39460" xr:uid="{00000000-0005-0000-0000-0000239A0000}"/>
    <cellStyle name="Normal 2 2 6 6 2 2 3" xfId="39461" xr:uid="{00000000-0005-0000-0000-0000249A0000}"/>
    <cellStyle name="Normal 2 2 6 6 2 3" xfId="39462" xr:uid="{00000000-0005-0000-0000-0000259A0000}"/>
    <cellStyle name="Normal 2 2 6 6 2 3 2" xfId="39463" xr:uid="{00000000-0005-0000-0000-0000269A0000}"/>
    <cellStyle name="Normal 2 2 6 6 2 4" xfId="39464" xr:uid="{00000000-0005-0000-0000-0000279A0000}"/>
    <cellStyle name="Normal 2 2 6 6 3" xfId="39465" xr:uid="{00000000-0005-0000-0000-0000289A0000}"/>
    <cellStyle name="Normal 2 2 6 6 3 2" xfId="39466" xr:uid="{00000000-0005-0000-0000-0000299A0000}"/>
    <cellStyle name="Normal 2 2 6 6 3 2 2" xfId="39467" xr:uid="{00000000-0005-0000-0000-00002A9A0000}"/>
    <cellStyle name="Normal 2 2 6 6 3 3" xfId="39468" xr:uid="{00000000-0005-0000-0000-00002B9A0000}"/>
    <cellStyle name="Normal 2 2 6 6 4" xfId="39469" xr:uid="{00000000-0005-0000-0000-00002C9A0000}"/>
    <cellStyle name="Normal 2 2 6 6 4 2" xfId="39470" xr:uid="{00000000-0005-0000-0000-00002D9A0000}"/>
    <cellStyle name="Normal 2 2 6 6 5" xfId="39471" xr:uid="{00000000-0005-0000-0000-00002E9A0000}"/>
    <cellStyle name="Normal 2 2 6 7" xfId="39472" xr:uid="{00000000-0005-0000-0000-00002F9A0000}"/>
    <cellStyle name="Normal 2 2 6 7 2" xfId="39473" xr:uid="{00000000-0005-0000-0000-0000309A0000}"/>
    <cellStyle name="Normal 2 2 6 7 2 2" xfId="39474" xr:uid="{00000000-0005-0000-0000-0000319A0000}"/>
    <cellStyle name="Normal 2 2 6 7 2 2 2" xfId="39475" xr:uid="{00000000-0005-0000-0000-0000329A0000}"/>
    <cellStyle name="Normal 2 2 6 7 2 3" xfId="39476" xr:uid="{00000000-0005-0000-0000-0000339A0000}"/>
    <cellStyle name="Normal 2 2 6 7 3" xfId="39477" xr:uid="{00000000-0005-0000-0000-0000349A0000}"/>
    <cellStyle name="Normal 2 2 6 7 3 2" xfId="39478" xr:uid="{00000000-0005-0000-0000-0000359A0000}"/>
    <cellStyle name="Normal 2 2 6 7 4" xfId="39479" xr:uid="{00000000-0005-0000-0000-0000369A0000}"/>
    <cellStyle name="Normal 2 2 6 8" xfId="39480" xr:uid="{00000000-0005-0000-0000-0000379A0000}"/>
    <cellStyle name="Normal 2 2 6 8 2" xfId="39481" xr:uid="{00000000-0005-0000-0000-0000389A0000}"/>
    <cellStyle name="Normal 2 2 6 8 2 2" xfId="39482" xr:uid="{00000000-0005-0000-0000-0000399A0000}"/>
    <cellStyle name="Normal 2 2 6 8 2 2 2" xfId="39483" xr:uid="{00000000-0005-0000-0000-00003A9A0000}"/>
    <cellStyle name="Normal 2 2 6 8 2 3" xfId="39484" xr:uid="{00000000-0005-0000-0000-00003B9A0000}"/>
    <cellStyle name="Normal 2 2 6 8 3" xfId="39485" xr:uid="{00000000-0005-0000-0000-00003C9A0000}"/>
    <cellStyle name="Normal 2 2 6 8 3 2" xfId="39486" xr:uid="{00000000-0005-0000-0000-00003D9A0000}"/>
    <cellStyle name="Normal 2 2 6 8 4" xfId="39487" xr:uid="{00000000-0005-0000-0000-00003E9A0000}"/>
    <cellStyle name="Normal 2 2 6 9" xfId="39488" xr:uid="{00000000-0005-0000-0000-00003F9A0000}"/>
    <cellStyle name="Normal 2 2 6 9 2" xfId="39489" xr:uid="{00000000-0005-0000-0000-0000409A0000}"/>
    <cellStyle name="Normal 2 2 6 9 2 2" xfId="39490" xr:uid="{00000000-0005-0000-0000-0000419A0000}"/>
    <cellStyle name="Normal 2 2 6 9 3" xfId="39491" xr:uid="{00000000-0005-0000-0000-0000429A0000}"/>
    <cellStyle name="Normal 2 2 7" xfId="39492" xr:uid="{00000000-0005-0000-0000-0000439A0000}"/>
    <cellStyle name="Normal 2 2 7 10" xfId="39493" xr:uid="{00000000-0005-0000-0000-0000449A0000}"/>
    <cellStyle name="Normal 2 2 7 10 2" xfId="39494" xr:uid="{00000000-0005-0000-0000-0000459A0000}"/>
    <cellStyle name="Normal 2 2 7 10 2 2" xfId="39495" xr:uid="{00000000-0005-0000-0000-0000469A0000}"/>
    <cellStyle name="Normal 2 2 7 10 3" xfId="39496" xr:uid="{00000000-0005-0000-0000-0000479A0000}"/>
    <cellStyle name="Normal 2 2 7 11" xfId="39497" xr:uid="{00000000-0005-0000-0000-0000489A0000}"/>
    <cellStyle name="Normal 2 2 7 11 2" xfId="39498" xr:uid="{00000000-0005-0000-0000-0000499A0000}"/>
    <cellStyle name="Normal 2 2 7 11 2 2" xfId="39499" xr:uid="{00000000-0005-0000-0000-00004A9A0000}"/>
    <cellStyle name="Normal 2 2 7 11 3" xfId="39500" xr:uid="{00000000-0005-0000-0000-00004B9A0000}"/>
    <cellStyle name="Normal 2 2 7 12" xfId="39501" xr:uid="{00000000-0005-0000-0000-00004C9A0000}"/>
    <cellStyle name="Normal 2 2 7 12 2" xfId="39502" xr:uid="{00000000-0005-0000-0000-00004D9A0000}"/>
    <cellStyle name="Normal 2 2 7 12 2 2" xfId="39503" xr:uid="{00000000-0005-0000-0000-00004E9A0000}"/>
    <cellStyle name="Normal 2 2 7 12 3" xfId="39504" xr:uid="{00000000-0005-0000-0000-00004F9A0000}"/>
    <cellStyle name="Normal 2 2 7 13" xfId="39505" xr:uid="{00000000-0005-0000-0000-0000509A0000}"/>
    <cellStyle name="Normal 2 2 7 13 2" xfId="39506" xr:uid="{00000000-0005-0000-0000-0000519A0000}"/>
    <cellStyle name="Normal 2 2 7 14" xfId="39507" xr:uid="{00000000-0005-0000-0000-0000529A0000}"/>
    <cellStyle name="Normal 2 2 7 2" xfId="39508" xr:uid="{00000000-0005-0000-0000-0000539A0000}"/>
    <cellStyle name="Normal 2 2 7 2 2" xfId="39509" xr:uid="{00000000-0005-0000-0000-0000549A0000}"/>
    <cellStyle name="Normal 2 2 7 2 2 2" xfId="39510" xr:uid="{00000000-0005-0000-0000-0000559A0000}"/>
    <cellStyle name="Normal 2 2 7 2 2 2 2" xfId="39511" xr:uid="{00000000-0005-0000-0000-0000569A0000}"/>
    <cellStyle name="Normal 2 2 7 2 2 2 2 2" xfId="39512" xr:uid="{00000000-0005-0000-0000-0000579A0000}"/>
    <cellStyle name="Normal 2 2 7 2 2 2 3" xfId="39513" xr:uid="{00000000-0005-0000-0000-0000589A0000}"/>
    <cellStyle name="Normal 2 2 7 2 2 3" xfId="39514" xr:uid="{00000000-0005-0000-0000-0000599A0000}"/>
    <cellStyle name="Normal 2 2 7 2 2 3 2" xfId="39515" xr:uid="{00000000-0005-0000-0000-00005A9A0000}"/>
    <cellStyle name="Normal 2 2 7 2 2 4" xfId="39516" xr:uid="{00000000-0005-0000-0000-00005B9A0000}"/>
    <cellStyle name="Normal 2 2 7 2 3" xfId="39517" xr:uid="{00000000-0005-0000-0000-00005C9A0000}"/>
    <cellStyle name="Normal 2 2 7 2 3 2" xfId="39518" xr:uid="{00000000-0005-0000-0000-00005D9A0000}"/>
    <cellStyle name="Normal 2 2 7 2 3 2 2" xfId="39519" xr:uid="{00000000-0005-0000-0000-00005E9A0000}"/>
    <cellStyle name="Normal 2 2 7 2 3 3" xfId="39520" xr:uid="{00000000-0005-0000-0000-00005F9A0000}"/>
    <cellStyle name="Normal 2 2 7 2 4" xfId="39521" xr:uid="{00000000-0005-0000-0000-0000609A0000}"/>
    <cellStyle name="Normal 2 2 7 2 4 2" xfId="39522" xr:uid="{00000000-0005-0000-0000-0000619A0000}"/>
    <cellStyle name="Normal 2 2 7 2 4 2 2" xfId="39523" xr:uid="{00000000-0005-0000-0000-0000629A0000}"/>
    <cellStyle name="Normal 2 2 7 2 4 3" xfId="39524" xr:uid="{00000000-0005-0000-0000-0000639A0000}"/>
    <cellStyle name="Normal 2 2 7 2 5" xfId="39525" xr:uid="{00000000-0005-0000-0000-0000649A0000}"/>
    <cellStyle name="Normal 2 2 7 2 5 2" xfId="39526" xr:uid="{00000000-0005-0000-0000-0000659A0000}"/>
    <cellStyle name="Normal 2 2 7 2 5 2 2" xfId="39527" xr:uid="{00000000-0005-0000-0000-0000669A0000}"/>
    <cellStyle name="Normal 2 2 7 2 5 3" xfId="39528" xr:uid="{00000000-0005-0000-0000-0000679A0000}"/>
    <cellStyle name="Normal 2 2 7 2 6" xfId="39529" xr:uid="{00000000-0005-0000-0000-0000689A0000}"/>
    <cellStyle name="Normal 2 2 7 2 6 2" xfId="39530" xr:uid="{00000000-0005-0000-0000-0000699A0000}"/>
    <cellStyle name="Normal 2 2 7 2 6 2 2" xfId="39531" xr:uid="{00000000-0005-0000-0000-00006A9A0000}"/>
    <cellStyle name="Normal 2 2 7 2 6 3" xfId="39532" xr:uid="{00000000-0005-0000-0000-00006B9A0000}"/>
    <cellStyle name="Normal 2 2 7 2 7" xfId="39533" xr:uid="{00000000-0005-0000-0000-00006C9A0000}"/>
    <cellStyle name="Normal 2 2 7 2 7 2" xfId="39534" xr:uid="{00000000-0005-0000-0000-00006D9A0000}"/>
    <cellStyle name="Normal 2 2 7 2 8" xfId="39535" xr:uid="{00000000-0005-0000-0000-00006E9A0000}"/>
    <cellStyle name="Normal 2 2 7 3" xfId="39536" xr:uid="{00000000-0005-0000-0000-00006F9A0000}"/>
    <cellStyle name="Normal 2 2 7 3 2" xfId="39537" xr:uid="{00000000-0005-0000-0000-0000709A0000}"/>
    <cellStyle name="Normal 2 2 7 3 2 2" xfId="39538" xr:uid="{00000000-0005-0000-0000-0000719A0000}"/>
    <cellStyle name="Normal 2 2 7 3 2 2 2" xfId="39539" xr:uid="{00000000-0005-0000-0000-0000729A0000}"/>
    <cellStyle name="Normal 2 2 7 3 2 2 2 2" xfId="39540" xr:uid="{00000000-0005-0000-0000-0000739A0000}"/>
    <cellStyle name="Normal 2 2 7 3 2 2 3" xfId="39541" xr:uid="{00000000-0005-0000-0000-0000749A0000}"/>
    <cellStyle name="Normal 2 2 7 3 2 3" xfId="39542" xr:uid="{00000000-0005-0000-0000-0000759A0000}"/>
    <cellStyle name="Normal 2 2 7 3 2 3 2" xfId="39543" xr:uid="{00000000-0005-0000-0000-0000769A0000}"/>
    <cellStyle name="Normal 2 2 7 3 2 4" xfId="39544" xr:uid="{00000000-0005-0000-0000-0000779A0000}"/>
    <cellStyle name="Normal 2 2 7 3 3" xfId="39545" xr:uid="{00000000-0005-0000-0000-0000789A0000}"/>
    <cellStyle name="Normal 2 2 7 3 3 2" xfId="39546" xr:uid="{00000000-0005-0000-0000-0000799A0000}"/>
    <cellStyle name="Normal 2 2 7 3 3 2 2" xfId="39547" xr:uid="{00000000-0005-0000-0000-00007A9A0000}"/>
    <cellStyle name="Normal 2 2 7 3 3 3" xfId="39548" xr:uid="{00000000-0005-0000-0000-00007B9A0000}"/>
    <cellStyle name="Normal 2 2 7 3 4" xfId="39549" xr:uid="{00000000-0005-0000-0000-00007C9A0000}"/>
    <cellStyle name="Normal 2 2 7 3 4 2" xfId="39550" xr:uid="{00000000-0005-0000-0000-00007D9A0000}"/>
    <cellStyle name="Normal 2 2 7 3 4 2 2" xfId="39551" xr:uid="{00000000-0005-0000-0000-00007E9A0000}"/>
    <cellStyle name="Normal 2 2 7 3 4 3" xfId="39552" xr:uid="{00000000-0005-0000-0000-00007F9A0000}"/>
    <cellStyle name="Normal 2 2 7 3 5" xfId="39553" xr:uid="{00000000-0005-0000-0000-0000809A0000}"/>
    <cellStyle name="Normal 2 2 7 3 5 2" xfId="39554" xr:uid="{00000000-0005-0000-0000-0000819A0000}"/>
    <cellStyle name="Normal 2 2 7 3 5 2 2" xfId="39555" xr:uid="{00000000-0005-0000-0000-0000829A0000}"/>
    <cellStyle name="Normal 2 2 7 3 5 3" xfId="39556" xr:uid="{00000000-0005-0000-0000-0000839A0000}"/>
    <cellStyle name="Normal 2 2 7 3 6" xfId="39557" xr:uid="{00000000-0005-0000-0000-0000849A0000}"/>
    <cellStyle name="Normal 2 2 7 3 6 2" xfId="39558" xr:uid="{00000000-0005-0000-0000-0000859A0000}"/>
    <cellStyle name="Normal 2 2 7 3 6 2 2" xfId="39559" xr:uid="{00000000-0005-0000-0000-0000869A0000}"/>
    <cellStyle name="Normal 2 2 7 3 6 3" xfId="39560" xr:uid="{00000000-0005-0000-0000-0000879A0000}"/>
    <cellStyle name="Normal 2 2 7 3 7" xfId="39561" xr:uid="{00000000-0005-0000-0000-0000889A0000}"/>
    <cellStyle name="Normal 2 2 7 3 7 2" xfId="39562" xr:uid="{00000000-0005-0000-0000-0000899A0000}"/>
    <cellStyle name="Normal 2 2 7 3 8" xfId="39563" xr:uid="{00000000-0005-0000-0000-00008A9A0000}"/>
    <cellStyle name="Normal 2 2 7 4" xfId="39564" xr:uid="{00000000-0005-0000-0000-00008B9A0000}"/>
    <cellStyle name="Normal 2 2 7 4 2" xfId="39565" xr:uid="{00000000-0005-0000-0000-00008C9A0000}"/>
    <cellStyle name="Normal 2 2 7 4 2 2" xfId="39566" xr:uid="{00000000-0005-0000-0000-00008D9A0000}"/>
    <cellStyle name="Normal 2 2 7 4 2 2 2" xfId="39567" xr:uid="{00000000-0005-0000-0000-00008E9A0000}"/>
    <cellStyle name="Normal 2 2 7 4 2 2 2 2" xfId="39568" xr:uid="{00000000-0005-0000-0000-00008F9A0000}"/>
    <cellStyle name="Normal 2 2 7 4 2 2 3" xfId="39569" xr:uid="{00000000-0005-0000-0000-0000909A0000}"/>
    <cellStyle name="Normal 2 2 7 4 2 3" xfId="39570" xr:uid="{00000000-0005-0000-0000-0000919A0000}"/>
    <cellStyle name="Normal 2 2 7 4 2 3 2" xfId="39571" xr:uid="{00000000-0005-0000-0000-0000929A0000}"/>
    <cellStyle name="Normal 2 2 7 4 2 4" xfId="39572" xr:uid="{00000000-0005-0000-0000-0000939A0000}"/>
    <cellStyle name="Normal 2 2 7 4 3" xfId="39573" xr:uid="{00000000-0005-0000-0000-0000949A0000}"/>
    <cellStyle name="Normal 2 2 7 4 3 2" xfId="39574" xr:uid="{00000000-0005-0000-0000-0000959A0000}"/>
    <cellStyle name="Normal 2 2 7 4 3 2 2" xfId="39575" xr:uid="{00000000-0005-0000-0000-0000969A0000}"/>
    <cellStyle name="Normal 2 2 7 4 3 3" xfId="39576" xr:uid="{00000000-0005-0000-0000-0000979A0000}"/>
    <cellStyle name="Normal 2 2 7 4 4" xfId="39577" xr:uid="{00000000-0005-0000-0000-0000989A0000}"/>
    <cellStyle name="Normal 2 2 7 4 4 2" xfId="39578" xr:uid="{00000000-0005-0000-0000-0000999A0000}"/>
    <cellStyle name="Normal 2 2 7 4 4 2 2" xfId="39579" xr:uid="{00000000-0005-0000-0000-00009A9A0000}"/>
    <cellStyle name="Normal 2 2 7 4 4 3" xfId="39580" xr:uid="{00000000-0005-0000-0000-00009B9A0000}"/>
    <cellStyle name="Normal 2 2 7 4 5" xfId="39581" xr:uid="{00000000-0005-0000-0000-00009C9A0000}"/>
    <cellStyle name="Normal 2 2 7 4 5 2" xfId="39582" xr:uid="{00000000-0005-0000-0000-00009D9A0000}"/>
    <cellStyle name="Normal 2 2 7 4 5 2 2" xfId="39583" xr:uid="{00000000-0005-0000-0000-00009E9A0000}"/>
    <cellStyle name="Normal 2 2 7 4 5 3" xfId="39584" xr:uid="{00000000-0005-0000-0000-00009F9A0000}"/>
    <cellStyle name="Normal 2 2 7 4 6" xfId="39585" xr:uid="{00000000-0005-0000-0000-0000A09A0000}"/>
    <cellStyle name="Normal 2 2 7 4 6 2" xfId="39586" xr:uid="{00000000-0005-0000-0000-0000A19A0000}"/>
    <cellStyle name="Normal 2 2 7 4 6 2 2" xfId="39587" xr:uid="{00000000-0005-0000-0000-0000A29A0000}"/>
    <cellStyle name="Normal 2 2 7 4 6 3" xfId="39588" xr:uid="{00000000-0005-0000-0000-0000A39A0000}"/>
    <cellStyle name="Normal 2 2 7 4 7" xfId="39589" xr:uid="{00000000-0005-0000-0000-0000A49A0000}"/>
    <cellStyle name="Normal 2 2 7 4 7 2" xfId="39590" xr:uid="{00000000-0005-0000-0000-0000A59A0000}"/>
    <cellStyle name="Normal 2 2 7 4 8" xfId="39591" xr:uid="{00000000-0005-0000-0000-0000A69A0000}"/>
    <cellStyle name="Normal 2 2 7 5" xfId="39592" xr:uid="{00000000-0005-0000-0000-0000A79A0000}"/>
    <cellStyle name="Normal 2 2 7 5 2" xfId="39593" xr:uid="{00000000-0005-0000-0000-0000A89A0000}"/>
    <cellStyle name="Normal 2 2 7 5 2 2" xfId="39594" xr:uid="{00000000-0005-0000-0000-0000A99A0000}"/>
    <cellStyle name="Normal 2 2 7 5 2 2 2" xfId="39595" xr:uid="{00000000-0005-0000-0000-0000AA9A0000}"/>
    <cellStyle name="Normal 2 2 7 5 2 2 2 2" xfId="39596" xr:uid="{00000000-0005-0000-0000-0000AB9A0000}"/>
    <cellStyle name="Normal 2 2 7 5 2 2 3" xfId="39597" xr:uid="{00000000-0005-0000-0000-0000AC9A0000}"/>
    <cellStyle name="Normal 2 2 7 5 2 3" xfId="39598" xr:uid="{00000000-0005-0000-0000-0000AD9A0000}"/>
    <cellStyle name="Normal 2 2 7 5 2 3 2" xfId="39599" xr:uid="{00000000-0005-0000-0000-0000AE9A0000}"/>
    <cellStyle name="Normal 2 2 7 5 2 4" xfId="39600" xr:uid="{00000000-0005-0000-0000-0000AF9A0000}"/>
    <cellStyle name="Normal 2 2 7 5 3" xfId="39601" xr:uid="{00000000-0005-0000-0000-0000B09A0000}"/>
    <cellStyle name="Normal 2 2 7 5 3 2" xfId="39602" xr:uid="{00000000-0005-0000-0000-0000B19A0000}"/>
    <cellStyle name="Normal 2 2 7 5 3 2 2" xfId="39603" xr:uid="{00000000-0005-0000-0000-0000B29A0000}"/>
    <cellStyle name="Normal 2 2 7 5 3 3" xfId="39604" xr:uid="{00000000-0005-0000-0000-0000B39A0000}"/>
    <cellStyle name="Normal 2 2 7 5 4" xfId="39605" xr:uid="{00000000-0005-0000-0000-0000B49A0000}"/>
    <cellStyle name="Normal 2 2 7 5 4 2" xfId="39606" xr:uid="{00000000-0005-0000-0000-0000B59A0000}"/>
    <cellStyle name="Normal 2 2 7 5 5" xfId="39607" xr:uid="{00000000-0005-0000-0000-0000B69A0000}"/>
    <cellStyle name="Normal 2 2 7 6" xfId="39608" xr:uid="{00000000-0005-0000-0000-0000B79A0000}"/>
    <cellStyle name="Normal 2 2 7 6 2" xfId="39609" xr:uid="{00000000-0005-0000-0000-0000B89A0000}"/>
    <cellStyle name="Normal 2 2 7 6 2 2" xfId="39610" xr:uid="{00000000-0005-0000-0000-0000B99A0000}"/>
    <cellStyle name="Normal 2 2 7 6 2 2 2" xfId="39611" xr:uid="{00000000-0005-0000-0000-0000BA9A0000}"/>
    <cellStyle name="Normal 2 2 7 6 2 2 2 2" xfId="39612" xr:uid="{00000000-0005-0000-0000-0000BB9A0000}"/>
    <cellStyle name="Normal 2 2 7 6 2 2 3" xfId="39613" xr:uid="{00000000-0005-0000-0000-0000BC9A0000}"/>
    <cellStyle name="Normal 2 2 7 6 2 3" xfId="39614" xr:uid="{00000000-0005-0000-0000-0000BD9A0000}"/>
    <cellStyle name="Normal 2 2 7 6 2 3 2" xfId="39615" xr:uid="{00000000-0005-0000-0000-0000BE9A0000}"/>
    <cellStyle name="Normal 2 2 7 6 2 4" xfId="39616" xr:uid="{00000000-0005-0000-0000-0000BF9A0000}"/>
    <cellStyle name="Normal 2 2 7 6 3" xfId="39617" xr:uid="{00000000-0005-0000-0000-0000C09A0000}"/>
    <cellStyle name="Normal 2 2 7 6 3 2" xfId="39618" xr:uid="{00000000-0005-0000-0000-0000C19A0000}"/>
    <cellStyle name="Normal 2 2 7 6 3 2 2" xfId="39619" xr:uid="{00000000-0005-0000-0000-0000C29A0000}"/>
    <cellStyle name="Normal 2 2 7 6 3 3" xfId="39620" xr:uid="{00000000-0005-0000-0000-0000C39A0000}"/>
    <cellStyle name="Normal 2 2 7 6 4" xfId="39621" xr:uid="{00000000-0005-0000-0000-0000C49A0000}"/>
    <cellStyle name="Normal 2 2 7 6 4 2" xfId="39622" xr:uid="{00000000-0005-0000-0000-0000C59A0000}"/>
    <cellStyle name="Normal 2 2 7 6 5" xfId="39623" xr:uid="{00000000-0005-0000-0000-0000C69A0000}"/>
    <cellStyle name="Normal 2 2 7 7" xfId="39624" xr:uid="{00000000-0005-0000-0000-0000C79A0000}"/>
    <cellStyle name="Normal 2 2 7 7 2" xfId="39625" xr:uid="{00000000-0005-0000-0000-0000C89A0000}"/>
    <cellStyle name="Normal 2 2 7 7 2 2" xfId="39626" xr:uid="{00000000-0005-0000-0000-0000C99A0000}"/>
    <cellStyle name="Normal 2 2 7 7 2 2 2" xfId="39627" xr:uid="{00000000-0005-0000-0000-0000CA9A0000}"/>
    <cellStyle name="Normal 2 2 7 7 2 3" xfId="39628" xr:uid="{00000000-0005-0000-0000-0000CB9A0000}"/>
    <cellStyle name="Normal 2 2 7 7 3" xfId="39629" xr:uid="{00000000-0005-0000-0000-0000CC9A0000}"/>
    <cellStyle name="Normal 2 2 7 7 3 2" xfId="39630" xr:uid="{00000000-0005-0000-0000-0000CD9A0000}"/>
    <cellStyle name="Normal 2 2 7 7 4" xfId="39631" xr:uid="{00000000-0005-0000-0000-0000CE9A0000}"/>
    <cellStyle name="Normal 2 2 7 8" xfId="39632" xr:uid="{00000000-0005-0000-0000-0000CF9A0000}"/>
    <cellStyle name="Normal 2 2 7 8 2" xfId="39633" xr:uid="{00000000-0005-0000-0000-0000D09A0000}"/>
    <cellStyle name="Normal 2 2 7 8 2 2" xfId="39634" xr:uid="{00000000-0005-0000-0000-0000D19A0000}"/>
    <cellStyle name="Normal 2 2 7 8 2 2 2" xfId="39635" xr:uid="{00000000-0005-0000-0000-0000D29A0000}"/>
    <cellStyle name="Normal 2 2 7 8 2 3" xfId="39636" xr:uid="{00000000-0005-0000-0000-0000D39A0000}"/>
    <cellStyle name="Normal 2 2 7 8 3" xfId="39637" xr:uid="{00000000-0005-0000-0000-0000D49A0000}"/>
    <cellStyle name="Normal 2 2 7 8 3 2" xfId="39638" xr:uid="{00000000-0005-0000-0000-0000D59A0000}"/>
    <cellStyle name="Normal 2 2 7 8 4" xfId="39639" xr:uid="{00000000-0005-0000-0000-0000D69A0000}"/>
    <cellStyle name="Normal 2 2 7 9" xfId="39640" xr:uid="{00000000-0005-0000-0000-0000D79A0000}"/>
    <cellStyle name="Normal 2 2 7 9 2" xfId="39641" xr:uid="{00000000-0005-0000-0000-0000D89A0000}"/>
    <cellStyle name="Normal 2 2 7 9 2 2" xfId="39642" xr:uid="{00000000-0005-0000-0000-0000D99A0000}"/>
    <cellStyle name="Normal 2 2 7 9 3" xfId="39643" xr:uid="{00000000-0005-0000-0000-0000DA9A0000}"/>
    <cellStyle name="Normal 2 2 8" xfId="39644" xr:uid="{00000000-0005-0000-0000-0000DB9A0000}"/>
    <cellStyle name="Normal 2 2 8 10" xfId="39645" xr:uid="{00000000-0005-0000-0000-0000DC9A0000}"/>
    <cellStyle name="Normal 2 2 8 10 2" xfId="39646" xr:uid="{00000000-0005-0000-0000-0000DD9A0000}"/>
    <cellStyle name="Normal 2 2 8 10 2 2" xfId="39647" xr:uid="{00000000-0005-0000-0000-0000DE9A0000}"/>
    <cellStyle name="Normal 2 2 8 10 3" xfId="39648" xr:uid="{00000000-0005-0000-0000-0000DF9A0000}"/>
    <cellStyle name="Normal 2 2 8 11" xfId="39649" xr:uid="{00000000-0005-0000-0000-0000E09A0000}"/>
    <cellStyle name="Normal 2 2 8 11 2" xfId="39650" xr:uid="{00000000-0005-0000-0000-0000E19A0000}"/>
    <cellStyle name="Normal 2 2 8 11 2 2" xfId="39651" xr:uid="{00000000-0005-0000-0000-0000E29A0000}"/>
    <cellStyle name="Normal 2 2 8 11 3" xfId="39652" xr:uid="{00000000-0005-0000-0000-0000E39A0000}"/>
    <cellStyle name="Normal 2 2 8 12" xfId="39653" xr:uid="{00000000-0005-0000-0000-0000E49A0000}"/>
    <cellStyle name="Normal 2 2 8 12 2" xfId="39654" xr:uid="{00000000-0005-0000-0000-0000E59A0000}"/>
    <cellStyle name="Normal 2 2 8 12 2 2" xfId="39655" xr:uid="{00000000-0005-0000-0000-0000E69A0000}"/>
    <cellStyle name="Normal 2 2 8 12 3" xfId="39656" xr:uid="{00000000-0005-0000-0000-0000E79A0000}"/>
    <cellStyle name="Normal 2 2 8 13" xfId="39657" xr:uid="{00000000-0005-0000-0000-0000E89A0000}"/>
    <cellStyle name="Normal 2 2 8 13 2" xfId="39658" xr:uid="{00000000-0005-0000-0000-0000E99A0000}"/>
    <cellStyle name="Normal 2 2 8 14" xfId="39659" xr:uid="{00000000-0005-0000-0000-0000EA9A0000}"/>
    <cellStyle name="Normal 2 2 8 2" xfId="39660" xr:uid="{00000000-0005-0000-0000-0000EB9A0000}"/>
    <cellStyle name="Normal 2 2 8 2 2" xfId="39661" xr:uid="{00000000-0005-0000-0000-0000EC9A0000}"/>
    <cellStyle name="Normal 2 2 8 2 2 2" xfId="39662" xr:uid="{00000000-0005-0000-0000-0000ED9A0000}"/>
    <cellStyle name="Normal 2 2 8 2 2 2 2" xfId="39663" xr:uid="{00000000-0005-0000-0000-0000EE9A0000}"/>
    <cellStyle name="Normal 2 2 8 2 2 2 2 2" xfId="39664" xr:uid="{00000000-0005-0000-0000-0000EF9A0000}"/>
    <cellStyle name="Normal 2 2 8 2 2 2 3" xfId="39665" xr:uid="{00000000-0005-0000-0000-0000F09A0000}"/>
    <cellStyle name="Normal 2 2 8 2 2 3" xfId="39666" xr:uid="{00000000-0005-0000-0000-0000F19A0000}"/>
    <cellStyle name="Normal 2 2 8 2 2 3 2" xfId="39667" xr:uid="{00000000-0005-0000-0000-0000F29A0000}"/>
    <cellStyle name="Normal 2 2 8 2 2 4" xfId="39668" xr:uid="{00000000-0005-0000-0000-0000F39A0000}"/>
    <cellStyle name="Normal 2 2 8 2 3" xfId="39669" xr:uid="{00000000-0005-0000-0000-0000F49A0000}"/>
    <cellStyle name="Normal 2 2 8 2 3 2" xfId="39670" xr:uid="{00000000-0005-0000-0000-0000F59A0000}"/>
    <cellStyle name="Normal 2 2 8 2 3 2 2" xfId="39671" xr:uid="{00000000-0005-0000-0000-0000F69A0000}"/>
    <cellStyle name="Normal 2 2 8 2 3 3" xfId="39672" xr:uid="{00000000-0005-0000-0000-0000F79A0000}"/>
    <cellStyle name="Normal 2 2 8 2 4" xfId="39673" xr:uid="{00000000-0005-0000-0000-0000F89A0000}"/>
    <cellStyle name="Normal 2 2 8 2 4 2" xfId="39674" xr:uid="{00000000-0005-0000-0000-0000F99A0000}"/>
    <cellStyle name="Normal 2 2 8 2 4 2 2" xfId="39675" xr:uid="{00000000-0005-0000-0000-0000FA9A0000}"/>
    <cellStyle name="Normal 2 2 8 2 4 3" xfId="39676" xr:uid="{00000000-0005-0000-0000-0000FB9A0000}"/>
    <cellStyle name="Normal 2 2 8 2 5" xfId="39677" xr:uid="{00000000-0005-0000-0000-0000FC9A0000}"/>
    <cellStyle name="Normal 2 2 8 2 5 2" xfId="39678" xr:uid="{00000000-0005-0000-0000-0000FD9A0000}"/>
    <cellStyle name="Normal 2 2 8 2 5 2 2" xfId="39679" xr:uid="{00000000-0005-0000-0000-0000FE9A0000}"/>
    <cellStyle name="Normal 2 2 8 2 5 3" xfId="39680" xr:uid="{00000000-0005-0000-0000-0000FF9A0000}"/>
    <cellStyle name="Normal 2 2 8 2 6" xfId="39681" xr:uid="{00000000-0005-0000-0000-0000009B0000}"/>
    <cellStyle name="Normal 2 2 8 2 6 2" xfId="39682" xr:uid="{00000000-0005-0000-0000-0000019B0000}"/>
    <cellStyle name="Normal 2 2 8 2 6 2 2" xfId="39683" xr:uid="{00000000-0005-0000-0000-0000029B0000}"/>
    <cellStyle name="Normal 2 2 8 2 6 3" xfId="39684" xr:uid="{00000000-0005-0000-0000-0000039B0000}"/>
    <cellStyle name="Normal 2 2 8 2 7" xfId="39685" xr:uid="{00000000-0005-0000-0000-0000049B0000}"/>
    <cellStyle name="Normal 2 2 8 2 7 2" xfId="39686" xr:uid="{00000000-0005-0000-0000-0000059B0000}"/>
    <cellStyle name="Normal 2 2 8 2 8" xfId="39687" xr:uid="{00000000-0005-0000-0000-0000069B0000}"/>
    <cellStyle name="Normal 2 2 8 3" xfId="39688" xr:uid="{00000000-0005-0000-0000-0000079B0000}"/>
    <cellStyle name="Normal 2 2 8 3 2" xfId="39689" xr:uid="{00000000-0005-0000-0000-0000089B0000}"/>
    <cellStyle name="Normal 2 2 8 3 2 2" xfId="39690" xr:uid="{00000000-0005-0000-0000-0000099B0000}"/>
    <cellStyle name="Normal 2 2 8 3 2 2 2" xfId="39691" xr:uid="{00000000-0005-0000-0000-00000A9B0000}"/>
    <cellStyle name="Normal 2 2 8 3 2 2 2 2" xfId="39692" xr:uid="{00000000-0005-0000-0000-00000B9B0000}"/>
    <cellStyle name="Normal 2 2 8 3 2 2 3" xfId="39693" xr:uid="{00000000-0005-0000-0000-00000C9B0000}"/>
    <cellStyle name="Normal 2 2 8 3 2 3" xfId="39694" xr:uid="{00000000-0005-0000-0000-00000D9B0000}"/>
    <cellStyle name="Normal 2 2 8 3 2 3 2" xfId="39695" xr:uid="{00000000-0005-0000-0000-00000E9B0000}"/>
    <cellStyle name="Normal 2 2 8 3 2 4" xfId="39696" xr:uid="{00000000-0005-0000-0000-00000F9B0000}"/>
    <cellStyle name="Normal 2 2 8 3 3" xfId="39697" xr:uid="{00000000-0005-0000-0000-0000109B0000}"/>
    <cellStyle name="Normal 2 2 8 3 3 2" xfId="39698" xr:uid="{00000000-0005-0000-0000-0000119B0000}"/>
    <cellStyle name="Normal 2 2 8 3 3 2 2" xfId="39699" xr:uid="{00000000-0005-0000-0000-0000129B0000}"/>
    <cellStyle name="Normal 2 2 8 3 3 3" xfId="39700" xr:uid="{00000000-0005-0000-0000-0000139B0000}"/>
    <cellStyle name="Normal 2 2 8 3 4" xfId="39701" xr:uid="{00000000-0005-0000-0000-0000149B0000}"/>
    <cellStyle name="Normal 2 2 8 3 4 2" xfId="39702" xr:uid="{00000000-0005-0000-0000-0000159B0000}"/>
    <cellStyle name="Normal 2 2 8 3 4 2 2" xfId="39703" xr:uid="{00000000-0005-0000-0000-0000169B0000}"/>
    <cellStyle name="Normal 2 2 8 3 4 3" xfId="39704" xr:uid="{00000000-0005-0000-0000-0000179B0000}"/>
    <cellStyle name="Normal 2 2 8 3 5" xfId="39705" xr:uid="{00000000-0005-0000-0000-0000189B0000}"/>
    <cellStyle name="Normal 2 2 8 3 5 2" xfId="39706" xr:uid="{00000000-0005-0000-0000-0000199B0000}"/>
    <cellStyle name="Normal 2 2 8 3 5 2 2" xfId="39707" xr:uid="{00000000-0005-0000-0000-00001A9B0000}"/>
    <cellStyle name="Normal 2 2 8 3 5 3" xfId="39708" xr:uid="{00000000-0005-0000-0000-00001B9B0000}"/>
    <cellStyle name="Normal 2 2 8 3 6" xfId="39709" xr:uid="{00000000-0005-0000-0000-00001C9B0000}"/>
    <cellStyle name="Normal 2 2 8 3 6 2" xfId="39710" xr:uid="{00000000-0005-0000-0000-00001D9B0000}"/>
    <cellStyle name="Normal 2 2 8 3 6 2 2" xfId="39711" xr:uid="{00000000-0005-0000-0000-00001E9B0000}"/>
    <cellStyle name="Normal 2 2 8 3 6 3" xfId="39712" xr:uid="{00000000-0005-0000-0000-00001F9B0000}"/>
    <cellStyle name="Normal 2 2 8 3 7" xfId="39713" xr:uid="{00000000-0005-0000-0000-0000209B0000}"/>
    <cellStyle name="Normal 2 2 8 3 7 2" xfId="39714" xr:uid="{00000000-0005-0000-0000-0000219B0000}"/>
    <cellStyle name="Normal 2 2 8 3 8" xfId="39715" xr:uid="{00000000-0005-0000-0000-0000229B0000}"/>
    <cellStyle name="Normal 2 2 8 4" xfId="39716" xr:uid="{00000000-0005-0000-0000-0000239B0000}"/>
    <cellStyle name="Normal 2 2 8 4 2" xfId="39717" xr:uid="{00000000-0005-0000-0000-0000249B0000}"/>
    <cellStyle name="Normal 2 2 8 4 2 2" xfId="39718" xr:uid="{00000000-0005-0000-0000-0000259B0000}"/>
    <cellStyle name="Normal 2 2 8 4 2 2 2" xfId="39719" xr:uid="{00000000-0005-0000-0000-0000269B0000}"/>
    <cellStyle name="Normal 2 2 8 4 2 2 2 2" xfId="39720" xr:uid="{00000000-0005-0000-0000-0000279B0000}"/>
    <cellStyle name="Normal 2 2 8 4 2 2 3" xfId="39721" xr:uid="{00000000-0005-0000-0000-0000289B0000}"/>
    <cellStyle name="Normal 2 2 8 4 2 3" xfId="39722" xr:uid="{00000000-0005-0000-0000-0000299B0000}"/>
    <cellStyle name="Normal 2 2 8 4 2 3 2" xfId="39723" xr:uid="{00000000-0005-0000-0000-00002A9B0000}"/>
    <cellStyle name="Normal 2 2 8 4 2 4" xfId="39724" xr:uid="{00000000-0005-0000-0000-00002B9B0000}"/>
    <cellStyle name="Normal 2 2 8 4 3" xfId="39725" xr:uid="{00000000-0005-0000-0000-00002C9B0000}"/>
    <cellStyle name="Normal 2 2 8 4 3 2" xfId="39726" xr:uid="{00000000-0005-0000-0000-00002D9B0000}"/>
    <cellStyle name="Normal 2 2 8 4 3 2 2" xfId="39727" xr:uid="{00000000-0005-0000-0000-00002E9B0000}"/>
    <cellStyle name="Normal 2 2 8 4 3 3" xfId="39728" xr:uid="{00000000-0005-0000-0000-00002F9B0000}"/>
    <cellStyle name="Normal 2 2 8 4 4" xfId="39729" xr:uid="{00000000-0005-0000-0000-0000309B0000}"/>
    <cellStyle name="Normal 2 2 8 4 4 2" xfId="39730" xr:uid="{00000000-0005-0000-0000-0000319B0000}"/>
    <cellStyle name="Normal 2 2 8 4 4 2 2" xfId="39731" xr:uid="{00000000-0005-0000-0000-0000329B0000}"/>
    <cellStyle name="Normal 2 2 8 4 4 3" xfId="39732" xr:uid="{00000000-0005-0000-0000-0000339B0000}"/>
    <cellStyle name="Normal 2 2 8 4 5" xfId="39733" xr:uid="{00000000-0005-0000-0000-0000349B0000}"/>
    <cellStyle name="Normal 2 2 8 4 5 2" xfId="39734" xr:uid="{00000000-0005-0000-0000-0000359B0000}"/>
    <cellStyle name="Normal 2 2 8 4 5 2 2" xfId="39735" xr:uid="{00000000-0005-0000-0000-0000369B0000}"/>
    <cellStyle name="Normal 2 2 8 4 5 3" xfId="39736" xr:uid="{00000000-0005-0000-0000-0000379B0000}"/>
    <cellStyle name="Normal 2 2 8 4 6" xfId="39737" xr:uid="{00000000-0005-0000-0000-0000389B0000}"/>
    <cellStyle name="Normal 2 2 8 4 6 2" xfId="39738" xr:uid="{00000000-0005-0000-0000-0000399B0000}"/>
    <cellStyle name="Normal 2 2 8 4 6 2 2" xfId="39739" xr:uid="{00000000-0005-0000-0000-00003A9B0000}"/>
    <cellStyle name="Normal 2 2 8 4 6 3" xfId="39740" xr:uid="{00000000-0005-0000-0000-00003B9B0000}"/>
    <cellStyle name="Normal 2 2 8 4 7" xfId="39741" xr:uid="{00000000-0005-0000-0000-00003C9B0000}"/>
    <cellStyle name="Normal 2 2 8 4 7 2" xfId="39742" xr:uid="{00000000-0005-0000-0000-00003D9B0000}"/>
    <cellStyle name="Normal 2 2 8 4 8" xfId="39743" xr:uid="{00000000-0005-0000-0000-00003E9B0000}"/>
    <cellStyle name="Normal 2 2 8 5" xfId="39744" xr:uid="{00000000-0005-0000-0000-00003F9B0000}"/>
    <cellStyle name="Normal 2 2 8 5 2" xfId="39745" xr:uid="{00000000-0005-0000-0000-0000409B0000}"/>
    <cellStyle name="Normal 2 2 8 5 2 2" xfId="39746" xr:uid="{00000000-0005-0000-0000-0000419B0000}"/>
    <cellStyle name="Normal 2 2 8 5 2 2 2" xfId="39747" xr:uid="{00000000-0005-0000-0000-0000429B0000}"/>
    <cellStyle name="Normal 2 2 8 5 2 2 2 2" xfId="39748" xr:uid="{00000000-0005-0000-0000-0000439B0000}"/>
    <cellStyle name="Normal 2 2 8 5 2 2 3" xfId="39749" xr:uid="{00000000-0005-0000-0000-0000449B0000}"/>
    <cellStyle name="Normal 2 2 8 5 2 3" xfId="39750" xr:uid="{00000000-0005-0000-0000-0000459B0000}"/>
    <cellStyle name="Normal 2 2 8 5 2 3 2" xfId="39751" xr:uid="{00000000-0005-0000-0000-0000469B0000}"/>
    <cellStyle name="Normal 2 2 8 5 2 4" xfId="39752" xr:uid="{00000000-0005-0000-0000-0000479B0000}"/>
    <cellStyle name="Normal 2 2 8 5 3" xfId="39753" xr:uid="{00000000-0005-0000-0000-0000489B0000}"/>
    <cellStyle name="Normal 2 2 8 5 3 2" xfId="39754" xr:uid="{00000000-0005-0000-0000-0000499B0000}"/>
    <cellStyle name="Normal 2 2 8 5 3 2 2" xfId="39755" xr:uid="{00000000-0005-0000-0000-00004A9B0000}"/>
    <cellStyle name="Normal 2 2 8 5 3 3" xfId="39756" xr:uid="{00000000-0005-0000-0000-00004B9B0000}"/>
    <cellStyle name="Normal 2 2 8 5 4" xfId="39757" xr:uid="{00000000-0005-0000-0000-00004C9B0000}"/>
    <cellStyle name="Normal 2 2 8 5 4 2" xfId="39758" xr:uid="{00000000-0005-0000-0000-00004D9B0000}"/>
    <cellStyle name="Normal 2 2 8 5 5" xfId="39759" xr:uid="{00000000-0005-0000-0000-00004E9B0000}"/>
    <cellStyle name="Normal 2 2 8 6" xfId="39760" xr:uid="{00000000-0005-0000-0000-00004F9B0000}"/>
    <cellStyle name="Normal 2 2 8 6 2" xfId="39761" xr:uid="{00000000-0005-0000-0000-0000509B0000}"/>
    <cellStyle name="Normal 2 2 8 6 2 2" xfId="39762" xr:uid="{00000000-0005-0000-0000-0000519B0000}"/>
    <cellStyle name="Normal 2 2 8 6 2 2 2" xfId="39763" xr:uid="{00000000-0005-0000-0000-0000529B0000}"/>
    <cellStyle name="Normal 2 2 8 6 2 2 2 2" xfId="39764" xr:uid="{00000000-0005-0000-0000-0000539B0000}"/>
    <cellStyle name="Normal 2 2 8 6 2 2 3" xfId="39765" xr:uid="{00000000-0005-0000-0000-0000549B0000}"/>
    <cellStyle name="Normal 2 2 8 6 2 3" xfId="39766" xr:uid="{00000000-0005-0000-0000-0000559B0000}"/>
    <cellStyle name="Normal 2 2 8 6 2 3 2" xfId="39767" xr:uid="{00000000-0005-0000-0000-0000569B0000}"/>
    <cellStyle name="Normal 2 2 8 6 2 4" xfId="39768" xr:uid="{00000000-0005-0000-0000-0000579B0000}"/>
    <cellStyle name="Normal 2 2 8 6 3" xfId="39769" xr:uid="{00000000-0005-0000-0000-0000589B0000}"/>
    <cellStyle name="Normal 2 2 8 6 3 2" xfId="39770" xr:uid="{00000000-0005-0000-0000-0000599B0000}"/>
    <cellStyle name="Normal 2 2 8 6 3 2 2" xfId="39771" xr:uid="{00000000-0005-0000-0000-00005A9B0000}"/>
    <cellStyle name="Normal 2 2 8 6 3 3" xfId="39772" xr:uid="{00000000-0005-0000-0000-00005B9B0000}"/>
    <cellStyle name="Normal 2 2 8 6 4" xfId="39773" xr:uid="{00000000-0005-0000-0000-00005C9B0000}"/>
    <cellStyle name="Normal 2 2 8 6 4 2" xfId="39774" xr:uid="{00000000-0005-0000-0000-00005D9B0000}"/>
    <cellStyle name="Normal 2 2 8 6 5" xfId="39775" xr:uid="{00000000-0005-0000-0000-00005E9B0000}"/>
    <cellStyle name="Normal 2 2 8 7" xfId="39776" xr:uid="{00000000-0005-0000-0000-00005F9B0000}"/>
    <cellStyle name="Normal 2 2 8 7 2" xfId="39777" xr:uid="{00000000-0005-0000-0000-0000609B0000}"/>
    <cellStyle name="Normal 2 2 8 7 2 2" xfId="39778" xr:uid="{00000000-0005-0000-0000-0000619B0000}"/>
    <cellStyle name="Normal 2 2 8 7 2 2 2" xfId="39779" xr:uid="{00000000-0005-0000-0000-0000629B0000}"/>
    <cellStyle name="Normal 2 2 8 7 2 3" xfId="39780" xr:uid="{00000000-0005-0000-0000-0000639B0000}"/>
    <cellStyle name="Normal 2 2 8 7 3" xfId="39781" xr:uid="{00000000-0005-0000-0000-0000649B0000}"/>
    <cellStyle name="Normal 2 2 8 7 3 2" xfId="39782" xr:uid="{00000000-0005-0000-0000-0000659B0000}"/>
    <cellStyle name="Normal 2 2 8 7 4" xfId="39783" xr:uid="{00000000-0005-0000-0000-0000669B0000}"/>
    <cellStyle name="Normal 2 2 8 8" xfId="39784" xr:uid="{00000000-0005-0000-0000-0000679B0000}"/>
    <cellStyle name="Normal 2 2 8 8 2" xfId="39785" xr:uid="{00000000-0005-0000-0000-0000689B0000}"/>
    <cellStyle name="Normal 2 2 8 8 2 2" xfId="39786" xr:uid="{00000000-0005-0000-0000-0000699B0000}"/>
    <cellStyle name="Normal 2 2 8 8 2 2 2" xfId="39787" xr:uid="{00000000-0005-0000-0000-00006A9B0000}"/>
    <cellStyle name="Normal 2 2 8 8 2 3" xfId="39788" xr:uid="{00000000-0005-0000-0000-00006B9B0000}"/>
    <cellStyle name="Normal 2 2 8 8 3" xfId="39789" xr:uid="{00000000-0005-0000-0000-00006C9B0000}"/>
    <cellStyle name="Normal 2 2 8 8 3 2" xfId="39790" xr:uid="{00000000-0005-0000-0000-00006D9B0000}"/>
    <cellStyle name="Normal 2 2 8 8 4" xfId="39791" xr:uid="{00000000-0005-0000-0000-00006E9B0000}"/>
    <cellStyle name="Normal 2 2 8 9" xfId="39792" xr:uid="{00000000-0005-0000-0000-00006F9B0000}"/>
    <cellStyle name="Normal 2 2 8 9 2" xfId="39793" xr:uid="{00000000-0005-0000-0000-0000709B0000}"/>
    <cellStyle name="Normal 2 2 8 9 2 2" xfId="39794" xr:uid="{00000000-0005-0000-0000-0000719B0000}"/>
    <cellStyle name="Normal 2 2 8 9 3" xfId="39795" xr:uid="{00000000-0005-0000-0000-0000729B0000}"/>
    <cellStyle name="Normal 2 2 9" xfId="39796" xr:uid="{00000000-0005-0000-0000-0000739B0000}"/>
    <cellStyle name="Normal 2 2 9 10" xfId="39797" xr:uid="{00000000-0005-0000-0000-0000749B0000}"/>
    <cellStyle name="Normal 2 2 9 10 2" xfId="39798" xr:uid="{00000000-0005-0000-0000-0000759B0000}"/>
    <cellStyle name="Normal 2 2 9 10 2 2" xfId="39799" xr:uid="{00000000-0005-0000-0000-0000769B0000}"/>
    <cellStyle name="Normal 2 2 9 10 3" xfId="39800" xr:uid="{00000000-0005-0000-0000-0000779B0000}"/>
    <cellStyle name="Normal 2 2 9 11" xfId="39801" xr:uid="{00000000-0005-0000-0000-0000789B0000}"/>
    <cellStyle name="Normal 2 2 9 11 2" xfId="39802" xr:uid="{00000000-0005-0000-0000-0000799B0000}"/>
    <cellStyle name="Normal 2 2 9 11 2 2" xfId="39803" xr:uid="{00000000-0005-0000-0000-00007A9B0000}"/>
    <cellStyle name="Normal 2 2 9 11 3" xfId="39804" xr:uid="{00000000-0005-0000-0000-00007B9B0000}"/>
    <cellStyle name="Normal 2 2 9 12" xfId="39805" xr:uid="{00000000-0005-0000-0000-00007C9B0000}"/>
    <cellStyle name="Normal 2 2 9 12 2" xfId="39806" xr:uid="{00000000-0005-0000-0000-00007D9B0000}"/>
    <cellStyle name="Normal 2 2 9 12 2 2" xfId="39807" xr:uid="{00000000-0005-0000-0000-00007E9B0000}"/>
    <cellStyle name="Normal 2 2 9 12 3" xfId="39808" xr:uid="{00000000-0005-0000-0000-00007F9B0000}"/>
    <cellStyle name="Normal 2 2 9 13" xfId="39809" xr:uid="{00000000-0005-0000-0000-0000809B0000}"/>
    <cellStyle name="Normal 2 2 9 13 2" xfId="39810" xr:uid="{00000000-0005-0000-0000-0000819B0000}"/>
    <cellStyle name="Normal 2 2 9 14" xfId="39811" xr:uid="{00000000-0005-0000-0000-0000829B0000}"/>
    <cellStyle name="Normal 2 2 9 2" xfId="39812" xr:uid="{00000000-0005-0000-0000-0000839B0000}"/>
    <cellStyle name="Normal 2 2 9 2 2" xfId="39813" xr:uid="{00000000-0005-0000-0000-0000849B0000}"/>
    <cellStyle name="Normal 2 2 9 2 2 2" xfId="39814" xr:uid="{00000000-0005-0000-0000-0000859B0000}"/>
    <cellStyle name="Normal 2 2 9 2 2 2 2" xfId="39815" xr:uid="{00000000-0005-0000-0000-0000869B0000}"/>
    <cellStyle name="Normal 2 2 9 2 2 2 2 2" xfId="39816" xr:uid="{00000000-0005-0000-0000-0000879B0000}"/>
    <cellStyle name="Normal 2 2 9 2 2 2 3" xfId="39817" xr:uid="{00000000-0005-0000-0000-0000889B0000}"/>
    <cellStyle name="Normal 2 2 9 2 2 3" xfId="39818" xr:uid="{00000000-0005-0000-0000-0000899B0000}"/>
    <cellStyle name="Normal 2 2 9 2 2 3 2" xfId="39819" xr:uid="{00000000-0005-0000-0000-00008A9B0000}"/>
    <cellStyle name="Normal 2 2 9 2 2 4" xfId="39820" xr:uid="{00000000-0005-0000-0000-00008B9B0000}"/>
    <cellStyle name="Normal 2 2 9 2 3" xfId="39821" xr:uid="{00000000-0005-0000-0000-00008C9B0000}"/>
    <cellStyle name="Normal 2 2 9 2 3 2" xfId="39822" xr:uid="{00000000-0005-0000-0000-00008D9B0000}"/>
    <cellStyle name="Normal 2 2 9 2 3 2 2" xfId="39823" xr:uid="{00000000-0005-0000-0000-00008E9B0000}"/>
    <cellStyle name="Normal 2 2 9 2 3 3" xfId="39824" xr:uid="{00000000-0005-0000-0000-00008F9B0000}"/>
    <cellStyle name="Normal 2 2 9 2 4" xfId="39825" xr:uid="{00000000-0005-0000-0000-0000909B0000}"/>
    <cellStyle name="Normal 2 2 9 2 4 2" xfId="39826" xr:uid="{00000000-0005-0000-0000-0000919B0000}"/>
    <cellStyle name="Normal 2 2 9 2 4 2 2" xfId="39827" xr:uid="{00000000-0005-0000-0000-0000929B0000}"/>
    <cellStyle name="Normal 2 2 9 2 4 3" xfId="39828" xr:uid="{00000000-0005-0000-0000-0000939B0000}"/>
    <cellStyle name="Normal 2 2 9 2 5" xfId="39829" xr:uid="{00000000-0005-0000-0000-0000949B0000}"/>
    <cellStyle name="Normal 2 2 9 2 5 2" xfId="39830" xr:uid="{00000000-0005-0000-0000-0000959B0000}"/>
    <cellStyle name="Normal 2 2 9 2 5 2 2" xfId="39831" xr:uid="{00000000-0005-0000-0000-0000969B0000}"/>
    <cellStyle name="Normal 2 2 9 2 5 3" xfId="39832" xr:uid="{00000000-0005-0000-0000-0000979B0000}"/>
    <cellStyle name="Normal 2 2 9 2 6" xfId="39833" xr:uid="{00000000-0005-0000-0000-0000989B0000}"/>
    <cellStyle name="Normal 2 2 9 2 6 2" xfId="39834" xr:uid="{00000000-0005-0000-0000-0000999B0000}"/>
    <cellStyle name="Normal 2 2 9 2 6 2 2" xfId="39835" xr:uid="{00000000-0005-0000-0000-00009A9B0000}"/>
    <cellStyle name="Normal 2 2 9 2 6 3" xfId="39836" xr:uid="{00000000-0005-0000-0000-00009B9B0000}"/>
    <cellStyle name="Normal 2 2 9 2 7" xfId="39837" xr:uid="{00000000-0005-0000-0000-00009C9B0000}"/>
    <cellStyle name="Normal 2 2 9 2 7 2" xfId="39838" xr:uid="{00000000-0005-0000-0000-00009D9B0000}"/>
    <cellStyle name="Normal 2 2 9 2 8" xfId="39839" xr:uid="{00000000-0005-0000-0000-00009E9B0000}"/>
    <cellStyle name="Normal 2 2 9 3" xfId="39840" xr:uid="{00000000-0005-0000-0000-00009F9B0000}"/>
    <cellStyle name="Normal 2 2 9 3 2" xfId="39841" xr:uid="{00000000-0005-0000-0000-0000A09B0000}"/>
    <cellStyle name="Normal 2 2 9 3 2 2" xfId="39842" xr:uid="{00000000-0005-0000-0000-0000A19B0000}"/>
    <cellStyle name="Normal 2 2 9 3 2 2 2" xfId="39843" xr:uid="{00000000-0005-0000-0000-0000A29B0000}"/>
    <cellStyle name="Normal 2 2 9 3 2 2 2 2" xfId="39844" xr:uid="{00000000-0005-0000-0000-0000A39B0000}"/>
    <cellStyle name="Normal 2 2 9 3 2 2 3" xfId="39845" xr:uid="{00000000-0005-0000-0000-0000A49B0000}"/>
    <cellStyle name="Normal 2 2 9 3 2 3" xfId="39846" xr:uid="{00000000-0005-0000-0000-0000A59B0000}"/>
    <cellStyle name="Normal 2 2 9 3 2 3 2" xfId="39847" xr:uid="{00000000-0005-0000-0000-0000A69B0000}"/>
    <cellStyle name="Normal 2 2 9 3 2 4" xfId="39848" xr:uid="{00000000-0005-0000-0000-0000A79B0000}"/>
    <cellStyle name="Normal 2 2 9 3 3" xfId="39849" xr:uid="{00000000-0005-0000-0000-0000A89B0000}"/>
    <cellStyle name="Normal 2 2 9 3 3 2" xfId="39850" xr:uid="{00000000-0005-0000-0000-0000A99B0000}"/>
    <cellStyle name="Normal 2 2 9 3 3 2 2" xfId="39851" xr:uid="{00000000-0005-0000-0000-0000AA9B0000}"/>
    <cellStyle name="Normal 2 2 9 3 3 3" xfId="39852" xr:uid="{00000000-0005-0000-0000-0000AB9B0000}"/>
    <cellStyle name="Normal 2 2 9 3 4" xfId="39853" xr:uid="{00000000-0005-0000-0000-0000AC9B0000}"/>
    <cellStyle name="Normal 2 2 9 3 4 2" xfId="39854" xr:uid="{00000000-0005-0000-0000-0000AD9B0000}"/>
    <cellStyle name="Normal 2 2 9 3 4 2 2" xfId="39855" xr:uid="{00000000-0005-0000-0000-0000AE9B0000}"/>
    <cellStyle name="Normal 2 2 9 3 4 3" xfId="39856" xr:uid="{00000000-0005-0000-0000-0000AF9B0000}"/>
    <cellStyle name="Normal 2 2 9 3 5" xfId="39857" xr:uid="{00000000-0005-0000-0000-0000B09B0000}"/>
    <cellStyle name="Normal 2 2 9 3 5 2" xfId="39858" xr:uid="{00000000-0005-0000-0000-0000B19B0000}"/>
    <cellStyle name="Normal 2 2 9 3 5 2 2" xfId="39859" xr:uid="{00000000-0005-0000-0000-0000B29B0000}"/>
    <cellStyle name="Normal 2 2 9 3 5 3" xfId="39860" xr:uid="{00000000-0005-0000-0000-0000B39B0000}"/>
    <cellStyle name="Normal 2 2 9 3 6" xfId="39861" xr:uid="{00000000-0005-0000-0000-0000B49B0000}"/>
    <cellStyle name="Normal 2 2 9 3 6 2" xfId="39862" xr:uid="{00000000-0005-0000-0000-0000B59B0000}"/>
    <cellStyle name="Normal 2 2 9 3 6 2 2" xfId="39863" xr:uid="{00000000-0005-0000-0000-0000B69B0000}"/>
    <cellStyle name="Normal 2 2 9 3 6 3" xfId="39864" xr:uid="{00000000-0005-0000-0000-0000B79B0000}"/>
    <cellStyle name="Normal 2 2 9 3 7" xfId="39865" xr:uid="{00000000-0005-0000-0000-0000B89B0000}"/>
    <cellStyle name="Normal 2 2 9 3 7 2" xfId="39866" xr:uid="{00000000-0005-0000-0000-0000B99B0000}"/>
    <cellStyle name="Normal 2 2 9 3 8" xfId="39867" xr:uid="{00000000-0005-0000-0000-0000BA9B0000}"/>
    <cellStyle name="Normal 2 2 9 4" xfId="39868" xr:uid="{00000000-0005-0000-0000-0000BB9B0000}"/>
    <cellStyle name="Normal 2 2 9 4 2" xfId="39869" xr:uid="{00000000-0005-0000-0000-0000BC9B0000}"/>
    <cellStyle name="Normal 2 2 9 4 2 2" xfId="39870" xr:uid="{00000000-0005-0000-0000-0000BD9B0000}"/>
    <cellStyle name="Normal 2 2 9 4 2 2 2" xfId="39871" xr:uid="{00000000-0005-0000-0000-0000BE9B0000}"/>
    <cellStyle name="Normal 2 2 9 4 2 2 2 2" xfId="39872" xr:uid="{00000000-0005-0000-0000-0000BF9B0000}"/>
    <cellStyle name="Normal 2 2 9 4 2 2 3" xfId="39873" xr:uid="{00000000-0005-0000-0000-0000C09B0000}"/>
    <cellStyle name="Normal 2 2 9 4 2 3" xfId="39874" xr:uid="{00000000-0005-0000-0000-0000C19B0000}"/>
    <cellStyle name="Normal 2 2 9 4 2 3 2" xfId="39875" xr:uid="{00000000-0005-0000-0000-0000C29B0000}"/>
    <cellStyle name="Normal 2 2 9 4 2 4" xfId="39876" xr:uid="{00000000-0005-0000-0000-0000C39B0000}"/>
    <cellStyle name="Normal 2 2 9 4 3" xfId="39877" xr:uid="{00000000-0005-0000-0000-0000C49B0000}"/>
    <cellStyle name="Normal 2 2 9 4 3 2" xfId="39878" xr:uid="{00000000-0005-0000-0000-0000C59B0000}"/>
    <cellStyle name="Normal 2 2 9 4 3 2 2" xfId="39879" xr:uid="{00000000-0005-0000-0000-0000C69B0000}"/>
    <cellStyle name="Normal 2 2 9 4 3 3" xfId="39880" xr:uid="{00000000-0005-0000-0000-0000C79B0000}"/>
    <cellStyle name="Normal 2 2 9 4 4" xfId="39881" xr:uid="{00000000-0005-0000-0000-0000C89B0000}"/>
    <cellStyle name="Normal 2 2 9 4 4 2" xfId="39882" xr:uid="{00000000-0005-0000-0000-0000C99B0000}"/>
    <cellStyle name="Normal 2 2 9 4 4 2 2" xfId="39883" xr:uid="{00000000-0005-0000-0000-0000CA9B0000}"/>
    <cellStyle name="Normal 2 2 9 4 4 3" xfId="39884" xr:uid="{00000000-0005-0000-0000-0000CB9B0000}"/>
    <cellStyle name="Normal 2 2 9 4 5" xfId="39885" xr:uid="{00000000-0005-0000-0000-0000CC9B0000}"/>
    <cellStyle name="Normal 2 2 9 4 5 2" xfId="39886" xr:uid="{00000000-0005-0000-0000-0000CD9B0000}"/>
    <cellStyle name="Normal 2 2 9 4 5 2 2" xfId="39887" xr:uid="{00000000-0005-0000-0000-0000CE9B0000}"/>
    <cellStyle name="Normal 2 2 9 4 5 3" xfId="39888" xr:uid="{00000000-0005-0000-0000-0000CF9B0000}"/>
    <cellStyle name="Normal 2 2 9 4 6" xfId="39889" xr:uid="{00000000-0005-0000-0000-0000D09B0000}"/>
    <cellStyle name="Normal 2 2 9 4 6 2" xfId="39890" xr:uid="{00000000-0005-0000-0000-0000D19B0000}"/>
    <cellStyle name="Normal 2 2 9 4 6 2 2" xfId="39891" xr:uid="{00000000-0005-0000-0000-0000D29B0000}"/>
    <cellStyle name="Normal 2 2 9 4 6 3" xfId="39892" xr:uid="{00000000-0005-0000-0000-0000D39B0000}"/>
    <cellStyle name="Normal 2 2 9 4 7" xfId="39893" xr:uid="{00000000-0005-0000-0000-0000D49B0000}"/>
    <cellStyle name="Normal 2 2 9 4 7 2" xfId="39894" xr:uid="{00000000-0005-0000-0000-0000D59B0000}"/>
    <cellStyle name="Normal 2 2 9 4 8" xfId="39895" xr:uid="{00000000-0005-0000-0000-0000D69B0000}"/>
    <cellStyle name="Normal 2 2 9 5" xfId="39896" xr:uid="{00000000-0005-0000-0000-0000D79B0000}"/>
    <cellStyle name="Normal 2 2 9 5 2" xfId="39897" xr:uid="{00000000-0005-0000-0000-0000D89B0000}"/>
    <cellStyle name="Normal 2 2 9 5 2 2" xfId="39898" xr:uid="{00000000-0005-0000-0000-0000D99B0000}"/>
    <cellStyle name="Normal 2 2 9 5 2 2 2" xfId="39899" xr:uid="{00000000-0005-0000-0000-0000DA9B0000}"/>
    <cellStyle name="Normal 2 2 9 5 2 2 2 2" xfId="39900" xr:uid="{00000000-0005-0000-0000-0000DB9B0000}"/>
    <cellStyle name="Normal 2 2 9 5 2 2 3" xfId="39901" xr:uid="{00000000-0005-0000-0000-0000DC9B0000}"/>
    <cellStyle name="Normal 2 2 9 5 2 3" xfId="39902" xr:uid="{00000000-0005-0000-0000-0000DD9B0000}"/>
    <cellStyle name="Normal 2 2 9 5 2 3 2" xfId="39903" xr:uid="{00000000-0005-0000-0000-0000DE9B0000}"/>
    <cellStyle name="Normal 2 2 9 5 2 4" xfId="39904" xr:uid="{00000000-0005-0000-0000-0000DF9B0000}"/>
    <cellStyle name="Normal 2 2 9 5 3" xfId="39905" xr:uid="{00000000-0005-0000-0000-0000E09B0000}"/>
    <cellStyle name="Normal 2 2 9 5 3 2" xfId="39906" xr:uid="{00000000-0005-0000-0000-0000E19B0000}"/>
    <cellStyle name="Normal 2 2 9 5 3 2 2" xfId="39907" xr:uid="{00000000-0005-0000-0000-0000E29B0000}"/>
    <cellStyle name="Normal 2 2 9 5 3 3" xfId="39908" xr:uid="{00000000-0005-0000-0000-0000E39B0000}"/>
    <cellStyle name="Normal 2 2 9 5 4" xfId="39909" xr:uid="{00000000-0005-0000-0000-0000E49B0000}"/>
    <cellStyle name="Normal 2 2 9 5 4 2" xfId="39910" xr:uid="{00000000-0005-0000-0000-0000E59B0000}"/>
    <cellStyle name="Normal 2 2 9 5 5" xfId="39911" xr:uid="{00000000-0005-0000-0000-0000E69B0000}"/>
    <cellStyle name="Normal 2 2 9 6" xfId="39912" xr:uid="{00000000-0005-0000-0000-0000E79B0000}"/>
    <cellStyle name="Normal 2 2 9 6 2" xfId="39913" xr:uid="{00000000-0005-0000-0000-0000E89B0000}"/>
    <cellStyle name="Normal 2 2 9 6 2 2" xfId="39914" xr:uid="{00000000-0005-0000-0000-0000E99B0000}"/>
    <cellStyle name="Normal 2 2 9 6 2 2 2" xfId="39915" xr:uid="{00000000-0005-0000-0000-0000EA9B0000}"/>
    <cellStyle name="Normal 2 2 9 6 2 2 2 2" xfId="39916" xr:uid="{00000000-0005-0000-0000-0000EB9B0000}"/>
    <cellStyle name="Normal 2 2 9 6 2 2 3" xfId="39917" xr:uid="{00000000-0005-0000-0000-0000EC9B0000}"/>
    <cellStyle name="Normal 2 2 9 6 2 3" xfId="39918" xr:uid="{00000000-0005-0000-0000-0000ED9B0000}"/>
    <cellStyle name="Normal 2 2 9 6 2 3 2" xfId="39919" xr:uid="{00000000-0005-0000-0000-0000EE9B0000}"/>
    <cellStyle name="Normal 2 2 9 6 2 4" xfId="39920" xr:uid="{00000000-0005-0000-0000-0000EF9B0000}"/>
    <cellStyle name="Normal 2 2 9 6 3" xfId="39921" xr:uid="{00000000-0005-0000-0000-0000F09B0000}"/>
    <cellStyle name="Normal 2 2 9 6 3 2" xfId="39922" xr:uid="{00000000-0005-0000-0000-0000F19B0000}"/>
    <cellStyle name="Normal 2 2 9 6 3 2 2" xfId="39923" xr:uid="{00000000-0005-0000-0000-0000F29B0000}"/>
    <cellStyle name="Normal 2 2 9 6 3 3" xfId="39924" xr:uid="{00000000-0005-0000-0000-0000F39B0000}"/>
    <cellStyle name="Normal 2 2 9 6 4" xfId="39925" xr:uid="{00000000-0005-0000-0000-0000F49B0000}"/>
    <cellStyle name="Normal 2 2 9 6 4 2" xfId="39926" xr:uid="{00000000-0005-0000-0000-0000F59B0000}"/>
    <cellStyle name="Normal 2 2 9 6 5" xfId="39927" xr:uid="{00000000-0005-0000-0000-0000F69B0000}"/>
    <cellStyle name="Normal 2 2 9 7" xfId="39928" xr:uid="{00000000-0005-0000-0000-0000F79B0000}"/>
    <cellStyle name="Normal 2 2 9 7 2" xfId="39929" xr:uid="{00000000-0005-0000-0000-0000F89B0000}"/>
    <cellStyle name="Normal 2 2 9 7 2 2" xfId="39930" xr:uid="{00000000-0005-0000-0000-0000F99B0000}"/>
    <cellStyle name="Normal 2 2 9 7 2 2 2" xfId="39931" xr:uid="{00000000-0005-0000-0000-0000FA9B0000}"/>
    <cellStyle name="Normal 2 2 9 7 2 3" xfId="39932" xr:uid="{00000000-0005-0000-0000-0000FB9B0000}"/>
    <cellStyle name="Normal 2 2 9 7 3" xfId="39933" xr:uid="{00000000-0005-0000-0000-0000FC9B0000}"/>
    <cellStyle name="Normal 2 2 9 7 3 2" xfId="39934" xr:uid="{00000000-0005-0000-0000-0000FD9B0000}"/>
    <cellStyle name="Normal 2 2 9 7 4" xfId="39935" xr:uid="{00000000-0005-0000-0000-0000FE9B0000}"/>
    <cellStyle name="Normal 2 2 9 8" xfId="39936" xr:uid="{00000000-0005-0000-0000-0000FF9B0000}"/>
    <cellStyle name="Normal 2 2 9 8 2" xfId="39937" xr:uid="{00000000-0005-0000-0000-0000009C0000}"/>
    <cellStyle name="Normal 2 2 9 8 2 2" xfId="39938" xr:uid="{00000000-0005-0000-0000-0000019C0000}"/>
    <cellStyle name="Normal 2 2 9 8 2 2 2" xfId="39939" xr:uid="{00000000-0005-0000-0000-0000029C0000}"/>
    <cellStyle name="Normal 2 2 9 8 2 3" xfId="39940" xr:uid="{00000000-0005-0000-0000-0000039C0000}"/>
    <cellStyle name="Normal 2 2 9 8 3" xfId="39941" xr:uid="{00000000-0005-0000-0000-0000049C0000}"/>
    <cellStyle name="Normal 2 2 9 8 3 2" xfId="39942" xr:uid="{00000000-0005-0000-0000-0000059C0000}"/>
    <cellStyle name="Normal 2 2 9 8 4" xfId="39943" xr:uid="{00000000-0005-0000-0000-0000069C0000}"/>
    <cellStyle name="Normal 2 2 9 9" xfId="39944" xr:uid="{00000000-0005-0000-0000-0000079C0000}"/>
    <cellStyle name="Normal 2 2 9 9 2" xfId="39945" xr:uid="{00000000-0005-0000-0000-0000089C0000}"/>
    <cellStyle name="Normal 2 2 9 9 2 2" xfId="39946" xr:uid="{00000000-0005-0000-0000-0000099C0000}"/>
    <cellStyle name="Normal 2 2 9 9 3" xfId="39947" xr:uid="{00000000-0005-0000-0000-00000A9C0000}"/>
    <cellStyle name="Normal 2 2_RawExtract" xfId="39948" xr:uid="{00000000-0005-0000-0000-00000B9C0000}"/>
    <cellStyle name="Normal 2 3" xfId="39949" xr:uid="{00000000-0005-0000-0000-00000C9C0000}"/>
    <cellStyle name="Normal 2 4" xfId="39950" xr:uid="{00000000-0005-0000-0000-00000D9C0000}"/>
    <cellStyle name="Normal 2 4 2" xfId="39951" xr:uid="{00000000-0005-0000-0000-00000E9C0000}"/>
    <cellStyle name="Normal 2 5" xfId="39952" xr:uid="{00000000-0005-0000-0000-00000F9C0000}"/>
    <cellStyle name="Normal 2 5 2" xfId="39953" xr:uid="{00000000-0005-0000-0000-0000109C0000}"/>
    <cellStyle name="Normal 2 6" xfId="39954" xr:uid="{00000000-0005-0000-0000-0000119C0000}"/>
    <cellStyle name="Normal 2 6 2" xfId="39955" xr:uid="{00000000-0005-0000-0000-0000129C0000}"/>
    <cellStyle name="Normal 2 7" xfId="39956" xr:uid="{00000000-0005-0000-0000-0000139C0000}"/>
    <cellStyle name="Normal 2 7 2" xfId="39957" xr:uid="{00000000-0005-0000-0000-0000149C0000}"/>
    <cellStyle name="Normal 2 8" xfId="39958" xr:uid="{00000000-0005-0000-0000-0000159C0000}"/>
    <cellStyle name="Normal 2 8 2" xfId="39959" xr:uid="{00000000-0005-0000-0000-0000169C0000}"/>
    <cellStyle name="Normal 2 9" xfId="39960" xr:uid="{00000000-0005-0000-0000-0000179C0000}"/>
    <cellStyle name="Normal 2_Reports" xfId="39961" xr:uid="{00000000-0005-0000-0000-0000189C0000}"/>
    <cellStyle name="Normal 20" xfId="39962" xr:uid="{00000000-0005-0000-0000-0000199C0000}"/>
    <cellStyle name="Normal 21" xfId="39963" xr:uid="{00000000-0005-0000-0000-00001A9C0000}"/>
    <cellStyle name="Normal 22" xfId="39964" xr:uid="{00000000-0005-0000-0000-00001B9C0000}"/>
    <cellStyle name="Normal 23" xfId="39965" xr:uid="{00000000-0005-0000-0000-00001C9C0000}"/>
    <cellStyle name="Normal 24" xfId="39966" xr:uid="{00000000-0005-0000-0000-00001D9C0000}"/>
    <cellStyle name="Normal 25" xfId="39967" xr:uid="{00000000-0005-0000-0000-00001E9C0000}"/>
    <cellStyle name="Normal 26" xfId="39968" xr:uid="{00000000-0005-0000-0000-00001F9C0000}"/>
    <cellStyle name="Normal 27" xfId="39969" xr:uid="{00000000-0005-0000-0000-0000209C0000}"/>
    <cellStyle name="Normal 28" xfId="39970" xr:uid="{00000000-0005-0000-0000-0000219C0000}"/>
    <cellStyle name="Normal 29" xfId="39971" xr:uid="{00000000-0005-0000-0000-0000229C0000}"/>
    <cellStyle name="Normal 3" xfId="39972" xr:uid="{00000000-0005-0000-0000-0000239C0000}"/>
    <cellStyle name="Normal 3 2" xfId="39973" xr:uid="{00000000-0005-0000-0000-0000249C0000}"/>
    <cellStyle name="Normal 3 2 2" xfId="39974" xr:uid="{00000000-0005-0000-0000-0000259C0000}"/>
    <cellStyle name="Normal 3 2 2 2" xfId="39975" xr:uid="{00000000-0005-0000-0000-0000269C0000}"/>
    <cellStyle name="Normal 3 2 3" xfId="39976" xr:uid="{00000000-0005-0000-0000-0000279C0000}"/>
    <cellStyle name="Normal 3 2 3 2" xfId="39977" xr:uid="{00000000-0005-0000-0000-0000289C0000}"/>
    <cellStyle name="Normal 3 2 4" xfId="39978" xr:uid="{00000000-0005-0000-0000-0000299C0000}"/>
    <cellStyle name="Normal 3 2 4 2" xfId="39979" xr:uid="{00000000-0005-0000-0000-00002A9C0000}"/>
    <cellStyle name="Normal 3 2 5" xfId="39980" xr:uid="{00000000-0005-0000-0000-00002B9C0000}"/>
    <cellStyle name="Normal 3 2 6" xfId="39981" xr:uid="{00000000-0005-0000-0000-00002C9C0000}"/>
    <cellStyle name="Normal 3 2 7" xfId="39982" xr:uid="{00000000-0005-0000-0000-00002D9C0000}"/>
    <cellStyle name="Normal 3 2 8" xfId="39983" xr:uid="{00000000-0005-0000-0000-00002E9C0000}"/>
    <cellStyle name="Normal 3 2 9" xfId="39984" xr:uid="{00000000-0005-0000-0000-00002F9C0000}"/>
    <cellStyle name="Normal 3 3" xfId="39985" xr:uid="{00000000-0005-0000-0000-0000309C0000}"/>
    <cellStyle name="Normal 3_RSR FI Banks and FINCOS" xfId="39986" xr:uid="{00000000-0005-0000-0000-0000319C0000}"/>
    <cellStyle name="Normal 30" xfId="39987" xr:uid="{00000000-0005-0000-0000-0000329C0000}"/>
    <cellStyle name="Normal 31" xfId="39988" xr:uid="{00000000-0005-0000-0000-0000339C0000}"/>
    <cellStyle name="Normal 32" xfId="39989" xr:uid="{00000000-0005-0000-0000-0000349C0000}"/>
    <cellStyle name="Normal 33" xfId="39990" xr:uid="{00000000-0005-0000-0000-0000359C0000}"/>
    <cellStyle name="Normal 34" xfId="39991" xr:uid="{00000000-0005-0000-0000-0000369C0000}"/>
    <cellStyle name="Normal 35" xfId="39992" xr:uid="{00000000-0005-0000-0000-0000379C0000}"/>
    <cellStyle name="Normal 36" xfId="39993" xr:uid="{00000000-0005-0000-0000-0000389C0000}"/>
    <cellStyle name="Normal 37" xfId="39994" xr:uid="{00000000-0005-0000-0000-0000399C0000}"/>
    <cellStyle name="Normal 38" xfId="39995" xr:uid="{00000000-0005-0000-0000-00003A9C0000}"/>
    <cellStyle name="Normal 39" xfId="39996" xr:uid="{00000000-0005-0000-0000-00003B9C0000}"/>
    <cellStyle name="Normal 4" xfId="39997" xr:uid="{00000000-0005-0000-0000-00003C9C0000}"/>
    <cellStyle name="Normal 4 2" xfId="39998" xr:uid="{00000000-0005-0000-0000-00003D9C0000}"/>
    <cellStyle name="Normal 4 2 2" xfId="39999" xr:uid="{00000000-0005-0000-0000-00003E9C0000}"/>
    <cellStyle name="Normal 4 2 2 2" xfId="40000" xr:uid="{00000000-0005-0000-0000-00003F9C0000}"/>
    <cellStyle name="Normal 4 2 2 2 2" xfId="40001" xr:uid="{00000000-0005-0000-0000-0000409C0000}"/>
    <cellStyle name="Normal 4 2 2 2 3" xfId="40002" xr:uid="{00000000-0005-0000-0000-0000419C0000}"/>
    <cellStyle name="Normal 4 2 2 3" xfId="40003" xr:uid="{00000000-0005-0000-0000-0000429C0000}"/>
    <cellStyle name="Normal 4 2 2 4" xfId="40004" xr:uid="{00000000-0005-0000-0000-0000439C0000}"/>
    <cellStyle name="Normal 4 2 2 5" xfId="40005" xr:uid="{00000000-0005-0000-0000-0000449C0000}"/>
    <cellStyle name="Normal 4 2 2 6" xfId="40006" xr:uid="{00000000-0005-0000-0000-0000459C0000}"/>
    <cellStyle name="Normal 4 2 2 7" xfId="40007" xr:uid="{00000000-0005-0000-0000-0000469C0000}"/>
    <cellStyle name="Normal 4 2 2 8" xfId="40008" xr:uid="{00000000-0005-0000-0000-0000479C0000}"/>
    <cellStyle name="Normal 4 2 3" xfId="40009" xr:uid="{00000000-0005-0000-0000-0000489C0000}"/>
    <cellStyle name="Normal 4 2 3 2" xfId="40010" xr:uid="{00000000-0005-0000-0000-0000499C0000}"/>
    <cellStyle name="Normal 4 2 3 3" xfId="40011" xr:uid="{00000000-0005-0000-0000-00004A9C0000}"/>
    <cellStyle name="Normal 4 2 4" xfId="40012" xr:uid="{00000000-0005-0000-0000-00004B9C0000}"/>
    <cellStyle name="Normal 4 2 4 2" xfId="40013" xr:uid="{00000000-0005-0000-0000-00004C9C0000}"/>
    <cellStyle name="Normal 4 2 5" xfId="40014" xr:uid="{00000000-0005-0000-0000-00004D9C0000}"/>
    <cellStyle name="Normal 4 2 6" xfId="40015" xr:uid="{00000000-0005-0000-0000-00004E9C0000}"/>
    <cellStyle name="Normal 4 2 7" xfId="40016" xr:uid="{00000000-0005-0000-0000-00004F9C0000}"/>
    <cellStyle name="Normal 4 2 8" xfId="40017" xr:uid="{00000000-0005-0000-0000-0000509C0000}"/>
    <cellStyle name="Normal 4 2 9" xfId="40018" xr:uid="{00000000-0005-0000-0000-0000519C0000}"/>
    <cellStyle name="Normal 4 3" xfId="40019" xr:uid="{00000000-0005-0000-0000-0000529C0000}"/>
    <cellStyle name="Normal 40" xfId="40020" xr:uid="{00000000-0005-0000-0000-0000539C0000}"/>
    <cellStyle name="Normal 41" xfId="40021" xr:uid="{00000000-0005-0000-0000-0000549C0000}"/>
    <cellStyle name="Normal 42" xfId="40022" xr:uid="{00000000-0005-0000-0000-0000559C0000}"/>
    <cellStyle name="Normal 43" xfId="40023" xr:uid="{00000000-0005-0000-0000-0000569C0000}"/>
    <cellStyle name="Normal 44" xfId="40024" xr:uid="{00000000-0005-0000-0000-0000579C0000}"/>
    <cellStyle name="Normal 45" xfId="40025" xr:uid="{00000000-0005-0000-0000-0000589C0000}"/>
    <cellStyle name="Normal 46" xfId="40026" xr:uid="{00000000-0005-0000-0000-0000599C0000}"/>
    <cellStyle name="Normal 46 2" xfId="3" xr:uid="{00000000-0005-0000-0000-00005A9C0000}"/>
    <cellStyle name="Normal 5" xfId="40027" xr:uid="{00000000-0005-0000-0000-00005B9C0000}"/>
    <cellStyle name="Normal 5 2" xfId="40028" xr:uid="{00000000-0005-0000-0000-00005C9C0000}"/>
    <cellStyle name="Normal 5 2 2" xfId="40029" xr:uid="{00000000-0005-0000-0000-00005D9C0000}"/>
    <cellStyle name="Normal 5 3" xfId="40030" xr:uid="{00000000-0005-0000-0000-00005E9C0000}"/>
    <cellStyle name="Normal 5 3 2" xfId="40031" xr:uid="{00000000-0005-0000-0000-00005F9C0000}"/>
    <cellStyle name="Normal 5 4" xfId="40032" xr:uid="{00000000-0005-0000-0000-0000609C0000}"/>
    <cellStyle name="Normal 5 4 2" xfId="40033" xr:uid="{00000000-0005-0000-0000-0000619C0000}"/>
    <cellStyle name="Normal 5 5" xfId="40034" xr:uid="{00000000-0005-0000-0000-0000629C0000}"/>
    <cellStyle name="Normal 5 6" xfId="40035" xr:uid="{00000000-0005-0000-0000-0000639C0000}"/>
    <cellStyle name="Normal 5 7" xfId="40036" xr:uid="{00000000-0005-0000-0000-0000649C0000}"/>
    <cellStyle name="Normal 5 8" xfId="40037" xr:uid="{00000000-0005-0000-0000-0000659C0000}"/>
    <cellStyle name="Normal 5 9" xfId="40038" xr:uid="{00000000-0005-0000-0000-0000669C0000}"/>
    <cellStyle name="Normal 6" xfId="40039" xr:uid="{00000000-0005-0000-0000-0000679C0000}"/>
    <cellStyle name="Normal 6 2" xfId="40040" xr:uid="{00000000-0005-0000-0000-0000689C0000}"/>
    <cellStyle name="Normal 6 2 2" xfId="40041" xr:uid="{00000000-0005-0000-0000-0000699C0000}"/>
    <cellStyle name="Normal 6 3" xfId="40042" xr:uid="{00000000-0005-0000-0000-00006A9C0000}"/>
    <cellStyle name="Normal 6 3 2" xfId="40043" xr:uid="{00000000-0005-0000-0000-00006B9C0000}"/>
    <cellStyle name="Normal 6 4" xfId="40044" xr:uid="{00000000-0005-0000-0000-00006C9C0000}"/>
    <cellStyle name="Normal 6 4 2" xfId="40045" xr:uid="{00000000-0005-0000-0000-00006D9C0000}"/>
    <cellStyle name="Normal 6 5" xfId="40046" xr:uid="{00000000-0005-0000-0000-00006E9C0000}"/>
    <cellStyle name="Normal 6 6" xfId="40047" xr:uid="{00000000-0005-0000-0000-00006F9C0000}"/>
    <cellStyle name="Normal 6 7" xfId="40048" xr:uid="{00000000-0005-0000-0000-0000709C0000}"/>
    <cellStyle name="Normal 6 8" xfId="40049" xr:uid="{00000000-0005-0000-0000-0000719C0000}"/>
    <cellStyle name="Normal 6 9" xfId="40050" xr:uid="{00000000-0005-0000-0000-0000729C0000}"/>
    <cellStyle name="Normal 7" xfId="40051" xr:uid="{00000000-0005-0000-0000-0000739C0000}"/>
    <cellStyle name="Normal 7 2" xfId="40052" xr:uid="{00000000-0005-0000-0000-0000749C0000}"/>
    <cellStyle name="Normal 7 2 2" xfId="40053" xr:uid="{00000000-0005-0000-0000-0000759C0000}"/>
    <cellStyle name="Normal 7 3" xfId="40054" xr:uid="{00000000-0005-0000-0000-0000769C0000}"/>
    <cellStyle name="Normal 7 3 2" xfId="40055" xr:uid="{00000000-0005-0000-0000-0000779C0000}"/>
    <cellStyle name="Normal 7 4" xfId="40056" xr:uid="{00000000-0005-0000-0000-0000789C0000}"/>
    <cellStyle name="Normal 7 4 2" xfId="40057" xr:uid="{00000000-0005-0000-0000-0000799C0000}"/>
    <cellStyle name="Normal 7 5" xfId="40058" xr:uid="{00000000-0005-0000-0000-00007A9C0000}"/>
    <cellStyle name="Normal 7 6" xfId="40059" xr:uid="{00000000-0005-0000-0000-00007B9C0000}"/>
    <cellStyle name="Normal 7 7" xfId="40060" xr:uid="{00000000-0005-0000-0000-00007C9C0000}"/>
    <cellStyle name="Normal 7 8" xfId="40061" xr:uid="{00000000-0005-0000-0000-00007D9C0000}"/>
    <cellStyle name="Normal 7 9" xfId="40062" xr:uid="{00000000-0005-0000-0000-00007E9C0000}"/>
    <cellStyle name="Normal 8" xfId="40063" xr:uid="{00000000-0005-0000-0000-00007F9C0000}"/>
    <cellStyle name="Normal 8 2" xfId="40064" xr:uid="{00000000-0005-0000-0000-0000809C0000}"/>
    <cellStyle name="Normal 8 3" xfId="40065" xr:uid="{00000000-0005-0000-0000-0000819C0000}"/>
    <cellStyle name="Normal 9" xfId="40066" xr:uid="{00000000-0005-0000-0000-0000829C0000}"/>
    <cellStyle name="Normal 9 2" xfId="40067" xr:uid="{00000000-0005-0000-0000-0000839C0000}"/>
    <cellStyle name="Normal no dec" xfId="40068" xr:uid="{00000000-0005-0000-0000-0000849C0000}"/>
    <cellStyle name="Normal no dec 2" xfId="40069" xr:uid="{00000000-0005-0000-0000-0000859C0000}"/>
    <cellStyle name="Note 2" xfId="40070" xr:uid="{00000000-0005-0000-0000-0000869C0000}"/>
    <cellStyle name="Note 3" xfId="40071" xr:uid="{00000000-0005-0000-0000-0000879C0000}"/>
    <cellStyle name="Note 4" xfId="40072" xr:uid="{00000000-0005-0000-0000-0000889C0000}"/>
    <cellStyle name="Note 4 10" xfId="40073" xr:uid="{00000000-0005-0000-0000-0000899C0000}"/>
    <cellStyle name="Note 4 10 2" xfId="40074" xr:uid="{00000000-0005-0000-0000-00008A9C0000}"/>
    <cellStyle name="Note 4 10 2 2" xfId="40075" xr:uid="{00000000-0005-0000-0000-00008B9C0000}"/>
    <cellStyle name="Note 4 10 2 2 2" xfId="40076" xr:uid="{00000000-0005-0000-0000-00008C9C0000}"/>
    <cellStyle name="Note 4 10 2 2 2 2" xfId="40077" xr:uid="{00000000-0005-0000-0000-00008D9C0000}"/>
    <cellStyle name="Note 4 10 2 2 3" xfId="40078" xr:uid="{00000000-0005-0000-0000-00008E9C0000}"/>
    <cellStyle name="Note 4 10 2 3" xfId="40079" xr:uid="{00000000-0005-0000-0000-00008F9C0000}"/>
    <cellStyle name="Note 4 10 2 3 2" xfId="40080" xr:uid="{00000000-0005-0000-0000-0000909C0000}"/>
    <cellStyle name="Note 4 10 2 4" xfId="40081" xr:uid="{00000000-0005-0000-0000-0000919C0000}"/>
    <cellStyle name="Note 4 10 3" xfId="40082" xr:uid="{00000000-0005-0000-0000-0000929C0000}"/>
    <cellStyle name="Note 4 10 3 2" xfId="40083" xr:uid="{00000000-0005-0000-0000-0000939C0000}"/>
    <cellStyle name="Note 4 10 3 2 2" xfId="40084" xr:uid="{00000000-0005-0000-0000-0000949C0000}"/>
    <cellStyle name="Note 4 10 3 3" xfId="40085" xr:uid="{00000000-0005-0000-0000-0000959C0000}"/>
    <cellStyle name="Note 4 10 4" xfId="40086" xr:uid="{00000000-0005-0000-0000-0000969C0000}"/>
    <cellStyle name="Note 4 10 4 2" xfId="40087" xr:uid="{00000000-0005-0000-0000-0000979C0000}"/>
    <cellStyle name="Note 4 10 4 2 2" xfId="40088" xr:uid="{00000000-0005-0000-0000-0000989C0000}"/>
    <cellStyle name="Note 4 10 4 3" xfId="40089" xr:uid="{00000000-0005-0000-0000-0000999C0000}"/>
    <cellStyle name="Note 4 10 5" xfId="40090" xr:uid="{00000000-0005-0000-0000-00009A9C0000}"/>
    <cellStyle name="Note 4 10 5 2" xfId="40091" xr:uid="{00000000-0005-0000-0000-00009B9C0000}"/>
    <cellStyle name="Note 4 10 5 2 2" xfId="40092" xr:uid="{00000000-0005-0000-0000-00009C9C0000}"/>
    <cellStyle name="Note 4 10 5 3" xfId="40093" xr:uid="{00000000-0005-0000-0000-00009D9C0000}"/>
    <cellStyle name="Note 4 10 6" xfId="40094" xr:uid="{00000000-0005-0000-0000-00009E9C0000}"/>
    <cellStyle name="Note 4 10 6 2" xfId="40095" xr:uid="{00000000-0005-0000-0000-00009F9C0000}"/>
    <cellStyle name="Note 4 10 6 2 2" xfId="40096" xr:uid="{00000000-0005-0000-0000-0000A09C0000}"/>
    <cellStyle name="Note 4 10 6 3" xfId="40097" xr:uid="{00000000-0005-0000-0000-0000A19C0000}"/>
    <cellStyle name="Note 4 10 7" xfId="40098" xr:uid="{00000000-0005-0000-0000-0000A29C0000}"/>
    <cellStyle name="Note 4 10 7 2" xfId="40099" xr:uid="{00000000-0005-0000-0000-0000A39C0000}"/>
    <cellStyle name="Note 4 10 8" xfId="40100" xr:uid="{00000000-0005-0000-0000-0000A49C0000}"/>
    <cellStyle name="Note 4 11" xfId="40101" xr:uid="{00000000-0005-0000-0000-0000A59C0000}"/>
    <cellStyle name="Note 4 11 2" xfId="40102" xr:uid="{00000000-0005-0000-0000-0000A69C0000}"/>
    <cellStyle name="Note 4 11 2 2" xfId="40103" xr:uid="{00000000-0005-0000-0000-0000A79C0000}"/>
    <cellStyle name="Note 4 11 2 2 2" xfId="40104" xr:uid="{00000000-0005-0000-0000-0000A89C0000}"/>
    <cellStyle name="Note 4 11 2 2 2 2" xfId="40105" xr:uid="{00000000-0005-0000-0000-0000A99C0000}"/>
    <cellStyle name="Note 4 11 2 2 3" xfId="40106" xr:uid="{00000000-0005-0000-0000-0000AA9C0000}"/>
    <cellStyle name="Note 4 11 2 3" xfId="40107" xr:uid="{00000000-0005-0000-0000-0000AB9C0000}"/>
    <cellStyle name="Note 4 11 2 3 2" xfId="40108" xr:uid="{00000000-0005-0000-0000-0000AC9C0000}"/>
    <cellStyle name="Note 4 11 2 4" xfId="40109" xr:uid="{00000000-0005-0000-0000-0000AD9C0000}"/>
    <cellStyle name="Note 4 11 3" xfId="40110" xr:uid="{00000000-0005-0000-0000-0000AE9C0000}"/>
    <cellStyle name="Note 4 11 3 2" xfId="40111" xr:uid="{00000000-0005-0000-0000-0000AF9C0000}"/>
    <cellStyle name="Note 4 11 3 2 2" xfId="40112" xr:uid="{00000000-0005-0000-0000-0000B09C0000}"/>
    <cellStyle name="Note 4 11 3 3" xfId="40113" xr:uid="{00000000-0005-0000-0000-0000B19C0000}"/>
    <cellStyle name="Note 4 11 4" xfId="40114" xr:uid="{00000000-0005-0000-0000-0000B29C0000}"/>
    <cellStyle name="Note 4 11 4 2" xfId="40115" xr:uid="{00000000-0005-0000-0000-0000B39C0000}"/>
    <cellStyle name="Note 4 11 5" xfId="40116" xr:uid="{00000000-0005-0000-0000-0000B49C0000}"/>
    <cellStyle name="Note 4 12" xfId="40117" xr:uid="{00000000-0005-0000-0000-0000B59C0000}"/>
    <cellStyle name="Note 4 12 2" xfId="40118" xr:uid="{00000000-0005-0000-0000-0000B69C0000}"/>
    <cellStyle name="Note 4 12 2 2" xfId="40119" xr:uid="{00000000-0005-0000-0000-0000B79C0000}"/>
    <cellStyle name="Note 4 12 2 2 2" xfId="40120" xr:uid="{00000000-0005-0000-0000-0000B89C0000}"/>
    <cellStyle name="Note 4 12 2 2 2 2" xfId="40121" xr:uid="{00000000-0005-0000-0000-0000B99C0000}"/>
    <cellStyle name="Note 4 12 2 2 3" xfId="40122" xr:uid="{00000000-0005-0000-0000-0000BA9C0000}"/>
    <cellStyle name="Note 4 12 2 3" xfId="40123" xr:uid="{00000000-0005-0000-0000-0000BB9C0000}"/>
    <cellStyle name="Note 4 12 2 3 2" xfId="40124" xr:uid="{00000000-0005-0000-0000-0000BC9C0000}"/>
    <cellStyle name="Note 4 12 2 4" xfId="40125" xr:uid="{00000000-0005-0000-0000-0000BD9C0000}"/>
    <cellStyle name="Note 4 12 3" xfId="40126" xr:uid="{00000000-0005-0000-0000-0000BE9C0000}"/>
    <cellStyle name="Note 4 12 3 2" xfId="40127" xr:uid="{00000000-0005-0000-0000-0000BF9C0000}"/>
    <cellStyle name="Note 4 12 3 2 2" xfId="40128" xr:uid="{00000000-0005-0000-0000-0000C09C0000}"/>
    <cellStyle name="Note 4 12 3 3" xfId="40129" xr:uid="{00000000-0005-0000-0000-0000C19C0000}"/>
    <cellStyle name="Note 4 12 4" xfId="40130" xr:uid="{00000000-0005-0000-0000-0000C29C0000}"/>
    <cellStyle name="Note 4 12 4 2" xfId="40131" xr:uid="{00000000-0005-0000-0000-0000C39C0000}"/>
    <cellStyle name="Note 4 12 5" xfId="40132" xr:uid="{00000000-0005-0000-0000-0000C49C0000}"/>
    <cellStyle name="Note 4 13" xfId="40133" xr:uid="{00000000-0005-0000-0000-0000C59C0000}"/>
    <cellStyle name="Note 4 13 2" xfId="40134" xr:uid="{00000000-0005-0000-0000-0000C69C0000}"/>
    <cellStyle name="Note 4 13 2 2" xfId="40135" xr:uid="{00000000-0005-0000-0000-0000C79C0000}"/>
    <cellStyle name="Note 4 13 2 2 2" xfId="40136" xr:uid="{00000000-0005-0000-0000-0000C89C0000}"/>
    <cellStyle name="Note 4 13 2 2 2 2" xfId="40137" xr:uid="{00000000-0005-0000-0000-0000C99C0000}"/>
    <cellStyle name="Note 4 13 2 2 3" xfId="40138" xr:uid="{00000000-0005-0000-0000-0000CA9C0000}"/>
    <cellStyle name="Note 4 13 2 3" xfId="40139" xr:uid="{00000000-0005-0000-0000-0000CB9C0000}"/>
    <cellStyle name="Note 4 13 2 3 2" xfId="40140" xr:uid="{00000000-0005-0000-0000-0000CC9C0000}"/>
    <cellStyle name="Note 4 13 2 4" xfId="40141" xr:uid="{00000000-0005-0000-0000-0000CD9C0000}"/>
    <cellStyle name="Note 4 13 3" xfId="40142" xr:uid="{00000000-0005-0000-0000-0000CE9C0000}"/>
    <cellStyle name="Note 4 13 3 2" xfId="40143" xr:uid="{00000000-0005-0000-0000-0000CF9C0000}"/>
    <cellStyle name="Note 4 13 3 2 2" xfId="40144" xr:uid="{00000000-0005-0000-0000-0000D09C0000}"/>
    <cellStyle name="Note 4 13 3 3" xfId="40145" xr:uid="{00000000-0005-0000-0000-0000D19C0000}"/>
    <cellStyle name="Note 4 13 4" xfId="40146" xr:uid="{00000000-0005-0000-0000-0000D29C0000}"/>
    <cellStyle name="Note 4 13 4 2" xfId="40147" xr:uid="{00000000-0005-0000-0000-0000D39C0000}"/>
    <cellStyle name="Note 4 13 5" xfId="40148" xr:uid="{00000000-0005-0000-0000-0000D49C0000}"/>
    <cellStyle name="Note 4 14" xfId="40149" xr:uid="{00000000-0005-0000-0000-0000D59C0000}"/>
    <cellStyle name="Note 4 14 2" xfId="40150" xr:uid="{00000000-0005-0000-0000-0000D69C0000}"/>
    <cellStyle name="Note 4 14 2 2" xfId="40151" xr:uid="{00000000-0005-0000-0000-0000D79C0000}"/>
    <cellStyle name="Note 4 14 2 2 2" xfId="40152" xr:uid="{00000000-0005-0000-0000-0000D89C0000}"/>
    <cellStyle name="Note 4 14 2 3" xfId="40153" xr:uid="{00000000-0005-0000-0000-0000D99C0000}"/>
    <cellStyle name="Note 4 14 3" xfId="40154" xr:uid="{00000000-0005-0000-0000-0000DA9C0000}"/>
    <cellStyle name="Note 4 14 3 2" xfId="40155" xr:uid="{00000000-0005-0000-0000-0000DB9C0000}"/>
    <cellStyle name="Note 4 14 4" xfId="40156" xr:uid="{00000000-0005-0000-0000-0000DC9C0000}"/>
    <cellStyle name="Note 4 15" xfId="40157" xr:uid="{00000000-0005-0000-0000-0000DD9C0000}"/>
    <cellStyle name="Note 4 15 2" xfId="40158" xr:uid="{00000000-0005-0000-0000-0000DE9C0000}"/>
    <cellStyle name="Note 4 15 2 2" xfId="40159" xr:uid="{00000000-0005-0000-0000-0000DF9C0000}"/>
    <cellStyle name="Note 4 15 2 2 2" xfId="40160" xr:uid="{00000000-0005-0000-0000-0000E09C0000}"/>
    <cellStyle name="Note 4 15 2 3" xfId="40161" xr:uid="{00000000-0005-0000-0000-0000E19C0000}"/>
    <cellStyle name="Note 4 15 3" xfId="40162" xr:uid="{00000000-0005-0000-0000-0000E29C0000}"/>
    <cellStyle name="Note 4 15 3 2" xfId="40163" xr:uid="{00000000-0005-0000-0000-0000E39C0000}"/>
    <cellStyle name="Note 4 15 4" xfId="40164" xr:uid="{00000000-0005-0000-0000-0000E49C0000}"/>
    <cellStyle name="Note 4 16" xfId="40165" xr:uid="{00000000-0005-0000-0000-0000E59C0000}"/>
    <cellStyle name="Note 4 16 2" xfId="40166" xr:uid="{00000000-0005-0000-0000-0000E69C0000}"/>
    <cellStyle name="Note 4 16 2 2" xfId="40167" xr:uid="{00000000-0005-0000-0000-0000E79C0000}"/>
    <cellStyle name="Note 4 16 3" xfId="40168" xr:uid="{00000000-0005-0000-0000-0000E89C0000}"/>
    <cellStyle name="Note 4 17" xfId="40169" xr:uid="{00000000-0005-0000-0000-0000E99C0000}"/>
    <cellStyle name="Note 4 17 2" xfId="40170" xr:uid="{00000000-0005-0000-0000-0000EA9C0000}"/>
    <cellStyle name="Note 4 17 2 2" xfId="40171" xr:uid="{00000000-0005-0000-0000-0000EB9C0000}"/>
    <cellStyle name="Note 4 17 3" xfId="40172" xr:uid="{00000000-0005-0000-0000-0000EC9C0000}"/>
    <cellStyle name="Note 4 18" xfId="40173" xr:uid="{00000000-0005-0000-0000-0000ED9C0000}"/>
    <cellStyle name="Note 4 18 2" xfId="40174" xr:uid="{00000000-0005-0000-0000-0000EE9C0000}"/>
    <cellStyle name="Note 4 18 2 2" xfId="40175" xr:uid="{00000000-0005-0000-0000-0000EF9C0000}"/>
    <cellStyle name="Note 4 18 3" xfId="40176" xr:uid="{00000000-0005-0000-0000-0000F09C0000}"/>
    <cellStyle name="Note 4 19" xfId="40177" xr:uid="{00000000-0005-0000-0000-0000F19C0000}"/>
    <cellStyle name="Note 4 19 2" xfId="40178" xr:uid="{00000000-0005-0000-0000-0000F29C0000}"/>
    <cellStyle name="Note 4 19 2 2" xfId="40179" xr:uid="{00000000-0005-0000-0000-0000F39C0000}"/>
    <cellStyle name="Note 4 19 3" xfId="40180" xr:uid="{00000000-0005-0000-0000-0000F49C0000}"/>
    <cellStyle name="Note 4 2" xfId="40181" xr:uid="{00000000-0005-0000-0000-0000F59C0000}"/>
    <cellStyle name="Note 4 2 10" xfId="40182" xr:uid="{00000000-0005-0000-0000-0000F69C0000}"/>
    <cellStyle name="Note 4 2 10 2" xfId="40183" xr:uid="{00000000-0005-0000-0000-0000F79C0000}"/>
    <cellStyle name="Note 4 2 10 2 2" xfId="40184" xr:uid="{00000000-0005-0000-0000-0000F89C0000}"/>
    <cellStyle name="Note 4 2 10 2 2 2" xfId="40185" xr:uid="{00000000-0005-0000-0000-0000F99C0000}"/>
    <cellStyle name="Note 4 2 10 2 2 2 2" xfId="40186" xr:uid="{00000000-0005-0000-0000-0000FA9C0000}"/>
    <cellStyle name="Note 4 2 10 2 2 3" xfId="40187" xr:uid="{00000000-0005-0000-0000-0000FB9C0000}"/>
    <cellStyle name="Note 4 2 10 2 3" xfId="40188" xr:uid="{00000000-0005-0000-0000-0000FC9C0000}"/>
    <cellStyle name="Note 4 2 10 2 3 2" xfId="40189" xr:uid="{00000000-0005-0000-0000-0000FD9C0000}"/>
    <cellStyle name="Note 4 2 10 2 4" xfId="40190" xr:uid="{00000000-0005-0000-0000-0000FE9C0000}"/>
    <cellStyle name="Note 4 2 10 3" xfId="40191" xr:uid="{00000000-0005-0000-0000-0000FF9C0000}"/>
    <cellStyle name="Note 4 2 10 3 2" xfId="40192" xr:uid="{00000000-0005-0000-0000-0000009D0000}"/>
    <cellStyle name="Note 4 2 10 3 2 2" xfId="40193" xr:uid="{00000000-0005-0000-0000-0000019D0000}"/>
    <cellStyle name="Note 4 2 10 3 3" xfId="40194" xr:uid="{00000000-0005-0000-0000-0000029D0000}"/>
    <cellStyle name="Note 4 2 10 4" xfId="40195" xr:uid="{00000000-0005-0000-0000-0000039D0000}"/>
    <cellStyle name="Note 4 2 10 4 2" xfId="40196" xr:uid="{00000000-0005-0000-0000-0000049D0000}"/>
    <cellStyle name="Note 4 2 10 5" xfId="40197" xr:uid="{00000000-0005-0000-0000-0000059D0000}"/>
    <cellStyle name="Note 4 2 11" xfId="40198" xr:uid="{00000000-0005-0000-0000-0000069D0000}"/>
    <cellStyle name="Note 4 2 11 2" xfId="40199" xr:uid="{00000000-0005-0000-0000-0000079D0000}"/>
    <cellStyle name="Note 4 2 11 2 2" xfId="40200" xr:uid="{00000000-0005-0000-0000-0000089D0000}"/>
    <cellStyle name="Note 4 2 11 2 2 2" xfId="40201" xr:uid="{00000000-0005-0000-0000-0000099D0000}"/>
    <cellStyle name="Note 4 2 11 2 2 2 2" xfId="40202" xr:uid="{00000000-0005-0000-0000-00000A9D0000}"/>
    <cellStyle name="Note 4 2 11 2 2 3" xfId="40203" xr:uid="{00000000-0005-0000-0000-00000B9D0000}"/>
    <cellStyle name="Note 4 2 11 2 3" xfId="40204" xr:uid="{00000000-0005-0000-0000-00000C9D0000}"/>
    <cellStyle name="Note 4 2 11 2 3 2" xfId="40205" xr:uid="{00000000-0005-0000-0000-00000D9D0000}"/>
    <cellStyle name="Note 4 2 11 2 4" xfId="40206" xr:uid="{00000000-0005-0000-0000-00000E9D0000}"/>
    <cellStyle name="Note 4 2 11 3" xfId="40207" xr:uid="{00000000-0005-0000-0000-00000F9D0000}"/>
    <cellStyle name="Note 4 2 11 3 2" xfId="40208" xr:uid="{00000000-0005-0000-0000-0000109D0000}"/>
    <cellStyle name="Note 4 2 11 3 2 2" xfId="40209" xr:uid="{00000000-0005-0000-0000-0000119D0000}"/>
    <cellStyle name="Note 4 2 11 3 3" xfId="40210" xr:uid="{00000000-0005-0000-0000-0000129D0000}"/>
    <cellStyle name="Note 4 2 11 4" xfId="40211" xr:uid="{00000000-0005-0000-0000-0000139D0000}"/>
    <cellStyle name="Note 4 2 11 4 2" xfId="40212" xr:uid="{00000000-0005-0000-0000-0000149D0000}"/>
    <cellStyle name="Note 4 2 11 5" xfId="40213" xr:uid="{00000000-0005-0000-0000-0000159D0000}"/>
    <cellStyle name="Note 4 2 12" xfId="40214" xr:uid="{00000000-0005-0000-0000-0000169D0000}"/>
    <cellStyle name="Note 4 2 12 2" xfId="40215" xr:uid="{00000000-0005-0000-0000-0000179D0000}"/>
    <cellStyle name="Note 4 2 12 2 2" xfId="40216" xr:uid="{00000000-0005-0000-0000-0000189D0000}"/>
    <cellStyle name="Note 4 2 12 2 2 2" xfId="40217" xr:uid="{00000000-0005-0000-0000-0000199D0000}"/>
    <cellStyle name="Note 4 2 12 2 2 2 2" xfId="40218" xr:uid="{00000000-0005-0000-0000-00001A9D0000}"/>
    <cellStyle name="Note 4 2 12 2 2 3" xfId="40219" xr:uid="{00000000-0005-0000-0000-00001B9D0000}"/>
    <cellStyle name="Note 4 2 12 2 3" xfId="40220" xr:uid="{00000000-0005-0000-0000-00001C9D0000}"/>
    <cellStyle name="Note 4 2 12 2 3 2" xfId="40221" xr:uid="{00000000-0005-0000-0000-00001D9D0000}"/>
    <cellStyle name="Note 4 2 12 2 4" xfId="40222" xr:uid="{00000000-0005-0000-0000-00001E9D0000}"/>
    <cellStyle name="Note 4 2 12 3" xfId="40223" xr:uid="{00000000-0005-0000-0000-00001F9D0000}"/>
    <cellStyle name="Note 4 2 12 3 2" xfId="40224" xr:uid="{00000000-0005-0000-0000-0000209D0000}"/>
    <cellStyle name="Note 4 2 12 3 2 2" xfId="40225" xr:uid="{00000000-0005-0000-0000-0000219D0000}"/>
    <cellStyle name="Note 4 2 12 3 3" xfId="40226" xr:uid="{00000000-0005-0000-0000-0000229D0000}"/>
    <cellStyle name="Note 4 2 12 4" xfId="40227" xr:uid="{00000000-0005-0000-0000-0000239D0000}"/>
    <cellStyle name="Note 4 2 12 4 2" xfId="40228" xr:uid="{00000000-0005-0000-0000-0000249D0000}"/>
    <cellStyle name="Note 4 2 12 5" xfId="40229" xr:uid="{00000000-0005-0000-0000-0000259D0000}"/>
    <cellStyle name="Note 4 2 13" xfId="40230" xr:uid="{00000000-0005-0000-0000-0000269D0000}"/>
    <cellStyle name="Note 4 2 13 2" xfId="40231" xr:uid="{00000000-0005-0000-0000-0000279D0000}"/>
    <cellStyle name="Note 4 2 13 2 2" xfId="40232" xr:uid="{00000000-0005-0000-0000-0000289D0000}"/>
    <cellStyle name="Note 4 2 13 2 2 2" xfId="40233" xr:uid="{00000000-0005-0000-0000-0000299D0000}"/>
    <cellStyle name="Note 4 2 13 2 3" xfId="40234" xr:uid="{00000000-0005-0000-0000-00002A9D0000}"/>
    <cellStyle name="Note 4 2 13 3" xfId="40235" xr:uid="{00000000-0005-0000-0000-00002B9D0000}"/>
    <cellStyle name="Note 4 2 13 3 2" xfId="40236" xr:uid="{00000000-0005-0000-0000-00002C9D0000}"/>
    <cellStyle name="Note 4 2 13 4" xfId="40237" xr:uid="{00000000-0005-0000-0000-00002D9D0000}"/>
    <cellStyle name="Note 4 2 14" xfId="40238" xr:uid="{00000000-0005-0000-0000-00002E9D0000}"/>
    <cellStyle name="Note 4 2 14 2" xfId="40239" xr:uid="{00000000-0005-0000-0000-00002F9D0000}"/>
    <cellStyle name="Note 4 2 14 2 2" xfId="40240" xr:uid="{00000000-0005-0000-0000-0000309D0000}"/>
    <cellStyle name="Note 4 2 14 2 2 2" xfId="40241" xr:uid="{00000000-0005-0000-0000-0000319D0000}"/>
    <cellStyle name="Note 4 2 14 2 3" xfId="40242" xr:uid="{00000000-0005-0000-0000-0000329D0000}"/>
    <cellStyle name="Note 4 2 14 3" xfId="40243" xr:uid="{00000000-0005-0000-0000-0000339D0000}"/>
    <cellStyle name="Note 4 2 14 3 2" xfId="40244" xr:uid="{00000000-0005-0000-0000-0000349D0000}"/>
    <cellStyle name="Note 4 2 14 4" xfId="40245" xr:uid="{00000000-0005-0000-0000-0000359D0000}"/>
    <cellStyle name="Note 4 2 15" xfId="40246" xr:uid="{00000000-0005-0000-0000-0000369D0000}"/>
    <cellStyle name="Note 4 2 15 2" xfId="40247" xr:uid="{00000000-0005-0000-0000-0000379D0000}"/>
    <cellStyle name="Note 4 2 15 2 2" xfId="40248" xr:uid="{00000000-0005-0000-0000-0000389D0000}"/>
    <cellStyle name="Note 4 2 15 3" xfId="40249" xr:uid="{00000000-0005-0000-0000-0000399D0000}"/>
    <cellStyle name="Note 4 2 16" xfId="40250" xr:uid="{00000000-0005-0000-0000-00003A9D0000}"/>
    <cellStyle name="Note 4 2 16 2" xfId="40251" xr:uid="{00000000-0005-0000-0000-00003B9D0000}"/>
    <cellStyle name="Note 4 2 16 2 2" xfId="40252" xr:uid="{00000000-0005-0000-0000-00003C9D0000}"/>
    <cellStyle name="Note 4 2 16 3" xfId="40253" xr:uid="{00000000-0005-0000-0000-00003D9D0000}"/>
    <cellStyle name="Note 4 2 17" xfId="40254" xr:uid="{00000000-0005-0000-0000-00003E9D0000}"/>
    <cellStyle name="Note 4 2 17 2" xfId="40255" xr:uid="{00000000-0005-0000-0000-00003F9D0000}"/>
    <cellStyle name="Note 4 2 17 2 2" xfId="40256" xr:uid="{00000000-0005-0000-0000-0000409D0000}"/>
    <cellStyle name="Note 4 2 17 3" xfId="40257" xr:uid="{00000000-0005-0000-0000-0000419D0000}"/>
    <cellStyle name="Note 4 2 18" xfId="40258" xr:uid="{00000000-0005-0000-0000-0000429D0000}"/>
    <cellStyle name="Note 4 2 18 2" xfId="40259" xr:uid="{00000000-0005-0000-0000-0000439D0000}"/>
    <cellStyle name="Note 4 2 18 2 2" xfId="40260" xr:uid="{00000000-0005-0000-0000-0000449D0000}"/>
    <cellStyle name="Note 4 2 18 3" xfId="40261" xr:uid="{00000000-0005-0000-0000-0000459D0000}"/>
    <cellStyle name="Note 4 2 19" xfId="40262" xr:uid="{00000000-0005-0000-0000-0000469D0000}"/>
    <cellStyle name="Note 4 2 19 2" xfId="40263" xr:uid="{00000000-0005-0000-0000-0000479D0000}"/>
    <cellStyle name="Note 4 2 2" xfId="40264" xr:uid="{00000000-0005-0000-0000-0000489D0000}"/>
    <cellStyle name="Note 4 2 2 10" xfId="40265" xr:uid="{00000000-0005-0000-0000-0000499D0000}"/>
    <cellStyle name="Note 4 2 2 10 2" xfId="40266" xr:uid="{00000000-0005-0000-0000-00004A9D0000}"/>
    <cellStyle name="Note 4 2 2 10 2 2" xfId="40267" xr:uid="{00000000-0005-0000-0000-00004B9D0000}"/>
    <cellStyle name="Note 4 2 2 10 3" xfId="40268" xr:uid="{00000000-0005-0000-0000-00004C9D0000}"/>
    <cellStyle name="Note 4 2 2 11" xfId="40269" xr:uid="{00000000-0005-0000-0000-00004D9D0000}"/>
    <cellStyle name="Note 4 2 2 11 2" xfId="40270" xr:uid="{00000000-0005-0000-0000-00004E9D0000}"/>
    <cellStyle name="Note 4 2 2 11 2 2" xfId="40271" xr:uid="{00000000-0005-0000-0000-00004F9D0000}"/>
    <cellStyle name="Note 4 2 2 11 3" xfId="40272" xr:uid="{00000000-0005-0000-0000-0000509D0000}"/>
    <cellStyle name="Note 4 2 2 12" xfId="40273" xr:uid="{00000000-0005-0000-0000-0000519D0000}"/>
    <cellStyle name="Note 4 2 2 12 2" xfId="40274" xr:uid="{00000000-0005-0000-0000-0000529D0000}"/>
    <cellStyle name="Note 4 2 2 12 2 2" xfId="40275" xr:uid="{00000000-0005-0000-0000-0000539D0000}"/>
    <cellStyle name="Note 4 2 2 12 3" xfId="40276" xr:uid="{00000000-0005-0000-0000-0000549D0000}"/>
    <cellStyle name="Note 4 2 2 13" xfId="40277" xr:uid="{00000000-0005-0000-0000-0000559D0000}"/>
    <cellStyle name="Note 4 2 2 13 2" xfId="40278" xr:uid="{00000000-0005-0000-0000-0000569D0000}"/>
    <cellStyle name="Note 4 2 2 14" xfId="40279" xr:uid="{00000000-0005-0000-0000-0000579D0000}"/>
    <cellStyle name="Note 4 2 2 2" xfId="40280" xr:uid="{00000000-0005-0000-0000-0000589D0000}"/>
    <cellStyle name="Note 4 2 2 2 2" xfId="40281" xr:uid="{00000000-0005-0000-0000-0000599D0000}"/>
    <cellStyle name="Note 4 2 2 2 2 2" xfId="40282" xr:uid="{00000000-0005-0000-0000-00005A9D0000}"/>
    <cellStyle name="Note 4 2 2 2 2 2 2" xfId="40283" xr:uid="{00000000-0005-0000-0000-00005B9D0000}"/>
    <cellStyle name="Note 4 2 2 2 2 2 2 2" xfId="40284" xr:uid="{00000000-0005-0000-0000-00005C9D0000}"/>
    <cellStyle name="Note 4 2 2 2 2 2 3" xfId="40285" xr:uid="{00000000-0005-0000-0000-00005D9D0000}"/>
    <cellStyle name="Note 4 2 2 2 2 3" xfId="40286" xr:uid="{00000000-0005-0000-0000-00005E9D0000}"/>
    <cellStyle name="Note 4 2 2 2 2 3 2" xfId="40287" xr:uid="{00000000-0005-0000-0000-00005F9D0000}"/>
    <cellStyle name="Note 4 2 2 2 2 4" xfId="40288" xr:uid="{00000000-0005-0000-0000-0000609D0000}"/>
    <cellStyle name="Note 4 2 2 2 3" xfId="40289" xr:uid="{00000000-0005-0000-0000-0000619D0000}"/>
    <cellStyle name="Note 4 2 2 2 3 2" xfId="40290" xr:uid="{00000000-0005-0000-0000-0000629D0000}"/>
    <cellStyle name="Note 4 2 2 2 3 2 2" xfId="40291" xr:uid="{00000000-0005-0000-0000-0000639D0000}"/>
    <cellStyle name="Note 4 2 2 2 3 3" xfId="40292" xr:uid="{00000000-0005-0000-0000-0000649D0000}"/>
    <cellStyle name="Note 4 2 2 2 4" xfId="40293" xr:uid="{00000000-0005-0000-0000-0000659D0000}"/>
    <cellStyle name="Note 4 2 2 2 4 2" xfId="40294" xr:uid="{00000000-0005-0000-0000-0000669D0000}"/>
    <cellStyle name="Note 4 2 2 2 4 2 2" xfId="40295" xr:uid="{00000000-0005-0000-0000-0000679D0000}"/>
    <cellStyle name="Note 4 2 2 2 4 3" xfId="40296" xr:uid="{00000000-0005-0000-0000-0000689D0000}"/>
    <cellStyle name="Note 4 2 2 2 5" xfId="40297" xr:uid="{00000000-0005-0000-0000-0000699D0000}"/>
    <cellStyle name="Note 4 2 2 2 5 2" xfId="40298" xr:uid="{00000000-0005-0000-0000-00006A9D0000}"/>
    <cellStyle name="Note 4 2 2 2 5 2 2" xfId="40299" xr:uid="{00000000-0005-0000-0000-00006B9D0000}"/>
    <cellStyle name="Note 4 2 2 2 5 3" xfId="40300" xr:uid="{00000000-0005-0000-0000-00006C9D0000}"/>
    <cellStyle name="Note 4 2 2 2 6" xfId="40301" xr:uid="{00000000-0005-0000-0000-00006D9D0000}"/>
    <cellStyle name="Note 4 2 2 2 6 2" xfId="40302" xr:uid="{00000000-0005-0000-0000-00006E9D0000}"/>
    <cellStyle name="Note 4 2 2 2 6 2 2" xfId="40303" xr:uid="{00000000-0005-0000-0000-00006F9D0000}"/>
    <cellStyle name="Note 4 2 2 2 6 3" xfId="40304" xr:uid="{00000000-0005-0000-0000-0000709D0000}"/>
    <cellStyle name="Note 4 2 2 2 7" xfId="40305" xr:uid="{00000000-0005-0000-0000-0000719D0000}"/>
    <cellStyle name="Note 4 2 2 2 7 2" xfId="40306" xr:uid="{00000000-0005-0000-0000-0000729D0000}"/>
    <cellStyle name="Note 4 2 2 2 8" xfId="40307" xr:uid="{00000000-0005-0000-0000-0000739D0000}"/>
    <cellStyle name="Note 4 2 2 3" xfId="40308" xr:uid="{00000000-0005-0000-0000-0000749D0000}"/>
    <cellStyle name="Note 4 2 2 3 2" xfId="40309" xr:uid="{00000000-0005-0000-0000-0000759D0000}"/>
    <cellStyle name="Note 4 2 2 3 2 2" xfId="40310" xr:uid="{00000000-0005-0000-0000-0000769D0000}"/>
    <cellStyle name="Note 4 2 2 3 2 2 2" xfId="40311" xr:uid="{00000000-0005-0000-0000-0000779D0000}"/>
    <cellStyle name="Note 4 2 2 3 2 2 2 2" xfId="40312" xr:uid="{00000000-0005-0000-0000-0000789D0000}"/>
    <cellStyle name="Note 4 2 2 3 2 2 3" xfId="40313" xr:uid="{00000000-0005-0000-0000-0000799D0000}"/>
    <cellStyle name="Note 4 2 2 3 2 3" xfId="40314" xr:uid="{00000000-0005-0000-0000-00007A9D0000}"/>
    <cellStyle name="Note 4 2 2 3 2 3 2" xfId="40315" xr:uid="{00000000-0005-0000-0000-00007B9D0000}"/>
    <cellStyle name="Note 4 2 2 3 2 4" xfId="40316" xr:uid="{00000000-0005-0000-0000-00007C9D0000}"/>
    <cellStyle name="Note 4 2 2 3 3" xfId="40317" xr:uid="{00000000-0005-0000-0000-00007D9D0000}"/>
    <cellStyle name="Note 4 2 2 3 3 2" xfId="40318" xr:uid="{00000000-0005-0000-0000-00007E9D0000}"/>
    <cellStyle name="Note 4 2 2 3 3 2 2" xfId="40319" xr:uid="{00000000-0005-0000-0000-00007F9D0000}"/>
    <cellStyle name="Note 4 2 2 3 3 3" xfId="40320" xr:uid="{00000000-0005-0000-0000-0000809D0000}"/>
    <cellStyle name="Note 4 2 2 3 4" xfId="40321" xr:uid="{00000000-0005-0000-0000-0000819D0000}"/>
    <cellStyle name="Note 4 2 2 3 4 2" xfId="40322" xr:uid="{00000000-0005-0000-0000-0000829D0000}"/>
    <cellStyle name="Note 4 2 2 3 4 2 2" xfId="40323" xr:uid="{00000000-0005-0000-0000-0000839D0000}"/>
    <cellStyle name="Note 4 2 2 3 4 3" xfId="40324" xr:uid="{00000000-0005-0000-0000-0000849D0000}"/>
    <cellStyle name="Note 4 2 2 3 5" xfId="40325" xr:uid="{00000000-0005-0000-0000-0000859D0000}"/>
    <cellStyle name="Note 4 2 2 3 5 2" xfId="40326" xr:uid="{00000000-0005-0000-0000-0000869D0000}"/>
    <cellStyle name="Note 4 2 2 3 5 2 2" xfId="40327" xr:uid="{00000000-0005-0000-0000-0000879D0000}"/>
    <cellStyle name="Note 4 2 2 3 5 3" xfId="40328" xr:uid="{00000000-0005-0000-0000-0000889D0000}"/>
    <cellStyle name="Note 4 2 2 3 6" xfId="40329" xr:uid="{00000000-0005-0000-0000-0000899D0000}"/>
    <cellStyle name="Note 4 2 2 3 6 2" xfId="40330" xr:uid="{00000000-0005-0000-0000-00008A9D0000}"/>
    <cellStyle name="Note 4 2 2 3 6 2 2" xfId="40331" xr:uid="{00000000-0005-0000-0000-00008B9D0000}"/>
    <cellStyle name="Note 4 2 2 3 6 3" xfId="40332" xr:uid="{00000000-0005-0000-0000-00008C9D0000}"/>
    <cellStyle name="Note 4 2 2 3 7" xfId="40333" xr:uid="{00000000-0005-0000-0000-00008D9D0000}"/>
    <cellStyle name="Note 4 2 2 3 7 2" xfId="40334" xr:uid="{00000000-0005-0000-0000-00008E9D0000}"/>
    <cellStyle name="Note 4 2 2 3 8" xfId="40335" xr:uid="{00000000-0005-0000-0000-00008F9D0000}"/>
    <cellStyle name="Note 4 2 2 4" xfId="40336" xr:uid="{00000000-0005-0000-0000-0000909D0000}"/>
    <cellStyle name="Note 4 2 2 4 2" xfId="40337" xr:uid="{00000000-0005-0000-0000-0000919D0000}"/>
    <cellStyle name="Note 4 2 2 4 2 2" xfId="40338" xr:uid="{00000000-0005-0000-0000-0000929D0000}"/>
    <cellStyle name="Note 4 2 2 4 2 2 2" xfId="40339" xr:uid="{00000000-0005-0000-0000-0000939D0000}"/>
    <cellStyle name="Note 4 2 2 4 2 2 2 2" xfId="40340" xr:uid="{00000000-0005-0000-0000-0000949D0000}"/>
    <cellStyle name="Note 4 2 2 4 2 2 3" xfId="40341" xr:uid="{00000000-0005-0000-0000-0000959D0000}"/>
    <cellStyle name="Note 4 2 2 4 2 3" xfId="40342" xr:uid="{00000000-0005-0000-0000-0000969D0000}"/>
    <cellStyle name="Note 4 2 2 4 2 3 2" xfId="40343" xr:uid="{00000000-0005-0000-0000-0000979D0000}"/>
    <cellStyle name="Note 4 2 2 4 2 4" xfId="40344" xr:uid="{00000000-0005-0000-0000-0000989D0000}"/>
    <cellStyle name="Note 4 2 2 4 3" xfId="40345" xr:uid="{00000000-0005-0000-0000-0000999D0000}"/>
    <cellStyle name="Note 4 2 2 4 3 2" xfId="40346" xr:uid="{00000000-0005-0000-0000-00009A9D0000}"/>
    <cellStyle name="Note 4 2 2 4 3 2 2" xfId="40347" xr:uid="{00000000-0005-0000-0000-00009B9D0000}"/>
    <cellStyle name="Note 4 2 2 4 3 3" xfId="40348" xr:uid="{00000000-0005-0000-0000-00009C9D0000}"/>
    <cellStyle name="Note 4 2 2 4 4" xfId="40349" xr:uid="{00000000-0005-0000-0000-00009D9D0000}"/>
    <cellStyle name="Note 4 2 2 4 4 2" xfId="40350" xr:uid="{00000000-0005-0000-0000-00009E9D0000}"/>
    <cellStyle name="Note 4 2 2 4 4 2 2" xfId="40351" xr:uid="{00000000-0005-0000-0000-00009F9D0000}"/>
    <cellStyle name="Note 4 2 2 4 4 3" xfId="40352" xr:uid="{00000000-0005-0000-0000-0000A09D0000}"/>
    <cellStyle name="Note 4 2 2 4 5" xfId="40353" xr:uid="{00000000-0005-0000-0000-0000A19D0000}"/>
    <cellStyle name="Note 4 2 2 4 5 2" xfId="40354" xr:uid="{00000000-0005-0000-0000-0000A29D0000}"/>
    <cellStyle name="Note 4 2 2 4 5 2 2" xfId="40355" xr:uid="{00000000-0005-0000-0000-0000A39D0000}"/>
    <cellStyle name="Note 4 2 2 4 5 3" xfId="40356" xr:uid="{00000000-0005-0000-0000-0000A49D0000}"/>
    <cellStyle name="Note 4 2 2 4 6" xfId="40357" xr:uid="{00000000-0005-0000-0000-0000A59D0000}"/>
    <cellStyle name="Note 4 2 2 4 6 2" xfId="40358" xr:uid="{00000000-0005-0000-0000-0000A69D0000}"/>
    <cellStyle name="Note 4 2 2 4 6 2 2" xfId="40359" xr:uid="{00000000-0005-0000-0000-0000A79D0000}"/>
    <cellStyle name="Note 4 2 2 4 6 3" xfId="40360" xr:uid="{00000000-0005-0000-0000-0000A89D0000}"/>
    <cellStyle name="Note 4 2 2 4 7" xfId="40361" xr:uid="{00000000-0005-0000-0000-0000A99D0000}"/>
    <cellStyle name="Note 4 2 2 4 7 2" xfId="40362" xr:uid="{00000000-0005-0000-0000-0000AA9D0000}"/>
    <cellStyle name="Note 4 2 2 4 8" xfId="40363" xr:uid="{00000000-0005-0000-0000-0000AB9D0000}"/>
    <cellStyle name="Note 4 2 2 5" xfId="40364" xr:uid="{00000000-0005-0000-0000-0000AC9D0000}"/>
    <cellStyle name="Note 4 2 2 5 2" xfId="40365" xr:uid="{00000000-0005-0000-0000-0000AD9D0000}"/>
    <cellStyle name="Note 4 2 2 5 2 2" xfId="40366" xr:uid="{00000000-0005-0000-0000-0000AE9D0000}"/>
    <cellStyle name="Note 4 2 2 5 2 2 2" xfId="40367" xr:uid="{00000000-0005-0000-0000-0000AF9D0000}"/>
    <cellStyle name="Note 4 2 2 5 2 2 2 2" xfId="40368" xr:uid="{00000000-0005-0000-0000-0000B09D0000}"/>
    <cellStyle name="Note 4 2 2 5 2 2 3" xfId="40369" xr:uid="{00000000-0005-0000-0000-0000B19D0000}"/>
    <cellStyle name="Note 4 2 2 5 2 3" xfId="40370" xr:uid="{00000000-0005-0000-0000-0000B29D0000}"/>
    <cellStyle name="Note 4 2 2 5 2 3 2" xfId="40371" xr:uid="{00000000-0005-0000-0000-0000B39D0000}"/>
    <cellStyle name="Note 4 2 2 5 2 4" xfId="40372" xr:uid="{00000000-0005-0000-0000-0000B49D0000}"/>
    <cellStyle name="Note 4 2 2 5 3" xfId="40373" xr:uid="{00000000-0005-0000-0000-0000B59D0000}"/>
    <cellStyle name="Note 4 2 2 5 3 2" xfId="40374" xr:uid="{00000000-0005-0000-0000-0000B69D0000}"/>
    <cellStyle name="Note 4 2 2 5 3 2 2" xfId="40375" xr:uid="{00000000-0005-0000-0000-0000B79D0000}"/>
    <cellStyle name="Note 4 2 2 5 3 3" xfId="40376" xr:uid="{00000000-0005-0000-0000-0000B89D0000}"/>
    <cellStyle name="Note 4 2 2 5 4" xfId="40377" xr:uid="{00000000-0005-0000-0000-0000B99D0000}"/>
    <cellStyle name="Note 4 2 2 5 4 2" xfId="40378" xr:uid="{00000000-0005-0000-0000-0000BA9D0000}"/>
    <cellStyle name="Note 4 2 2 5 5" xfId="40379" xr:uid="{00000000-0005-0000-0000-0000BB9D0000}"/>
    <cellStyle name="Note 4 2 2 6" xfId="40380" xr:uid="{00000000-0005-0000-0000-0000BC9D0000}"/>
    <cellStyle name="Note 4 2 2 6 2" xfId="40381" xr:uid="{00000000-0005-0000-0000-0000BD9D0000}"/>
    <cellStyle name="Note 4 2 2 6 2 2" xfId="40382" xr:uid="{00000000-0005-0000-0000-0000BE9D0000}"/>
    <cellStyle name="Note 4 2 2 6 2 2 2" xfId="40383" xr:uid="{00000000-0005-0000-0000-0000BF9D0000}"/>
    <cellStyle name="Note 4 2 2 6 2 2 2 2" xfId="40384" xr:uid="{00000000-0005-0000-0000-0000C09D0000}"/>
    <cellStyle name="Note 4 2 2 6 2 2 3" xfId="40385" xr:uid="{00000000-0005-0000-0000-0000C19D0000}"/>
    <cellStyle name="Note 4 2 2 6 2 3" xfId="40386" xr:uid="{00000000-0005-0000-0000-0000C29D0000}"/>
    <cellStyle name="Note 4 2 2 6 2 3 2" xfId="40387" xr:uid="{00000000-0005-0000-0000-0000C39D0000}"/>
    <cellStyle name="Note 4 2 2 6 2 4" xfId="40388" xr:uid="{00000000-0005-0000-0000-0000C49D0000}"/>
    <cellStyle name="Note 4 2 2 6 3" xfId="40389" xr:uid="{00000000-0005-0000-0000-0000C59D0000}"/>
    <cellStyle name="Note 4 2 2 6 3 2" xfId="40390" xr:uid="{00000000-0005-0000-0000-0000C69D0000}"/>
    <cellStyle name="Note 4 2 2 6 3 2 2" xfId="40391" xr:uid="{00000000-0005-0000-0000-0000C79D0000}"/>
    <cellStyle name="Note 4 2 2 6 3 3" xfId="40392" xr:uid="{00000000-0005-0000-0000-0000C89D0000}"/>
    <cellStyle name="Note 4 2 2 6 4" xfId="40393" xr:uid="{00000000-0005-0000-0000-0000C99D0000}"/>
    <cellStyle name="Note 4 2 2 6 4 2" xfId="40394" xr:uid="{00000000-0005-0000-0000-0000CA9D0000}"/>
    <cellStyle name="Note 4 2 2 6 5" xfId="40395" xr:uid="{00000000-0005-0000-0000-0000CB9D0000}"/>
    <cellStyle name="Note 4 2 2 7" xfId="40396" xr:uid="{00000000-0005-0000-0000-0000CC9D0000}"/>
    <cellStyle name="Note 4 2 2 7 2" xfId="40397" xr:uid="{00000000-0005-0000-0000-0000CD9D0000}"/>
    <cellStyle name="Note 4 2 2 7 2 2" xfId="40398" xr:uid="{00000000-0005-0000-0000-0000CE9D0000}"/>
    <cellStyle name="Note 4 2 2 7 2 2 2" xfId="40399" xr:uid="{00000000-0005-0000-0000-0000CF9D0000}"/>
    <cellStyle name="Note 4 2 2 7 2 3" xfId="40400" xr:uid="{00000000-0005-0000-0000-0000D09D0000}"/>
    <cellStyle name="Note 4 2 2 7 3" xfId="40401" xr:uid="{00000000-0005-0000-0000-0000D19D0000}"/>
    <cellStyle name="Note 4 2 2 7 3 2" xfId="40402" xr:uid="{00000000-0005-0000-0000-0000D29D0000}"/>
    <cellStyle name="Note 4 2 2 7 4" xfId="40403" xr:uid="{00000000-0005-0000-0000-0000D39D0000}"/>
    <cellStyle name="Note 4 2 2 8" xfId="40404" xr:uid="{00000000-0005-0000-0000-0000D49D0000}"/>
    <cellStyle name="Note 4 2 2 8 2" xfId="40405" xr:uid="{00000000-0005-0000-0000-0000D59D0000}"/>
    <cellStyle name="Note 4 2 2 8 2 2" xfId="40406" xr:uid="{00000000-0005-0000-0000-0000D69D0000}"/>
    <cellStyle name="Note 4 2 2 8 2 2 2" xfId="40407" xr:uid="{00000000-0005-0000-0000-0000D79D0000}"/>
    <cellStyle name="Note 4 2 2 8 2 3" xfId="40408" xr:uid="{00000000-0005-0000-0000-0000D89D0000}"/>
    <cellStyle name="Note 4 2 2 8 3" xfId="40409" xr:uid="{00000000-0005-0000-0000-0000D99D0000}"/>
    <cellStyle name="Note 4 2 2 8 3 2" xfId="40410" xr:uid="{00000000-0005-0000-0000-0000DA9D0000}"/>
    <cellStyle name="Note 4 2 2 8 4" xfId="40411" xr:uid="{00000000-0005-0000-0000-0000DB9D0000}"/>
    <cellStyle name="Note 4 2 2 9" xfId="40412" xr:uid="{00000000-0005-0000-0000-0000DC9D0000}"/>
    <cellStyle name="Note 4 2 2 9 2" xfId="40413" xr:uid="{00000000-0005-0000-0000-0000DD9D0000}"/>
    <cellStyle name="Note 4 2 2 9 2 2" xfId="40414" xr:uid="{00000000-0005-0000-0000-0000DE9D0000}"/>
    <cellStyle name="Note 4 2 2 9 3" xfId="40415" xr:uid="{00000000-0005-0000-0000-0000DF9D0000}"/>
    <cellStyle name="Note 4 2 20" xfId="40416" xr:uid="{00000000-0005-0000-0000-0000E09D0000}"/>
    <cellStyle name="Note 4 2 3" xfId="40417" xr:uid="{00000000-0005-0000-0000-0000E19D0000}"/>
    <cellStyle name="Note 4 2 3 10" xfId="40418" xr:uid="{00000000-0005-0000-0000-0000E29D0000}"/>
    <cellStyle name="Note 4 2 3 10 2" xfId="40419" xr:uid="{00000000-0005-0000-0000-0000E39D0000}"/>
    <cellStyle name="Note 4 2 3 10 2 2" xfId="40420" xr:uid="{00000000-0005-0000-0000-0000E49D0000}"/>
    <cellStyle name="Note 4 2 3 10 3" xfId="40421" xr:uid="{00000000-0005-0000-0000-0000E59D0000}"/>
    <cellStyle name="Note 4 2 3 11" xfId="40422" xr:uid="{00000000-0005-0000-0000-0000E69D0000}"/>
    <cellStyle name="Note 4 2 3 11 2" xfId="40423" xr:uid="{00000000-0005-0000-0000-0000E79D0000}"/>
    <cellStyle name="Note 4 2 3 11 2 2" xfId="40424" xr:uid="{00000000-0005-0000-0000-0000E89D0000}"/>
    <cellStyle name="Note 4 2 3 11 3" xfId="40425" xr:uid="{00000000-0005-0000-0000-0000E99D0000}"/>
    <cellStyle name="Note 4 2 3 12" xfId="40426" xr:uid="{00000000-0005-0000-0000-0000EA9D0000}"/>
    <cellStyle name="Note 4 2 3 12 2" xfId="40427" xr:uid="{00000000-0005-0000-0000-0000EB9D0000}"/>
    <cellStyle name="Note 4 2 3 12 2 2" xfId="40428" xr:uid="{00000000-0005-0000-0000-0000EC9D0000}"/>
    <cellStyle name="Note 4 2 3 12 3" xfId="40429" xr:uid="{00000000-0005-0000-0000-0000ED9D0000}"/>
    <cellStyle name="Note 4 2 3 13" xfId="40430" xr:uid="{00000000-0005-0000-0000-0000EE9D0000}"/>
    <cellStyle name="Note 4 2 3 13 2" xfId="40431" xr:uid="{00000000-0005-0000-0000-0000EF9D0000}"/>
    <cellStyle name="Note 4 2 3 14" xfId="40432" xr:uid="{00000000-0005-0000-0000-0000F09D0000}"/>
    <cellStyle name="Note 4 2 3 2" xfId="40433" xr:uid="{00000000-0005-0000-0000-0000F19D0000}"/>
    <cellStyle name="Note 4 2 3 2 2" xfId="40434" xr:uid="{00000000-0005-0000-0000-0000F29D0000}"/>
    <cellStyle name="Note 4 2 3 2 2 2" xfId="40435" xr:uid="{00000000-0005-0000-0000-0000F39D0000}"/>
    <cellStyle name="Note 4 2 3 2 2 2 2" xfId="40436" xr:uid="{00000000-0005-0000-0000-0000F49D0000}"/>
    <cellStyle name="Note 4 2 3 2 2 2 2 2" xfId="40437" xr:uid="{00000000-0005-0000-0000-0000F59D0000}"/>
    <cellStyle name="Note 4 2 3 2 2 2 3" xfId="40438" xr:uid="{00000000-0005-0000-0000-0000F69D0000}"/>
    <cellStyle name="Note 4 2 3 2 2 3" xfId="40439" xr:uid="{00000000-0005-0000-0000-0000F79D0000}"/>
    <cellStyle name="Note 4 2 3 2 2 3 2" xfId="40440" xr:uid="{00000000-0005-0000-0000-0000F89D0000}"/>
    <cellStyle name="Note 4 2 3 2 2 4" xfId="40441" xr:uid="{00000000-0005-0000-0000-0000F99D0000}"/>
    <cellStyle name="Note 4 2 3 2 3" xfId="40442" xr:uid="{00000000-0005-0000-0000-0000FA9D0000}"/>
    <cellStyle name="Note 4 2 3 2 3 2" xfId="40443" xr:uid="{00000000-0005-0000-0000-0000FB9D0000}"/>
    <cellStyle name="Note 4 2 3 2 3 2 2" xfId="40444" xr:uid="{00000000-0005-0000-0000-0000FC9D0000}"/>
    <cellStyle name="Note 4 2 3 2 3 3" xfId="40445" xr:uid="{00000000-0005-0000-0000-0000FD9D0000}"/>
    <cellStyle name="Note 4 2 3 2 4" xfId="40446" xr:uid="{00000000-0005-0000-0000-0000FE9D0000}"/>
    <cellStyle name="Note 4 2 3 2 4 2" xfId="40447" xr:uid="{00000000-0005-0000-0000-0000FF9D0000}"/>
    <cellStyle name="Note 4 2 3 2 4 2 2" xfId="40448" xr:uid="{00000000-0005-0000-0000-0000009E0000}"/>
    <cellStyle name="Note 4 2 3 2 4 3" xfId="40449" xr:uid="{00000000-0005-0000-0000-0000019E0000}"/>
    <cellStyle name="Note 4 2 3 2 5" xfId="40450" xr:uid="{00000000-0005-0000-0000-0000029E0000}"/>
    <cellStyle name="Note 4 2 3 2 5 2" xfId="40451" xr:uid="{00000000-0005-0000-0000-0000039E0000}"/>
    <cellStyle name="Note 4 2 3 2 5 2 2" xfId="40452" xr:uid="{00000000-0005-0000-0000-0000049E0000}"/>
    <cellStyle name="Note 4 2 3 2 5 3" xfId="40453" xr:uid="{00000000-0005-0000-0000-0000059E0000}"/>
    <cellStyle name="Note 4 2 3 2 6" xfId="40454" xr:uid="{00000000-0005-0000-0000-0000069E0000}"/>
    <cellStyle name="Note 4 2 3 2 6 2" xfId="40455" xr:uid="{00000000-0005-0000-0000-0000079E0000}"/>
    <cellStyle name="Note 4 2 3 2 6 2 2" xfId="40456" xr:uid="{00000000-0005-0000-0000-0000089E0000}"/>
    <cellStyle name="Note 4 2 3 2 6 3" xfId="40457" xr:uid="{00000000-0005-0000-0000-0000099E0000}"/>
    <cellStyle name="Note 4 2 3 2 7" xfId="40458" xr:uid="{00000000-0005-0000-0000-00000A9E0000}"/>
    <cellStyle name="Note 4 2 3 2 7 2" xfId="40459" xr:uid="{00000000-0005-0000-0000-00000B9E0000}"/>
    <cellStyle name="Note 4 2 3 2 8" xfId="40460" xr:uid="{00000000-0005-0000-0000-00000C9E0000}"/>
    <cellStyle name="Note 4 2 3 3" xfId="40461" xr:uid="{00000000-0005-0000-0000-00000D9E0000}"/>
    <cellStyle name="Note 4 2 3 3 2" xfId="40462" xr:uid="{00000000-0005-0000-0000-00000E9E0000}"/>
    <cellStyle name="Note 4 2 3 3 2 2" xfId="40463" xr:uid="{00000000-0005-0000-0000-00000F9E0000}"/>
    <cellStyle name="Note 4 2 3 3 2 2 2" xfId="40464" xr:uid="{00000000-0005-0000-0000-0000109E0000}"/>
    <cellStyle name="Note 4 2 3 3 2 2 2 2" xfId="40465" xr:uid="{00000000-0005-0000-0000-0000119E0000}"/>
    <cellStyle name="Note 4 2 3 3 2 2 3" xfId="40466" xr:uid="{00000000-0005-0000-0000-0000129E0000}"/>
    <cellStyle name="Note 4 2 3 3 2 3" xfId="40467" xr:uid="{00000000-0005-0000-0000-0000139E0000}"/>
    <cellStyle name="Note 4 2 3 3 2 3 2" xfId="40468" xr:uid="{00000000-0005-0000-0000-0000149E0000}"/>
    <cellStyle name="Note 4 2 3 3 2 4" xfId="40469" xr:uid="{00000000-0005-0000-0000-0000159E0000}"/>
    <cellStyle name="Note 4 2 3 3 3" xfId="40470" xr:uid="{00000000-0005-0000-0000-0000169E0000}"/>
    <cellStyle name="Note 4 2 3 3 3 2" xfId="40471" xr:uid="{00000000-0005-0000-0000-0000179E0000}"/>
    <cellStyle name="Note 4 2 3 3 3 2 2" xfId="40472" xr:uid="{00000000-0005-0000-0000-0000189E0000}"/>
    <cellStyle name="Note 4 2 3 3 3 3" xfId="40473" xr:uid="{00000000-0005-0000-0000-0000199E0000}"/>
    <cellStyle name="Note 4 2 3 3 4" xfId="40474" xr:uid="{00000000-0005-0000-0000-00001A9E0000}"/>
    <cellStyle name="Note 4 2 3 3 4 2" xfId="40475" xr:uid="{00000000-0005-0000-0000-00001B9E0000}"/>
    <cellStyle name="Note 4 2 3 3 4 2 2" xfId="40476" xr:uid="{00000000-0005-0000-0000-00001C9E0000}"/>
    <cellStyle name="Note 4 2 3 3 4 3" xfId="40477" xr:uid="{00000000-0005-0000-0000-00001D9E0000}"/>
    <cellStyle name="Note 4 2 3 3 5" xfId="40478" xr:uid="{00000000-0005-0000-0000-00001E9E0000}"/>
    <cellStyle name="Note 4 2 3 3 5 2" xfId="40479" xr:uid="{00000000-0005-0000-0000-00001F9E0000}"/>
    <cellStyle name="Note 4 2 3 3 5 2 2" xfId="40480" xr:uid="{00000000-0005-0000-0000-0000209E0000}"/>
    <cellStyle name="Note 4 2 3 3 5 3" xfId="40481" xr:uid="{00000000-0005-0000-0000-0000219E0000}"/>
    <cellStyle name="Note 4 2 3 3 6" xfId="40482" xr:uid="{00000000-0005-0000-0000-0000229E0000}"/>
    <cellStyle name="Note 4 2 3 3 6 2" xfId="40483" xr:uid="{00000000-0005-0000-0000-0000239E0000}"/>
    <cellStyle name="Note 4 2 3 3 6 2 2" xfId="40484" xr:uid="{00000000-0005-0000-0000-0000249E0000}"/>
    <cellStyle name="Note 4 2 3 3 6 3" xfId="40485" xr:uid="{00000000-0005-0000-0000-0000259E0000}"/>
    <cellStyle name="Note 4 2 3 3 7" xfId="40486" xr:uid="{00000000-0005-0000-0000-0000269E0000}"/>
    <cellStyle name="Note 4 2 3 3 7 2" xfId="40487" xr:uid="{00000000-0005-0000-0000-0000279E0000}"/>
    <cellStyle name="Note 4 2 3 3 8" xfId="40488" xr:uid="{00000000-0005-0000-0000-0000289E0000}"/>
    <cellStyle name="Note 4 2 3 4" xfId="40489" xr:uid="{00000000-0005-0000-0000-0000299E0000}"/>
    <cellStyle name="Note 4 2 3 4 2" xfId="40490" xr:uid="{00000000-0005-0000-0000-00002A9E0000}"/>
    <cellStyle name="Note 4 2 3 4 2 2" xfId="40491" xr:uid="{00000000-0005-0000-0000-00002B9E0000}"/>
    <cellStyle name="Note 4 2 3 4 2 2 2" xfId="40492" xr:uid="{00000000-0005-0000-0000-00002C9E0000}"/>
    <cellStyle name="Note 4 2 3 4 2 2 2 2" xfId="40493" xr:uid="{00000000-0005-0000-0000-00002D9E0000}"/>
    <cellStyle name="Note 4 2 3 4 2 2 3" xfId="40494" xr:uid="{00000000-0005-0000-0000-00002E9E0000}"/>
    <cellStyle name="Note 4 2 3 4 2 3" xfId="40495" xr:uid="{00000000-0005-0000-0000-00002F9E0000}"/>
    <cellStyle name="Note 4 2 3 4 2 3 2" xfId="40496" xr:uid="{00000000-0005-0000-0000-0000309E0000}"/>
    <cellStyle name="Note 4 2 3 4 2 4" xfId="40497" xr:uid="{00000000-0005-0000-0000-0000319E0000}"/>
    <cellStyle name="Note 4 2 3 4 3" xfId="40498" xr:uid="{00000000-0005-0000-0000-0000329E0000}"/>
    <cellStyle name="Note 4 2 3 4 3 2" xfId="40499" xr:uid="{00000000-0005-0000-0000-0000339E0000}"/>
    <cellStyle name="Note 4 2 3 4 3 2 2" xfId="40500" xr:uid="{00000000-0005-0000-0000-0000349E0000}"/>
    <cellStyle name="Note 4 2 3 4 3 3" xfId="40501" xr:uid="{00000000-0005-0000-0000-0000359E0000}"/>
    <cellStyle name="Note 4 2 3 4 4" xfId="40502" xr:uid="{00000000-0005-0000-0000-0000369E0000}"/>
    <cellStyle name="Note 4 2 3 4 4 2" xfId="40503" xr:uid="{00000000-0005-0000-0000-0000379E0000}"/>
    <cellStyle name="Note 4 2 3 4 4 2 2" xfId="40504" xr:uid="{00000000-0005-0000-0000-0000389E0000}"/>
    <cellStyle name="Note 4 2 3 4 4 3" xfId="40505" xr:uid="{00000000-0005-0000-0000-0000399E0000}"/>
    <cellStyle name="Note 4 2 3 4 5" xfId="40506" xr:uid="{00000000-0005-0000-0000-00003A9E0000}"/>
    <cellStyle name="Note 4 2 3 4 5 2" xfId="40507" xr:uid="{00000000-0005-0000-0000-00003B9E0000}"/>
    <cellStyle name="Note 4 2 3 4 5 2 2" xfId="40508" xr:uid="{00000000-0005-0000-0000-00003C9E0000}"/>
    <cellStyle name="Note 4 2 3 4 5 3" xfId="40509" xr:uid="{00000000-0005-0000-0000-00003D9E0000}"/>
    <cellStyle name="Note 4 2 3 4 6" xfId="40510" xr:uid="{00000000-0005-0000-0000-00003E9E0000}"/>
    <cellStyle name="Note 4 2 3 4 6 2" xfId="40511" xr:uid="{00000000-0005-0000-0000-00003F9E0000}"/>
    <cellStyle name="Note 4 2 3 4 6 2 2" xfId="40512" xr:uid="{00000000-0005-0000-0000-0000409E0000}"/>
    <cellStyle name="Note 4 2 3 4 6 3" xfId="40513" xr:uid="{00000000-0005-0000-0000-0000419E0000}"/>
    <cellStyle name="Note 4 2 3 4 7" xfId="40514" xr:uid="{00000000-0005-0000-0000-0000429E0000}"/>
    <cellStyle name="Note 4 2 3 4 7 2" xfId="40515" xr:uid="{00000000-0005-0000-0000-0000439E0000}"/>
    <cellStyle name="Note 4 2 3 4 8" xfId="40516" xr:uid="{00000000-0005-0000-0000-0000449E0000}"/>
    <cellStyle name="Note 4 2 3 5" xfId="40517" xr:uid="{00000000-0005-0000-0000-0000459E0000}"/>
    <cellStyle name="Note 4 2 3 5 2" xfId="40518" xr:uid="{00000000-0005-0000-0000-0000469E0000}"/>
    <cellStyle name="Note 4 2 3 5 2 2" xfId="40519" xr:uid="{00000000-0005-0000-0000-0000479E0000}"/>
    <cellStyle name="Note 4 2 3 5 2 2 2" xfId="40520" xr:uid="{00000000-0005-0000-0000-0000489E0000}"/>
    <cellStyle name="Note 4 2 3 5 2 2 2 2" xfId="40521" xr:uid="{00000000-0005-0000-0000-0000499E0000}"/>
    <cellStyle name="Note 4 2 3 5 2 2 3" xfId="40522" xr:uid="{00000000-0005-0000-0000-00004A9E0000}"/>
    <cellStyle name="Note 4 2 3 5 2 3" xfId="40523" xr:uid="{00000000-0005-0000-0000-00004B9E0000}"/>
    <cellStyle name="Note 4 2 3 5 2 3 2" xfId="40524" xr:uid="{00000000-0005-0000-0000-00004C9E0000}"/>
    <cellStyle name="Note 4 2 3 5 2 4" xfId="40525" xr:uid="{00000000-0005-0000-0000-00004D9E0000}"/>
    <cellStyle name="Note 4 2 3 5 3" xfId="40526" xr:uid="{00000000-0005-0000-0000-00004E9E0000}"/>
    <cellStyle name="Note 4 2 3 5 3 2" xfId="40527" xr:uid="{00000000-0005-0000-0000-00004F9E0000}"/>
    <cellStyle name="Note 4 2 3 5 3 2 2" xfId="40528" xr:uid="{00000000-0005-0000-0000-0000509E0000}"/>
    <cellStyle name="Note 4 2 3 5 3 3" xfId="40529" xr:uid="{00000000-0005-0000-0000-0000519E0000}"/>
    <cellStyle name="Note 4 2 3 5 4" xfId="40530" xr:uid="{00000000-0005-0000-0000-0000529E0000}"/>
    <cellStyle name="Note 4 2 3 5 4 2" xfId="40531" xr:uid="{00000000-0005-0000-0000-0000539E0000}"/>
    <cellStyle name="Note 4 2 3 5 5" xfId="40532" xr:uid="{00000000-0005-0000-0000-0000549E0000}"/>
    <cellStyle name="Note 4 2 3 6" xfId="40533" xr:uid="{00000000-0005-0000-0000-0000559E0000}"/>
    <cellStyle name="Note 4 2 3 6 2" xfId="40534" xr:uid="{00000000-0005-0000-0000-0000569E0000}"/>
    <cellStyle name="Note 4 2 3 6 2 2" xfId="40535" xr:uid="{00000000-0005-0000-0000-0000579E0000}"/>
    <cellStyle name="Note 4 2 3 6 2 2 2" xfId="40536" xr:uid="{00000000-0005-0000-0000-0000589E0000}"/>
    <cellStyle name="Note 4 2 3 6 2 2 2 2" xfId="40537" xr:uid="{00000000-0005-0000-0000-0000599E0000}"/>
    <cellStyle name="Note 4 2 3 6 2 2 3" xfId="40538" xr:uid="{00000000-0005-0000-0000-00005A9E0000}"/>
    <cellStyle name="Note 4 2 3 6 2 3" xfId="40539" xr:uid="{00000000-0005-0000-0000-00005B9E0000}"/>
    <cellStyle name="Note 4 2 3 6 2 3 2" xfId="40540" xr:uid="{00000000-0005-0000-0000-00005C9E0000}"/>
    <cellStyle name="Note 4 2 3 6 2 4" xfId="40541" xr:uid="{00000000-0005-0000-0000-00005D9E0000}"/>
    <cellStyle name="Note 4 2 3 6 3" xfId="40542" xr:uid="{00000000-0005-0000-0000-00005E9E0000}"/>
    <cellStyle name="Note 4 2 3 6 3 2" xfId="40543" xr:uid="{00000000-0005-0000-0000-00005F9E0000}"/>
    <cellStyle name="Note 4 2 3 6 3 2 2" xfId="40544" xr:uid="{00000000-0005-0000-0000-0000609E0000}"/>
    <cellStyle name="Note 4 2 3 6 3 3" xfId="40545" xr:uid="{00000000-0005-0000-0000-0000619E0000}"/>
    <cellStyle name="Note 4 2 3 6 4" xfId="40546" xr:uid="{00000000-0005-0000-0000-0000629E0000}"/>
    <cellStyle name="Note 4 2 3 6 4 2" xfId="40547" xr:uid="{00000000-0005-0000-0000-0000639E0000}"/>
    <cellStyle name="Note 4 2 3 6 5" xfId="40548" xr:uid="{00000000-0005-0000-0000-0000649E0000}"/>
    <cellStyle name="Note 4 2 3 7" xfId="40549" xr:uid="{00000000-0005-0000-0000-0000659E0000}"/>
    <cellStyle name="Note 4 2 3 7 2" xfId="40550" xr:uid="{00000000-0005-0000-0000-0000669E0000}"/>
    <cellStyle name="Note 4 2 3 7 2 2" xfId="40551" xr:uid="{00000000-0005-0000-0000-0000679E0000}"/>
    <cellStyle name="Note 4 2 3 7 2 2 2" xfId="40552" xr:uid="{00000000-0005-0000-0000-0000689E0000}"/>
    <cellStyle name="Note 4 2 3 7 2 3" xfId="40553" xr:uid="{00000000-0005-0000-0000-0000699E0000}"/>
    <cellStyle name="Note 4 2 3 7 3" xfId="40554" xr:uid="{00000000-0005-0000-0000-00006A9E0000}"/>
    <cellStyle name="Note 4 2 3 7 3 2" xfId="40555" xr:uid="{00000000-0005-0000-0000-00006B9E0000}"/>
    <cellStyle name="Note 4 2 3 7 4" xfId="40556" xr:uid="{00000000-0005-0000-0000-00006C9E0000}"/>
    <cellStyle name="Note 4 2 3 8" xfId="40557" xr:uid="{00000000-0005-0000-0000-00006D9E0000}"/>
    <cellStyle name="Note 4 2 3 8 2" xfId="40558" xr:uid="{00000000-0005-0000-0000-00006E9E0000}"/>
    <cellStyle name="Note 4 2 3 8 2 2" xfId="40559" xr:uid="{00000000-0005-0000-0000-00006F9E0000}"/>
    <cellStyle name="Note 4 2 3 8 2 2 2" xfId="40560" xr:uid="{00000000-0005-0000-0000-0000709E0000}"/>
    <cellStyle name="Note 4 2 3 8 2 3" xfId="40561" xr:uid="{00000000-0005-0000-0000-0000719E0000}"/>
    <cellStyle name="Note 4 2 3 8 3" xfId="40562" xr:uid="{00000000-0005-0000-0000-0000729E0000}"/>
    <cellStyle name="Note 4 2 3 8 3 2" xfId="40563" xr:uid="{00000000-0005-0000-0000-0000739E0000}"/>
    <cellStyle name="Note 4 2 3 8 4" xfId="40564" xr:uid="{00000000-0005-0000-0000-0000749E0000}"/>
    <cellStyle name="Note 4 2 3 9" xfId="40565" xr:uid="{00000000-0005-0000-0000-0000759E0000}"/>
    <cellStyle name="Note 4 2 3 9 2" xfId="40566" xr:uid="{00000000-0005-0000-0000-0000769E0000}"/>
    <cellStyle name="Note 4 2 3 9 2 2" xfId="40567" xr:uid="{00000000-0005-0000-0000-0000779E0000}"/>
    <cellStyle name="Note 4 2 3 9 3" xfId="40568" xr:uid="{00000000-0005-0000-0000-0000789E0000}"/>
    <cellStyle name="Note 4 2 4" xfId="40569" xr:uid="{00000000-0005-0000-0000-0000799E0000}"/>
    <cellStyle name="Note 4 2 4 10" xfId="40570" xr:uid="{00000000-0005-0000-0000-00007A9E0000}"/>
    <cellStyle name="Note 4 2 4 10 2" xfId="40571" xr:uid="{00000000-0005-0000-0000-00007B9E0000}"/>
    <cellStyle name="Note 4 2 4 10 2 2" xfId="40572" xr:uid="{00000000-0005-0000-0000-00007C9E0000}"/>
    <cellStyle name="Note 4 2 4 10 3" xfId="40573" xr:uid="{00000000-0005-0000-0000-00007D9E0000}"/>
    <cellStyle name="Note 4 2 4 11" xfId="40574" xr:uid="{00000000-0005-0000-0000-00007E9E0000}"/>
    <cellStyle name="Note 4 2 4 11 2" xfId="40575" xr:uid="{00000000-0005-0000-0000-00007F9E0000}"/>
    <cellStyle name="Note 4 2 4 11 2 2" xfId="40576" xr:uid="{00000000-0005-0000-0000-0000809E0000}"/>
    <cellStyle name="Note 4 2 4 11 3" xfId="40577" xr:uid="{00000000-0005-0000-0000-0000819E0000}"/>
    <cellStyle name="Note 4 2 4 12" xfId="40578" xr:uid="{00000000-0005-0000-0000-0000829E0000}"/>
    <cellStyle name="Note 4 2 4 12 2" xfId="40579" xr:uid="{00000000-0005-0000-0000-0000839E0000}"/>
    <cellStyle name="Note 4 2 4 12 2 2" xfId="40580" xr:uid="{00000000-0005-0000-0000-0000849E0000}"/>
    <cellStyle name="Note 4 2 4 12 3" xfId="40581" xr:uid="{00000000-0005-0000-0000-0000859E0000}"/>
    <cellStyle name="Note 4 2 4 13" xfId="40582" xr:uid="{00000000-0005-0000-0000-0000869E0000}"/>
    <cellStyle name="Note 4 2 4 13 2" xfId="40583" xr:uid="{00000000-0005-0000-0000-0000879E0000}"/>
    <cellStyle name="Note 4 2 4 14" xfId="40584" xr:uid="{00000000-0005-0000-0000-0000889E0000}"/>
    <cellStyle name="Note 4 2 4 2" xfId="40585" xr:uid="{00000000-0005-0000-0000-0000899E0000}"/>
    <cellStyle name="Note 4 2 4 2 2" xfId="40586" xr:uid="{00000000-0005-0000-0000-00008A9E0000}"/>
    <cellStyle name="Note 4 2 4 2 2 2" xfId="40587" xr:uid="{00000000-0005-0000-0000-00008B9E0000}"/>
    <cellStyle name="Note 4 2 4 2 2 2 2" xfId="40588" xr:uid="{00000000-0005-0000-0000-00008C9E0000}"/>
    <cellStyle name="Note 4 2 4 2 2 2 2 2" xfId="40589" xr:uid="{00000000-0005-0000-0000-00008D9E0000}"/>
    <cellStyle name="Note 4 2 4 2 2 2 3" xfId="40590" xr:uid="{00000000-0005-0000-0000-00008E9E0000}"/>
    <cellStyle name="Note 4 2 4 2 2 3" xfId="40591" xr:uid="{00000000-0005-0000-0000-00008F9E0000}"/>
    <cellStyle name="Note 4 2 4 2 2 3 2" xfId="40592" xr:uid="{00000000-0005-0000-0000-0000909E0000}"/>
    <cellStyle name="Note 4 2 4 2 2 4" xfId="40593" xr:uid="{00000000-0005-0000-0000-0000919E0000}"/>
    <cellStyle name="Note 4 2 4 2 3" xfId="40594" xr:uid="{00000000-0005-0000-0000-0000929E0000}"/>
    <cellStyle name="Note 4 2 4 2 3 2" xfId="40595" xr:uid="{00000000-0005-0000-0000-0000939E0000}"/>
    <cellStyle name="Note 4 2 4 2 3 2 2" xfId="40596" xr:uid="{00000000-0005-0000-0000-0000949E0000}"/>
    <cellStyle name="Note 4 2 4 2 3 3" xfId="40597" xr:uid="{00000000-0005-0000-0000-0000959E0000}"/>
    <cellStyle name="Note 4 2 4 2 4" xfId="40598" xr:uid="{00000000-0005-0000-0000-0000969E0000}"/>
    <cellStyle name="Note 4 2 4 2 4 2" xfId="40599" xr:uid="{00000000-0005-0000-0000-0000979E0000}"/>
    <cellStyle name="Note 4 2 4 2 4 2 2" xfId="40600" xr:uid="{00000000-0005-0000-0000-0000989E0000}"/>
    <cellStyle name="Note 4 2 4 2 4 3" xfId="40601" xr:uid="{00000000-0005-0000-0000-0000999E0000}"/>
    <cellStyle name="Note 4 2 4 2 5" xfId="40602" xr:uid="{00000000-0005-0000-0000-00009A9E0000}"/>
    <cellStyle name="Note 4 2 4 2 5 2" xfId="40603" xr:uid="{00000000-0005-0000-0000-00009B9E0000}"/>
    <cellStyle name="Note 4 2 4 2 5 2 2" xfId="40604" xr:uid="{00000000-0005-0000-0000-00009C9E0000}"/>
    <cellStyle name="Note 4 2 4 2 5 3" xfId="40605" xr:uid="{00000000-0005-0000-0000-00009D9E0000}"/>
    <cellStyle name="Note 4 2 4 2 6" xfId="40606" xr:uid="{00000000-0005-0000-0000-00009E9E0000}"/>
    <cellStyle name="Note 4 2 4 2 6 2" xfId="40607" xr:uid="{00000000-0005-0000-0000-00009F9E0000}"/>
    <cellStyle name="Note 4 2 4 2 6 2 2" xfId="40608" xr:uid="{00000000-0005-0000-0000-0000A09E0000}"/>
    <cellStyle name="Note 4 2 4 2 6 3" xfId="40609" xr:uid="{00000000-0005-0000-0000-0000A19E0000}"/>
    <cellStyle name="Note 4 2 4 2 7" xfId="40610" xr:uid="{00000000-0005-0000-0000-0000A29E0000}"/>
    <cellStyle name="Note 4 2 4 2 7 2" xfId="40611" xr:uid="{00000000-0005-0000-0000-0000A39E0000}"/>
    <cellStyle name="Note 4 2 4 2 8" xfId="40612" xr:uid="{00000000-0005-0000-0000-0000A49E0000}"/>
    <cellStyle name="Note 4 2 4 3" xfId="40613" xr:uid="{00000000-0005-0000-0000-0000A59E0000}"/>
    <cellStyle name="Note 4 2 4 3 2" xfId="40614" xr:uid="{00000000-0005-0000-0000-0000A69E0000}"/>
    <cellStyle name="Note 4 2 4 3 2 2" xfId="40615" xr:uid="{00000000-0005-0000-0000-0000A79E0000}"/>
    <cellStyle name="Note 4 2 4 3 2 2 2" xfId="40616" xr:uid="{00000000-0005-0000-0000-0000A89E0000}"/>
    <cellStyle name="Note 4 2 4 3 2 2 2 2" xfId="40617" xr:uid="{00000000-0005-0000-0000-0000A99E0000}"/>
    <cellStyle name="Note 4 2 4 3 2 2 3" xfId="40618" xr:uid="{00000000-0005-0000-0000-0000AA9E0000}"/>
    <cellStyle name="Note 4 2 4 3 2 3" xfId="40619" xr:uid="{00000000-0005-0000-0000-0000AB9E0000}"/>
    <cellStyle name="Note 4 2 4 3 2 3 2" xfId="40620" xr:uid="{00000000-0005-0000-0000-0000AC9E0000}"/>
    <cellStyle name="Note 4 2 4 3 2 4" xfId="40621" xr:uid="{00000000-0005-0000-0000-0000AD9E0000}"/>
    <cellStyle name="Note 4 2 4 3 3" xfId="40622" xr:uid="{00000000-0005-0000-0000-0000AE9E0000}"/>
    <cellStyle name="Note 4 2 4 3 3 2" xfId="40623" xr:uid="{00000000-0005-0000-0000-0000AF9E0000}"/>
    <cellStyle name="Note 4 2 4 3 3 2 2" xfId="40624" xr:uid="{00000000-0005-0000-0000-0000B09E0000}"/>
    <cellStyle name="Note 4 2 4 3 3 3" xfId="40625" xr:uid="{00000000-0005-0000-0000-0000B19E0000}"/>
    <cellStyle name="Note 4 2 4 3 4" xfId="40626" xr:uid="{00000000-0005-0000-0000-0000B29E0000}"/>
    <cellStyle name="Note 4 2 4 3 4 2" xfId="40627" xr:uid="{00000000-0005-0000-0000-0000B39E0000}"/>
    <cellStyle name="Note 4 2 4 3 4 2 2" xfId="40628" xr:uid="{00000000-0005-0000-0000-0000B49E0000}"/>
    <cellStyle name="Note 4 2 4 3 4 3" xfId="40629" xr:uid="{00000000-0005-0000-0000-0000B59E0000}"/>
    <cellStyle name="Note 4 2 4 3 5" xfId="40630" xr:uid="{00000000-0005-0000-0000-0000B69E0000}"/>
    <cellStyle name="Note 4 2 4 3 5 2" xfId="40631" xr:uid="{00000000-0005-0000-0000-0000B79E0000}"/>
    <cellStyle name="Note 4 2 4 3 5 2 2" xfId="40632" xr:uid="{00000000-0005-0000-0000-0000B89E0000}"/>
    <cellStyle name="Note 4 2 4 3 5 3" xfId="40633" xr:uid="{00000000-0005-0000-0000-0000B99E0000}"/>
    <cellStyle name="Note 4 2 4 3 6" xfId="40634" xr:uid="{00000000-0005-0000-0000-0000BA9E0000}"/>
    <cellStyle name="Note 4 2 4 3 6 2" xfId="40635" xr:uid="{00000000-0005-0000-0000-0000BB9E0000}"/>
    <cellStyle name="Note 4 2 4 3 6 2 2" xfId="40636" xr:uid="{00000000-0005-0000-0000-0000BC9E0000}"/>
    <cellStyle name="Note 4 2 4 3 6 3" xfId="40637" xr:uid="{00000000-0005-0000-0000-0000BD9E0000}"/>
    <cellStyle name="Note 4 2 4 3 7" xfId="40638" xr:uid="{00000000-0005-0000-0000-0000BE9E0000}"/>
    <cellStyle name="Note 4 2 4 3 7 2" xfId="40639" xr:uid="{00000000-0005-0000-0000-0000BF9E0000}"/>
    <cellStyle name="Note 4 2 4 3 8" xfId="40640" xr:uid="{00000000-0005-0000-0000-0000C09E0000}"/>
    <cellStyle name="Note 4 2 4 4" xfId="40641" xr:uid="{00000000-0005-0000-0000-0000C19E0000}"/>
    <cellStyle name="Note 4 2 4 4 2" xfId="40642" xr:uid="{00000000-0005-0000-0000-0000C29E0000}"/>
    <cellStyle name="Note 4 2 4 4 2 2" xfId="40643" xr:uid="{00000000-0005-0000-0000-0000C39E0000}"/>
    <cellStyle name="Note 4 2 4 4 2 2 2" xfId="40644" xr:uid="{00000000-0005-0000-0000-0000C49E0000}"/>
    <cellStyle name="Note 4 2 4 4 2 2 2 2" xfId="40645" xr:uid="{00000000-0005-0000-0000-0000C59E0000}"/>
    <cellStyle name="Note 4 2 4 4 2 2 3" xfId="40646" xr:uid="{00000000-0005-0000-0000-0000C69E0000}"/>
    <cellStyle name="Note 4 2 4 4 2 3" xfId="40647" xr:uid="{00000000-0005-0000-0000-0000C79E0000}"/>
    <cellStyle name="Note 4 2 4 4 2 3 2" xfId="40648" xr:uid="{00000000-0005-0000-0000-0000C89E0000}"/>
    <cellStyle name="Note 4 2 4 4 2 4" xfId="40649" xr:uid="{00000000-0005-0000-0000-0000C99E0000}"/>
    <cellStyle name="Note 4 2 4 4 3" xfId="40650" xr:uid="{00000000-0005-0000-0000-0000CA9E0000}"/>
    <cellStyle name="Note 4 2 4 4 3 2" xfId="40651" xr:uid="{00000000-0005-0000-0000-0000CB9E0000}"/>
    <cellStyle name="Note 4 2 4 4 3 2 2" xfId="40652" xr:uid="{00000000-0005-0000-0000-0000CC9E0000}"/>
    <cellStyle name="Note 4 2 4 4 3 3" xfId="40653" xr:uid="{00000000-0005-0000-0000-0000CD9E0000}"/>
    <cellStyle name="Note 4 2 4 4 4" xfId="40654" xr:uid="{00000000-0005-0000-0000-0000CE9E0000}"/>
    <cellStyle name="Note 4 2 4 4 4 2" xfId="40655" xr:uid="{00000000-0005-0000-0000-0000CF9E0000}"/>
    <cellStyle name="Note 4 2 4 4 4 2 2" xfId="40656" xr:uid="{00000000-0005-0000-0000-0000D09E0000}"/>
    <cellStyle name="Note 4 2 4 4 4 3" xfId="40657" xr:uid="{00000000-0005-0000-0000-0000D19E0000}"/>
    <cellStyle name="Note 4 2 4 4 5" xfId="40658" xr:uid="{00000000-0005-0000-0000-0000D29E0000}"/>
    <cellStyle name="Note 4 2 4 4 5 2" xfId="40659" xr:uid="{00000000-0005-0000-0000-0000D39E0000}"/>
    <cellStyle name="Note 4 2 4 4 5 2 2" xfId="40660" xr:uid="{00000000-0005-0000-0000-0000D49E0000}"/>
    <cellStyle name="Note 4 2 4 4 5 3" xfId="40661" xr:uid="{00000000-0005-0000-0000-0000D59E0000}"/>
    <cellStyle name="Note 4 2 4 4 6" xfId="40662" xr:uid="{00000000-0005-0000-0000-0000D69E0000}"/>
    <cellStyle name="Note 4 2 4 4 6 2" xfId="40663" xr:uid="{00000000-0005-0000-0000-0000D79E0000}"/>
    <cellStyle name="Note 4 2 4 4 6 2 2" xfId="40664" xr:uid="{00000000-0005-0000-0000-0000D89E0000}"/>
    <cellStyle name="Note 4 2 4 4 6 3" xfId="40665" xr:uid="{00000000-0005-0000-0000-0000D99E0000}"/>
    <cellStyle name="Note 4 2 4 4 7" xfId="40666" xr:uid="{00000000-0005-0000-0000-0000DA9E0000}"/>
    <cellStyle name="Note 4 2 4 4 7 2" xfId="40667" xr:uid="{00000000-0005-0000-0000-0000DB9E0000}"/>
    <cellStyle name="Note 4 2 4 4 8" xfId="40668" xr:uid="{00000000-0005-0000-0000-0000DC9E0000}"/>
    <cellStyle name="Note 4 2 4 5" xfId="40669" xr:uid="{00000000-0005-0000-0000-0000DD9E0000}"/>
    <cellStyle name="Note 4 2 4 5 2" xfId="40670" xr:uid="{00000000-0005-0000-0000-0000DE9E0000}"/>
    <cellStyle name="Note 4 2 4 5 2 2" xfId="40671" xr:uid="{00000000-0005-0000-0000-0000DF9E0000}"/>
    <cellStyle name="Note 4 2 4 5 2 2 2" xfId="40672" xr:uid="{00000000-0005-0000-0000-0000E09E0000}"/>
    <cellStyle name="Note 4 2 4 5 2 2 2 2" xfId="40673" xr:uid="{00000000-0005-0000-0000-0000E19E0000}"/>
    <cellStyle name="Note 4 2 4 5 2 2 3" xfId="40674" xr:uid="{00000000-0005-0000-0000-0000E29E0000}"/>
    <cellStyle name="Note 4 2 4 5 2 3" xfId="40675" xr:uid="{00000000-0005-0000-0000-0000E39E0000}"/>
    <cellStyle name="Note 4 2 4 5 2 3 2" xfId="40676" xr:uid="{00000000-0005-0000-0000-0000E49E0000}"/>
    <cellStyle name="Note 4 2 4 5 2 4" xfId="40677" xr:uid="{00000000-0005-0000-0000-0000E59E0000}"/>
    <cellStyle name="Note 4 2 4 5 3" xfId="40678" xr:uid="{00000000-0005-0000-0000-0000E69E0000}"/>
    <cellStyle name="Note 4 2 4 5 3 2" xfId="40679" xr:uid="{00000000-0005-0000-0000-0000E79E0000}"/>
    <cellStyle name="Note 4 2 4 5 3 2 2" xfId="40680" xr:uid="{00000000-0005-0000-0000-0000E89E0000}"/>
    <cellStyle name="Note 4 2 4 5 3 3" xfId="40681" xr:uid="{00000000-0005-0000-0000-0000E99E0000}"/>
    <cellStyle name="Note 4 2 4 5 4" xfId="40682" xr:uid="{00000000-0005-0000-0000-0000EA9E0000}"/>
    <cellStyle name="Note 4 2 4 5 4 2" xfId="40683" xr:uid="{00000000-0005-0000-0000-0000EB9E0000}"/>
    <cellStyle name="Note 4 2 4 5 5" xfId="40684" xr:uid="{00000000-0005-0000-0000-0000EC9E0000}"/>
    <cellStyle name="Note 4 2 4 6" xfId="40685" xr:uid="{00000000-0005-0000-0000-0000ED9E0000}"/>
    <cellStyle name="Note 4 2 4 6 2" xfId="40686" xr:uid="{00000000-0005-0000-0000-0000EE9E0000}"/>
    <cellStyle name="Note 4 2 4 6 2 2" xfId="40687" xr:uid="{00000000-0005-0000-0000-0000EF9E0000}"/>
    <cellStyle name="Note 4 2 4 6 2 2 2" xfId="40688" xr:uid="{00000000-0005-0000-0000-0000F09E0000}"/>
    <cellStyle name="Note 4 2 4 6 2 2 2 2" xfId="40689" xr:uid="{00000000-0005-0000-0000-0000F19E0000}"/>
    <cellStyle name="Note 4 2 4 6 2 2 3" xfId="40690" xr:uid="{00000000-0005-0000-0000-0000F29E0000}"/>
    <cellStyle name="Note 4 2 4 6 2 3" xfId="40691" xr:uid="{00000000-0005-0000-0000-0000F39E0000}"/>
    <cellStyle name="Note 4 2 4 6 2 3 2" xfId="40692" xr:uid="{00000000-0005-0000-0000-0000F49E0000}"/>
    <cellStyle name="Note 4 2 4 6 2 4" xfId="40693" xr:uid="{00000000-0005-0000-0000-0000F59E0000}"/>
    <cellStyle name="Note 4 2 4 6 3" xfId="40694" xr:uid="{00000000-0005-0000-0000-0000F69E0000}"/>
    <cellStyle name="Note 4 2 4 6 3 2" xfId="40695" xr:uid="{00000000-0005-0000-0000-0000F79E0000}"/>
    <cellStyle name="Note 4 2 4 6 3 2 2" xfId="40696" xr:uid="{00000000-0005-0000-0000-0000F89E0000}"/>
    <cellStyle name="Note 4 2 4 6 3 3" xfId="40697" xr:uid="{00000000-0005-0000-0000-0000F99E0000}"/>
    <cellStyle name="Note 4 2 4 6 4" xfId="40698" xr:uid="{00000000-0005-0000-0000-0000FA9E0000}"/>
    <cellStyle name="Note 4 2 4 6 4 2" xfId="40699" xr:uid="{00000000-0005-0000-0000-0000FB9E0000}"/>
    <cellStyle name="Note 4 2 4 6 5" xfId="40700" xr:uid="{00000000-0005-0000-0000-0000FC9E0000}"/>
    <cellStyle name="Note 4 2 4 7" xfId="40701" xr:uid="{00000000-0005-0000-0000-0000FD9E0000}"/>
    <cellStyle name="Note 4 2 4 7 2" xfId="40702" xr:uid="{00000000-0005-0000-0000-0000FE9E0000}"/>
    <cellStyle name="Note 4 2 4 7 2 2" xfId="40703" xr:uid="{00000000-0005-0000-0000-0000FF9E0000}"/>
    <cellStyle name="Note 4 2 4 7 2 2 2" xfId="40704" xr:uid="{00000000-0005-0000-0000-0000009F0000}"/>
    <cellStyle name="Note 4 2 4 7 2 3" xfId="40705" xr:uid="{00000000-0005-0000-0000-0000019F0000}"/>
    <cellStyle name="Note 4 2 4 7 3" xfId="40706" xr:uid="{00000000-0005-0000-0000-0000029F0000}"/>
    <cellStyle name="Note 4 2 4 7 3 2" xfId="40707" xr:uid="{00000000-0005-0000-0000-0000039F0000}"/>
    <cellStyle name="Note 4 2 4 7 4" xfId="40708" xr:uid="{00000000-0005-0000-0000-0000049F0000}"/>
    <cellStyle name="Note 4 2 4 8" xfId="40709" xr:uid="{00000000-0005-0000-0000-0000059F0000}"/>
    <cellStyle name="Note 4 2 4 8 2" xfId="40710" xr:uid="{00000000-0005-0000-0000-0000069F0000}"/>
    <cellStyle name="Note 4 2 4 8 2 2" xfId="40711" xr:uid="{00000000-0005-0000-0000-0000079F0000}"/>
    <cellStyle name="Note 4 2 4 8 2 2 2" xfId="40712" xr:uid="{00000000-0005-0000-0000-0000089F0000}"/>
    <cellStyle name="Note 4 2 4 8 2 3" xfId="40713" xr:uid="{00000000-0005-0000-0000-0000099F0000}"/>
    <cellStyle name="Note 4 2 4 8 3" xfId="40714" xr:uid="{00000000-0005-0000-0000-00000A9F0000}"/>
    <cellStyle name="Note 4 2 4 8 3 2" xfId="40715" xr:uid="{00000000-0005-0000-0000-00000B9F0000}"/>
    <cellStyle name="Note 4 2 4 8 4" xfId="40716" xr:uid="{00000000-0005-0000-0000-00000C9F0000}"/>
    <cellStyle name="Note 4 2 4 9" xfId="40717" xr:uid="{00000000-0005-0000-0000-00000D9F0000}"/>
    <cellStyle name="Note 4 2 4 9 2" xfId="40718" xr:uid="{00000000-0005-0000-0000-00000E9F0000}"/>
    <cellStyle name="Note 4 2 4 9 2 2" xfId="40719" xr:uid="{00000000-0005-0000-0000-00000F9F0000}"/>
    <cellStyle name="Note 4 2 4 9 3" xfId="40720" xr:uid="{00000000-0005-0000-0000-0000109F0000}"/>
    <cellStyle name="Note 4 2 5" xfId="40721" xr:uid="{00000000-0005-0000-0000-0000119F0000}"/>
    <cellStyle name="Note 4 2 5 10" xfId="40722" xr:uid="{00000000-0005-0000-0000-0000129F0000}"/>
    <cellStyle name="Note 4 2 5 10 2" xfId="40723" xr:uid="{00000000-0005-0000-0000-0000139F0000}"/>
    <cellStyle name="Note 4 2 5 10 2 2" xfId="40724" xr:uid="{00000000-0005-0000-0000-0000149F0000}"/>
    <cellStyle name="Note 4 2 5 10 3" xfId="40725" xr:uid="{00000000-0005-0000-0000-0000159F0000}"/>
    <cellStyle name="Note 4 2 5 11" xfId="40726" xr:uid="{00000000-0005-0000-0000-0000169F0000}"/>
    <cellStyle name="Note 4 2 5 11 2" xfId="40727" xr:uid="{00000000-0005-0000-0000-0000179F0000}"/>
    <cellStyle name="Note 4 2 5 11 2 2" xfId="40728" xr:uid="{00000000-0005-0000-0000-0000189F0000}"/>
    <cellStyle name="Note 4 2 5 11 3" xfId="40729" xr:uid="{00000000-0005-0000-0000-0000199F0000}"/>
    <cellStyle name="Note 4 2 5 12" xfId="40730" xr:uid="{00000000-0005-0000-0000-00001A9F0000}"/>
    <cellStyle name="Note 4 2 5 12 2" xfId="40731" xr:uid="{00000000-0005-0000-0000-00001B9F0000}"/>
    <cellStyle name="Note 4 2 5 12 2 2" xfId="40732" xr:uid="{00000000-0005-0000-0000-00001C9F0000}"/>
    <cellStyle name="Note 4 2 5 12 3" xfId="40733" xr:uid="{00000000-0005-0000-0000-00001D9F0000}"/>
    <cellStyle name="Note 4 2 5 13" xfId="40734" xr:uid="{00000000-0005-0000-0000-00001E9F0000}"/>
    <cellStyle name="Note 4 2 5 13 2" xfId="40735" xr:uid="{00000000-0005-0000-0000-00001F9F0000}"/>
    <cellStyle name="Note 4 2 5 14" xfId="40736" xr:uid="{00000000-0005-0000-0000-0000209F0000}"/>
    <cellStyle name="Note 4 2 5 2" xfId="40737" xr:uid="{00000000-0005-0000-0000-0000219F0000}"/>
    <cellStyle name="Note 4 2 5 2 2" xfId="40738" xr:uid="{00000000-0005-0000-0000-0000229F0000}"/>
    <cellStyle name="Note 4 2 5 2 2 2" xfId="40739" xr:uid="{00000000-0005-0000-0000-0000239F0000}"/>
    <cellStyle name="Note 4 2 5 2 2 2 2" xfId="40740" xr:uid="{00000000-0005-0000-0000-0000249F0000}"/>
    <cellStyle name="Note 4 2 5 2 2 2 2 2" xfId="40741" xr:uid="{00000000-0005-0000-0000-0000259F0000}"/>
    <cellStyle name="Note 4 2 5 2 2 2 3" xfId="40742" xr:uid="{00000000-0005-0000-0000-0000269F0000}"/>
    <cellStyle name="Note 4 2 5 2 2 3" xfId="40743" xr:uid="{00000000-0005-0000-0000-0000279F0000}"/>
    <cellStyle name="Note 4 2 5 2 2 3 2" xfId="40744" xr:uid="{00000000-0005-0000-0000-0000289F0000}"/>
    <cellStyle name="Note 4 2 5 2 2 4" xfId="40745" xr:uid="{00000000-0005-0000-0000-0000299F0000}"/>
    <cellStyle name="Note 4 2 5 2 3" xfId="40746" xr:uid="{00000000-0005-0000-0000-00002A9F0000}"/>
    <cellStyle name="Note 4 2 5 2 3 2" xfId="40747" xr:uid="{00000000-0005-0000-0000-00002B9F0000}"/>
    <cellStyle name="Note 4 2 5 2 3 2 2" xfId="40748" xr:uid="{00000000-0005-0000-0000-00002C9F0000}"/>
    <cellStyle name="Note 4 2 5 2 3 3" xfId="40749" xr:uid="{00000000-0005-0000-0000-00002D9F0000}"/>
    <cellStyle name="Note 4 2 5 2 4" xfId="40750" xr:uid="{00000000-0005-0000-0000-00002E9F0000}"/>
    <cellStyle name="Note 4 2 5 2 4 2" xfId="40751" xr:uid="{00000000-0005-0000-0000-00002F9F0000}"/>
    <cellStyle name="Note 4 2 5 2 4 2 2" xfId="40752" xr:uid="{00000000-0005-0000-0000-0000309F0000}"/>
    <cellStyle name="Note 4 2 5 2 4 3" xfId="40753" xr:uid="{00000000-0005-0000-0000-0000319F0000}"/>
    <cellStyle name="Note 4 2 5 2 5" xfId="40754" xr:uid="{00000000-0005-0000-0000-0000329F0000}"/>
    <cellStyle name="Note 4 2 5 2 5 2" xfId="40755" xr:uid="{00000000-0005-0000-0000-0000339F0000}"/>
    <cellStyle name="Note 4 2 5 2 5 2 2" xfId="40756" xr:uid="{00000000-0005-0000-0000-0000349F0000}"/>
    <cellStyle name="Note 4 2 5 2 5 3" xfId="40757" xr:uid="{00000000-0005-0000-0000-0000359F0000}"/>
    <cellStyle name="Note 4 2 5 2 6" xfId="40758" xr:uid="{00000000-0005-0000-0000-0000369F0000}"/>
    <cellStyle name="Note 4 2 5 2 6 2" xfId="40759" xr:uid="{00000000-0005-0000-0000-0000379F0000}"/>
    <cellStyle name="Note 4 2 5 2 6 2 2" xfId="40760" xr:uid="{00000000-0005-0000-0000-0000389F0000}"/>
    <cellStyle name="Note 4 2 5 2 6 3" xfId="40761" xr:uid="{00000000-0005-0000-0000-0000399F0000}"/>
    <cellStyle name="Note 4 2 5 2 7" xfId="40762" xr:uid="{00000000-0005-0000-0000-00003A9F0000}"/>
    <cellStyle name="Note 4 2 5 2 7 2" xfId="40763" xr:uid="{00000000-0005-0000-0000-00003B9F0000}"/>
    <cellStyle name="Note 4 2 5 2 8" xfId="40764" xr:uid="{00000000-0005-0000-0000-00003C9F0000}"/>
    <cellStyle name="Note 4 2 5 3" xfId="40765" xr:uid="{00000000-0005-0000-0000-00003D9F0000}"/>
    <cellStyle name="Note 4 2 5 3 2" xfId="40766" xr:uid="{00000000-0005-0000-0000-00003E9F0000}"/>
    <cellStyle name="Note 4 2 5 3 2 2" xfId="40767" xr:uid="{00000000-0005-0000-0000-00003F9F0000}"/>
    <cellStyle name="Note 4 2 5 3 2 2 2" xfId="40768" xr:uid="{00000000-0005-0000-0000-0000409F0000}"/>
    <cellStyle name="Note 4 2 5 3 2 2 2 2" xfId="40769" xr:uid="{00000000-0005-0000-0000-0000419F0000}"/>
    <cellStyle name="Note 4 2 5 3 2 2 3" xfId="40770" xr:uid="{00000000-0005-0000-0000-0000429F0000}"/>
    <cellStyle name="Note 4 2 5 3 2 3" xfId="40771" xr:uid="{00000000-0005-0000-0000-0000439F0000}"/>
    <cellStyle name="Note 4 2 5 3 2 3 2" xfId="40772" xr:uid="{00000000-0005-0000-0000-0000449F0000}"/>
    <cellStyle name="Note 4 2 5 3 2 4" xfId="40773" xr:uid="{00000000-0005-0000-0000-0000459F0000}"/>
    <cellStyle name="Note 4 2 5 3 3" xfId="40774" xr:uid="{00000000-0005-0000-0000-0000469F0000}"/>
    <cellStyle name="Note 4 2 5 3 3 2" xfId="40775" xr:uid="{00000000-0005-0000-0000-0000479F0000}"/>
    <cellStyle name="Note 4 2 5 3 3 2 2" xfId="40776" xr:uid="{00000000-0005-0000-0000-0000489F0000}"/>
    <cellStyle name="Note 4 2 5 3 3 3" xfId="40777" xr:uid="{00000000-0005-0000-0000-0000499F0000}"/>
    <cellStyle name="Note 4 2 5 3 4" xfId="40778" xr:uid="{00000000-0005-0000-0000-00004A9F0000}"/>
    <cellStyle name="Note 4 2 5 3 4 2" xfId="40779" xr:uid="{00000000-0005-0000-0000-00004B9F0000}"/>
    <cellStyle name="Note 4 2 5 3 4 2 2" xfId="40780" xr:uid="{00000000-0005-0000-0000-00004C9F0000}"/>
    <cellStyle name="Note 4 2 5 3 4 3" xfId="40781" xr:uid="{00000000-0005-0000-0000-00004D9F0000}"/>
    <cellStyle name="Note 4 2 5 3 5" xfId="40782" xr:uid="{00000000-0005-0000-0000-00004E9F0000}"/>
    <cellStyle name="Note 4 2 5 3 5 2" xfId="40783" xr:uid="{00000000-0005-0000-0000-00004F9F0000}"/>
    <cellStyle name="Note 4 2 5 3 5 2 2" xfId="40784" xr:uid="{00000000-0005-0000-0000-0000509F0000}"/>
    <cellStyle name="Note 4 2 5 3 5 3" xfId="40785" xr:uid="{00000000-0005-0000-0000-0000519F0000}"/>
    <cellStyle name="Note 4 2 5 3 6" xfId="40786" xr:uid="{00000000-0005-0000-0000-0000529F0000}"/>
    <cellStyle name="Note 4 2 5 3 6 2" xfId="40787" xr:uid="{00000000-0005-0000-0000-0000539F0000}"/>
    <cellStyle name="Note 4 2 5 3 6 2 2" xfId="40788" xr:uid="{00000000-0005-0000-0000-0000549F0000}"/>
    <cellStyle name="Note 4 2 5 3 6 3" xfId="40789" xr:uid="{00000000-0005-0000-0000-0000559F0000}"/>
    <cellStyle name="Note 4 2 5 3 7" xfId="40790" xr:uid="{00000000-0005-0000-0000-0000569F0000}"/>
    <cellStyle name="Note 4 2 5 3 7 2" xfId="40791" xr:uid="{00000000-0005-0000-0000-0000579F0000}"/>
    <cellStyle name="Note 4 2 5 3 8" xfId="40792" xr:uid="{00000000-0005-0000-0000-0000589F0000}"/>
    <cellStyle name="Note 4 2 5 4" xfId="40793" xr:uid="{00000000-0005-0000-0000-0000599F0000}"/>
    <cellStyle name="Note 4 2 5 4 2" xfId="40794" xr:uid="{00000000-0005-0000-0000-00005A9F0000}"/>
    <cellStyle name="Note 4 2 5 4 2 2" xfId="40795" xr:uid="{00000000-0005-0000-0000-00005B9F0000}"/>
    <cellStyle name="Note 4 2 5 4 2 2 2" xfId="40796" xr:uid="{00000000-0005-0000-0000-00005C9F0000}"/>
    <cellStyle name="Note 4 2 5 4 2 2 2 2" xfId="40797" xr:uid="{00000000-0005-0000-0000-00005D9F0000}"/>
    <cellStyle name="Note 4 2 5 4 2 2 3" xfId="40798" xr:uid="{00000000-0005-0000-0000-00005E9F0000}"/>
    <cellStyle name="Note 4 2 5 4 2 3" xfId="40799" xr:uid="{00000000-0005-0000-0000-00005F9F0000}"/>
    <cellStyle name="Note 4 2 5 4 2 3 2" xfId="40800" xr:uid="{00000000-0005-0000-0000-0000609F0000}"/>
    <cellStyle name="Note 4 2 5 4 2 4" xfId="40801" xr:uid="{00000000-0005-0000-0000-0000619F0000}"/>
    <cellStyle name="Note 4 2 5 4 3" xfId="40802" xr:uid="{00000000-0005-0000-0000-0000629F0000}"/>
    <cellStyle name="Note 4 2 5 4 3 2" xfId="40803" xr:uid="{00000000-0005-0000-0000-0000639F0000}"/>
    <cellStyle name="Note 4 2 5 4 3 2 2" xfId="40804" xr:uid="{00000000-0005-0000-0000-0000649F0000}"/>
    <cellStyle name="Note 4 2 5 4 3 3" xfId="40805" xr:uid="{00000000-0005-0000-0000-0000659F0000}"/>
    <cellStyle name="Note 4 2 5 4 4" xfId="40806" xr:uid="{00000000-0005-0000-0000-0000669F0000}"/>
    <cellStyle name="Note 4 2 5 4 4 2" xfId="40807" xr:uid="{00000000-0005-0000-0000-0000679F0000}"/>
    <cellStyle name="Note 4 2 5 4 4 2 2" xfId="40808" xr:uid="{00000000-0005-0000-0000-0000689F0000}"/>
    <cellStyle name="Note 4 2 5 4 4 3" xfId="40809" xr:uid="{00000000-0005-0000-0000-0000699F0000}"/>
    <cellStyle name="Note 4 2 5 4 5" xfId="40810" xr:uid="{00000000-0005-0000-0000-00006A9F0000}"/>
    <cellStyle name="Note 4 2 5 4 5 2" xfId="40811" xr:uid="{00000000-0005-0000-0000-00006B9F0000}"/>
    <cellStyle name="Note 4 2 5 4 5 2 2" xfId="40812" xr:uid="{00000000-0005-0000-0000-00006C9F0000}"/>
    <cellStyle name="Note 4 2 5 4 5 3" xfId="40813" xr:uid="{00000000-0005-0000-0000-00006D9F0000}"/>
    <cellStyle name="Note 4 2 5 4 6" xfId="40814" xr:uid="{00000000-0005-0000-0000-00006E9F0000}"/>
    <cellStyle name="Note 4 2 5 4 6 2" xfId="40815" xr:uid="{00000000-0005-0000-0000-00006F9F0000}"/>
    <cellStyle name="Note 4 2 5 4 6 2 2" xfId="40816" xr:uid="{00000000-0005-0000-0000-0000709F0000}"/>
    <cellStyle name="Note 4 2 5 4 6 3" xfId="40817" xr:uid="{00000000-0005-0000-0000-0000719F0000}"/>
    <cellStyle name="Note 4 2 5 4 7" xfId="40818" xr:uid="{00000000-0005-0000-0000-0000729F0000}"/>
    <cellStyle name="Note 4 2 5 4 7 2" xfId="40819" xr:uid="{00000000-0005-0000-0000-0000739F0000}"/>
    <cellStyle name="Note 4 2 5 4 8" xfId="40820" xr:uid="{00000000-0005-0000-0000-0000749F0000}"/>
    <cellStyle name="Note 4 2 5 5" xfId="40821" xr:uid="{00000000-0005-0000-0000-0000759F0000}"/>
    <cellStyle name="Note 4 2 5 5 2" xfId="40822" xr:uid="{00000000-0005-0000-0000-0000769F0000}"/>
    <cellStyle name="Note 4 2 5 5 2 2" xfId="40823" xr:uid="{00000000-0005-0000-0000-0000779F0000}"/>
    <cellStyle name="Note 4 2 5 5 2 2 2" xfId="40824" xr:uid="{00000000-0005-0000-0000-0000789F0000}"/>
    <cellStyle name="Note 4 2 5 5 2 2 2 2" xfId="40825" xr:uid="{00000000-0005-0000-0000-0000799F0000}"/>
    <cellStyle name="Note 4 2 5 5 2 2 3" xfId="40826" xr:uid="{00000000-0005-0000-0000-00007A9F0000}"/>
    <cellStyle name="Note 4 2 5 5 2 3" xfId="40827" xr:uid="{00000000-0005-0000-0000-00007B9F0000}"/>
    <cellStyle name="Note 4 2 5 5 2 3 2" xfId="40828" xr:uid="{00000000-0005-0000-0000-00007C9F0000}"/>
    <cellStyle name="Note 4 2 5 5 2 4" xfId="40829" xr:uid="{00000000-0005-0000-0000-00007D9F0000}"/>
    <cellStyle name="Note 4 2 5 5 3" xfId="40830" xr:uid="{00000000-0005-0000-0000-00007E9F0000}"/>
    <cellStyle name="Note 4 2 5 5 3 2" xfId="40831" xr:uid="{00000000-0005-0000-0000-00007F9F0000}"/>
    <cellStyle name="Note 4 2 5 5 3 2 2" xfId="40832" xr:uid="{00000000-0005-0000-0000-0000809F0000}"/>
    <cellStyle name="Note 4 2 5 5 3 3" xfId="40833" xr:uid="{00000000-0005-0000-0000-0000819F0000}"/>
    <cellStyle name="Note 4 2 5 5 4" xfId="40834" xr:uid="{00000000-0005-0000-0000-0000829F0000}"/>
    <cellStyle name="Note 4 2 5 5 4 2" xfId="40835" xr:uid="{00000000-0005-0000-0000-0000839F0000}"/>
    <cellStyle name="Note 4 2 5 5 5" xfId="40836" xr:uid="{00000000-0005-0000-0000-0000849F0000}"/>
    <cellStyle name="Note 4 2 5 6" xfId="40837" xr:uid="{00000000-0005-0000-0000-0000859F0000}"/>
    <cellStyle name="Note 4 2 5 6 2" xfId="40838" xr:uid="{00000000-0005-0000-0000-0000869F0000}"/>
    <cellStyle name="Note 4 2 5 6 2 2" xfId="40839" xr:uid="{00000000-0005-0000-0000-0000879F0000}"/>
    <cellStyle name="Note 4 2 5 6 2 2 2" xfId="40840" xr:uid="{00000000-0005-0000-0000-0000889F0000}"/>
    <cellStyle name="Note 4 2 5 6 2 2 2 2" xfId="40841" xr:uid="{00000000-0005-0000-0000-0000899F0000}"/>
    <cellStyle name="Note 4 2 5 6 2 2 3" xfId="40842" xr:uid="{00000000-0005-0000-0000-00008A9F0000}"/>
    <cellStyle name="Note 4 2 5 6 2 3" xfId="40843" xr:uid="{00000000-0005-0000-0000-00008B9F0000}"/>
    <cellStyle name="Note 4 2 5 6 2 3 2" xfId="40844" xr:uid="{00000000-0005-0000-0000-00008C9F0000}"/>
    <cellStyle name="Note 4 2 5 6 2 4" xfId="40845" xr:uid="{00000000-0005-0000-0000-00008D9F0000}"/>
    <cellStyle name="Note 4 2 5 6 3" xfId="40846" xr:uid="{00000000-0005-0000-0000-00008E9F0000}"/>
    <cellStyle name="Note 4 2 5 6 3 2" xfId="40847" xr:uid="{00000000-0005-0000-0000-00008F9F0000}"/>
    <cellStyle name="Note 4 2 5 6 3 2 2" xfId="40848" xr:uid="{00000000-0005-0000-0000-0000909F0000}"/>
    <cellStyle name="Note 4 2 5 6 3 3" xfId="40849" xr:uid="{00000000-0005-0000-0000-0000919F0000}"/>
    <cellStyle name="Note 4 2 5 6 4" xfId="40850" xr:uid="{00000000-0005-0000-0000-0000929F0000}"/>
    <cellStyle name="Note 4 2 5 6 4 2" xfId="40851" xr:uid="{00000000-0005-0000-0000-0000939F0000}"/>
    <cellStyle name="Note 4 2 5 6 5" xfId="40852" xr:uid="{00000000-0005-0000-0000-0000949F0000}"/>
    <cellStyle name="Note 4 2 5 7" xfId="40853" xr:uid="{00000000-0005-0000-0000-0000959F0000}"/>
    <cellStyle name="Note 4 2 5 7 2" xfId="40854" xr:uid="{00000000-0005-0000-0000-0000969F0000}"/>
    <cellStyle name="Note 4 2 5 7 2 2" xfId="40855" xr:uid="{00000000-0005-0000-0000-0000979F0000}"/>
    <cellStyle name="Note 4 2 5 7 2 2 2" xfId="40856" xr:uid="{00000000-0005-0000-0000-0000989F0000}"/>
    <cellStyle name="Note 4 2 5 7 2 3" xfId="40857" xr:uid="{00000000-0005-0000-0000-0000999F0000}"/>
    <cellStyle name="Note 4 2 5 7 3" xfId="40858" xr:uid="{00000000-0005-0000-0000-00009A9F0000}"/>
    <cellStyle name="Note 4 2 5 7 3 2" xfId="40859" xr:uid="{00000000-0005-0000-0000-00009B9F0000}"/>
    <cellStyle name="Note 4 2 5 7 4" xfId="40860" xr:uid="{00000000-0005-0000-0000-00009C9F0000}"/>
    <cellStyle name="Note 4 2 5 8" xfId="40861" xr:uid="{00000000-0005-0000-0000-00009D9F0000}"/>
    <cellStyle name="Note 4 2 5 8 2" xfId="40862" xr:uid="{00000000-0005-0000-0000-00009E9F0000}"/>
    <cellStyle name="Note 4 2 5 8 2 2" xfId="40863" xr:uid="{00000000-0005-0000-0000-00009F9F0000}"/>
    <cellStyle name="Note 4 2 5 8 2 2 2" xfId="40864" xr:uid="{00000000-0005-0000-0000-0000A09F0000}"/>
    <cellStyle name="Note 4 2 5 8 2 3" xfId="40865" xr:uid="{00000000-0005-0000-0000-0000A19F0000}"/>
    <cellStyle name="Note 4 2 5 8 3" xfId="40866" xr:uid="{00000000-0005-0000-0000-0000A29F0000}"/>
    <cellStyle name="Note 4 2 5 8 3 2" xfId="40867" xr:uid="{00000000-0005-0000-0000-0000A39F0000}"/>
    <cellStyle name="Note 4 2 5 8 4" xfId="40868" xr:uid="{00000000-0005-0000-0000-0000A49F0000}"/>
    <cellStyle name="Note 4 2 5 9" xfId="40869" xr:uid="{00000000-0005-0000-0000-0000A59F0000}"/>
    <cellStyle name="Note 4 2 5 9 2" xfId="40870" xr:uid="{00000000-0005-0000-0000-0000A69F0000}"/>
    <cellStyle name="Note 4 2 5 9 2 2" xfId="40871" xr:uid="{00000000-0005-0000-0000-0000A79F0000}"/>
    <cellStyle name="Note 4 2 5 9 3" xfId="40872" xr:uid="{00000000-0005-0000-0000-0000A89F0000}"/>
    <cellStyle name="Note 4 2 6" xfId="40873" xr:uid="{00000000-0005-0000-0000-0000A99F0000}"/>
    <cellStyle name="Note 4 2 6 10" xfId="40874" xr:uid="{00000000-0005-0000-0000-0000AA9F0000}"/>
    <cellStyle name="Note 4 2 6 10 2" xfId="40875" xr:uid="{00000000-0005-0000-0000-0000AB9F0000}"/>
    <cellStyle name="Note 4 2 6 10 2 2" xfId="40876" xr:uid="{00000000-0005-0000-0000-0000AC9F0000}"/>
    <cellStyle name="Note 4 2 6 10 3" xfId="40877" xr:uid="{00000000-0005-0000-0000-0000AD9F0000}"/>
    <cellStyle name="Note 4 2 6 11" xfId="40878" xr:uid="{00000000-0005-0000-0000-0000AE9F0000}"/>
    <cellStyle name="Note 4 2 6 11 2" xfId="40879" xr:uid="{00000000-0005-0000-0000-0000AF9F0000}"/>
    <cellStyle name="Note 4 2 6 11 2 2" xfId="40880" xr:uid="{00000000-0005-0000-0000-0000B09F0000}"/>
    <cellStyle name="Note 4 2 6 11 3" xfId="40881" xr:uid="{00000000-0005-0000-0000-0000B19F0000}"/>
    <cellStyle name="Note 4 2 6 12" xfId="40882" xr:uid="{00000000-0005-0000-0000-0000B29F0000}"/>
    <cellStyle name="Note 4 2 6 12 2" xfId="40883" xr:uid="{00000000-0005-0000-0000-0000B39F0000}"/>
    <cellStyle name="Note 4 2 6 12 2 2" xfId="40884" xr:uid="{00000000-0005-0000-0000-0000B49F0000}"/>
    <cellStyle name="Note 4 2 6 12 3" xfId="40885" xr:uid="{00000000-0005-0000-0000-0000B59F0000}"/>
    <cellStyle name="Note 4 2 6 13" xfId="40886" xr:uid="{00000000-0005-0000-0000-0000B69F0000}"/>
    <cellStyle name="Note 4 2 6 13 2" xfId="40887" xr:uid="{00000000-0005-0000-0000-0000B79F0000}"/>
    <cellStyle name="Note 4 2 6 14" xfId="40888" xr:uid="{00000000-0005-0000-0000-0000B89F0000}"/>
    <cellStyle name="Note 4 2 6 2" xfId="40889" xr:uid="{00000000-0005-0000-0000-0000B99F0000}"/>
    <cellStyle name="Note 4 2 6 2 2" xfId="40890" xr:uid="{00000000-0005-0000-0000-0000BA9F0000}"/>
    <cellStyle name="Note 4 2 6 2 2 2" xfId="40891" xr:uid="{00000000-0005-0000-0000-0000BB9F0000}"/>
    <cellStyle name="Note 4 2 6 2 2 2 2" xfId="40892" xr:uid="{00000000-0005-0000-0000-0000BC9F0000}"/>
    <cellStyle name="Note 4 2 6 2 2 2 2 2" xfId="40893" xr:uid="{00000000-0005-0000-0000-0000BD9F0000}"/>
    <cellStyle name="Note 4 2 6 2 2 2 3" xfId="40894" xr:uid="{00000000-0005-0000-0000-0000BE9F0000}"/>
    <cellStyle name="Note 4 2 6 2 2 3" xfId="40895" xr:uid="{00000000-0005-0000-0000-0000BF9F0000}"/>
    <cellStyle name="Note 4 2 6 2 2 3 2" xfId="40896" xr:uid="{00000000-0005-0000-0000-0000C09F0000}"/>
    <cellStyle name="Note 4 2 6 2 2 4" xfId="40897" xr:uid="{00000000-0005-0000-0000-0000C19F0000}"/>
    <cellStyle name="Note 4 2 6 2 3" xfId="40898" xr:uid="{00000000-0005-0000-0000-0000C29F0000}"/>
    <cellStyle name="Note 4 2 6 2 3 2" xfId="40899" xr:uid="{00000000-0005-0000-0000-0000C39F0000}"/>
    <cellStyle name="Note 4 2 6 2 3 2 2" xfId="40900" xr:uid="{00000000-0005-0000-0000-0000C49F0000}"/>
    <cellStyle name="Note 4 2 6 2 3 3" xfId="40901" xr:uid="{00000000-0005-0000-0000-0000C59F0000}"/>
    <cellStyle name="Note 4 2 6 2 4" xfId="40902" xr:uid="{00000000-0005-0000-0000-0000C69F0000}"/>
    <cellStyle name="Note 4 2 6 2 4 2" xfId="40903" xr:uid="{00000000-0005-0000-0000-0000C79F0000}"/>
    <cellStyle name="Note 4 2 6 2 4 2 2" xfId="40904" xr:uid="{00000000-0005-0000-0000-0000C89F0000}"/>
    <cellStyle name="Note 4 2 6 2 4 3" xfId="40905" xr:uid="{00000000-0005-0000-0000-0000C99F0000}"/>
    <cellStyle name="Note 4 2 6 2 5" xfId="40906" xr:uid="{00000000-0005-0000-0000-0000CA9F0000}"/>
    <cellStyle name="Note 4 2 6 2 5 2" xfId="40907" xr:uid="{00000000-0005-0000-0000-0000CB9F0000}"/>
    <cellStyle name="Note 4 2 6 2 5 2 2" xfId="40908" xr:uid="{00000000-0005-0000-0000-0000CC9F0000}"/>
    <cellStyle name="Note 4 2 6 2 5 3" xfId="40909" xr:uid="{00000000-0005-0000-0000-0000CD9F0000}"/>
    <cellStyle name="Note 4 2 6 2 6" xfId="40910" xr:uid="{00000000-0005-0000-0000-0000CE9F0000}"/>
    <cellStyle name="Note 4 2 6 2 6 2" xfId="40911" xr:uid="{00000000-0005-0000-0000-0000CF9F0000}"/>
    <cellStyle name="Note 4 2 6 2 6 2 2" xfId="40912" xr:uid="{00000000-0005-0000-0000-0000D09F0000}"/>
    <cellStyle name="Note 4 2 6 2 6 3" xfId="40913" xr:uid="{00000000-0005-0000-0000-0000D19F0000}"/>
    <cellStyle name="Note 4 2 6 2 7" xfId="40914" xr:uid="{00000000-0005-0000-0000-0000D29F0000}"/>
    <cellStyle name="Note 4 2 6 2 7 2" xfId="40915" xr:uid="{00000000-0005-0000-0000-0000D39F0000}"/>
    <cellStyle name="Note 4 2 6 2 8" xfId="40916" xr:uid="{00000000-0005-0000-0000-0000D49F0000}"/>
    <cellStyle name="Note 4 2 6 3" xfId="40917" xr:uid="{00000000-0005-0000-0000-0000D59F0000}"/>
    <cellStyle name="Note 4 2 6 3 2" xfId="40918" xr:uid="{00000000-0005-0000-0000-0000D69F0000}"/>
    <cellStyle name="Note 4 2 6 3 2 2" xfId="40919" xr:uid="{00000000-0005-0000-0000-0000D79F0000}"/>
    <cellStyle name="Note 4 2 6 3 2 2 2" xfId="40920" xr:uid="{00000000-0005-0000-0000-0000D89F0000}"/>
    <cellStyle name="Note 4 2 6 3 2 2 2 2" xfId="40921" xr:uid="{00000000-0005-0000-0000-0000D99F0000}"/>
    <cellStyle name="Note 4 2 6 3 2 2 3" xfId="40922" xr:uid="{00000000-0005-0000-0000-0000DA9F0000}"/>
    <cellStyle name="Note 4 2 6 3 2 3" xfId="40923" xr:uid="{00000000-0005-0000-0000-0000DB9F0000}"/>
    <cellStyle name="Note 4 2 6 3 2 3 2" xfId="40924" xr:uid="{00000000-0005-0000-0000-0000DC9F0000}"/>
    <cellStyle name="Note 4 2 6 3 2 4" xfId="40925" xr:uid="{00000000-0005-0000-0000-0000DD9F0000}"/>
    <cellStyle name="Note 4 2 6 3 3" xfId="40926" xr:uid="{00000000-0005-0000-0000-0000DE9F0000}"/>
    <cellStyle name="Note 4 2 6 3 3 2" xfId="40927" xr:uid="{00000000-0005-0000-0000-0000DF9F0000}"/>
    <cellStyle name="Note 4 2 6 3 3 2 2" xfId="40928" xr:uid="{00000000-0005-0000-0000-0000E09F0000}"/>
    <cellStyle name="Note 4 2 6 3 3 3" xfId="40929" xr:uid="{00000000-0005-0000-0000-0000E19F0000}"/>
    <cellStyle name="Note 4 2 6 3 4" xfId="40930" xr:uid="{00000000-0005-0000-0000-0000E29F0000}"/>
    <cellStyle name="Note 4 2 6 3 4 2" xfId="40931" xr:uid="{00000000-0005-0000-0000-0000E39F0000}"/>
    <cellStyle name="Note 4 2 6 3 4 2 2" xfId="40932" xr:uid="{00000000-0005-0000-0000-0000E49F0000}"/>
    <cellStyle name="Note 4 2 6 3 4 3" xfId="40933" xr:uid="{00000000-0005-0000-0000-0000E59F0000}"/>
    <cellStyle name="Note 4 2 6 3 5" xfId="40934" xr:uid="{00000000-0005-0000-0000-0000E69F0000}"/>
    <cellStyle name="Note 4 2 6 3 5 2" xfId="40935" xr:uid="{00000000-0005-0000-0000-0000E79F0000}"/>
    <cellStyle name="Note 4 2 6 3 5 2 2" xfId="40936" xr:uid="{00000000-0005-0000-0000-0000E89F0000}"/>
    <cellStyle name="Note 4 2 6 3 5 3" xfId="40937" xr:uid="{00000000-0005-0000-0000-0000E99F0000}"/>
    <cellStyle name="Note 4 2 6 3 6" xfId="40938" xr:uid="{00000000-0005-0000-0000-0000EA9F0000}"/>
    <cellStyle name="Note 4 2 6 3 6 2" xfId="40939" xr:uid="{00000000-0005-0000-0000-0000EB9F0000}"/>
    <cellStyle name="Note 4 2 6 3 6 2 2" xfId="40940" xr:uid="{00000000-0005-0000-0000-0000EC9F0000}"/>
    <cellStyle name="Note 4 2 6 3 6 3" xfId="40941" xr:uid="{00000000-0005-0000-0000-0000ED9F0000}"/>
    <cellStyle name="Note 4 2 6 3 7" xfId="40942" xr:uid="{00000000-0005-0000-0000-0000EE9F0000}"/>
    <cellStyle name="Note 4 2 6 3 7 2" xfId="40943" xr:uid="{00000000-0005-0000-0000-0000EF9F0000}"/>
    <cellStyle name="Note 4 2 6 3 8" xfId="40944" xr:uid="{00000000-0005-0000-0000-0000F09F0000}"/>
    <cellStyle name="Note 4 2 6 4" xfId="40945" xr:uid="{00000000-0005-0000-0000-0000F19F0000}"/>
    <cellStyle name="Note 4 2 6 4 2" xfId="40946" xr:uid="{00000000-0005-0000-0000-0000F29F0000}"/>
    <cellStyle name="Note 4 2 6 4 2 2" xfId="40947" xr:uid="{00000000-0005-0000-0000-0000F39F0000}"/>
    <cellStyle name="Note 4 2 6 4 2 2 2" xfId="40948" xr:uid="{00000000-0005-0000-0000-0000F49F0000}"/>
    <cellStyle name="Note 4 2 6 4 2 2 2 2" xfId="40949" xr:uid="{00000000-0005-0000-0000-0000F59F0000}"/>
    <cellStyle name="Note 4 2 6 4 2 2 3" xfId="40950" xr:uid="{00000000-0005-0000-0000-0000F69F0000}"/>
    <cellStyle name="Note 4 2 6 4 2 3" xfId="40951" xr:uid="{00000000-0005-0000-0000-0000F79F0000}"/>
    <cellStyle name="Note 4 2 6 4 2 3 2" xfId="40952" xr:uid="{00000000-0005-0000-0000-0000F89F0000}"/>
    <cellStyle name="Note 4 2 6 4 2 4" xfId="40953" xr:uid="{00000000-0005-0000-0000-0000F99F0000}"/>
    <cellStyle name="Note 4 2 6 4 3" xfId="40954" xr:uid="{00000000-0005-0000-0000-0000FA9F0000}"/>
    <cellStyle name="Note 4 2 6 4 3 2" xfId="40955" xr:uid="{00000000-0005-0000-0000-0000FB9F0000}"/>
    <cellStyle name="Note 4 2 6 4 3 2 2" xfId="40956" xr:uid="{00000000-0005-0000-0000-0000FC9F0000}"/>
    <cellStyle name="Note 4 2 6 4 3 3" xfId="40957" xr:uid="{00000000-0005-0000-0000-0000FD9F0000}"/>
    <cellStyle name="Note 4 2 6 4 4" xfId="40958" xr:uid="{00000000-0005-0000-0000-0000FE9F0000}"/>
    <cellStyle name="Note 4 2 6 4 4 2" xfId="40959" xr:uid="{00000000-0005-0000-0000-0000FF9F0000}"/>
    <cellStyle name="Note 4 2 6 4 4 2 2" xfId="40960" xr:uid="{00000000-0005-0000-0000-000000A00000}"/>
    <cellStyle name="Note 4 2 6 4 4 3" xfId="40961" xr:uid="{00000000-0005-0000-0000-000001A00000}"/>
    <cellStyle name="Note 4 2 6 4 5" xfId="40962" xr:uid="{00000000-0005-0000-0000-000002A00000}"/>
    <cellStyle name="Note 4 2 6 4 5 2" xfId="40963" xr:uid="{00000000-0005-0000-0000-000003A00000}"/>
    <cellStyle name="Note 4 2 6 4 5 2 2" xfId="40964" xr:uid="{00000000-0005-0000-0000-000004A00000}"/>
    <cellStyle name="Note 4 2 6 4 5 3" xfId="40965" xr:uid="{00000000-0005-0000-0000-000005A00000}"/>
    <cellStyle name="Note 4 2 6 4 6" xfId="40966" xr:uid="{00000000-0005-0000-0000-000006A00000}"/>
    <cellStyle name="Note 4 2 6 4 6 2" xfId="40967" xr:uid="{00000000-0005-0000-0000-000007A00000}"/>
    <cellStyle name="Note 4 2 6 4 6 2 2" xfId="40968" xr:uid="{00000000-0005-0000-0000-000008A00000}"/>
    <cellStyle name="Note 4 2 6 4 6 3" xfId="40969" xr:uid="{00000000-0005-0000-0000-000009A00000}"/>
    <cellStyle name="Note 4 2 6 4 7" xfId="40970" xr:uid="{00000000-0005-0000-0000-00000AA00000}"/>
    <cellStyle name="Note 4 2 6 4 7 2" xfId="40971" xr:uid="{00000000-0005-0000-0000-00000BA00000}"/>
    <cellStyle name="Note 4 2 6 4 8" xfId="40972" xr:uid="{00000000-0005-0000-0000-00000CA00000}"/>
    <cellStyle name="Note 4 2 6 5" xfId="40973" xr:uid="{00000000-0005-0000-0000-00000DA00000}"/>
    <cellStyle name="Note 4 2 6 5 2" xfId="40974" xr:uid="{00000000-0005-0000-0000-00000EA00000}"/>
    <cellStyle name="Note 4 2 6 5 2 2" xfId="40975" xr:uid="{00000000-0005-0000-0000-00000FA00000}"/>
    <cellStyle name="Note 4 2 6 5 2 2 2" xfId="40976" xr:uid="{00000000-0005-0000-0000-000010A00000}"/>
    <cellStyle name="Note 4 2 6 5 2 2 2 2" xfId="40977" xr:uid="{00000000-0005-0000-0000-000011A00000}"/>
    <cellStyle name="Note 4 2 6 5 2 2 3" xfId="40978" xr:uid="{00000000-0005-0000-0000-000012A00000}"/>
    <cellStyle name="Note 4 2 6 5 2 3" xfId="40979" xr:uid="{00000000-0005-0000-0000-000013A00000}"/>
    <cellStyle name="Note 4 2 6 5 2 3 2" xfId="40980" xr:uid="{00000000-0005-0000-0000-000014A00000}"/>
    <cellStyle name="Note 4 2 6 5 2 4" xfId="40981" xr:uid="{00000000-0005-0000-0000-000015A00000}"/>
    <cellStyle name="Note 4 2 6 5 3" xfId="40982" xr:uid="{00000000-0005-0000-0000-000016A00000}"/>
    <cellStyle name="Note 4 2 6 5 3 2" xfId="40983" xr:uid="{00000000-0005-0000-0000-000017A00000}"/>
    <cellStyle name="Note 4 2 6 5 3 2 2" xfId="40984" xr:uid="{00000000-0005-0000-0000-000018A00000}"/>
    <cellStyle name="Note 4 2 6 5 3 3" xfId="40985" xr:uid="{00000000-0005-0000-0000-000019A00000}"/>
    <cellStyle name="Note 4 2 6 5 4" xfId="40986" xr:uid="{00000000-0005-0000-0000-00001AA00000}"/>
    <cellStyle name="Note 4 2 6 5 4 2" xfId="40987" xr:uid="{00000000-0005-0000-0000-00001BA00000}"/>
    <cellStyle name="Note 4 2 6 5 5" xfId="40988" xr:uid="{00000000-0005-0000-0000-00001CA00000}"/>
    <cellStyle name="Note 4 2 6 6" xfId="40989" xr:uid="{00000000-0005-0000-0000-00001DA00000}"/>
    <cellStyle name="Note 4 2 6 6 2" xfId="40990" xr:uid="{00000000-0005-0000-0000-00001EA00000}"/>
    <cellStyle name="Note 4 2 6 6 2 2" xfId="40991" xr:uid="{00000000-0005-0000-0000-00001FA00000}"/>
    <cellStyle name="Note 4 2 6 6 2 2 2" xfId="40992" xr:uid="{00000000-0005-0000-0000-000020A00000}"/>
    <cellStyle name="Note 4 2 6 6 2 2 2 2" xfId="40993" xr:uid="{00000000-0005-0000-0000-000021A00000}"/>
    <cellStyle name="Note 4 2 6 6 2 2 3" xfId="40994" xr:uid="{00000000-0005-0000-0000-000022A00000}"/>
    <cellStyle name="Note 4 2 6 6 2 3" xfId="40995" xr:uid="{00000000-0005-0000-0000-000023A00000}"/>
    <cellStyle name="Note 4 2 6 6 2 3 2" xfId="40996" xr:uid="{00000000-0005-0000-0000-000024A00000}"/>
    <cellStyle name="Note 4 2 6 6 2 4" xfId="40997" xr:uid="{00000000-0005-0000-0000-000025A00000}"/>
    <cellStyle name="Note 4 2 6 6 3" xfId="40998" xr:uid="{00000000-0005-0000-0000-000026A00000}"/>
    <cellStyle name="Note 4 2 6 6 3 2" xfId="40999" xr:uid="{00000000-0005-0000-0000-000027A00000}"/>
    <cellStyle name="Note 4 2 6 6 3 2 2" xfId="41000" xr:uid="{00000000-0005-0000-0000-000028A00000}"/>
    <cellStyle name="Note 4 2 6 6 3 3" xfId="41001" xr:uid="{00000000-0005-0000-0000-000029A00000}"/>
    <cellStyle name="Note 4 2 6 6 4" xfId="41002" xr:uid="{00000000-0005-0000-0000-00002AA00000}"/>
    <cellStyle name="Note 4 2 6 6 4 2" xfId="41003" xr:uid="{00000000-0005-0000-0000-00002BA00000}"/>
    <cellStyle name="Note 4 2 6 6 5" xfId="41004" xr:uid="{00000000-0005-0000-0000-00002CA00000}"/>
    <cellStyle name="Note 4 2 6 7" xfId="41005" xr:uid="{00000000-0005-0000-0000-00002DA00000}"/>
    <cellStyle name="Note 4 2 6 7 2" xfId="41006" xr:uid="{00000000-0005-0000-0000-00002EA00000}"/>
    <cellStyle name="Note 4 2 6 7 2 2" xfId="41007" xr:uid="{00000000-0005-0000-0000-00002FA00000}"/>
    <cellStyle name="Note 4 2 6 7 2 2 2" xfId="41008" xr:uid="{00000000-0005-0000-0000-000030A00000}"/>
    <cellStyle name="Note 4 2 6 7 2 3" xfId="41009" xr:uid="{00000000-0005-0000-0000-000031A00000}"/>
    <cellStyle name="Note 4 2 6 7 3" xfId="41010" xr:uid="{00000000-0005-0000-0000-000032A00000}"/>
    <cellStyle name="Note 4 2 6 7 3 2" xfId="41011" xr:uid="{00000000-0005-0000-0000-000033A00000}"/>
    <cellStyle name="Note 4 2 6 7 4" xfId="41012" xr:uid="{00000000-0005-0000-0000-000034A00000}"/>
    <cellStyle name="Note 4 2 6 8" xfId="41013" xr:uid="{00000000-0005-0000-0000-000035A00000}"/>
    <cellStyle name="Note 4 2 6 8 2" xfId="41014" xr:uid="{00000000-0005-0000-0000-000036A00000}"/>
    <cellStyle name="Note 4 2 6 8 2 2" xfId="41015" xr:uid="{00000000-0005-0000-0000-000037A00000}"/>
    <cellStyle name="Note 4 2 6 8 2 2 2" xfId="41016" xr:uid="{00000000-0005-0000-0000-000038A00000}"/>
    <cellStyle name="Note 4 2 6 8 2 3" xfId="41017" xr:uid="{00000000-0005-0000-0000-000039A00000}"/>
    <cellStyle name="Note 4 2 6 8 3" xfId="41018" xr:uid="{00000000-0005-0000-0000-00003AA00000}"/>
    <cellStyle name="Note 4 2 6 8 3 2" xfId="41019" xr:uid="{00000000-0005-0000-0000-00003BA00000}"/>
    <cellStyle name="Note 4 2 6 8 4" xfId="41020" xr:uid="{00000000-0005-0000-0000-00003CA00000}"/>
    <cellStyle name="Note 4 2 6 9" xfId="41021" xr:uid="{00000000-0005-0000-0000-00003DA00000}"/>
    <cellStyle name="Note 4 2 6 9 2" xfId="41022" xr:uid="{00000000-0005-0000-0000-00003EA00000}"/>
    <cellStyle name="Note 4 2 6 9 2 2" xfId="41023" xr:uid="{00000000-0005-0000-0000-00003FA00000}"/>
    <cellStyle name="Note 4 2 6 9 3" xfId="41024" xr:uid="{00000000-0005-0000-0000-000040A00000}"/>
    <cellStyle name="Note 4 2 7" xfId="41025" xr:uid="{00000000-0005-0000-0000-000041A00000}"/>
    <cellStyle name="Note 4 2 7 2" xfId="41026" xr:uid="{00000000-0005-0000-0000-000042A00000}"/>
    <cellStyle name="Note 4 2 7 2 2" xfId="41027" xr:uid="{00000000-0005-0000-0000-000043A00000}"/>
    <cellStyle name="Note 4 2 7 2 2 2" xfId="41028" xr:uid="{00000000-0005-0000-0000-000044A00000}"/>
    <cellStyle name="Note 4 2 7 2 2 2 2" xfId="41029" xr:uid="{00000000-0005-0000-0000-000045A00000}"/>
    <cellStyle name="Note 4 2 7 2 2 3" xfId="41030" xr:uid="{00000000-0005-0000-0000-000046A00000}"/>
    <cellStyle name="Note 4 2 7 2 3" xfId="41031" xr:uid="{00000000-0005-0000-0000-000047A00000}"/>
    <cellStyle name="Note 4 2 7 2 3 2" xfId="41032" xr:uid="{00000000-0005-0000-0000-000048A00000}"/>
    <cellStyle name="Note 4 2 7 2 4" xfId="41033" xr:uid="{00000000-0005-0000-0000-000049A00000}"/>
    <cellStyle name="Note 4 2 7 3" xfId="41034" xr:uid="{00000000-0005-0000-0000-00004AA00000}"/>
    <cellStyle name="Note 4 2 7 3 2" xfId="41035" xr:uid="{00000000-0005-0000-0000-00004BA00000}"/>
    <cellStyle name="Note 4 2 7 3 2 2" xfId="41036" xr:uid="{00000000-0005-0000-0000-00004CA00000}"/>
    <cellStyle name="Note 4 2 7 3 3" xfId="41037" xr:uid="{00000000-0005-0000-0000-00004DA00000}"/>
    <cellStyle name="Note 4 2 7 4" xfId="41038" xr:uid="{00000000-0005-0000-0000-00004EA00000}"/>
    <cellStyle name="Note 4 2 7 4 2" xfId="41039" xr:uid="{00000000-0005-0000-0000-00004FA00000}"/>
    <cellStyle name="Note 4 2 7 4 2 2" xfId="41040" xr:uid="{00000000-0005-0000-0000-000050A00000}"/>
    <cellStyle name="Note 4 2 7 4 3" xfId="41041" xr:uid="{00000000-0005-0000-0000-000051A00000}"/>
    <cellStyle name="Note 4 2 7 5" xfId="41042" xr:uid="{00000000-0005-0000-0000-000052A00000}"/>
    <cellStyle name="Note 4 2 7 5 2" xfId="41043" xr:uid="{00000000-0005-0000-0000-000053A00000}"/>
    <cellStyle name="Note 4 2 7 5 2 2" xfId="41044" xr:uid="{00000000-0005-0000-0000-000054A00000}"/>
    <cellStyle name="Note 4 2 7 5 3" xfId="41045" xr:uid="{00000000-0005-0000-0000-000055A00000}"/>
    <cellStyle name="Note 4 2 7 6" xfId="41046" xr:uid="{00000000-0005-0000-0000-000056A00000}"/>
    <cellStyle name="Note 4 2 7 6 2" xfId="41047" xr:uid="{00000000-0005-0000-0000-000057A00000}"/>
    <cellStyle name="Note 4 2 7 6 2 2" xfId="41048" xr:uid="{00000000-0005-0000-0000-000058A00000}"/>
    <cellStyle name="Note 4 2 7 6 3" xfId="41049" xr:uid="{00000000-0005-0000-0000-000059A00000}"/>
    <cellStyle name="Note 4 2 7 7" xfId="41050" xr:uid="{00000000-0005-0000-0000-00005AA00000}"/>
    <cellStyle name="Note 4 2 7 7 2" xfId="41051" xr:uid="{00000000-0005-0000-0000-00005BA00000}"/>
    <cellStyle name="Note 4 2 7 8" xfId="41052" xr:uid="{00000000-0005-0000-0000-00005CA00000}"/>
    <cellStyle name="Note 4 2 8" xfId="41053" xr:uid="{00000000-0005-0000-0000-00005DA00000}"/>
    <cellStyle name="Note 4 2 8 2" xfId="41054" xr:uid="{00000000-0005-0000-0000-00005EA00000}"/>
    <cellStyle name="Note 4 2 8 2 2" xfId="41055" xr:uid="{00000000-0005-0000-0000-00005FA00000}"/>
    <cellStyle name="Note 4 2 8 2 2 2" xfId="41056" xr:uid="{00000000-0005-0000-0000-000060A00000}"/>
    <cellStyle name="Note 4 2 8 2 2 2 2" xfId="41057" xr:uid="{00000000-0005-0000-0000-000061A00000}"/>
    <cellStyle name="Note 4 2 8 2 2 3" xfId="41058" xr:uid="{00000000-0005-0000-0000-000062A00000}"/>
    <cellStyle name="Note 4 2 8 2 3" xfId="41059" xr:uid="{00000000-0005-0000-0000-000063A00000}"/>
    <cellStyle name="Note 4 2 8 2 3 2" xfId="41060" xr:uid="{00000000-0005-0000-0000-000064A00000}"/>
    <cellStyle name="Note 4 2 8 2 4" xfId="41061" xr:uid="{00000000-0005-0000-0000-000065A00000}"/>
    <cellStyle name="Note 4 2 8 3" xfId="41062" xr:uid="{00000000-0005-0000-0000-000066A00000}"/>
    <cellStyle name="Note 4 2 8 3 2" xfId="41063" xr:uid="{00000000-0005-0000-0000-000067A00000}"/>
    <cellStyle name="Note 4 2 8 3 2 2" xfId="41064" xr:uid="{00000000-0005-0000-0000-000068A00000}"/>
    <cellStyle name="Note 4 2 8 3 3" xfId="41065" xr:uid="{00000000-0005-0000-0000-000069A00000}"/>
    <cellStyle name="Note 4 2 8 4" xfId="41066" xr:uid="{00000000-0005-0000-0000-00006AA00000}"/>
    <cellStyle name="Note 4 2 8 4 2" xfId="41067" xr:uid="{00000000-0005-0000-0000-00006BA00000}"/>
    <cellStyle name="Note 4 2 8 4 2 2" xfId="41068" xr:uid="{00000000-0005-0000-0000-00006CA00000}"/>
    <cellStyle name="Note 4 2 8 4 3" xfId="41069" xr:uid="{00000000-0005-0000-0000-00006DA00000}"/>
    <cellStyle name="Note 4 2 8 5" xfId="41070" xr:uid="{00000000-0005-0000-0000-00006EA00000}"/>
    <cellStyle name="Note 4 2 8 5 2" xfId="41071" xr:uid="{00000000-0005-0000-0000-00006FA00000}"/>
    <cellStyle name="Note 4 2 8 5 2 2" xfId="41072" xr:uid="{00000000-0005-0000-0000-000070A00000}"/>
    <cellStyle name="Note 4 2 8 5 3" xfId="41073" xr:uid="{00000000-0005-0000-0000-000071A00000}"/>
    <cellStyle name="Note 4 2 8 6" xfId="41074" xr:uid="{00000000-0005-0000-0000-000072A00000}"/>
    <cellStyle name="Note 4 2 8 6 2" xfId="41075" xr:uid="{00000000-0005-0000-0000-000073A00000}"/>
    <cellStyle name="Note 4 2 8 6 2 2" xfId="41076" xr:uid="{00000000-0005-0000-0000-000074A00000}"/>
    <cellStyle name="Note 4 2 8 6 3" xfId="41077" xr:uid="{00000000-0005-0000-0000-000075A00000}"/>
    <cellStyle name="Note 4 2 8 7" xfId="41078" xr:uid="{00000000-0005-0000-0000-000076A00000}"/>
    <cellStyle name="Note 4 2 8 7 2" xfId="41079" xr:uid="{00000000-0005-0000-0000-000077A00000}"/>
    <cellStyle name="Note 4 2 8 8" xfId="41080" xr:uid="{00000000-0005-0000-0000-000078A00000}"/>
    <cellStyle name="Note 4 2 9" xfId="41081" xr:uid="{00000000-0005-0000-0000-000079A00000}"/>
    <cellStyle name="Note 4 2 9 2" xfId="41082" xr:uid="{00000000-0005-0000-0000-00007AA00000}"/>
    <cellStyle name="Note 4 2 9 2 2" xfId="41083" xr:uid="{00000000-0005-0000-0000-00007BA00000}"/>
    <cellStyle name="Note 4 2 9 2 2 2" xfId="41084" xr:uid="{00000000-0005-0000-0000-00007CA00000}"/>
    <cellStyle name="Note 4 2 9 2 2 2 2" xfId="41085" xr:uid="{00000000-0005-0000-0000-00007DA00000}"/>
    <cellStyle name="Note 4 2 9 2 2 3" xfId="41086" xr:uid="{00000000-0005-0000-0000-00007EA00000}"/>
    <cellStyle name="Note 4 2 9 2 3" xfId="41087" xr:uid="{00000000-0005-0000-0000-00007FA00000}"/>
    <cellStyle name="Note 4 2 9 2 3 2" xfId="41088" xr:uid="{00000000-0005-0000-0000-000080A00000}"/>
    <cellStyle name="Note 4 2 9 2 4" xfId="41089" xr:uid="{00000000-0005-0000-0000-000081A00000}"/>
    <cellStyle name="Note 4 2 9 3" xfId="41090" xr:uid="{00000000-0005-0000-0000-000082A00000}"/>
    <cellStyle name="Note 4 2 9 3 2" xfId="41091" xr:uid="{00000000-0005-0000-0000-000083A00000}"/>
    <cellStyle name="Note 4 2 9 3 2 2" xfId="41092" xr:uid="{00000000-0005-0000-0000-000084A00000}"/>
    <cellStyle name="Note 4 2 9 3 3" xfId="41093" xr:uid="{00000000-0005-0000-0000-000085A00000}"/>
    <cellStyle name="Note 4 2 9 4" xfId="41094" xr:uid="{00000000-0005-0000-0000-000086A00000}"/>
    <cellStyle name="Note 4 2 9 4 2" xfId="41095" xr:uid="{00000000-0005-0000-0000-000087A00000}"/>
    <cellStyle name="Note 4 2 9 4 2 2" xfId="41096" xr:uid="{00000000-0005-0000-0000-000088A00000}"/>
    <cellStyle name="Note 4 2 9 4 3" xfId="41097" xr:uid="{00000000-0005-0000-0000-000089A00000}"/>
    <cellStyle name="Note 4 2 9 5" xfId="41098" xr:uid="{00000000-0005-0000-0000-00008AA00000}"/>
    <cellStyle name="Note 4 2 9 5 2" xfId="41099" xr:uid="{00000000-0005-0000-0000-00008BA00000}"/>
    <cellStyle name="Note 4 2 9 5 2 2" xfId="41100" xr:uid="{00000000-0005-0000-0000-00008CA00000}"/>
    <cellStyle name="Note 4 2 9 5 3" xfId="41101" xr:uid="{00000000-0005-0000-0000-00008DA00000}"/>
    <cellStyle name="Note 4 2 9 6" xfId="41102" xr:uid="{00000000-0005-0000-0000-00008EA00000}"/>
    <cellStyle name="Note 4 2 9 6 2" xfId="41103" xr:uid="{00000000-0005-0000-0000-00008FA00000}"/>
    <cellStyle name="Note 4 2 9 6 2 2" xfId="41104" xr:uid="{00000000-0005-0000-0000-000090A00000}"/>
    <cellStyle name="Note 4 2 9 6 3" xfId="41105" xr:uid="{00000000-0005-0000-0000-000091A00000}"/>
    <cellStyle name="Note 4 2 9 7" xfId="41106" xr:uid="{00000000-0005-0000-0000-000092A00000}"/>
    <cellStyle name="Note 4 2 9 7 2" xfId="41107" xr:uid="{00000000-0005-0000-0000-000093A00000}"/>
    <cellStyle name="Note 4 2 9 8" xfId="41108" xr:uid="{00000000-0005-0000-0000-000094A00000}"/>
    <cellStyle name="Note 4 20" xfId="41109" xr:uid="{00000000-0005-0000-0000-000095A00000}"/>
    <cellStyle name="Note 4 20 2" xfId="41110" xr:uid="{00000000-0005-0000-0000-000096A00000}"/>
    <cellStyle name="Note 4 21" xfId="41111" xr:uid="{00000000-0005-0000-0000-000097A00000}"/>
    <cellStyle name="Note 4 3" xfId="41112" xr:uid="{00000000-0005-0000-0000-000098A00000}"/>
    <cellStyle name="Note 4 3 10" xfId="41113" xr:uid="{00000000-0005-0000-0000-000099A00000}"/>
    <cellStyle name="Note 4 3 10 2" xfId="41114" xr:uid="{00000000-0005-0000-0000-00009AA00000}"/>
    <cellStyle name="Note 4 3 10 2 2" xfId="41115" xr:uid="{00000000-0005-0000-0000-00009BA00000}"/>
    <cellStyle name="Note 4 3 10 3" xfId="41116" xr:uid="{00000000-0005-0000-0000-00009CA00000}"/>
    <cellStyle name="Note 4 3 11" xfId="41117" xr:uid="{00000000-0005-0000-0000-00009DA00000}"/>
    <cellStyle name="Note 4 3 11 2" xfId="41118" xr:uid="{00000000-0005-0000-0000-00009EA00000}"/>
    <cellStyle name="Note 4 3 11 2 2" xfId="41119" xr:uid="{00000000-0005-0000-0000-00009FA00000}"/>
    <cellStyle name="Note 4 3 11 3" xfId="41120" xr:uid="{00000000-0005-0000-0000-0000A0A00000}"/>
    <cellStyle name="Note 4 3 12" xfId="41121" xr:uid="{00000000-0005-0000-0000-0000A1A00000}"/>
    <cellStyle name="Note 4 3 12 2" xfId="41122" xr:uid="{00000000-0005-0000-0000-0000A2A00000}"/>
    <cellStyle name="Note 4 3 12 2 2" xfId="41123" xr:uid="{00000000-0005-0000-0000-0000A3A00000}"/>
    <cellStyle name="Note 4 3 12 3" xfId="41124" xr:uid="{00000000-0005-0000-0000-0000A4A00000}"/>
    <cellStyle name="Note 4 3 13" xfId="41125" xr:uid="{00000000-0005-0000-0000-0000A5A00000}"/>
    <cellStyle name="Note 4 3 13 2" xfId="41126" xr:uid="{00000000-0005-0000-0000-0000A6A00000}"/>
    <cellStyle name="Note 4 3 14" xfId="41127" xr:uid="{00000000-0005-0000-0000-0000A7A00000}"/>
    <cellStyle name="Note 4 3 2" xfId="41128" xr:uid="{00000000-0005-0000-0000-0000A8A00000}"/>
    <cellStyle name="Note 4 3 2 2" xfId="41129" xr:uid="{00000000-0005-0000-0000-0000A9A00000}"/>
    <cellStyle name="Note 4 3 2 2 2" xfId="41130" xr:uid="{00000000-0005-0000-0000-0000AAA00000}"/>
    <cellStyle name="Note 4 3 2 2 2 2" xfId="41131" xr:uid="{00000000-0005-0000-0000-0000ABA00000}"/>
    <cellStyle name="Note 4 3 2 2 2 2 2" xfId="41132" xr:uid="{00000000-0005-0000-0000-0000ACA00000}"/>
    <cellStyle name="Note 4 3 2 2 2 3" xfId="41133" xr:uid="{00000000-0005-0000-0000-0000ADA00000}"/>
    <cellStyle name="Note 4 3 2 2 3" xfId="41134" xr:uid="{00000000-0005-0000-0000-0000AEA00000}"/>
    <cellStyle name="Note 4 3 2 2 3 2" xfId="41135" xr:uid="{00000000-0005-0000-0000-0000AFA00000}"/>
    <cellStyle name="Note 4 3 2 2 4" xfId="41136" xr:uid="{00000000-0005-0000-0000-0000B0A00000}"/>
    <cellStyle name="Note 4 3 2 3" xfId="41137" xr:uid="{00000000-0005-0000-0000-0000B1A00000}"/>
    <cellStyle name="Note 4 3 2 3 2" xfId="41138" xr:uid="{00000000-0005-0000-0000-0000B2A00000}"/>
    <cellStyle name="Note 4 3 2 3 2 2" xfId="41139" xr:uid="{00000000-0005-0000-0000-0000B3A00000}"/>
    <cellStyle name="Note 4 3 2 3 3" xfId="41140" xr:uid="{00000000-0005-0000-0000-0000B4A00000}"/>
    <cellStyle name="Note 4 3 2 4" xfId="41141" xr:uid="{00000000-0005-0000-0000-0000B5A00000}"/>
    <cellStyle name="Note 4 3 2 4 2" xfId="41142" xr:uid="{00000000-0005-0000-0000-0000B6A00000}"/>
    <cellStyle name="Note 4 3 2 4 2 2" xfId="41143" xr:uid="{00000000-0005-0000-0000-0000B7A00000}"/>
    <cellStyle name="Note 4 3 2 4 3" xfId="41144" xr:uid="{00000000-0005-0000-0000-0000B8A00000}"/>
    <cellStyle name="Note 4 3 2 5" xfId="41145" xr:uid="{00000000-0005-0000-0000-0000B9A00000}"/>
    <cellStyle name="Note 4 3 2 5 2" xfId="41146" xr:uid="{00000000-0005-0000-0000-0000BAA00000}"/>
    <cellStyle name="Note 4 3 2 5 2 2" xfId="41147" xr:uid="{00000000-0005-0000-0000-0000BBA00000}"/>
    <cellStyle name="Note 4 3 2 5 3" xfId="41148" xr:uid="{00000000-0005-0000-0000-0000BCA00000}"/>
    <cellStyle name="Note 4 3 2 6" xfId="41149" xr:uid="{00000000-0005-0000-0000-0000BDA00000}"/>
    <cellStyle name="Note 4 3 2 6 2" xfId="41150" xr:uid="{00000000-0005-0000-0000-0000BEA00000}"/>
    <cellStyle name="Note 4 3 2 6 2 2" xfId="41151" xr:uid="{00000000-0005-0000-0000-0000BFA00000}"/>
    <cellStyle name="Note 4 3 2 6 3" xfId="41152" xr:uid="{00000000-0005-0000-0000-0000C0A00000}"/>
    <cellStyle name="Note 4 3 2 7" xfId="41153" xr:uid="{00000000-0005-0000-0000-0000C1A00000}"/>
    <cellStyle name="Note 4 3 2 7 2" xfId="41154" xr:uid="{00000000-0005-0000-0000-0000C2A00000}"/>
    <cellStyle name="Note 4 3 2 8" xfId="41155" xr:uid="{00000000-0005-0000-0000-0000C3A00000}"/>
    <cellStyle name="Note 4 3 3" xfId="41156" xr:uid="{00000000-0005-0000-0000-0000C4A00000}"/>
    <cellStyle name="Note 4 3 3 2" xfId="41157" xr:uid="{00000000-0005-0000-0000-0000C5A00000}"/>
    <cellStyle name="Note 4 3 3 2 2" xfId="41158" xr:uid="{00000000-0005-0000-0000-0000C6A00000}"/>
    <cellStyle name="Note 4 3 3 2 2 2" xfId="41159" xr:uid="{00000000-0005-0000-0000-0000C7A00000}"/>
    <cellStyle name="Note 4 3 3 2 2 2 2" xfId="41160" xr:uid="{00000000-0005-0000-0000-0000C8A00000}"/>
    <cellStyle name="Note 4 3 3 2 2 3" xfId="41161" xr:uid="{00000000-0005-0000-0000-0000C9A00000}"/>
    <cellStyle name="Note 4 3 3 2 3" xfId="41162" xr:uid="{00000000-0005-0000-0000-0000CAA00000}"/>
    <cellStyle name="Note 4 3 3 2 3 2" xfId="41163" xr:uid="{00000000-0005-0000-0000-0000CBA00000}"/>
    <cellStyle name="Note 4 3 3 2 4" xfId="41164" xr:uid="{00000000-0005-0000-0000-0000CCA00000}"/>
    <cellStyle name="Note 4 3 3 3" xfId="41165" xr:uid="{00000000-0005-0000-0000-0000CDA00000}"/>
    <cellStyle name="Note 4 3 3 3 2" xfId="41166" xr:uid="{00000000-0005-0000-0000-0000CEA00000}"/>
    <cellStyle name="Note 4 3 3 3 2 2" xfId="41167" xr:uid="{00000000-0005-0000-0000-0000CFA00000}"/>
    <cellStyle name="Note 4 3 3 3 3" xfId="41168" xr:uid="{00000000-0005-0000-0000-0000D0A00000}"/>
    <cellStyle name="Note 4 3 3 4" xfId="41169" xr:uid="{00000000-0005-0000-0000-0000D1A00000}"/>
    <cellStyle name="Note 4 3 3 4 2" xfId="41170" xr:uid="{00000000-0005-0000-0000-0000D2A00000}"/>
    <cellStyle name="Note 4 3 3 4 2 2" xfId="41171" xr:uid="{00000000-0005-0000-0000-0000D3A00000}"/>
    <cellStyle name="Note 4 3 3 4 3" xfId="41172" xr:uid="{00000000-0005-0000-0000-0000D4A00000}"/>
    <cellStyle name="Note 4 3 3 5" xfId="41173" xr:uid="{00000000-0005-0000-0000-0000D5A00000}"/>
    <cellStyle name="Note 4 3 3 5 2" xfId="41174" xr:uid="{00000000-0005-0000-0000-0000D6A00000}"/>
    <cellStyle name="Note 4 3 3 5 2 2" xfId="41175" xr:uid="{00000000-0005-0000-0000-0000D7A00000}"/>
    <cellStyle name="Note 4 3 3 5 3" xfId="41176" xr:uid="{00000000-0005-0000-0000-0000D8A00000}"/>
    <cellStyle name="Note 4 3 3 6" xfId="41177" xr:uid="{00000000-0005-0000-0000-0000D9A00000}"/>
    <cellStyle name="Note 4 3 3 6 2" xfId="41178" xr:uid="{00000000-0005-0000-0000-0000DAA00000}"/>
    <cellStyle name="Note 4 3 3 6 2 2" xfId="41179" xr:uid="{00000000-0005-0000-0000-0000DBA00000}"/>
    <cellStyle name="Note 4 3 3 6 3" xfId="41180" xr:uid="{00000000-0005-0000-0000-0000DCA00000}"/>
    <cellStyle name="Note 4 3 3 7" xfId="41181" xr:uid="{00000000-0005-0000-0000-0000DDA00000}"/>
    <cellStyle name="Note 4 3 3 7 2" xfId="41182" xr:uid="{00000000-0005-0000-0000-0000DEA00000}"/>
    <cellStyle name="Note 4 3 3 8" xfId="41183" xr:uid="{00000000-0005-0000-0000-0000DFA00000}"/>
    <cellStyle name="Note 4 3 4" xfId="41184" xr:uid="{00000000-0005-0000-0000-0000E0A00000}"/>
    <cellStyle name="Note 4 3 4 2" xfId="41185" xr:uid="{00000000-0005-0000-0000-0000E1A00000}"/>
    <cellStyle name="Note 4 3 4 2 2" xfId="41186" xr:uid="{00000000-0005-0000-0000-0000E2A00000}"/>
    <cellStyle name="Note 4 3 4 2 2 2" xfId="41187" xr:uid="{00000000-0005-0000-0000-0000E3A00000}"/>
    <cellStyle name="Note 4 3 4 2 2 2 2" xfId="41188" xr:uid="{00000000-0005-0000-0000-0000E4A00000}"/>
    <cellStyle name="Note 4 3 4 2 2 3" xfId="41189" xr:uid="{00000000-0005-0000-0000-0000E5A00000}"/>
    <cellStyle name="Note 4 3 4 2 3" xfId="41190" xr:uid="{00000000-0005-0000-0000-0000E6A00000}"/>
    <cellStyle name="Note 4 3 4 2 3 2" xfId="41191" xr:uid="{00000000-0005-0000-0000-0000E7A00000}"/>
    <cellStyle name="Note 4 3 4 2 4" xfId="41192" xr:uid="{00000000-0005-0000-0000-0000E8A00000}"/>
    <cellStyle name="Note 4 3 4 3" xfId="41193" xr:uid="{00000000-0005-0000-0000-0000E9A00000}"/>
    <cellStyle name="Note 4 3 4 3 2" xfId="41194" xr:uid="{00000000-0005-0000-0000-0000EAA00000}"/>
    <cellStyle name="Note 4 3 4 3 2 2" xfId="41195" xr:uid="{00000000-0005-0000-0000-0000EBA00000}"/>
    <cellStyle name="Note 4 3 4 3 3" xfId="41196" xr:uid="{00000000-0005-0000-0000-0000ECA00000}"/>
    <cellStyle name="Note 4 3 4 4" xfId="41197" xr:uid="{00000000-0005-0000-0000-0000EDA00000}"/>
    <cellStyle name="Note 4 3 4 4 2" xfId="41198" xr:uid="{00000000-0005-0000-0000-0000EEA00000}"/>
    <cellStyle name="Note 4 3 4 4 2 2" xfId="41199" xr:uid="{00000000-0005-0000-0000-0000EFA00000}"/>
    <cellStyle name="Note 4 3 4 4 3" xfId="41200" xr:uid="{00000000-0005-0000-0000-0000F0A00000}"/>
    <cellStyle name="Note 4 3 4 5" xfId="41201" xr:uid="{00000000-0005-0000-0000-0000F1A00000}"/>
    <cellStyle name="Note 4 3 4 5 2" xfId="41202" xr:uid="{00000000-0005-0000-0000-0000F2A00000}"/>
    <cellStyle name="Note 4 3 4 5 2 2" xfId="41203" xr:uid="{00000000-0005-0000-0000-0000F3A00000}"/>
    <cellStyle name="Note 4 3 4 5 3" xfId="41204" xr:uid="{00000000-0005-0000-0000-0000F4A00000}"/>
    <cellStyle name="Note 4 3 4 6" xfId="41205" xr:uid="{00000000-0005-0000-0000-0000F5A00000}"/>
    <cellStyle name="Note 4 3 4 6 2" xfId="41206" xr:uid="{00000000-0005-0000-0000-0000F6A00000}"/>
    <cellStyle name="Note 4 3 4 6 2 2" xfId="41207" xr:uid="{00000000-0005-0000-0000-0000F7A00000}"/>
    <cellStyle name="Note 4 3 4 6 3" xfId="41208" xr:uid="{00000000-0005-0000-0000-0000F8A00000}"/>
    <cellStyle name="Note 4 3 4 7" xfId="41209" xr:uid="{00000000-0005-0000-0000-0000F9A00000}"/>
    <cellStyle name="Note 4 3 4 7 2" xfId="41210" xr:uid="{00000000-0005-0000-0000-0000FAA00000}"/>
    <cellStyle name="Note 4 3 4 8" xfId="41211" xr:uid="{00000000-0005-0000-0000-0000FBA00000}"/>
    <cellStyle name="Note 4 3 5" xfId="41212" xr:uid="{00000000-0005-0000-0000-0000FCA00000}"/>
    <cellStyle name="Note 4 3 5 2" xfId="41213" xr:uid="{00000000-0005-0000-0000-0000FDA00000}"/>
    <cellStyle name="Note 4 3 5 2 2" xfId="41214" xr:uid="{00000000-0005-0000-0000-0000FEA00000}"/>
    <cellStyle name="Note 4 3 5 2 2 2" xfId="41215" xr:uid="{00000000-0005-0000-0000-0000FFA00000}"/>
    <cellStyle name="Note 4 3 5 2 2 2 2" xfId="41216" xr:uid="{00000000-0005-0000-0000-000000A10000}"/>
    <cellStyle name="Note 4 3 5 2 2 3" xfId="41217" xr:uid="{00000000-0005-0000-0000-000001A10000}"/>
    <cellStyle name="Note 4 3 5 2 3" xfId="41218" xr:uid="{00000000-0005-0000-0000-000002A10000}"/>
    <cellStyle name="Note 4 3 5 2 3 2" xfId="41219" xr:uid="{00000000-0005-0000-0000-000003A10000}"/>
    <cellStyle name="Note 4 3 5 2 4" xfId="41220" xr:uid="{00000000-0005-0000-0000-000004A10000}"/>
    <cellStyle name="Note 4 3 5 3" xfId="41221" xr:uid="{00000000-0005-0000-0000-000005A10000}"/>
    <cellStyle name="Note 4 3 5 3 2" xfId="41222" xr:uid="{00000000-0005-0000-0000-000006A10000}"/>
    <cellStyle name="Note 4 3 5 3 2 2" xfId="41223" xr:uid="{00000000-0005-0000-0000-000007A10000}"/>
    <cellStyle name="Note 4 3 5 3 3" xfId="41224" xr:uid="{00000000-0005-0000-0000-000008A10000}"/>
    <cellStyle name="Note 4 3 5 4" xfId="41225" xr:uid="{00000000-0005-0000-0000-000009A10000}"/>
    <cellStyle name="Note 4 3 5 4 2" xfId="41226" xr:uid="{00000000-0005-0000-0000-00000AA10000}"/>
    <cellStyle name="Note 4 3 5 5" xfId="41227" xr:uid="{00000000-0005-0000-0000-00000BA10000}"/>
    <cellStyle name="Note 4 3 6" xfId="41228" xr:uid="{00000000-0005-0000-0000-00000CA10000}"/>
    <cellStyle name="Note 4 3 6 2" xfId="41229" xr:uid="{00000000-0005-0000-0000-00000DA10000}"/>
    <cellStyle name="Note 4 3 6 2 2" xfId="41230" xr:uid="{00000000-0005-0000-0000-00000EA10000}"/>
    <cellStyle name="Note 4 3 6 2 2 2" xfId="41231" xr:uid="{00000000-0005-0000-0000-00000FA10000}"/>
    <cellStyle name="Note 4 3 6 2 2 2 2" xfId="41232" xr:uid="{00000000-0005-0000-0000-000010A10000}"/>
    <cellStyle name="Note 4 3 6 2 2 3" xfId="41233" xr:uid="{00000000-0005-0000-0000-000011A10000}"/>
    <cellStyle name="Note 4 3 6 2 3" xfId="41234" xr:uid="{00000000-0005-0000-0000-000012A10000}"/>
    <cellStyle name="Note 4 3 6 2 3 2" xfId="41235" xr:uid="{00000000-0005-0000-0000-000013A10000}"/>
    <cellStyle name="Note 4 3 6 2 4" xfId="41236" xr:uid="{00000000-0005-0000-0000-000014A10000}"/>
    <cellStyle name="Note 4 3 6 3" xfId="41237" xr:uid="{00000000-0005-0000-0000-000015A10000}"/>
    <cellStyle name="Note 4 3 6 3 2" xfId="41238" xr:uid="{00000000-0005-0000-0000-000016A10000}"/>
    <cellStyle name="Note 4 3 6 3 2 2" xfId="41239" xr:uid="{00000000-0005-0000-0000-000017A10000}"/>
    <cellStyle name="Note 4 3 6 3 3" xfId="41240" xr:uid="{00000000-0005-0000-0000-000018A10000}"/>
    <cellStyle name="Note 4 3 6 4" xfId="41241" xr:uid="{00000000-0005-0000-0000-000019A10000}"/>
    <cellStyle name="Note 4 3 6 4 2" xfId="41242" xr:uid="{00000000-0005-0000-0000-00001AA10000}"/>
    <cellStyle name="Note 4 3 6 5" xfId="41243" xr:uid="{00000000-0005-0000-0000-00001BA10000}"/>
    <cellStyle name="Note 4 3 7" xfId="41244" xr:uid="{00000000-0005-0000-0000-00001CA10000}"/>
    <cellStyle name="Note 4 3 7 2" xfId="41245" xr:uid="{00000000-0005-0000-0000-00001DA10000}"/>
    <cellStyle name="Note 4 3 7 2 2" xfId="41246" xr:uid="{00000000-0005-0000-0000-00001EA10000}"/>
    <cellStyle name="Note 4 3 7 2 2 2" xfId="41247" xr:uid="{00000000-0005-0000-0000-00001FA10000}"/>
    <cellStyle name="Note 4 3 7 2 3" xfId="41248" xr:uid="{00000000-0005-0000-0000-000020A10000}"/>
    <cellStyle name="Note 4 3 7 3" xfId="41249" xr:uid="{00000000-0005-0000-0000-000021A10000}"/>
    <cellStyle name="Note 4 3 7 3 2" xfId="41250" xr:uid="{00000000-0005-0000-0000-000022A10000}"/>
    <cellStyle name="Note 4 3 7 4" xfId="41251" xr:uid="{00000000-0005-0000-0000-000023A10000}"/>
    <cellStyle name="Note 4 3 8" xfId="41252" xr:uid="{00000000-0005-0000-0000-000024A10000}"/>
    <cellStyle name="Note 4 3 8 2" xfId="41253" xr:uid="{00000000-0005-0000-0000-000025A10000}"/>
    <cellStyle name="Note 4 3 8 2 2" xfId="41254" xr:uid="{00000000-0005-0000-0000-000026A10000}"/>
    <cellStyle name="Note 4 3 8 2 2 2" xfId="41255" xr:uid="{00000000-0005-0000-0000-000027A10000}"/>
    <cellStyle name="Note 4 3 8 2 3" xfId="41256" xr:uid="{00000000-0005-0000-0000-000028A10000}"/>
    <cellStyle name="Note 4 3 8 3" xfId="41257" xr:uid="{00000000-0005-0000-0000-000029A10000}"/>
    <cellStyle name="Note 4 3 8 3 2" xfId="41258" xr:uid="{00000000-0005-0000-0000-00002AA10000}"/>
    <cellStyle name="Note 4 3 8 4" xfId="41259" xr:uid="{00000000-0005-0000-0000-00002BA10000}"/>
    <cellStyle name="Note 4 3 9" xfId="41260" xr:uid="{00000000-0005-0000-0000-00002CA10000}"/>
    <cellStyle name="Note 4 3 9 2" xfId="41261" xr:uid="{00000000-0005-0000-0000-00002DA10000}"/>
    <cellStyle name="Note 4 3 9 2 2" xfId="41262" xr:uid="{00000000-0005-0000-0000-00002EA10000}"/>
    <cellStyle name="Note 4 3 9 3" xfId="41263" xr:uid="{00000000-0005-0000-0000-00002FA10000}"/>
    <cellStyle name="Note 4 4" xfId="41264" xr:uid="{00000000-0005-0000-0000-000030A10000}"/>
    <cellStyle name="Note 4 4 10" xfId="41265" xr:uid="{00000000-0005-0000-0000-000031A10000}"/>
    <cellStyle name="Note 4 4 10 2" xfId="41266" xr:uid="{00000000-0005-0000-0000-000032A10000}"/>
    <cellStyle name="Note 4 4 10 2 2" xfId="41267" xr:uid="{00000000-0005-0000-0000-000033A10000}"/>
    <cellStyle name="Note 4 4 10 3" xfId="41268" xr:uid="{00000000-0005-0000-0000-000034A10000}"/>
    <cellStyle name="Note 4 4 11" xfId="41269" xr:uid="{00000000-0005-0000-0000-000035A10000}"/>
    <cellStyle name="Note 4 4 11 2" xfId="41270" xr:uid="{00000000-0005-0000-0000-000036A10000}"/>
    <cellStyle name="Note 4 4 11 2 2" xfId="41271" xr:uid="{00000000-0005-0000-0000-000037A10000}"/>
    <cellStyle name="Note 4 4 11 3" xfId="41272" xr:uid="{00000000-0005-0000-0000-000038A10000}"/>
    <cellStyle name="Note 4 4 12" xfId="41273" xr:uid="{00000000-0005-0000-0000-000039A10000}"/>
    <cellStyle name="Note 4 4 12 2" xfId="41274" xr:uid="{00000000-0005-0000-0000-00003AA10000}"/>
    <cellStyle name="Note 4 4 12 2 2" xfId="41275" xr:uid="{00000000-0005-0000-0000-00003BA10000}"/>
    <cellStyle name="Note 4 4 12 3" xfId="41276" xr:uid="{00000000-0005-0000-0000-00003CA10000}"/>
    <cellStyle name="Note 4 4 13" xfId="41277" xr:uid="{00000000-0005-0000-0000-00003DA10000}"/>
    <cellStyle name="Note 4 4 13 2" xfId="41278" xr:uid="{00000000-0005-0000-0000-00003EA10000}"/>
    <cellStyle name="Note 4 4 14" xfId="41279" xr:uid="{00000000-0005-0000-0000-00003FA10000}"/>
    <cellStyle name="Note 4 4 2" xfId="41280" xr:uid="{00000000-0005-0000-0000-000040A10000}"/>
    <cellStyle name="Note 4 4 2 2" xfId="41281" xr:uid="{00000000-0005-0000-0000-000041A10000}"/>
    <cellStyle name="Note 4 4 2 2 2" xfId="41282" xr:uid="{00000000-0005-0000-0000-000042A10000}"/>
    <cellStyle name="Note 4 4 2 2 2 2" xfId="41283" xr:uid="{00000000-0005-0000-0000-000043A10000}"/>
    <cellStyle name="Note 4 4 2 2 2 2 2" xfId="41284" xr:uid="{00000000-0005-0000-0000-000044A10000}"/>
    <cellStyle name="Note 4 4 2 2 2 3" xfId="41285" xr:uid="{00000000-0005-0000-0000-000045A10000}"/>
    <cellStyle name="Note 4 4 2 2 3" xfId="41286" xr:uid="{00000000-0005-0000-0000-000046A10000}"/>
    <cellStyle name="Note 4 4 2 2 3 2" xfId="41287" xr:uid="{00000000-0005-0000-0000-000047A10000}"/>
    <cellStyle name="Note 4 4 2 2 4" xfId="41288" xr:uid="{00000000-0005-0000-0000-000048A10000}"/>
    <cellStyle name="Note 4 4 2 3" xfId="41289" xr:uid="{00000000-0005-0000-0000-000049A10000}"/>
    <cellStyle name="Note 4 4 2 3 2" xfId="41290" xr:uid="{00000000-0005-0000-0000-00004AA10000}"/>
    <cellStyle name="Note 4 4 2 3 2 2" xfId="41291" xr:uid="{00000000-0005-0000-0000-00004BA10000}"/>
    <cellStyle name="Note 4 4 2 3 3" xfId="41292" xr:uid="{00000000-0005-0000-0000-00004CA10000}"/>
    <cellStyle name="Note 4 4 2 4" xfId="41293" xr:uid="{00000000-0005-0000-0000-00004DA10000}"/>
    <cellStyle name="Note 4 4 2 4 2" xfId="41294" xr:uid="{00000000-0005-0000-0000-00004EA10000}"/>
    <cellStyle name="Note 4 4 2 4 2 2" xfId="41295" xr:uid="{00000000-0005-0000-0000-00004FA10000}"/>
    <cellStyle name="Note 4 4 2 4 3" xfId="41296" xr:uid="{00000000-0005-0000-0000-000050A10000}"/>
    <cellStyle name="Note 4 4 2 5" xfId="41297" xr:uid="{00000000-0005-0000-0000-000051A10000}"/>
    <cellStyle name="Note 4 4 2 5 2" xfId="41298" xr:uid="{00000000-0005-0000-0000-000052A10000}"/>
    <cellStyle name="Note 4 4 2 5 2 2" xfId="41299" xr:uid="{00000000-0005-0000-0000-000053A10000}"/>
    <cellStyle name="Note 4 4 2 5 3" xfId="41300" xr:uid="{00000000-0005-0000-0000-000054A10000}"/>
    <cellStyle name="Note 4 4 2 6" xfId="41301" xr:uid="{00000000-0005-0000-0000-000055A10000}"/>
    <cellStyle name="Note 4 4 2 6 2" xfId="41302" xr:uid="{00000000-0005-0000-0000-000056A10000}"/>
    <cellStyle name="Note 4 4 2 6 2 2" xfId="41303" xr:uid="{00000000-0005-0000-0000-000057A10000}"/>
    <cellStyle name="Note 4 4 2 6 3" xfId="41304" xr:uid="{00000000-0005-0000-0000-000058A10000}"/>
    <cellStyle name="Note 4 4 2 7" xfId="41305" xr:uid="{00000000-0005-0000-0000-000059A10000}"/>
    <cellStyle name="Note 4 4 2 7 2" xfId="41306" xr:uid="{00000000-0005-0000-0000-00005AA10000}"/>
    <cellStyle name="Note 4 4 2 8" xfId="41307" xr:uid="{00000000-0005-0000-0000-00005BA10000}"/>
    <cellStyle name="Note 4 4 3" xfId="41308" xr:uid="{00000000-0005-0000-0000-00005CA10000}"/>
    <cellStyle name="Note 4 4 3 2" xfId="41309" xr:uid="{00000000-0005-0000-0000-00005DA10000}"/>
    <cellStyle name="Note 4 4 3 2 2" xfId="41310" xr:uid="{00000000-0005-0000-0000-00005EA10000}"/>
    <cellStyle name="Note 4 4 3 2 2 2" xfId="41311" xr:uid="{00000000-0005-0000-0000-00005FA10000}"/>
    <cellStyle name="Note 4 4 3 2 2 2 2" xfId="41312" xr:uid="{00000000-0005-0000-0000-000060A10000}"/>
    <cellStyle name="Note 4 4 3 2 2 3" xfId="41313" xr:uid="{00000000-0005-0000-0000-000061A10000}"/>
    <cellStyle name="Note 4 4 3 2 3" xfId="41314" xr:uid="{00000000-0005-0000-0000-000062A10000}"/>
    <cellStyle name="Note 4 4 3 2 3 2" xfId="41315" xr:uid="{00000000-0005-0000-0000-000063A10000}"/>
    <cellStyle name="Note 4 4 3 2 4" xfId="41316" xr:uid="{00000000-0005-0000-0000-000064A10000}"/>
    <cellStyle name="Note 4 4 3 3" xfId="41317" xr:uid="{00000000-0005-0000-0000-000065A10000}"/>
    <cellStyle name="Note 4 4 3 3 2" xfId="41318" xr:uid="{00000000-0005-0000-0000-000066A10000}"/>
    <cellStyle name="Note 4 4 3 3 2 2" xfId="41319" xr:uid="{00000000-0005-0000-0000-000067A10000}"/>
    <cellStyle name="Note 4 4 3 3 3" xfId="41320" xr:uid="{00000000-0005-0000-0000-000068A10000}"/>
    <cellStyle name="Note 4 4 3 4" xfId="41321" xr:uid="{00000000-0005-0000-0000-000069A10000}"/>
    <cellStyle name="Note 4 4 3 4 2" xfId="41322" xr:uid="{00000000-0005-0000-0000-00006AA10000}"/>
    <cellStyle name="Note 4 4 3 4 2 2" xfId="41323" xr:uid="{00000000-0005-0000-0000-00006BA10000}"/>
    <cellStyle name="Note 4 4 3 4 3" xfId="41324" xr:uid="{00000000-0005-0000-0000-00006CA10000}"/>
    <cellStyle name="Note 4 4 3 5" xfId="41325" xr:uid="{00000000-0005-0000-0000-00006DA10000}"/>
    <cellStyle name="Note 4 4 3 5 2" xfId="41326" xr:uid="{00000000-0005-0000-0000-00006EA10000}"/>
    <cellStyle name="Note 4 4 3 5 2 2" xfId="41327" xr:uid="{00000000-0005-0000-0000-00006FA10000}"/>
    <cellStyle name="Note 4 4 3 5 3" xfId="41328" xr:uid="{00000000-0005-0000-0000-000070A10000}"/>
    <cellStyle name="Note 4 4 3 6" xfId="41329" xr:uid="{00000000-0005-0000-0000-000071A10000}"/>
    <cellStyle name="Note 4 4 3 6 2" xfId="41330" xr:uid="{00000000-0005-0000-0000-000072A10000}"/>
    <cellStyle name="Note 4 4 3 6 2 2" xfId="41331" xr:uid="{00000000-0005-0000-0000-000073A10000}"/>
    <cellStyle name="Note 4 4 3 6 3" xfId="41332" xr:uid="{00000000-0005-0000-0000-000074A10000}"/>
    <cellStyle name="Note 4 4 3 7" xfId="41333" xr:uid="{00000000-0005-0000-0000-000075A10000}"/>
    <cellStyle name="Note 4 4 3 7 2" xfId="41334" xr:uid="{00000000-0005-0000-0000-000076A10000}"/>
    <cellStyle name="Note 4 4 3 8" xfId="41335" xr:uid="{00000000-0005-0000-0000-000077A10000}"/>
    <cellStyle name="Note 4 4 4" xfId="41336" xr:uid="{00000000-0005-0000-0000-000078A10000}"/>
    <cellStyle name="Note 4 4 4 2" xfId="41337" xr:uid="{00000000-0005-0000-0000-000079A10000}"/>
    <cellStyle name="Note 4 4 4 2 2" xfId="41338" xr:uid="{00000000-0005-0000-0000-00007AA10000}"/>
    <cellStyle name="Note 4 4 4 2 2 2" xfId="41339" xr:uid="{00000000-0005-0000-0000-00007BA10000}"/>
    <cellStyle name="Note 4 4 4 2 2 2 2" xfId="41340" xr:uid="{00000000-0005-0000-0000-00007CA10000}"/>
    <cellStyle name="Note 4 4 4 2 2 3" xfId="41341" xr:uid="{00000000-0005-0000-0000-00007DA10000}"/>
    <cellStyle name="Note 4 4 4 2 3" xfId="41342" xr:uid="{00000000-0005-0000-0000-00007EA10000}"/>
    <cellStyle name="Note 4 4 4 2 3 2" xfId="41343" xr:uid="{00000000-0005-0000-0000-00007FA10000}"/>
    <cellStyle name="Note 4 4 4 2 4" xfId="41344" xr:uid="{00000000-0005-0000-0000-000080A10000}"/>
    <cellStyle name="Note 4 4 4 3" xfId="41345" xr:uid="{00000000-0005-0000-0000-000081A10000}"/>
    <cellStyle name="Note 4 4 4 3 2" xfId="41346" xr:uid="{00000000-0005-0000-0000-000082A10000}"/>
    <cellStyle name="Note 4 4 4 3 2 2" xfId="41347" xr:uid="{00000000-0005-0000-0000-000083A10000}"/>
    <cellStyle name="Note 4 4 4 3 3" xfId="41348" xr:uid="{00000000-0005-0000-0000-000084A10000}"/>
    <cellStyle name="Note 4 4 4 4" xfId="41349" xr:uid="{00000000-0005-0000-0000-000085A10000}"/>
    <cellStyle name="Note 4 4 4 4 2" xfId="41350" xr:uid="{00000000-0005-0000-0000-000086A10000}"/>
    <cellStyle name="Note 4 4 4 4 2 2" xfId="41351" xr:uid="{00000000-0005-0000-0000-000087A10000}"/>
    <cellStyle name="Note 4 4 4 4 3" xfId="41352" xr:uid="{00000000-0005-0000-0000-000088A10000}"/>
    <cellStyle name="Note 4 4 4 5" xfId="41353" xr:uid="{00000000-0005-0000-0000-000089A10000}"/>
    <cellStyle name="Note 4 4 4 5 2" xfId="41354" xr:uid="{00000000-0005-0000-0000-00008AA10000}"/>
    <cellStyle name="Note 4 4 4 5 2 2" xfId="41355" xr:uid="{00000000-0005-0000-0000-00008BA10000}"/>
    <cellStyle name="Note 4 4 4 5 3" xfId="41356" xr:uid="{00000000-0005-0000-0000-00008CA10000}"/>
    <cellStyle name="Note 4 4 4 6" xfId="41357" xr:uid="{00000000-0005-0000-0000-00008DA10000}"/>
    <cellStyle name="Note 4 4 4 6 2" xfId="41358" xr:uid="{00000000-0005-0000-0000-00008EA10000}"/>
    <cellStyle name="Note 4 4 4 6 2 2" xfId="41359" xr:uid="{00000000-0005-0000-0000-00008FA10000}"/>
    <cellStyle name="Note 4 4 4 6 3" xfId="41360" xr:uid="{00000000-0005-0000-0000-000090A10000}"/>
    <cellStyle name="Note 4 4 4 7" xfId="41361" xr:uid="{00000000-0005-0000-0000-000091A10000}"/>
    <cellStyle name="Note 4 4 4 7 2" xfId="41362" xr:uid="{00000000-0005-0000-0000-000092A10000}"/>
    <cellStyle name="Note 4 4 4 8" xfId="41363" xr:uid="{00000000-0005-0000-0000-000093A10000}"/>
    <cellStyle name="Note 4 4 5" xfId="41364" xr:uid="{00000000-0005-0000-0000-000094A10000}"/>
    <cellStyle name="Note 4 4 5 2" xfId="41365" xr:uid="{00000000-0005-0000-0000-000095A10000}"/>
    <cellStyle name="Note 4 4 5 2 2" xfId="41366" xr:uid="{00000000-0005-0000-0000-000096A10000}"/>
    <cellStyle name="Note 4 4 5 2 2 2" xfId="41367" xr:uid="{00000000-0005-0000-0000-000097A10000}"/>
    <cellStyle name="Note 4 4 5 2 2 2 2" xfId="41368" xr:uid="{00000000-0005-0000-0000-000098A10000}"/>
    <cellStyle name="Note 4 4 5 2 2 3" xfId="41369" xr:uid="{00000000-0005-0000-0000-000099A10000}"/>
    <cellStyle name="Note 4 4 5 2 3" xfId="41370" xr:uid="{00000000-0005-0000-0000-00009AA10000}"/>
    <cellStyle name="Note 4 4 5 2 3 2" xfId="41371" xr:uid="{00000000-0005-0000-0000-00009BA10000}"/>
    <cellStyle name="Note 4 4 5 2 4" xfId="41372" xr:uid="{00000000-0005-0000-0000-00009CA10000}"/>
    <cellStyle name="Note 4 4 5 3" xfId="41373" xr:uid="{00000000-0005-0000-0000-00009DA10000}"/>
    <cellStyle name="Note 4 4 5 3 2" xfId="41374" xr:uid="{00000000-0005-0000-0000-00009EA10000}"/>
    <cellStyle name="Note 4 4 5 3 2 2" xfId="41375" xr:uid="{00000000-0005-0000-0000-00009FA10000}"/>
    <cellStyle name="Note 4 4 5 3 3" xfId="41376" xr:uid="{00000000-0005-0000-0000-0000A0A10000}"/>
    <cellStyle name="Note 4 4 5 4" xfId="41377" xr:uid="{00000000-0005-0000-0000-0000A1A10000}"/>
    <cellStyle name="Note 4 4 5 4 2" xfId="41378" xr:uid="{00000000-0005-0000-0000-0000A2A10000}"/>
    <cellStyle name="Note 4 4 5 5" xfId="41379" xr:uid="{00000000-0005-0000-0000-0000A3A10000}"/>
    <cellStyle name="Note 4 4 6" xfId="41380" xr:uid="{00000000-0005-0000-0000-0000A4A10000}"/>
    <cellStyle name="Note 4 4 6 2" xfId="41381" xr:uid="{00000000-0005-0000-0000-0000A5A10000}"/>
    <cellStyle name="Note 4 4 6 2 2" xfId="41382" xr:uid="{00000000-0005-0000-0000-0000A6A10000}"/>
    <cellStyle name="Note 4 4 6 2 2 2" xfId="41383" xr:uid="{00000000-0005-0000-0000-0000A7A10000}"/>
    <cellStyle name="Note 4 4 6 2 2 2 2" xfId="41384" xr:uid="{00000000-0005-0000-0000-0000A8A10000}"/>
    <cellStyle name="Note 4 4 6 2 2 3" xfId="41385" xr:uid="{00000000-0005-0000-0000-0000A9A10000}"/>
    <cellStyle name="Note 4 4 6 2 3" xfId="41386" xr:uid="{00000000-0005-0000-0000-0000AAA10000}"/>
    <cellStyle name="Note 4 4 6 2 3 2" xfId="41387" xr:uid="{00000000-0005-0000-0000-0000ABA10000}"/>
    <cellStyle name="Note 4 4 6 2 4" xfId="41388" xr:uid="{00000000-0005-0000-0000-0000ACA10000}"/>
    <cellStyle name="Note 4 4 6 3" xfId="41389" xr:uid="{00000000-0005-0000-0000-0000ADA10000}"/>
    <cellStyle name="Note 4 4 6 3 2" xfId="41390" xr:uid="{00000000-0005-0000-0000-0000AEA10000}"/>
    <cellStyle name="Note 4 4 6 3 2 2" xfId="41391" xr:uid="{00000000-0005-0000-0000-0000AFA10000}"/>
    <cellStyle name="Note 4 4 6 3 3" xfId="41392" xr:uid="{00000000-0005-0000-0000-0000B0A10000}"/>
    <cellStyle name="Note 4 4 6 4" xfId="41393" xr:uid="{00000000-0005-0000-0000-0000B1A10000}"/>
    <cellStyle name="Note 4 4 6 4 2" xfId="41394" xr:uid="{00000000-0005-0000-0000-0000B2A10000}"/>
    <cellStyle name="Note 4 4 6 5" xfId="41395" xr:uid="{00000000-0005-0000-0000-0000B3A10000}"/>
    <cellStyle name="Note 4 4 7" xfId="41396" xr:uid="{00000000-0005-0000-0000-0000B4A10000}"/>
    <cellStyle name="Note 4 4 7 2" xfId="41397" xr:uid="{00000000-0005-0000-0000-0000B5A10000}"/>
    <cellStyle name="Note 4 4 7 2 2" xfId="41398" xr:uid="{00000000-0005-0000-0000-0000B6A10000}"/>
    <cellStyle name="Note 4 4 7 2 2 2" xfId="41399" xr:uid="{00000000-0005-0000-0000-0000B7A10000}"/>
    <cellStyle name="Note 4 4 7 2 3" xfId="41400" xr:uid="{00000000-0005-0000-0000-0000B8A10000}"/>
    <cellStyle name="Note 4 4 7 3" xfId="41401" xr:uid="{00000000-0005-0000-0000-0000B9A10000}"/>
    <cellStyle name="Note 4 4 7 3 2" xfId="41402" xr:uid="{00000000-0005-0000-0000-0000BAA10000}"/>
    <cellStyle name="Note 4 4 7 4" xfId="41403" xr:uid="{00000000-0005-0000-0000-0000BBA10000}"/>
    <cellStyle name="Note 4 4 8" xfId="41404" xr:uid="{00000000-0005-0000-0000-0000BCA10000}"/>
    <cellStyle name="Note 4 4 8 2" xfId="41405" xr:uid="{00000000-0005-0000-0000-0000BDA10000}"/>
    <cellStyle name="Note 4 4 8 2 2" xfId="41406" xr:uid="{00000000-0005-0000-0000-0000BEA10000}"/>
    <cellStyle name="Note 4 4 8 2 2 2" xfId="41407" xr:uid="{00000000-0005-0000-0000-0000BFA10000}"/>
    <cellStyle name="Note 4 4 8 2 3" xfId="41408" xr:uid="{00000000-0005-0000-0000-0000C0A10000}"/>
    <cellStyle name="Note 4 4 8 3" xfId="41409" xr:uid="{00000000-0005-0000-0000-0000C1A10000}"/>
    <cellStyle name="Note 4 4 8 3 2" xfId="41410" xr:uid="{00000000-0005-0000-0000-0000C2A10000}"/>
    <cellStyle name="Note 4 4 8 4" xfId="41411" xr:uid="{00000000-0005-0000-0000-0000C3A10000}"/>
    <cellStyle name="Note 4 4 9" xfId="41412" xr:uid="{00000000-0005-0000-0000-0000C4A10000}"/>
    <cellStyle name="Note 4 4 9 2" xfId="41413" xr:uid="{00000000-0005-0000-0000-0000C5A10000}"/>
    <cellStyle name="Note 4 4 9 2 2" xfId="41414" xr:uid="{00000000-0005-0000-0000-0000C6A10000}"/>
    <cellStyle name="Note 4 4 9 3" xfId="41415" xr:uid="{00000000-0005-0000-0000-0000C7A10000}"/>
    <cellStyle name="Note 4 5" xfId="41416" xr:uid="{00000000-0005-0000-0000-0000C8A10000}"/>
    <cellStyle name="Note 4 5 10" xfId="41417" xr:uid="{00000000-0005-0000-0000-0000C9A10000}"/>
    <cellStyle name="Note 4 5 10 2" xfId="41418" xr:uid="{00000000-0005-0000-0000-0000CAA10000}"/>
    <cellStyle name="Note 4 5 10 2 2" xfId="41419" xr:uid="{00000000-0005-0000-0000-0000CBA10000}"/>
    <cellStyle name="Note 4 5 10 3" xfId="41420" xr:uid="{00000000-0005-0000-0000-0000CCA10000}"/>
    <cellStyle name="Note 4 5 11" xfId="41421" xr:uid="{00000000-0005-0000-0000-0000CDA10000}"/>
    <cellStyle name="Note 4 5 11 2" xfId="41422" xr:uid="{00000000-0005-0000-0000-0000CEA10000}"/>
    <cellStyle name="Note 4 5 11 2 2" xfId="41423" xr:uid="{00000000-0005-0000-0000-0000CFA10000}"/>
    <cellStyle name="Note 4 5 11 3" xfId="41424" xr:uid="{00000000-0005-0000-0000-0000D0A10000}"/>
    <cellStyle name="Note 4 5 12" xfId="41425" xr:uid="{00000000-0005-0000-0000-0000D1A10000}"/>
    <cellStyle name="Note 4 5 12 2" xfId="41426" xr:uid="{00000000-0005-0000-0000-0000D2A10000}"/>
    <cellStyle name="Note 4 5 12 2 2" xfId="41427" xr:uid="{00000000-0005-0000-0000-0000D3A10000}"/>
    <cellStyle name="Note 4 5 12 3" xfId="41428" xr:uid="{00000000-0005-0000-0000-0000D4A10000}"/>
    <cellStyle name="Note 4 5 13" xfId="41429" xr:uid="{00000000-0005-0000-0000-0000D5A10000}"/>
    <cellStyle name="Note 4 5 13 2" xfId="41430" xr:uid="{00000000-0005-0000-0000-0000D6A10000}"/>
    <cellStyle name="Note 4 5 14" xfId="41431" xr:uid="{00000000-0005-0000-0000-0000D7A10000}"/>
    <cellStyle name="Note 4 5 2" xfId="41432" xr:uid="{00000000-0005-0000-0000-0000D8A10000}"/>
    <cellStyle name="Note 4 5 2 2" xfId="41433" xr:uid="{00000000-0005-0000-0000-0000D9A10000}"/>
    <cellStyle name="Note 4 5 2 2 2" xfId="41434" xr:uid="{00000000-0005-0000-0000-0000DAA10000}"/>
    <cellStyle name="Note 4 5 2 2 2 2" xfId="41435" xr:uid="{00000000-0005-0000-0000-0000DBA10000}"/>
    <cellStyle name="Note 4 5 2 2 2 2 2" xfId="41436" xr:uid="{00000000-0005-0000-0000-0000DCA10000}"/>
    <cellStyle name="Note 4 5 2 2 2 3" xfId="41437" xr:uid="{00000000-0005-0000-0000-0000DDA10000}"/>
    <cellStyle name="Note 4 5 2 2 3" xfId="41438" xr:uid="{00000000-0005-0000-0000-0000DEA10000}"/>
    <cellStyle name="Note 4 5 2 2 3 2" xfId="41439" xr:uid="{00000000-0005-0000-0000-0000DFA10000}"/>
    <cellStyle name="Note 4 5 2 2 4" xfId="41440" xr:uid="{00000000-0005-0000-0000-0000E0A10000}"/>
    <cellStyle name="Note 4 5 2 3" xfId="41441" xr:uid="{00000000-0005-0000-0000-0000E1A10000}"/>
    <cellStyle name="Note 4 5 2 3 2" xfId="41442" xr:uid="{00000000-0005-0000-0000-0000E2A10000}"/>
    <cellStyle name="Note 4 5 2 3 2 2" xfId="41443" xr:uid="{00000000-0005-0000-0000-0000E3A10000}"/>
    <cellStyle name="Note 4 5 2 3 3" xfId="41444" xr:uid="{00000000-0005-0000-0000-0000E4A10000}"/>
    <cellStyle name="Note 4 5 2 4" xfId="41445" xr:uid="{00000000-0005-0000-0000-0000E5A10000}"/>
    <cellStyle name="Note 4 5 2 4 2" xfId="41446" xr:uid="{00000000-0005-0000-0000-0000E6A10000}"/>
    <cellStyle name="Note 4 5 2 4 2 2" xfId="41447" xr:uid="{00000000-0005-0000-0000-0000E7A10000}"/>
    <cellStyle name="Note 4 5 2 4 3" xfId="41448" xr:uid="{00000000-0005-0000-0000-0000E8A10000}"/>
    <cellStyle name="Note 4 5 2 5" xfId="41449" xr:uid="{00000000-0005-0000-0000-0000E9A10000}"/>
    <cellStyle name="Note 4 5 2 5 2" xfId="41450" xr:uid="{00000000-0005-0000-0000-0000EAA10000}"/>
    <cellStyle name="Note 4 5 2 5 2 2" xfId="41451" xr:uid="{00000000-0005-0000-0000-0000EBA10000}"/>
    <cellStyle name="Note 4 5 2 5 3" xfId="41452" xr:uid="{00000000-0005-0000-0000-0000ECA10000}"/>
    <cellStyle name="Note 4 5 2 6" xfId="41453" xr:uid="{00000000-0005-0000-0000-0000EDA10000}"/>
    <cellStyle name="Note 4 5 2 6 2" xfId="41454" xr:uid="{00000000-0005-0000-0000-0000EEA10000}"/>
    <cellStyle name="Note 4 5 2 6 2 2" xfId="41455" xr:uid="{00000000-0005-0000-0000-0000EFA10000}"/>
    <cellStyle name="Note 4 5 2 6 3" xfId="41456" xr:uid="{00000000-0005-0000-0000-0000F0A10000}"/>
    <cellStyle name="Note 4 5 2 7" xfId="41457" xr:uid="{00000000-0005-0000-0000-0000F1A10000}"/>
    <cellStyle name="Note 4 5 2 7 2" xfId="41458" xr:uid="{00000000-0005-0000-0000-0000F2A10000}"/>
    <cellStyle name="Note 4 5 2 8" xfId="41459" xr:uid="{00000000-0005-0000-0000-0000F3A10000}"/>
    <cellStyle name="Note 4 5 3" xfId="41460" xr:uid="{00000000-0005-0000-0000-0000F4A10000}"/>
    <cellStyle name="Note 4 5 3 2" xfId="41461" xr:uid="{00000000-0005-0000-0000-0000F5A10000}"/>
    <cellStyle name="Note 4 5 3 2 2" xfId="41462" xr:uid="{00000000-0005-0000-0000-0000F6A10000}"/>
    <cellStyle name="Note 4 5 3 2 2 2" xfId="41463" xr:uid="{00000000-0005-0000-0000-0000F7A10000}"/>
    <cellStyle name="Note 4 5 3 2 2 2 2" xfId="41464" xr:uid="{00000000-0005-0000-0000-0000F8A10000}"/>
    <cellStyle name="Note 4 5 3 2 2 3" xfId="41465" xr:uid="{00000000-0005-0000-0000-0000F9A10000}"/>
    <cellStyle name="Note 4 5 3 2 3" xfId="41466" xr:uid="{00000000-0005-0000-0000-0000FAA10000}"/>
    <cellStyle name="Note 4 5 3 2 3 2" xfId="41467" xr:uid="{00000000-0005-0000-0000-0000FBA10000}"/>
    <cellStyle name="Note 4 5 3 2 4" xfId="41468" xr:uid="{00000000-0005-0000-0000-0000FCA10000}"/>
    <cellStyle name="Note 4 5 3 3" xfId="41469" xr:uid="{00000000-0005-0000-0000-0000FDA10000}"/>
    <cellStyle name="Note 4 5 3 3 2" xfId="41470" xr:uid="{00000000-0005-0000-0000-0000FEA10000}"/>
    <cellStyle name="Note 4 5 3 3 2 2" xfId="41471" xr:uid="{00000000-0005-0000-0000-0000FFA10000}"/>
    <cellStyle name="Note 4 5 3 3 3" xfId="41472" xr:uid="{00000000-0005-0000-0000-000000A20000}"/>
    <cellStyle name="Note 4 5 3 4" xfId="41473" xr:uid="{00000000-0005-0000-0000-000001A20000}"/>
    <cellStyle name="Note 4 5 3 4 2" xfId="41474" xr:uid="{00000000-0005-0000-0000-000002A20000}"/>
    <cellStyle name="Note 4 5 3 4 2 2" xfId="41475" xr:uid="{00000000-0005-0000-0000-000003A20000}"/>
    <cellStyle name="Note 4 5 3 4 3" xfId="41476" xr:uid="{00000000-0005-0000-0000-000004A20000}"/>
    <cellStyle name="Note 4 5 3 5" xfId="41477" xr:uid="{00000000-0005-0000-0000-000005A20000}"/>
    <cellStyle name="Note 4 5 3 5 2" xfId="41478" xr:uid="{00000000-0005-0000-0000-000006A20000}"/>
    <cellStyle name="Note 4 5 3 5 2 2" xfId="41479" xr:uid="{00000000-0005-0000-0000-000007A20000}"/>
    <cellStyle name="Note 4 5 3 5 3" xfId="41480" xr:uid="{00000000-0005-0000-0000-000008A20000}"/>
    <cellStyle name="Note 4 5 3 6" xfId="41481" xr:uid="{00000000-0005-0000-0000-000009A20000}"/>
    <cellStyle name="Note 4 5 3 6 2" xfId="41482" xr:uid="{00000000-0005-0000-0000-00000AA20000}"/>
    <cellStyle name="Note 4 5 3 6 2 2" xfId="41483" xr:uid="{00000000-0005-0000-0000-00000BA20000}"/>
    <cellStyle name="Note 4 5 3 6 3" xfId="41484" xr:uid="{00000000-0005-0000-0000-00000CA20000}"/>
    <cellStyle name="Note 4 5 3 7" xfId="41485" xr:uid="{00000000-0005-0000-0000-00000DA20000}"/>
    <cellStyle name="Note 4 5 3 7 2" xfId="41486" xr:uid="{00000000-0005-0000-0000-00000EA20000}"/>
    <cellStyle name="Note 4 5 3 8" xfId="41487" xr:uid="{00000000-0005-0000-0000-00000FA20000}"/>
    <cellStyle name="Note 4 5 4" xfId="41488" xr:uid="{00000000-0005-0000-0000-000010A20000}"/>
    <cellStyle name="Note 4 5 4 2" xfId="41489" xr:uid="{00000000-0005-0000-0000-000011A20000}"/>
    <cellStyle name="Note 4 5 4 2 2" xfId="41490" xr:uid="{00000000-0005-0000-0000-000012A20000}"/>
    <cellStyle name="Note 4 5 4 2 2 2" xfId="41491" xr:uid="{00000000-0005-0000-0000-000013A20000}"/>
    <cellStyle name="Note 4 5 4 2 2 2 2" xfId="41492" xr:uid="{00000000-0005-0000-0000-000014A20000}"/>
    <cellStyle name="Note 4 5 4 2 2 3" xfId="41493" xr:uid="{00000000-0005-0000-0000-000015A20000}"/>
    <cellStyle name="Note 4 5 4 2 3" xfId="41494" xr:uid="{00000000-0005-0000-0000-000016A20000}"/>
    <cellStyle name="Note 4 5 4 2 3 2" xfId="41495" xr:uid="{00000000-0005-0000-0000-000017A20000}"/>
    <cellStyle name="Note 4 5 4 2 4" xfId="41496" xr:uid="{00000000-0005-0000-0000-000018A20000}"/>
    <cellStyle name="Note 4 5 4 3" xfId="41497" xr:uid="{00000000-0005-0000-0000-000019A20000}"/>
    <cellStyle name="Note 4 5 4 3 2" xfId="41498" xr:uid="{00000000-0005-0000-0000-00001AA20000}"/>
    <cellStyle name="Note 4 5 4 3 2 2" xfId="41499" xr:uid="{00000000-0005-0000-0000-00001BA20000}"/>
    <cellStyle name="Note 4 5 4 3 3" xfId="41500" xr:uid="{00000000-0005-0000-0000-00001CA20000}"/>
    <cellStyle name="Note 4 5 4 4" xfId="41501" xr:uid="{00000000-0005-0000-0000-00001DA20000}"/>
    <cellStyle name="Note 4 5 4 4 2" xfId="41502" xr:uid="{00000000-0005-0000-0000-00001EA20000}"/>
    <cellStyle name="Note 4 5 4 4 2 2" xfId="41503" xr:uid="{00000000-0005-0000-0000-00001FA20000}"/>
    <cellStyle name="Note 4 5 4 4 3" xfId="41504" xr:uid="{00000000-0005-0000-0000-000020A20000}"/>
    <cellStyle name="Note 4 5 4 5" xfId="41505" xr:uid="{00000000-0005-0000-0000-000021A20000}"/>
    <cellStyle name="Note 4 5 4 5 2" xfId="41506" xr:uid="{00000000-0005-0000-0000-000022A20000}"/>
    <cellStyle name="Note 4 5 4 5 2 2" xfId="41507" xr:uid="{00000000-0005-0000-0000-000023A20000}"/>
    <cellStyle name="Note 4 5 4 5 3" xfId="41508" xr:uid="{00000000-0005-0000-0000-000024A20000}"/>
    <cellStyle name="Note 4 5 4 6" xfId="41509" xr:uid="{00000000-0005-0000-0000-000025A20000}"/>
    <cellStyle name="Note 4 5 4 6 2" xfId="41510" xr:uid="{00000000-0005-0000-0000-000026A20000}"/>
    <cellStyle name="Note 4 5 4 6 2 2" xfId="41511" xr:uid="{00000000-0005-0000-0000-000027A20000}"/>
    <cellStyle name="Note 4 5 4 6 3" xfId="41512" xr:uid="{00000000-0005-0000-0000-000028A20000}"/>
    <cellStyle name="Note 4 5 4 7" xfId="41513" xr:uid="{00000000-0005-0000-0000-000029A20000}"/>
    <cellStyle name="Note 4 5 4 7 2" xfId="41514" xr:uid="{00000000-0005-0000-0000-00002AA20000}"/>
    <cellStyle name="Note 4 5 4 8" xfId="41515" xr:uid="{00000000-0005-0000-0000-00002BA20000}"/>
    <cellStyle name="Note 4 5 5" xfId="41516" xr:uid="{00000000-0005-0000-0000-00002CA20000}"/>
    <cellStyle name="Note 4 5 5 2" xfId="41517" xr:uid="{00000000-0005-0000-0000-00002DA20000}"/>
    <cellStyle name="Note 4 5 5 2 2" xfId="41518" xr:uid="{00000000-0005-0000-0000-00002EA20000}"/>
    <cellStyle name="Note 4 5 5 2 2 2" xfId="41519" xr:uid="{00000000-0005-0000-0000-00002FA20000}"/>
    <cellStyle name="Note 4 5 5 2 2 2 2" xfId="41520" xr:uid="{00000000-0005-0000-0000-000030A20000}"/>
    <cellStyle name="Note 4 5 5 2 2 3" xfId="41521" xr:uid="{00000000-0005-0000-0000-000031A20000}"/>
    <cellStyle name="Note 4 5 5 2 3" xfId="41522" xr:uid="{00000000-0005-0000-0000-000032A20000}"/>
    <cellStyle name="Note 4 5 5 2 3 2" xfId="41523" xr:uid="{00000000-0005-0000-0000-000033A20000}"/>
    <cellStyle name="Note 4 5 5 2 4" xfId="41524" xr:uid="{00000000-0005-0000-0000-000034A20000}"/>
    <cellStyle name="Note 4 5 5 3" xfId="41525" xr:uid="{00000000-0005-0000-0000-000035A20000}"/>
    <cellStyle name="Note 4 5 5 3 2" xfId="41526" xr:uid="{00000000-0005-0000-0000-000036A20000}"/>
    <cellStyle name="Note 4 5 5 3 2 2" xfId="41527" xr:uid="{00000000-0005-0000-0000-000037A20000}"/>
    <cellStyle name="Note 4 5 5 3 3" xfId="41528" xr:uid="{00000000-0005-0000-0000-000038A20000}"/>
    <cellStyle name="Note 4 5 5 4" xfId="41529" xr:uid="{00000000-0005-0000-0000-000039A20000}"/>
    <cellStyle name="Note 4 5 5 4 2" xfId="41530" xr:uid="{00000000-0005-0000-0000-00003AA20000}"/>
    <cellStyle name="Note 4 5 5 5" xfId="41531" xr:uid="{00000000-0005-0000-0000-00003BA20000}"/>
    <cellStyle name="Note 4 5 6" xfId="41532" xr:uid="{00000000-0005-0000-0000-00003CA20000}"/>
    <cellStyle name="Note 4 5 6 2" xfId="41533" xr:uid="{00000000-0005-0000-0000-00003DA20000}"/>
    <cellStyle name="Note 4 5 6 2 2" xfId="41534" xr:uid="{00000000-0005-0000-0000-00003EA20000}"/>
    <cellStyle name="Note 4 5 6 2 2 2" xfId="41535" xr:uid="{00000000-0005-0000-0000-00003FA20000}"/>
    <cellStyle name="Note 4 5 6 2 2 2 2" xfId="41536" xr:uid="{00000000-0005-0000-0000-000040A20000}"/>
    <cellStyle name="Note 4 5 6 2 2 3" xfId="41537" xr:uid="{00000000-0005-0000-0000-000041A20000}"/>
    <cellStyle name="Note 4 5 6 2 3" xfId="41538" xr:uid="{00000000-0005-0000-0000-000042A20000}"/>
    <cellStyle name="Note 4 5 6 2 3 2" xfId="41539" xr:uid="{00000000-0005-0000-0000-000043A20000}"/>
    <cellStyle name="Note 4 5 6 2 4" xfId="41540" xr:uid="{00000000-0005-0000-0000-000044A20000}"/>
    <cellStyle name="Note 4 5 6 3" xfId="41541" xr:uid="{00000000-0005-0000-0000-000045A20000}"/>
    <cellStyle name="Note 4 5 6 3 2" xfId="41542" xr:uid="{00000000-0005-0000-0000-000046A20000}"/>
    <cellStyle name="Note 4 5 6 3 2 2" xfId="41543" xr:uid="{00000000-0005-0000-0000-000047A20000}"/>
    <cellStyle name="Note 4 5 6 3 3" xfId="41544" xr:uid="{00000000-0005-0000-0000-000048A20000}"/>
    <cellStyle name="Note 4 5 6 4" xfId="41545" xr:uid="{00000000-0005-0000-0000-000049A20000}"/>
    <cellStyle name="Note 4 5 6 4 2" xfId="41546" xr:uid="{00000000-0005-0000-0000-00004AA20000}"/>
    <cellStyle name="Note 4 5 6 5" xfId="41547" xr:uid="{00000000-0005-0000-0000-00004BA20000}"/>
    <cellStyle name="Note 4 5 7" xfId="41548" xr:uid="{00000000-0005-0000-0000-00004CA20000}"/>
    <cellStyle name="Note 4 5 7 2" xfId="41549" xr:uid="{00000000-0005-0000-0000-00004DA20000}"/>
    <cellStyle name="Note 4 5 7 2 2" xfId="41550" xr:uid="{00000000-0005-0000-0000-00004EA20000}"/>
    <cellStyle name="Note 4 5 7 2 2 2" xfId="41551" xr:uid="{00000000-0005-0000-0000-00004FA20000}"/>
    <cellStyle name="Note 4 5 7 2 3" xfId="41552" xr:uid="{00000000-0005-0000-0000-000050A20000}"/>
    <cellStyle name="Note 4 5 7 3" xfId="41553" xr:uid="{00000000-0005-0000-0000-000051A20000}"/>
    <cellStyle name="Note 4 5 7 3 2" xfId="41554" xr:uid="{00000000-0005-0000-0000-000052A20000}"/>
    <cellStyle name="Note 4 5 7 4" xfId="41555" xr:uid="{00000000-0005-0000-0000-000053A20000}"/>
    <cellStyle name="Note 4 5 8" xfId="41556" xr:uid="{00000000-0005-0000-0000-000054A20000}"/>
    <cellStyle name="Note 4 5 8 2" xfId="41557" xr:uid="{00000000-0005-0000-0000-000055A20000}"/>
    <cellStyle name="Note 4 5 8 2 2" xfId="41558" xr:uid="{00000000-0005-0000-0000-000056A20000}"/>
    <cellStyle name="Note 4 5 8 2 2 2" xfId="41559" xr:uid="{00000000-0005-0000-0000-000057A20000}"/>
    <cellStyle name="Note 4 5 8 2 3" xfId="41560" xr:uid="{00000000-0005-0000-0000-000058A20000}"/>
    <cellStyle name="Note 4 5 8 3" xfId="41561" xr:uid="{00000000-0005-0000-0000-000059A20000}"/>
    <cellStyle name="Note 4 5 8 3 2" xfId="41562" xr:uid="{00000000-0005-0000-0000-00005AA20000}"/>
    <cellStyle name="Note 4 5 8 4" xfId="41563" xr:uid="{00000000-0005-0000-0000-00005BA20000}"/>
    <cellStyle name="Note 4 5 9" xfId="41564" xr:uid="{00000000-0005-0000-0000-00005CA20000}"/>
    <cellStyle name="Note 4 5 9 2" xfId="41565" xr:uid="{00000000-0005-0000-0000-00005DA20000}"/>
    <cellStyle name="Note 4 5 9 2 2" xfId="41566" xr:uid="{00000000-0005-0000-0000-00005EA20000}"/>
    <cellStyle name="Note 4 5 9 3" xfId="41567" xr:uid="{00000000-0005-0000-0000-00005FA20000}"/>
    <cellStyle name="Note 4 6" xfId="41568" xr:uid="{00000000-0005-0000-0000-000060A20000}"/>
    <cellStyle name="Note 4 6 10" xfId="41569" xr:uid="{00000000-0005-0000-0000-000061A20000}"/>
    <cellStyle name="Note 4 6 10 2" xfId="41570" xr:uid="{00000000-0005-0000-0000-000062A20000}"/>
    <cellStyle name="Note 4 6 10 2 2" xfId="41571" xr:uid="{00000000-0005-0000-0000-000063A20000}"/>
    <cellStyle name="Note 4 6 10 3" xfId="41572" xr:uid="{00000000-0005-0000-0000-000064A20000}"/>
    <cellStyle name="Note 4 6 11" xfId="41573" xr:uid="{00000000-0005-0000-0000-000065A20000}"/>
    <cellStyle name="Note 4 6 11 2" xfId="41574" xr:uid="{00000000-0005-0000-0000-000066A20000}"/>
    <cellStyle name="Note 4 6 11 2 2" xfId="41575" xr:uid="{00000000-0005-0000-0000-000067A20000}"/>
    <cellStyle name="Note 4 6 11 3" xfId="41576" xr:uid="{00000000-0005-0000-0000-000068A20000}"/>
    <cellStyle name="Note 4 6 12" xfId="41577" xr:uid="{00000000-0005-0000-0000-000069A20000}"/>
    <cellStyle name="Note 4 6 12 2" xfId="41578" xr:uid="{00000000-0005-0000-0000-00006AA20000}"/>
    <cellStyle name="Note 4 6 12 2 2" xfId="41579" xr:uid="{00000000-0005-0000-0000-00006BA20000}"/>
    <cellStyle name="Note 4 6 12 3" xfId="41580" xr:uid="{00000000-0005-0000-0000-00006CA20000}"/>
    <cellStyle name="Note 4 6 13" xfId="41581" xr:uid="{00000000-0005-0000-0000-00006DA20000}"/>
    <cellStyle name="Note 4 6 13 2" xfId="41582" xr:uid="{00000000-0005-0000-0000-00006EA20000}"/>
    <cellStyle name="Note 4 6 14" xfId="41583" xr:uid="{00000000-0005-0000-0000-00006FA20000}"/>
    <cellStyle name="Note 4 6 2" xfId="41584" xr:uid="{00000000-0005-0000-0000-000070A20000}"/>
    <cellStyle name="Note 4 6 2 2" xfId="41585" xr:uid="{00000000-0005-0000-0000-000071A20000}"/>
    <cellStyle name="Note 4 6 2 2 2" xfId="41586" xr:uid="{00000000-0005-0000-0000-000072A20000}"/>
    <cellStyle name="Note 4 6 2 2 2 2" xfId="41587" xr:uid="{00000000-0005-0000-0000-000073A20000}"/>
    <cellStyle name="Note 4 6 2 2 2 2 2" xfId="41588" xr:uid="{00000000-0005-0000-0000-000074A20000}"/>
    <cellStyle name="Note 4 6 2 2 2 3" xfId="41589" xr:uid="{00000000-0005-0000-0000-000075A20000}"/>
    <cellStyle name="Note 4 6 2 2 3" xfId="41590" xr:uid="{00000000-0005-0000-0000-000076A20000}"/>
    <cellStyle name="Note 4 6 2 2 3 2" xfId="41591" xr:uid="{00000000-0005-0000-0000-000077A20000}"/>
    <cellStyle name="Note 4 6 2 2 4" xfId="41592" xr:uid="{00000000-0005-0000-0000-000078A20000}"/>
    <cellStyle name="Note 4 6 2 3" xfId="41593" xr:uid="{00000000-0005-0000-0000-000079A20000}"/>
    <cellStyle name="Note 4 6 2 3 2" xfId="41594" xr:uid="{00000000-0005-0000-0000-00007AA20000}"/>
    <cellStyle name="Note 4 6 2 3 2 2" xfId="41595" xr:uid="{00000000-0005-0000-0000-00007BA20000}"/>
    <cellStyle name="Note 4 6 2 3 3" xfId="41596" xr:uid="{00000000-0005-0000-0000-00007CA20000}"/>
    <cellStyle name="Note 4 6 2 4" xfId="41597" xr:uid="{00000000-0005-0000-0000-00007DA20000}"/>
    <cellStyle name="Note 4 6 2 4 2" xfId="41598" xr:uid="{00000000-0005-0000-0000-00007EA20000}"/>
    <cellStyle name="Note 4 6 2 4 2 2" xfId="41599" xr:uid="{00000000-0005-0000-0000-00007FA20000}"/>
    <cellStyle name="Note 4 6 2 4 3" xfId="41600" xr:uid="{00000000-0005-0000-0000-000080A20000}"/>
    <cellStyle name="Note 4 6 2 5" xfId="41601" xr:uid="{00000000-0005-0000-0000-000081A20000}"/>
    <cellStyle name="Note 4 6 2 5 2" xfId="41602" xr:uid="{00000000-0005-0000-0000-000082A20000}"/>
    <cellStyle name="Note 4 6 2 5 2 2" xfId="41603" xr:uid="{00000000-0005-0000-0000-000083A20000}"/>
    <cellStyle name="Note 4 6 2 5 3" xfId="41604" xr:uid="{00000000-0005-0000-0000-000084A20000}"/>
    <cellStyle name="Note 4 6 2 6" xfId="41605" xr:uid="{00000000-0005-0000-0000-000085A20000}"/>
    <cellStyle name="Note 4 6 2 6 2" xfId="41606" xr:uid="{00000000-0005-0000-0000-000086A20000}"/>
    <cellStyle name="Note 4 6 2 6 2 2" xfId="41607" xr:uid="{00000000-0005-0000-0000-000087A20000}"/>
    <cellStyle name="Note 4 6 2 6 3" xfId="41608" xr:uid="{00000000-0005-0000-0000-000088A20000}"/>
    <cellStyle name="Note 4 6 2 7" xfId="41609" xr:uid="{00000000-0005-0000-0000-000089A20000}"/>
    <cellStyle name="Note 4 6 2 7 2" xfId="41610" xr:uid="{00000000-0005-0000-0000-00008AA20000}"/>
    <cellStyle name="Note 4 6 2 8" xfId="41611" xr:uid="{00000000-0005-0000-0000-00008BA20000}"/>
    <cellStyle name="Note 4 6 3" xfId="41612" xr:uid="{00000000-0005-0000-0000-00008CA20000}"/>
    <cellStyle name="Note 4 6 3 2" xfId="41613" xr:uid="{00000000-0005-0000-0000-00008DA20000}"/>
    <cellStyle name="Note 4 6 3 2 2" xfId="41614" xr:uid="{00000000-0005-0000-0000-00008EA20000}"/>
    <cellStyle name="Note 4 6 3 2 2 2" xfId="41615" xr:uid="{00000000-0005-0000-0000-00008FA20000}"/>
    <cellStyle name="Note 4 6 3 2 2 2 2" xfId="41616" xr:uid="{00000000-0005-0000-0000-000090A20000}"/>
    <cellStyle name="Note 4 6 3 2 2 3" xfId="41617" xr:uid="{00000000-0005-0000-0000-000091A20000}"/>
    <cellStyle name="Note 4 6 3 2 3" xfId="41618" xr:uid="{00000000-0005-0000-0000-000092A20000}"/>
    <cellStyle name="Note 4 6 3 2 3 2" xfId="41619" xr:uid="{00000000-0005-0000-0000-000093A20000}"/>
    <cellStyle name="Note 4 6 3 2 4" xfId="41620" xr:uid="{00000000-0005-0000-0000-000094A20000}"/>
    <cellStyle name="Note 4 6 3 3" xfId="41621" xr:uid="{00000000-0005-0000-0000-000095A20000}"/>
    <cellStyle name="Note 4 6 3 3 2" xfId="41622" xr:uid="{00000000-0005-0000-0000-000096A20000}"/>
    <cellStyle name="Note 4 6 3 3 2 2" xfId="41623" xr:uid="{00000000-0005-0000-0000-000097A20000}"/>
    <cellStyle name="Note 4 6 3 3 3" xfId="41624" xr:uid="{00000000-0005-0000-0000-000098A20000}"/>
    <cellStyle name="Note 4 6 3 4" xfId="41625" xr:uid="{00000000-0005-0000-0000-000099A20000}"/>
    <cellStyle name="Note 4 6 3 4 2" xfId="41626" xr:uid="{00000000-0005-0000-0000-00009AA20000}"/>
    <cellStyle name="Note 4 6 3 4 2 2" xfId="41627" xr:uid="{00000000-0005-0000-0000-00009BA20000}"/>
    <cellStyle name="Note 4 6 3 4 3" xfId="41628" xr:uid="{00000000-0005-0000-0000-00009CA20000}"/>
    <cellStyle name="Note 4 6 3 5" xfId="41629" xr:uid="{00000000-0005-0000-0000-00009DA20000}"/>
    <cellStyle name="Note 4 6 3 5 2" xfId="41630" xr:uid="{00000000-0005-0000-0000-00009EA20000}"/>
    <cellStyle name="Note 4 6 3 5 2 2" xfId="41631" xr:uid="{00000000-0005-0000-0000-00009FA20000}"/>
    <cellStyle name="Note 4 6 3 5 3" xfId="41632" xr:uid="{00000000-0005-0000-0000-0000A0A20000}"/>
    <cellStyle name="Note 4 6 3 6" xfId="41633" xr:uid="{00000000-0005-0000-0000-0000A1A20000}"/>
    <cellStyle name="Note 4 6 3 6 2" xfId="41634" xr:uid="{00000000-0005-0000-0000-0000A2A20000}"/>
    <cellStyle name="Note 4 6 3 6 2 2" xfId="41635" xr:uid="{00000000-0005-0000-0000-0000A3A20000}"/>
    <cellStyle name="Note 4 6 3 6 3" xfId="41636" xr:uid="{00000000-0005-0000-0000-0000A4A20000}"/>
    <cellStyle name="Note 4 6 3 7" xfId="41637" xr:uid="{00000000-0005-0000-0000-0000A5A20000}"/>
    <cellStyle name="Note 4 6 3 7 2" xfId="41638" xr:uid="{00000000-0005-0000-0000-0000A6A20000}"/>
    <cellStyle name="Note 4 6 3 8" xfId="41639" xr:uid="{00000000-0005-0000-0000-0000A7A20000}"/>
    <cellStyle name="Note 4 6 4" xfId="41640" xr:uid="{00000000-0005-0000-0000-0000A8A20000}"/>
    <cellStyle name="Note 4 6 4 2" xfId="41641" xr:uid="{00000000-0005-0000-0000-0000A9A20000}"/>
    <cellStyle name="Note 4 6 4 2 2" xfId="41642" xr:uid="{00000000-0005-0000-0000-0000AAA20000}"/>
    <cellStyle name="Note 4 6 4 2 2 2" xfId="41643" xr:uid="{00000000-0005-0000-0000-0000ABA20000}"/>
    <cellStyle name="Note 4 6 4 2 2 2 2" xfId="41644" xr:uid="{00000000-0005-0000-0000-0000ACA20000}"/>
    <cellStyle name="Note 4 6 4 2 2 3" xfId="41645" xr:uid="{00000000-0005-0000-0000-0000ADA20000}"/>
    <cellStyle name="Note 4 6 4 2 3" xfId="41646" xr:uid="{00000000-0005-0000-0000-0000AEA20000}"/>
    <cellStyle name="Note 4 6 4 2 3 2" xfId="41647" xr:uid="{00000000-0005-0000-0000-0000AFA20000}"/>
    <cellStyle name="Note 4 6 4 2 4" xfId="41648" xr:uid="{00000000-0005-0000-0000-0000B0A20000}"/>
    <cellStyle name="Note 4 6 4 3" xfId="41649" xr:uid="{00000000-0005-0000-0000-0000B1A20000}"/>
    <cellStyle name="Note 4 6 4 3 2" xfId="41650" xr:uid="{00000000-0005-0000-0000-0000B2A20000}"/>
    <cellStyle name="Note 4 6 4 3 2 2" xfId="41651" xr:uid="{00000000-0005-0000-0000-0000B3A20000}"/>
    <cellStyle name="Note 4 6 4 3 3" xfId="41652" xr:uid="{00000000-0005-0000-0000-0000B4A20000}"/>
    <cellStyle name="Note 4 6 4 4" xfId="41653" xr:uid="{00000000-0005-0000-0000-0000B5A20000}"/>
    <cellStyle name="Note 4 6 4 4 2" xfId="41654" xr:uid="{00000000-0005-0000-0000-0000B6A20000}"/>
    <cellStyle name="Note 4 6 4 4 2 2" xfId="41655" xr:uid="{00000000-0005-0000-0000-0000B7A20000}"/>
    <cellStyle name="Note 4 6 4 4 3" xfId="41656" xr:uid="{00000000-0005-0000-0000-0000B8A20000}"/>
    <cellStyle name="Note 4 6 4 5" xfId="41657" xr:uid="{00000000-0005-0000-0000-0000B9A20000}"/>
    <cellStyle name="Note 4 6 4 5 2" xfId="41658" xr:uid="{00000000-0005-0000-0000-0000BAA20000}"/>
    <cellStyle name="Note 4 6 4 5 2 2" xfId="41659" xr:uid="{00000000-0005-0000-0000-0000BBA20000}"/>
    <cellStyle name="Note 4 6 4 5 3" xfId="41660" xr:uid="{00000000-0005-0000-0000-0000BCA20000}"/>
    <cellStyle name="Note 4 6 4 6" xfId="41661" xr:uid="{00000000-0005-0000-0000-0000BDA20000}"/>
    <cellStyle name="Note 4 6 4 6 2" xfId="41662" xr:uid="{00000000-0005-0000-0000-0000BEA20000}"/>
    <cellStyle name="Note 4 6 4 6 2 2" xfId="41663" xr:uid="{00000000-0005-0000-0000-0000BFA20000}"/>
    <cellStyle name="Note 4 6 4 6 3" xfId="41664" xr:uid="{00000000-0005-0000-0000-0000C0A20000}"/>
    <cellStyle name="Note 4 6 4 7" xfId="41665" xr:uid="{00000000-0005-0000-0000-0000C1A20000}"/>
    <cellStyle name="Note 4 6 4 7 2" xfId="41666" xr:uid="{00000000-0005-0000-0000-0000C2A20000}"/>
    <cellStyle name="Note 4 6 4 8" xfId="41667" xr:uid="{00000000-0005-0000-0000-0000C3A20000}"/>
    <cellStyle name="Note 4 6 5" xfId="41668" xr:uid="{00000000-0005-0000-0000-0000C4A20000}"/>
    <cellStyle name="Note 4 6 5 2" xfId="41669" xr:uid="{00000000-0005-0000-0000-0000C5A20000}"/>
    <cellStyle name="Note 4 6 5 2 2" xfId="41670" xr:uid="{00000000-0005-0000-0000-0000C6A20000}"/>
    <cellStyle name="Note 4 6 5 2 2 2" xfId="41671" xr:uid="{00000000-0005-0000-0000-0000C7A20000}"/>
    <cellStyle name="Note 4 6 5 2 2 2 2" xfId="41672" xr:uid="{00000000-0005-0000-0000-0000C8A20000}"/>
    <cellStyle name="Note 4 6 5 2 2 3" xfId="41673" xr:uid="{00000000-0005-0000-0000-0000C9A20000}"/>
    <cellStyle name="Note 4 6 5 2 3" xfId="41674" xr:uid="{00000000-0005-0000-0000-0000CAA20000}"/>
    <cellStyle name="Note 4 6 5 2 3 2" xfId="41675" xr:uid="{00000000-0005-0000-0000-0000CBA20000}"/>
    <cellStyle name="Note 4 6 5 2 4" xfId="41676" xr:uid="{00000000-0005-0000-0000-0000CCA20000}"/>
    <cellStyle name="Note 4 6 5 3" xfId="41677" xr:uid="{00000000-0005-0000-0000-0000CDA20000}"/>
    <cellStyle name="Note 4 6 5 3 2" xfId="41678" xr:uid="{00000000-0005-0000-0000-0000CEA20000}"/>
    <cellStyle name="Note 4 6 5 3 2 2" xfId="41679" xr:uid="{00000000-0005-0000-0000-0000CFA20000}"/>
    <cellStyle name="Note 4 6 5 3 3" xfId="41680" xr:uid="{00000000-0005-0000-0000-0000D0A20000}"/>
    <cellStyle name="Note 4 6 5 4" xfId="41681" xr:uid="{00000000-0005-0000-0000-0000D1A20000}"/>
    <cellStyle name="Note 4 6 5 4 2" xfId="41682" xr:uid="{00000000-0005-0000-0000-0000D2A20000}"/>
    <cellStyle name="Note 4 6 5 5" xfId="41683" xr:uid="{00000000-0005-0000-0000-0000D3A20000}"/>
    <cellStyle name="Note 4 6 6" xfId="41684" xr:uid="{00000000-0005-0000-0000-0000D4A20000}"/>
    <cellStyle name="Note 4 6 6 2" xfId="41685" xr:uid="{00000000-0005-0000-0000-0000D5A20000}"/>
    <cellStyle name="Note 4 6 6 2 2" xfId="41686" xr:uid="{00000000-0005-0000-0000-0000D6A20000}"/>
    <cellStyle name="Note 4 6 6 2 2 2" xfId="41687" xr:uid="{00000000-0005-0000-0000-0000D7A20000}"/>
    <cellStyle name="Note 4 6 6 2 2 2 2" xfId="41688" xr:uid="{00000000-0005-0000-0000-0000D8A20000}"/>
    <cellStyle name="Note 4 6 6 2 2 3" xfId="41689" xr:uid="{00000000-0005-0000-0000-0000D9A20000}"/>
    <cellStyle name="Note 4 6 6 2 3" xfId="41690" xr:uid="{00000000-0005-0000-0000-0000DAA20000}"/>
    <cellStyle name="Note 4 6 6 2 3 2" xfId="41691" xr:uid="{00000000-0005-0000-0000-0000DBA20000}"/>
    <cellStyle name="Note 4 6 6 2 4" xfId="41692" xr:uid="{00000000-0005-0000-0000-0000DCA20000}"/>
    <cellStyle name="Note 4 6 6 3" xfId="41693" xr:uid="{00000000-0005-0000-0000-0000DDA20000}"/>
    <cellStyle name="Note 4 6 6 3 2" xfId="41694" xr:uid="{00000000-0005-0000-0000-0000DEA20000}"/>
    <cellStyle name="Note 4 6 6 3 2 2" xfId="41695" xr:uid="{00000000-0005-0000-0000-0000DFA20000}"/>
    <cellStyle name="Note 4 6 6 3 3" xfId="41696" xr:uid="{00000000-0005-0000-0000-0000E0A20000}"/>
    <cellStyle name="Note 4 6 6 4" xfId="41697" xr:uid="{00000000-0005-0000-0000-0000E1A20000}"/>
    <cellStyle name="Note 4 6 6 4 2" xfId="41698" xr:uid="{00000000-0005-0000-0000-0000E2A20000}"/>
    <cellStyle name="Note 4 6 6 5" xfId="41699" xr:uid="{00000000-0005-0000-0000-0000E3A20000}"/>
    <cellStyle name="Note 4 6 7" xfId="41700" xr:uid="{00000000-0005-0000-0000-0000E4A20000}"/>
    <cellStyle name="Note 4 6 7 2" xfId="41701" xr:uid="{00000000-0005-0000-0000-0000E5A20000}"/>
    <cellStyle name="Note 4 6 7 2 2" xfId="41702" xr:uid="{00000000-0005-0000-0000-0000E6A20000}"/>
    <cellStyle name="Note 4 6 7 2 2 2" xfId="41703" xr:uid="{00000000-0005-0000-0000-0000E7A20000}"/>
    <cellStyle name="Note 4 6 7 2 3" xfId="41704" xr:uid="{00000000-0005-0000-0000-0000E8A20000}"/>
    <cellStyle name="Note 4 6 7 3" xfId="41705" xr:uid="{00000000-0005-0000-0000-0000E9A20000}"/>
    <cellStyle name="Note 4 6 7 3 2" xfId="41706" xr:uid="{00000000-0005-0000-0000-0000EAA20000}"/>
    <cellStyle name="Note 4 6 7 4" xfId="41707" xr:uid="{00000000-0005-0000-0000-0000EBA20000}"/>
    <cellStyle name="Note 4 6 8" xfId="41708" xr:uid="{00000000-0005-0000-0000-0000ECA20000}"/>
    <cellStyle name="Note 4 6 8 2" xfId="41709" xr:uid="{00000000-0005-0000-0000-0000EDA20000}"/>
    <cellStyle name="Note 4 6 8 2 2" xfId="41710" xr:uid="{00000000-0005-0000-0000-0000EEA20000}"/>
    <cellStyle name="Note 4 6 8 2 2 2" xfId="41711" xr:uid="{00000000-0005-0000-0000-0000EFA20000}"/>
    <cellStyle name="Note 4 6 8 2 3" xfId="41712" xr:uid="{00000000-0005-0000-0000-0000F0A20000}"/>
    <cellStyle name="Note 4 6 8 3" xfId="41713" xr:uid="{00000000-0005-0000-0000-0000F1A20000}"/>
    <cellStyle name="Note 4 6 8 3 2" xfId="41714" xr:uid="{00000000-0005-0000-0000-0000F2A20000}"/>
    <cellStyle name="Note 4 6 8 4" xfId="41715" xr:uid="{00000000-0005-0000-0000-0000F3A20000}"/>
    <cellStyle name="Note 4 6 9" xfId="41716" xr:uid="{00000000-0005-0000-0000-0000F4A20000}"/>
    <cellStyle name="Note 4 6 9 2" xfId="41717" xr:uid="{00000000-0005-0000-0000-0000F5A20000}"/>
    <cellStyle name="Note 4 6 9 2 2" xfId="41718" xr:uid="{00000000-0005-0000-0000-0000F6A20000}"/>
    <cellStyle name="Note 4 6 9 3" xfId="41719" xr:uid="{00000000-0005-0000-0000-0000F7A20000}"/>
    <cellStyle name="Note 4 7" xfId="41720" xr:uid="{00000000-0005-0000-0000-0000F8A20000}"/>
    <cellStyle name="Note 4 7 10" xfId="41721" xr:uid="{00000000-0005-0000-0000-0000F9A20000}"/>
    <cellStyle name="Note 4 7 10 2" xfId="41722" xr:uid="{00000000-0005-0000-0000-0000FAA20000}"/>
    <cellStyle name="Note 4 7 10 2 2" xfId="41723" xr:uid="{00000000-0005-0000-0000-0000FBA20000}"/>
    <cellStyle name="Note 4 7 10 3" xfId="41724" xr:uid="{00000000-0005-0000-0000-0000FCA20000}"/>
    <cellStyle name="Note 4 7 11" xfId="41725" xr:uid="{00000000-0005-0000-0000-0000FDA20000}"/>
    <cellStyle name="Note 4 7 11 2" xfId="41726" xr:uid="{00000000-0005-0000-0000-0000FEA20000}"/>
    <cellStyle name="Note 4 7 11 2 2" xfId="41727" xr:uid="{00000000-0005-0000-0000-0000FFA20000}"/>
    <cellStyle name="Note 4 7 11 3" xfId="41728" xr:uid="{00000000-0005-0000-0000-000000A30000}"/>
    <cellStyle name="Note 4 7 12" xfId="41729" xr:uid="{00000000-0005-0000-0000-000001A30000}"/>
    <cellStyle name="Note 4 7 12 2" xfId="41730" xr:uid="{00000000-0005-0000-0000-000002A30000}"/>
    <cellStyle name="Note 4 7 12 2 2" xfId="41731" xr:uid="{00000000-0005-0000-0000-000003A30000}"/>
    <cellStyle name="Note 4 7 12 3" xfId="41732" xr:uid="{00000000-0005-0000-0000-000004A30000}"/>
    <cellStyle name="Note 4 7 13" xfId="41733" xr:uid="{00000000-0005-0000-0000-000005A30000}"/>
    <cellStyle name="Note 4 7 13 2" xfId="41734" xr:uid="{00000000-0005-0000-0000-000006A30000}"/>
    <cellStyle name="Note 4 7 14" xfId="41735" xr:uid="{00000000-0005-0000-0000-000007A30000}"/>
    <cellStyle name="Note 4 7 2" xfId="41736" xr:uid="{00000000-0005-0000-0000-000008A30000}"/>
    <cellStyle name="Note 4 7 2 2" xfId="41737" xr:uid="{00000000-0005-0000-0000-000009A30000}"/>
    <cellStyle name="Note 4 7 2 2 2" xfId="41738" xr:uid="{00000000-0005-0000-0000-00000AA30000}"/>
    <cellStyle name="Note 4 7 2 2 2 2" xfId="41739" xr:uid="{00000000-0005-0000-0000-00000BA30000}"/>
    <cellStyle name="Note 4 7 2 2 2 2 2" xfId="41740" xr:uid="{00000000-0005-0000-0000-00000CA30000}"/>
    <cellStyle name="Note 4 7 2 2 2 3" xfId="41741" xr:uid="{00000000-0005-0000-0000-00000DA30000}"/>
    <cellStyle name="Note 4 7 2 2 3" xfId="41742" xr:uid="{00000000-0005-0000-0000-00000EA30000}"/>
    <cellStyle name="Note 4 7 2 2 3 2" xfId="41743" xr:uid="{00000000-0005-0000-0000-00000FA30000}"/>
    <cellStyle name="Note 4 7 2 2 4" xfId="41744" xr:uid="{00000000-0005-0000-0000-000010A30000}"/>
    <cellStyle name="Note 4 7 2 3" xfId="41745" xr:uid="{00000000-0005-0000-0000-000011A30000}"/>
    <cellStyle name="Note 4 7 2 3 2" xfId="41746" xr:uid="{00000000-0005-0000-0000-000012A30000}"/>
    <cellStyle name="Note 4 7 2 3 2 2" xfId="41747" xr:uid="{00000000-0005-0000-0000-000013A30000}"/>
    <cellStyle name="Note 4 7 2 3 3" xfId="41748" xr:uid="{00000000-0005-0000-0000-000014A30000}"/>
    <cellStyle name="Note 4 7 2 4" xfId="41749" xr:uid="{00000000-0005-0000-0000-000015A30000}"/>
    <cellStyle name="Note 4 7 2 4 2" xfId="41750" xr:uid="{00000000-0005-0000-0000-000016A30000}"/>
    <cellStyle name="Note 4 7 2 4 2 2" xfId="41751" xr:uid="{00000000-0005-0000-0000-000017A30000}"/>
    <cellStyle name="Note 4 7 2 4 3" xfId="41752" xr:uid="{00000000-0005-0000-0000-000018A30000}"/>
    <cellStyle name="Note 4 7 2 5" xfId="41753" xr:uid="{00000000-0005-0000-0000-000019A30000}"/>
    <cellStyle name="Note 4 7 2 5 2" xfId="41754" xr:uid="{00000000-0005-0000-0000-00001AA30000}"/>
    <cellStyle name="Note 4 7 2 5 2 2" xfId="41755" xr:uid="{00000000-0005-0000-0000-00001BA30000}"/>
    <cellStyle name="Note 4 7 2 5 3" xfId="41756" xr:uid="{00000000-0005-0000-0000-00001CA30000}"/>
    <cellStyle name="Note 4 7 2 6" xfId="41757" xr:uid="{00000000-0005-0000-0000-00001DA30000}"/>
    <cellStyle name="Note 4 7 2 6 2" xfId="41758" xr:uid="{00000000-0005-0000-0000-00001EA30000}"/>
    <cellStyle name="Note 4 7 2 6 2 2" xfId="41759" xr:uid="{00000000-0005-0000-0000-00001FA30000}"/>
    <cellStyle name="Note 4 7 2 6 3" xfId="41760" xr:uid="{00000000-0005-0000-0000-000020A30000}"/>
    <cellStyle name="Note 4 7 2 7" xfId="41761" xr:uid="{00000000-0005-0000-0000-000021A30000}"/>
    <cellStyle name="Note 4 7 2 7 2" xfId="41762" xr:uid="{00000000-0005-0000-0000-000022A30000}"/>
    <cellStyle name="Note 4 7 2 8" xfId="41763" xr:uid="{00000000-0005-0000-0000-000023A30000}"/>
    <cellStyle name="Note 4 7 3" xfId="41764" xr:uid="{00000000-0005-0000-0000-000024A30000}"/>
    <cellStyle name="Note 4 7 3 2" xfId="41765" xr:uid="{00000000-0005-0000-0000-000025A30000}"/>
    <cellStyle name="Note 4 7 3 2 2" xfId="41766" xr:uid="{00000000-0005-0000-0000-000026A30000}"/>
    <cellStyle name="Note 4 7 3 2 2 2" xfId="41767" xr:uid="{00000000-0005-0000-0000-000027A30000}"/>
    <cellStyle name="Note 4 7 3 2 2 2 2" xfId="41768" xr:uid="{00000000-0005-0000-0000-000028A30000}"/>
    <cellStyle name="Note 4 7 3 2 2 3" xfId="41769" xr:uid="{00000000-0005-0000-0000-000029A30000}"/>
    <cellStyle name="Note 4 7 3 2 3" xfId="41770" xr:uid="{00000000-0005-0000-0000-00002AA30000}"/>
    <cellStyle name="Note 4 7 3 2 3 2" xfId="41771" xr:uid="{00000000-0005-0000-0000-00002BA30000}"/>
    <cellStyle name="Note 4 7 3 2 4" xfId="41772" xr:uid="{00000000-0005-0000-0000-00002CA30000}"/>
    <cellStyle name="Note 4 7 3 3" xfId="41773" xr:uid="{00000000-0005-0000-0000-00002DA30000}"/>
    <cellStyle name="Note 4 7 3 3 2" xfId="41774" xr:uid="{00000000-0005-0000-0000-00002EA30000}"/>
    <cellStyle name="Note 4 7 3 3 2 2" xfId="41775" xr:uid="{00000000-0005-0000-0000-00002FA30000}"/>
    <cellStyle name="Note 4 7 3 3 3" xfId="41776" xr:uid="{00000000-0005-0000-0000-000030A30000}"/>
    <cellStyle name="Note 4 7 3 4" xfId="41777" xr:uid="{00000000-0005-0000-0000-000031A30000}"/>
    <cellStyle name="Note 4 7 3 4 2" xfId="41778" xr:uid="{00000000-0005-0000-0000-000032A30000}"/>
    <cellStyle name="Note 4 7 3 4 2 2" xfId="41779" xr:uid="{00000000-0005-0000-0000-000033A30000}"/>
    <cellStyle name="Note 4 7 3 4 3" xfId="41780" xr:uid="{00000000-0005-0000-0000-000034A30000}"/>
    <cellStyle name="Note 4 7 3 5" xfId="41781" xr:uid="{00000000-0005-0000-0000-000035A30000}"/>
    <cellStyle name="Note 4 7 3 5 2" xfId="41782" xr:uid="{00000000-0005-0000-0000-000036A30000}"/>
    <cellStyle name="Note 4 7 3 5 2 2" xfId="41783" xr:uid="{00000000-0005-0000-0000-000037A30000}"/>
    <cellStyle name="Note 4 7 3 5 3" xfId="41784" xr:uid="{00000000-0005-0000-0000-000038A30000}"/>
    <cellStyle name="Note 4 7 3 6" xfId="41785" xr:uid="{00000000-0005-0000-0000-000039A30000}"/>
    <cellStyle name="Note 4 7 3 6 2" xfId="41786" xr:uid="{00000000-0005-0000-0000-00003AA30000}"/>
    <cellStyle name="Note 4 7 3 6 2 2" xfId="41787" xr:uid="{00000000-0005-0000-0000-00003BA30000}"/>
    <cellStyle name="Note 4 7 3 6 3" xfId="41788" xr:uid="{00000000-0005-0000-0000-00003CA30000}"/>
    <cellStyle name="Note 4 7 3 7" xfId="41789" xr:uid="{00000000-0005-0000-0000-00003DA30000}"/>
    <cellStyle name="Note 4 7 3 7 2" xfId="41790" xr:uid="{00000000-0005-0000-0000-00003EA30000}"/>
    <cellStyle name="Note 4 7 3 8" xfId="41791" xr:uid="{00000000-0005-0000-0000-00003FA30000}"/>
    <cellStyle name="Note 4 7 4" xfId="41792" xr:uid="{00000000-0005-0000-0000-000040A30000}"/>
    <cellStyle name="Note 4 7 4 2" xfId="41793" xr:uid="{00000000-0005-0000-0000-000041A30000}"/>
    <cellStyle name="Note 4 7 4 2 2" xfId="41794" xr:uid="{00000000-0005-0000-0000-000042A30000}"/>
    <cellStyle name="Note 4 7 4 2 2 2" xfId="41795" xr:uid="{00000000-0005-0000-0000-000043A30000}"/>
    <cellStyle name="Note 4 7 4 2 2 2 2" xfId="41796" xr:uid="{00000000-0005-0000-0000-000044A30000}"/>
    <cellStyle name="Note 4 7 4 2 2 3" xfId="41797" xr:uid="{00000000-0005-0000-0000-000045A30000}"/>
    <cellStyle name="Note 4 7 4 2 3" xfId="41798" xr:uid="{00000000-0005-0000-0000-000046A30000}"/>
    <cellStyle name="Note 4 7 4 2 3 2" xfId="41799" xr:uid="{00000000-0005-0000-0000-000047A30000}"/>
    <cellStyle name="Note 4 7 4 2 4" xfId="41800" xr:uid="{00000000-0005-0000-0000-000048A30000}"/>
    <cellStyle name="Note 4 7 4 3" xfId="41801" xr:uid="{00000000-0005-0000-0000-000049A30000}"/>
    <cellStyle name="Note 4 7 4 3 2" xfId="41802" xr:uid="{00000000-0005-0000-0000-00004AA30000}"/>
    <cellStyle name="Note 4 7 4 3 2 2" xfId="41803" xr:uid="{00000000-0005-0000-0000-00004BA30000}"/>
    <cellStyle name="Note 4 7 4 3 3" xfId="41804" xr:uid="{00000000-0005-0000-0000-00004CA30000}"/>
    <cellStyle name="Note 4 7 4 4" xfId="41805" xr:uid="{00000000-0005-0000-0000-00004DA30000}"/>
    <cellStyle name="Note 4 7 4 4 2" xfId="41806" xr:uid="{00000000-0005-0000-0000-00004EA30000}"/>
    <cellStyle name="Note 4 7 4 4 2 2" xfId="41807" xr:uid="{00000000-0005-0000-0000-00004FA30000}"/>
    <cellStyle name="Note 4 7 4 4 3" xfId="41808" xr:uid="{00000000-0005-0000-0000-000050A30000}"/>
    <cellStyle name="Note 4 7 4 5" xfId="41809" xr:uid="{00000000-0005-0000-0000-000051A30000}"/>
    <cellStyle name="Note 4 7 4 5 2" xfId="41810" xr:uid="{00000000-0005-0000-0000-000052A30000}"/>
    <cellStyle name="Note 4 7 4 5 2 2" xfId="41811" xr:uid="{00000000-0005-0000-0000-000053A30000}"/>
    <cellStyle name="Note 4 7 4 5 3" xfId="41812" xr:uid="{00000000-0005-0000-0000-000054A30000}"/>
    <cellStyle name="Note 4 7 4 6" xfId="41813" xr:uid="{00000000-0005-0000-0000-000055A30000}"/>
    <cellStyle name="Note 4 7 4 6 2" xfId="41814" xr:uid="{00000000-0005-0000-0000-000056A30000}"/>
    <cellStyle name="Note 4 7 4 6 2 2" xfId="41815" xr:uid="{00000000-0005-0000-0000-000057A30000}"/>
    <cellStyle name="Note 4 7 4 6 3" xfId="41816" xr:uid="{00000000-0005-0000-0000-000058A30000}"/>
    <cellStyle name="Note 4 7 4 7" xfId="41817" xr:uid="{00000000-0005-0000-0000-000059A30000}"/>
    <cellStyle name="Note 4 7 4 7 2" xfId="41818" xr:uid="{00000000-0005-0000-0000-00005AA30000}"/>
    <cellStyle name="Note 4 7 4 8" xfId="41819" xr:uid="{00000000-0005-0000-0000-00005BA30000}"/>
    <cellStyle name="Note 4 7 5" xfId="41820" xr:uid="{00000000-0005-0000-0000-00005CA30000}"/>
    <cellStyle name="Note 4 7 5 2" xfId="41821" xr:uid="{00000000-0005-0000-0000-00005DA30000}"/>
    <cellStyle name="Note 4 7 5 2 2" xfId="41822" xr:uid="{00000000-0005-0000-0000-00005EA30000}"/>
    <cellStyle name="Note 4 7 5 2 2 2" xfId="41823" xr:uid="{00000000-0005-0000-0000-00005FA30000}"/>
    <cellStyle name="Note 4 7 5 2 2 2 2" xfId="41824" xr:uid="{00000000-0005-0000-0000-000060A30000}"/>
    <cellStyle name="Note 4 7 5 2 2 3" xfId="41825" xr:uid="{00000000-0005-0000-0000-000061A30000}"/>
    <cellStyle name="Note 4 7 5 2 3" xfId="41826" xr:uid="{00000000-0005-0000-0000-000062A30000}"/>
    <cellStyle name="Note 4 7 5 2 3 2" xfId="41827" xr:uid="{00000000-0005-0000-0000-000063A30000}"/>
    <cellStyle name="Note 4 7 5 2 4" xfId="41828" xr:uid="{00000000-0005-0000-0000-000064A30000}"/>
    <cellStyle name="Note 4 7 5 3" xfId="41829" xr:uid="{00000000-0005-0000-0000-000065A30000}"/>
    <cellStyle name="Note 4 7 5 3 2" xfId="41830" xr:uid="{00000000-0005-0000-0000-000066A30000}"/>
    <cellStyle name="Note 4 7 5 3 2 2" xfId="41831" xr:uid="{00000000-0005-0000-0000-000067A30000}"/>
    <cellStyle name="Note 4 7 5 3 3" xfId="41832" xr:uid="{00000000-0005-0000-0000-000068A30000}"/>
    <cellStyle name="Note 4 7 5 4" xfId="41833" xr:uid="{00000000-0005-0000-0000-000069A30000}"/>
    <cellStyle name="Note 4 7 5 4 2" xfId="41834" xr:uid="{00000000-0005-0000-0000-00006AA30000}"/>
    <cellStyle name="Note 4 7 5 5" xfId="41835" xr:uid="{00000000-0005-0000-0000-00006BA30000}"/>
    <cellStyle name="Note 4 7 6" xfId="41836" xr:uid="{00000000-0005-0000-0000-00006CA30000}"/>
    <cellStyle name="Note 4 7 6 2" xfId="41837" xr:uid="{00000000-0005-0000-0000-00006DA30000}"/>
    <cellStyle name="Note 4 7 6 2 2" xfId="41838" xr:uid="{00000000-0005-0000-0000-00006EA30000}"/>
    <cellStyle name="Note 4 7 6 2 2 2" xfId="41839" xr:uid="{00000000-0005-0000-0000-00006FA30000}"/>
    <cellStyle name="Note 4 7 6 2 2 2 2" xfId="41840" xr:uid="{00000000-0005-0000-0000-000070A30000}"/>
    <cellStyle name="Note 4 7 6 2 2 3" xfId="41841" xr:uid="{00000000-0005-0000-0000-000071A30000}"/>
    <cellStyle name="Note 4 7 6 2 3" xfId="41842" xr:uid="{00000000-0005-0000-0000-000072A30000}"/>
    <cellStyle name="Note 4 7 6 2 3 2" xfId="41843" xr:uid="{00000000-0005-0000-0000-000073A30000}"/>
    <cellStyle name="Note 4 7 6 2 4" xfId="41844" xr:uid="{00000000-0005-0000-0000-000074A30000}"/>
    <cellStyle name="Note 4 7 6 3" xfId="41845" xr:uid="{00000000-0005-0000-0000-000075A30000}"/>
    <cellStyle name="Note 4 7 6 3 2" xfId="41846" xr:uid="{00000000-0005-0000-0000-000076A30000}"/>
    <cellStyle name="Note 4 7 6 3 2 2" xfId="41847" xr:uid="{00000000-0005-0000-0000-000077A30000}"/>
    <cellStyle name="Note 4 7 6 3 3" xfId="41848" xr:uid="{00000000-0005-0000-0000-000078A30000}"/>
    <cellStyle name="Note 4 7 6 4" xfId="41849" xr:uid="{00000000-0005-0000-0000-000079A30000}"/>
    <cellStyle name="Note 4 7 6 4 2" xfId="41850" xr:uid="{00000000-0005-0000-0000-00007AA30000}"/>
    <cellStyle name="Note 4 7 6 5" xfId="41851" xr:uid="{00000000-0005-0000-0000-00007BA30000}"/>
    <cellStyle name="Note 4 7 7" xfId="41852" xr:uid="{00000000-0005-0000-0000-00007CA30000}"/>
    <cellStyle name="Note 4 7 7 2" xfId="41853" xr:uid="{00000000-0005-0000-0000-00007DA30000}"/>
    <cellStyle name="Note 4 7 7 2 2" xfId="41854" xr:uid="{00000000-0005-0000-0000-00007EA30000}"/>
    <cellStyle name="Note 4 7 7 2 2 2" xfId="41855" xr:uid="{00000000-0005-0000-0000-00007FA30000}"/>
    <cellStyle name="Note 4 7 7 2 3" xfId="41856" xr:uid="{00000000-0005-0000-0000-000080A30000}"/>
    <cellStyle name="Note 4 7 7 3" xfId="41857" xr:uid="{00000000-0005-0000-0000-000081A30000}"/>
    <cellStyle name="Note 4 7 7 3 2" xfId="41858" xr:uid="{00000000-0005-0000-0000-000082A30000}"/>
    <cellStyle name="Note 4 7 7 4" xfId="41859" xr:uid="{00000000-0005-0000-0000-000083A30000}"/>
    <cellStyle name="Note 4 7 8" xfId="41860" xr:uid="{00000000-0005-0000-0000-000084A30000}"/>
    <cellStyle name="Note 4 7 8 2" xfId="41861" xr:uid="{00000000-0005-0000-0000-000085A30000}"/>
    <cellStyle name="Note 4 7 8 2 2" xfId="41862" xr:uid="{00000000-0005-0000-0000-000086A30000}"/>
    <cellStyle name="Note 4 7 8 2 2 2" xfId="41863" xr:uid="{00000000-0005-0000-0000-000087A30000}"/>
    <cellStyle name="Note 4 7 8 2 3" xfId="41864" xr:uid="{00000000-0005-0000-0000-000088A30000}"/>
    <cellStyle name="Note 4 7 8 3" xfId="41865" xr:uid="{00000000-0005-0000-0000-000089A30000}"/>
    <cellStyle name="Note 4 7 8 3 2" xfId="41866" xr:uid="{00000000-0005-0000-0000-00008AA30000}"/>
    <cellStyle name="Note 4 7 8 4" xfId="41867" xr:uid="{00000000-0005-0000-0000-00008BA30000}"/>
    <cellStyle name="Note 4 7 9" xfId="41868" xr:uid="{00000000-0005-0000-0000-00008CA30000}"/>
    <cellStyle name="Note 4 7 9 2" xfId="41869" xr:uid="{00000000-0005-0000-0000-00008DA30000}"/>
    <cellStyle name="Note 4 7 9 2 2" xfId="41870" xr:uid="{00000000-0005-0000-0000-00008EA30000}"/>
    <cellStyle name="Note 4 7 9 3" xfId="41871" xr:uid="{00000000-0005-0000-0000-00008FA30000}"/>
    <cellStyle name="Note 4 8" xfId="41872" xr:uid="{00000000-0005-0000-0000-000090A30000}"/>
    <cellStyle name="Note 4 8 2" xfId="41873" xr:uid="{00000000-0005-0000-0000-000091A30000}"/>
    <cellStyle name="Note 4 8 2 2" xfId="41874" xr:uid="{00000000-0005-0000-0000-000092A30000}"/>
    <cellStyle name="Note 4 8 2 2 2" xfId="41875" xr:uid="{00000000-0005-0000-0000-000093A30000}"/>
    <cellStyle name="Note 4 8 2 2 2 2" xfId="41876" xr:uid="{00000000-0005-0000-0000-000094A30000}"/>
    <cellStyle name="Note 4 8 2 2 3" xfId="41877" xr:uid="{00000000-0005-0000-0000-000095A30000}"/>
    <cellStyle name="Note 4 8 2 3" xfId="41878" xr:uid="{00000000-0005-0000-0000-000096A30000}"/>
    <cellStyle name="Note 4 8 2 3 2" xfId="41879" xr:uid="{00000000-0005-0000-0000-000097A30000}"/>
    <cellStyle name="Note 4 8 2 4" xfId="41880" xr:uid="{00000000-0005-0000-0000-000098A30000}"/>
    <cellStyle name="Note 4 8 3" xfId="41881" xr:uid="{00000000-0005-0000-0000-000099A30000}"/>
    <cellStyle name="Note 4 8 3 2" xfId="41882" xr:uid="{00000000-0005-0000-0000-00009AA30000}"/>
    <cellStyle name="Note 4 8 3 2 2" xfId="41883" xr:uid="{00000000-0005-0000-0000-00009BA30000}"/>
    <cellStyle name="Note 4 8 3 3" xfId="41884" xr:uid="{00000000-0005-0000-0000-00009CA30000}"/>
    <cellStyle name="Note 4 8 4" xfId="41885" xr:uid="{00000000-0005-0000-0000-00009DA30000}"/>
    <cellStyle name="Note 4 8 4 2" xfId="41886" xr:uid="{00000000-0005-0000-0000-00009EA30000}"/>
    <cellStyle name="Note 4 8 4 2 2" xfId="41887" xr:uid="{00000000-0005-0000-0000-00009FA30000}"/>
    <cellStyle name="Note 4 8 4 3" xfId="41888" xr:uid="{00000000-0005-0000-0000-0000A0A30000}"/>
    <cellStyle name="Note 4 8 5" xfId="41889" xr:uid="{00000000-0005-0000-0000-0000A1A30000}"/>
    <cellStyle name="Note 4 8 5 2" xfId="41890" xr:uid="{00000000-0005-0000-0000-0000A2A30000}"/>
    <cellStyle name="Note 4 8 5 2 2" xfId="41891" xr:uid="{00000000-0005-0000-0000-0000A3A30000}"/>
    <cellStyle name="Note 4 8 5 3" xfId="41892" xr:uid="{00000000-0005-0000-0000-0000A4A30000}"/>
    <cellStyle name="Note 4 8 6" xfId="41893" xr:uid="{00000000-0005-0000-0000-0000A5A30000}"/>
    <cellStyle name="Note 4 8 6 2" xfId="41894" xr:uid="{00000000-0005-0000-0000-0000A6A30000}"/>
    <cellStyle name="Note 4 8 6 2 2" xfId="41895" xr:uid="{00000000-0005-0000-0000-0000A7A30000}"/>
    <cellStyle name="Note 4 8 6 3" xfId="41896" xr:uid="{00000000-0005-0000-0000-0000A8A30000}"/>
    <cellStyle name="Note 4 8 7" xfId="41897" xr:uid="{00000000-0005-0000-0000-0000A9A30000}"/>
    <cellStyle name="Note 4 8 7 2" xfId="41898" xr:uid="{00000000-0005-0000-0000-0000AAA30000}"/>
    <cellStyle name="Note 4 8 8" xfId="41899" xr:uid="{00000000-0005-0000-0000-0000ABA30000}"/>
    <cellStyle name="Note 4 9" xfId="41900" xr:uid="{00000000-0005-0000-0000-0000ACA30000}"/>
    <cellStyle name="Note 4 9 2" xfId="41901" xr:uid="{00000000-0005-0000-0000-0000ADA30000}"/>
    <cellStyle name="Note 4 9 2 2" xfId="41902" xr:uid="{00000000-0005-0000-0000-0000AEA30000}"/>
    <cellStyle name="Note 4 9 2 2 2" xfId="41903" xr:uid="{00000000-0005-0000-0000-0000AFA30000}"/>
    <cellStyle name="Note 4 9 2 2 2 2" xfId="41904" xr:uid="{00000000-0005-0000-0000-0000B0A30000}"/>
    <cellStyle name="Note 4 9 2 2 3" xfId="41905" xr:uid="{00000000-0005-0000-0000-0000B1A30000}"/>
    <cellStyle name="Note 4 9 2 3" xfId="41906" xr:uid="{00000000-0005-0000-0000-0000B2A30000}"/>
    <cellStyle name="Note 4 9 2 3 2" xfId="41907" xr:uid="{00000000-0005-0000-0000-0000B3A30000}"/>
    <cellStyle name="Note 4 9 2 4" xfId="41908" xr:uid="{00000000-0005-0000-0000-0000B4A30000}"/>
    <cellStyle name="Note 4 9 3" xfId="41909" xr:uid="{00000000-0005-0000-0000-0000B5A30000}"/>
    <cellStyle name="Note 4 9 3 2" xfId="41910" xr:uid="{00000000-0005-0000-0000-0000B6A30000}"/>
    <cellStyle name="Note 4 9 3 2 2" xfId="41911" xr:uid="{00000000-0005-0000-0000-0000B7A30000}"/>
    <cellStyle name="Note 4 9 3 3" xfId="41912" xr:uid="{00000000-0005-0000-0000-0000B8A30000}"/>
    <cellStyle name="Note 4 9 4" xfId="41913" xr:uid="{00000000-0005-0000-0000-0000B9A30000}"/>
    <cellStyle name="Note 4 9 4 2" xfId="41914" xr:uid="{00000000-0005-0000-0000-0000BAA30000}"/>
    <cellStyle name="Note 4 9 4 2 2" xfId="41915" xr:uid="{00000000-0005-0000-0000-0000BBA30000}"/>
    <cellStyle name="Note 4 9 4 3" xfId="41916" xr:uid="{00000000-0005-0000-0000-0000BCA30000}"/>
    <cellStyle name="Note 4 9 5" xfId="41917" xr:uid="{00000000-0005-0000-0000-0000BDA30000}"/>
    <cellStyle name="Note 4 9 5 2" xfId="41918" xr:uid="{00000000-0005-0000-0000-0000BEA30000}"/>
    <cellStyle name="Note 4 9 5 2 2" xfId="41919" xr:uid="{00000000-0005-0000-0000-0000BFA30000}"/>
    <cellStyle name="Note 4 9 5 3" xfId="41920" xr:uid="{00000000-0005-0000-0000-0000C0A30000}"/>
    <cellStyle name="Note 4 9 6" xfId="41921" xr:uid="{00000000-0005-0000-0000-0000C1A30000}"/>
    <cellStyle name="Note 4 9 6 2" xfId="41922" xr:uid="{00000000-0005-0000-0000-0000C2A30000}"/>
    <cellStyle name="Note 4 9 6 2 2" xfId="41923" xr:uid="{00000000-0005-0000-0000-0000C3A30000}"/>
    <cellStyle name="Note 4 9 6 3" xfId="41924" xr:uid="{00000000-0005-0000-0000-0000C4A30000}"/>
    <cellStyle name="Note 4 9 7" xfId="41925" xr:uid="{00000000-0005-0000-0000-0000C5A30000}"/>
    <cellStyle name="Note 4 9 7 2" xfId="41926" xr:uid="{00000000-0005-0000-0000-0000C6A30000}"/>
    <cellStyle name="Note 4 9 8" xfId="41927" xr:uid="{00000000-0005-0000-0000-0000C7A30000}"/>
    <cellStyle name="Note 5" xfId="41928" xr:uid="{00000000-0005-0000-0000-0000C8A30000}"/>
    <cellStyle name="Output 2" xfId="41929" xr:uid="{00000000-0005-0000-0000-0000C9A30000}"/>
    <cellStyle name="Output 3" xfId="41930" xr:uid="{00000000-0005-0000-0000-0000CAA30000}"/>
    <cellStyle name="Output 4" xfId="41931" xr:uid="{00000000-0005-0000-0000-0000CBA30000}"/>
    <cellStyle name="p" xfId="41932" xr:uid="{00000000-0005-0000-0000-0000CCA30000}"/>
    <cellStyle name="Percent [2]" xfId="41933" xr:uid="{00000000-0005-0000-0000-0000CDA30000}"/>
    <cellStyle name="Percent [2] 2" xfId="41934" xr:uid="{00000000-0005-0000-0000-0000CEA30000}"/>
    <cellStyle name="Percent 10" xfId="41935" xr:uid="{00000000-0005-0000-0000-0000CFA30000}"/>
    <cellStyle name="Percent 11" xfId="41936" xr:uid="{00000000-0005-0000-0000-0000D0A30000}"/>
    <cellStyle name="Percent 12" xfId="41937" xr:uid="{00000000-0005-0000-0000-0000D1A30000}"/>
    <cellStyle name="Percent 13" xfId="41938" xr:uid="{00000000-0005-0000-0000-0000D2A30000}"/>
    <cellStyle name="Percent 14" xfId="41939" xr:uid="{00000000-0005-0000-0000-0000D3A30000}"/>
    <cellStyle name="Percent 15" xfId="41940" xr:uid="{00000000-0005-0000-0000-0000D4A30000}"/>
    <cellStyle name="Percent 16" xfId="41941" xr:uid="{00000000-0005-0000-0000-0000D5A30000}"/>
    <cellStyle name="Percent 17" xfId="41942" xr:uid="{00000000-0005-0000-0000-0000D6A30000}"/>
    <cellStyle name="Percent 18" xfId="41943" xr:uid="{00000000-0005-0000-0000-0000D7A30000}"/>
    <cellStyle name="Percent 19" xfId="41944" xr:uid="{00000000-0005-0000-0000-0000D8A30000}"/>
    <cellStyle name="Percent 2" xfId="41945" xr:uid="{00000000-0005-0000-0000-0000D9A30000}"/>
    <cellStyle name="Percent 2 2" xfId="41946" xr:uid="{00000000-0005-0000-0000-0000DAA30000}"/>
    <cellStyle name="Percent 2 3" xfId="41947" xr:uid="{00000000-0005-0000-0000-0000DBA30000}"/>
    <cellStyle name="Percent 20" xfId="41948" xr:uid="{00000000-0005-0000-0000-0000DCA30000}"/>
    <cellStyle name="Percent 21" xfId="41949" xr:uid="{00000000-0005-0000-0000-0000DDA30000}"/>
    <cellStyle name="Percent 22" xfId="41950" xr:uid="{00000000-0005-0000-0000-0000DEA30000}"/>
    <cellStyle name="Percent 23" xfId="41951" xr:uid="{00000000-0005-0000-0000-0000DFA30000}"/>
    <cellStyle name="Percent 24" xfId="41952" xr:uid="{00000000-0005-0000-0000-0000E0A30000}"/>
    <cellStyle name="Percent 25" xfId="41953" xr:uid="{00000000-0005-0000-0000-0000E1A30000}"/>
    <cellStyle name="Percent 26" xfId="41954" xr:uid="{00000000-0005-0000-0000-0000E2A30000}"/>
    <cellStyle name="Percent 27" xfId="41955" xr:uid="{00000000-0005-0000-0000-0000E3A30000}"/>
    <cellStyle name="Percent 28" xfId="41956" xr:uid="{00000000-0005-0000-0000-0000E4A30000}"/>
    <cellStyle name="Percent 29" xfId="41957" xr:uid="{00000000-0005-0000-0000-0000E5A30000}"/>
    <cellStyle name="Percent 3" xfId="41958" xr:uid="{00000000-0005-0000-0000-0000E6A30000}"/>
    <cellStyle name="Percent 30" xfId="41959" xr:uid="{00000000-0005-0000-0000-0000E7A30000}"/>
    <cellStyle name="Percent 31" xfId="41960" xr:uid="{00000000-0005-0000-0000-0000E8A30000}"/>
    <cellStyle name="Percent 32" xfId="41961" xr:uid="{00000000-0005-0000-0000-0000E9A30000}"/>
    <cellStyle name="Percent 33" xfId="41962" xr:uid="{00000000-0005-0000-0000-0000EAA30000}"/>
    <cellStyle name="Percent 4" xfId="41963" xr:uid="{00000000-0005-0000-0000-0000EBA30000}"/>
    <cellStyle name="Percent 4 10" xfId="41964" xr:uid="{00000000-0005-0000-0000-0000ECA30000}"/>
    <cellStyle name="Percent 4 10 2" xfId="41965" xr:uid="{00000000-0005-0000-0000-0000EDA30000}"/>
    <cellStyle name="Percent 4 10 2 2" xfId="41966" xr:uid="{00000000-0005-0000-0000-0000EEA30000}"/>
    <cellStyle name="Percent 4 10 3" xfId="41967" xr:uid="{00000000-0005-0000-0000-0000EFA30000}"/>
    <cellStyle name="Percent 4 11" xfId="41968" xr:uid="{00000000-0005-0000-0000-0000F0A30000}"/>
    <cellStyle name="Percent 4 11 2" xfId="41969" xr:uid="{00000000-0005-0000-0000-0000F1A30000}"/>
    <cellStyle name="Percent 4 11 2 2" xfId="41970" xr:uid="{00000000-0005-0000-0000-0000F2A30000}"/>
    <cellStyle name="Percent 4 11 3" xfId="41971" xr:uid="{00000000-0005-0000-0000-0000F3A30000}"/>
    <cellStyle name="Percent 4 12" xfId="41972" xr:uid="{00000000-0005-0000-0000-0000F4A30000}"/>
    <cellStyle name="Percent 4 12 2" xfId="41973" xr:uid="{00000000-0005-0000-0000-0000F5A30000}"/>
    <cellStyle name="Percent 4 12 2 2" xfId="41974" xr:uid="{00000000-0005-0000-0000-0000F6A30000}"/>
    <cellStyle name="Percent 4 12 3" xfId="41975" xr:uid="{00000000-0005-0000-0000-0000F7A30000}"/>
    <cellStyle name="Percent 4 13" xfId="41976" xr:uid="{00000000-0005-0000-0000-0000F8A30000}"/>
    <cellStyle name="Percent 4 13 2" xfId="41977" xr:uid="{00000000-0005-0000-0000-0000F9A30000}"/>
    <cellStyle name="Percent 4 2" xfId="41978" xr:uid="{00000000-0005-0000-0000-0000FAA30000}"/>
    <cellStyle name="Percent 4 2 2" xfId="41979" xr:uid="{00000000-0005-0000-0000-0000FBA30000}"/>
    <cellStyle name="Percent 4 2 2 2" xfId="41980" xr:uid="{00000000-0005-0000-0000-0000FCA30000}"/>
    <cellStyle name="Percent 4 2 2 2 2" xfId="41981" xr:uid="{00000000-0005-0000-0000-0000FDA30000}"/>
    <cellStyle name="Percent 4 2 2 2 2 2" xfId="41982" xr:uid="{00000000-0005-0000-0000-0000FEA30000}"/>
    <cellStyle name="Percent 4 2 2 2 3" xfId="41983" xr:uid="{00000000-0005-0000-0000-0000FFA30000}"/>
    <cellStyle name="Percent 4 2 2 3" xfId="41984" xr:uid="{00000000-0005-0000-0000-000000A40000}"/>
    <cellStyle name="Percent 4 2 2 3 2" xfId="41985" xr:uid="{00000000-0005-0000-0000-000001A40000}"/>
    <cellStyle name="Percent 4 2 2 4" xfId="41986" xr:uid="{00000000-0005-0000-0000-000002A40000}"/>
    <cellStyle name="Percent 4 2 3" xfId="41987" xr:uid="{00000000-0005-0000-0000-000003A40000}"/>
    <cellStyle name="Percent 4 2 3 2" xfId="41988" xr:uid="{00000000-0005-0000-0000-000004A40000}"/>
    <cellStyle name="Percent 4 2 3 2 2" xfId="41989" xr:uid="{00000000-0005-0000-0000-000005A40000}"/>
    <cellStyle name="Percent 4 2 3 3" xfId="41990" xr:uid="{00000000-0005-0000-0000-000006A40000}"/>
    <cellStyle name="Percent 4 2 4" xfId="41991" xr:uid="{00000000-0005-0000-0000-000007A40000}"/>
    <cellStyle name="Percent 4 2 4 2" xfId="41992" xr:uid="{00000000-0005-0000-0000-000008A40000}"/>
    <cellStyle name="Percent 4 2 4 2 2" xfId="41993" xr:uid="{00000000-0005-0000-0000-000009A40000}"/>
    <cellStyle name="Percent 4 2 4 3" xfId="41994" xr:uid="{00000000-0005-0000-0000-00000AA40000}"/>
    <cellStyle name="Percent 4 2 5" xfId="41995" xr:uid="{00000000-0005-0000-0000-00000BA40000}"/>
    <cellStyle name="Percent 4 2 5 2" xfId="41996" xr:uid="{00000000-0005-0000-0000-00000CA40000}"/>
    <cellStyle name="Percent 4 2 5 2 2" xfId="41997" xr:uid="{00000000-0005-0000-0000-00000DA40000}"/>
    <cellStyle name="Percent 4 2 5 3" xfId="41998" xr:uid="{00000000-0005-0000-0000-00000EA40000}"/>
    <cellStyle name="Percent 4 2 6" xfId="41999" xr:uid="{00000000-0005-0000-0000-00000FA40000}"/>
    <cellStyle name="Percent 4 2 6 2" xfId="42000" xr:uid="{00000000-0005-0000-0000-000010A40000}"/>
    <cellStyle name="Percent 4 2 6 2 2" xfId="42001" xr:uid="{00000000-0005-0000-0000-000011A40000}"/>
    <cellStyle name="Percent 4 2 6 3" xfId="42002" xr:uid="{00000000-0005-0000-0000-000012A40000}"/>
    <cellStyle name="Percent 4 2 7" xfId="42003" xr:uid="{00000000-0005-0000-0000-000013A40000}"/>
    <cellStyle name="Percent 4 2 7 2" xfId="42004" xr:uid="{00000000-0005-0000-0000-000014A40000}"/>
    <cellStyle name="Percent 4 2 8" xfId="42005" xr:uid="{00000000-0005-0000-0000-000015A40000}"/>
    <cellStyle name="Percent 4 3" xfId="42006" xr:uid="{00000000-0005-0000-0000-000016A40000}"/>
    <cellStyle name="Percent 4 3 2" xfId="42007" xr:uid="{00000000-0005-0000-0000-000017A40000}"/>
    <cellStyle name="Percent 4 3 2 2" xfId="42008" xr:uid="{00000000-0005-0000-0000-000018A40000}"/>
    <cellStyle name="Percent 4 3 2 2 2" xfId="42009" xr:uid="{00000000-0005-0000-0000-000019A40000}"/>
    <cellStyle name="Percent 4 3 2 2 2 2" xfId="42010" xr:uid="{00000000-0005-0000-0000-00001AA40000}"/>
    <cellStyle name="Percent 4 3 2 2 3" xfId="42011" xr:uid="{00000000-0005-0000-0000-00001BA40000}"/>
    <cellStyle name="Percent 4 3 2 3" xfId="42012" xr:uid="{00000000-0005-0000-0000-00001CA40000}"/>
    <cellStyle name="Percent 4 3 2 3 2" xfId="42013" xr:uid="{00000000-0005-0000-0000-00001DA40000}"/>
    <cellStyle name="Percent 4 3 2 4" xfId="42014" xr:uid="{00000000-0005-0000-0000-00001EA40000}"/>
    <cellStyle name="Percent 4 3 3" xfId="42015" xr:uid="{00000000-0005-0000-0000-00001FA40000}"/>
    <cellStyle name="Percent 4 3 3 2" xfId="42016" xr:uid="{00000000-0005-0000-0000-000020A40000}"/>
    <cellStyle name="Percent 4 3 3 2 2" xfId="42017" xr:uid="{00000000-0005-0000-0000-000021A40000}"/>
    <cellStyle name="Percent 4 3 3 3" xfId="42018" xr:uid="{00000000-0005-0000-0000-000022A40000}"/>
    <cellStyle name="Percent 4 3 4" xfId="42019" xr:uid="{00000000-0005-0000-0000-000023A40000}"/>
    <cellStyle name="Percent 4 3 4 2" xfId="42020" xr:uid="{00000000-0005-0000-0000-000024A40000}"/>
    <cellStyle name="Percent 4 3 4 2 2" xfId="42021" xr:uid="{00000000-0005-0000-0000-000025A40000}"/>
    <cellStyle name="Percent 4 3 4 3" xfId="42022" xr:uid="{00000000-0005-0000-0000-000026A40000}"/>
    <cellStyle name="Percent 4 3 5" xfId="42023" xr:uid="{00000000-0005-0000-0000-000027A40000}"/>
    <cellStyle name="Percent 4 3 5 2" xfId="42024" xr:uid="{00000000-0005-0000-0000-000028A40000}"/>
    <cellStyle name="Percent 4 3 5 2 2" xfId="42025" xr:uid="{00000000-0005-0000-0000-000029A40000}"/>
    <cellStyle name="Percent 4 3 5 3" xfId="42026" xr:uid="{00000000-0005-0000-0000-00002AA40000}"/>
    <cellStyle name="Percent 4 3 6" xfId="42027" xr:uid="{00000000-0005-0000-0000-00002BA40000}"/>
    <cellStyle name="Percent 4 3 6 2" xfId="42028" xr:uid="{00000000-0005-0000-0000-00002CA40000}"/>
    <cellStyle name="Percent 4 3 6 2 2" xfId="42029" xr:uid="{00000000-0005-0000-0000-00002DA40000}"/>
    <cellStyle name="Percent 4 3 6 3" xfId="42030" xr:uid="{00000000-0005-0000-0000-00002EA40000}"/>
    <cellStyle name="Percent 4 3 7" xfId="42031" xr:uid="{00000000-0005-0000-0000-00002FA40000}"/>
    <cellStyle name="Percent 4 3 7 2" xfId="42032" xr:uid="{00000000-0005-0000-0000-000030A40000}"/>
    <cellStyle name="Percent 4 3 8" xfId="42033" xr:uid="{00000000-0005-0000-0000-000031A40000}"/>
    <cellStyle name="Percent 4 4" xfId="42034" xr:uid="{00000000-0005-0000-0000-000032A40000}"/>
    <cellStyle name="Percent 4 4 2" xfId="42035" xr:uid="{00000000-0005-0000-0000-000033A40000}"/>
    <cellStyle name="Percent 4 4 2 2" xfId="42036" xr:uid="{00000000-0005-0000-0000-000034A40000}"/>
    <cellStyle name="Percent 4 4 2 2 2" xfId="42037" xr:uid="{00000000-0005-0000-0000-000035A40000}"/>
    <cellStyle name="Percent 4 4 2 2 2 2" xfId="42038" xr:uid="{00000000-0005-0000-0000-000036A40000}"/>
    <cellStyle name="Percent 4 4 2 2 3" xfId="42039" xr:uid="{00000000-0005-0000-0000-000037A40000}"/>
    <cellStyle name="Percent 4 4 2 3" xfId="42040" xr:uid="{00000000-0005-0000-0000-000038A40000}"/>
    <cellStyle name="Percent 4 4 2 3 2" xfId="42041" xr:uid="{00000000-0005-0000-0000-000039A40000}"/>
    <cellStyle name="Percent 4 4 2 4" xfId="42042" xr:uid="{00000000-0005-0000-0000-00003AA40000}"/>
    <cellStyle name="Percent 4 4 3" xfId="42043" xr:uid="{00000000-0005-0000-0000-00003BA40000}"/>
    <cellStyle name="Percent 4 4 3 2" xfId="42044" xr:uid="{00000000-0005-0000-0000-00003CA40000}"/>
    <cellStyle name="Percent 4 4 3 2 2" xfId="42045" xr:uid="{00000000-0005-0000-0000-00003DA40000}"/>
    <cellStyle name="Percent 4 4 3 3" xfId="42046" xr:uid="{00000000-0005-0000-0000-00003EA40000}"/>
    <cellStyle name="Percent 4 4 4" xfId="42047" xr:uid="{00000000-0005-0000-0000-00003FA40000}"/>
    <cellStyle name="Percent 4 4 4 2" xfId="42048" xr:uid="{00000000-0005-0000-0000-000040A40000}"/>
    <cellStyle name="Percent 4 4 4 2 2" xfId="42049" xr:uid="{00000000-0005-0000-0000-000041A40000}"/>
    <cellStyle name="Percent 4 4 4 3" xfId="42050" xr:uid="{00000000-0005-0000-0000-000042A40000}"/>
    <cellStyle name="Percent 4 4 5" xfId="42051" xr:uid="{00000000-0005-0000-0000-000043A40000}"/>
    <cellStyle name="Percent 4 4 5 2" xfId="42052" xr:uid="{00000000-0005-0000-0000-000044A40000}"/>
    <cellStyle name="Percent 4 4 5 2 2" xfId="42053" xr:uid="{00000000-0005-0000-0000-000045A40000}"/>
    <cellStyle name="Percent 4 4 5 3" xfId="42054" xr:uid="{00000000-0005-0000-0000-000046A40000}"/>
    <cellStyle name="Percent 4 4 6" xfId="42055" xr:uid="{00000000-0005-0000-0000-000047A40000}"/>
    <cellStyle name="Percent 4 4 6 2" xfId="42056" xr:uid="{00000000-0005-0000-0000-000048A40000}"/>
    <cellStyle name="Percent 4 4 6 2 2" xfId="42057" xr:uid="{00000000-0005-0000-0000-000049A40000}"/>
    <cellStyle name="Percent 4 4 6 3" xfId="42058" xr:uid="{00000000-0005-0000-0000-00004AA40000}"/>
    <cellStyle name="Percent 4 4 7" xfId="42059" xr:uid="{00000000-0005-0000-0000-00004BA40000}"/>
    <cellStyle name="Percent 4 4 7 2" xfId="42060" xr:uid="{00000000-0005-0000-0000-00004CA40000}"/>
    <cellStyle name="Percent 4 4 8" xfId="42061" xr:uid="{00000000-0005-0000-0000-00004DA40000}"/>
    <cellStyle name="Percent 4 5" xfId="42062" xr:uid="{00000000-0005-0000-0000-00004EA40000}"/>
    <cellStyle name="Percent 4 5 2" xfId="42063" xr:uid="{00000000-0005-0000-0000-00004FA40000}"/>
    <cellStyle name="Percent 4 5 2 2" xfId="42064" xr:uid="{00000000-0005-0000-0000-000050A40000}"/>
    <cellStyle name="Percent 4 5 2 2 2" xfId="42065" xr:uid="{00000000-0005-0000-0000-000051A40000}"/>
    <cellStyle name="Percent 4 5 2 2 2 2" xfId="42066" xr:uid="{00000000-0005-0000-0000-000052A40000}"/>
    <cellStyle name="Percent 4 5 2 2 3" xfId="42067" xr:uid="{00000000-0005-0000-0000-000053A40000}"/>
    <cellStyle name="Percent 4 5 2 3" xfId="42068" xr:uid="{00000000-0005-0000-0000-000054A40000}"/>
    <cellStyle name="Percent 4 5 2 3 2" xfId="42069" xr:uid="{00000000-0005-0000-0000-000055A40000}"/>
    <cellStyle name="Percent 4 5 2 4" xfId="42070" xr:uid="{00000000-0005-0000-0000-000056A40000}"/>
    <cellStyle name="Percent 4 5 3" xfId="42071" xr:uid="{00000000-0005-0000-0000-000057A40000}"/>
    <cellStyle name="Percent 4 5 3 2" xfId="42072" xr:uid="{00000000-0005-0000-0000-000058A40000}"/>
    <cellStyle name="Percent 4 5 3 2 2" xfId="42073" xr:uid="{00000000-0005-0000-0000-000059A40000}"/>
    <cellStyle name="Percent 4 5 3 3" xfId="42074" xr:uid="{00000000-0005-0000-0000-00005AA40000}"/>
    <cellStyle name="Percent 4 5 4" xfId="42075" xr:uid="{00000000-0005-0000-0000-00005BA40000}"/>
    <cellStyle name="Percent 4 5 4 2" xfId="42076" xr:uid="{00000000-0005-0000-0000-00005CA40000}"/>
    <cellStyle name="Percent 4 5 5" xfId="42077" xr:uid="{00000000-0005-0000-0000-00005DA40000}"/>
    <cellStyle name="Percent 4 6" xfId="42078" xr:uid="{00000000-0005-0000-0000-00005EA40000}"/>
    <cellStyle name="Percent 4 6 2" xfId="42079" xr:uid="{00000000-0005-0000-0000-00005FA40000}"/>
    <cellStyle name="Percent 4 6 2 2" xfId="42080" xr:uid="{00000000-0005-0000-0000-000060A40000}"/>
    <cellStyle name="Percent 4 6 2 2 2" xfId="42081" xr:uid="{00000000-0005-0000-0000-000061A40000}"/>
    <cellStyle name="Percent 4 6 2 2 2 2" xfId="42082" xr:uid="{00000000-0005-0000-0000-000062A40000}"/>
    <cellStyle name="Percent 4 6 2 2 3" xfId="42083" xr:uid="{00000000-0005-0000-0000-000063A40000}"/>
    <cellStyle name="Percent 4 6 2 3" xfId="42084" xr:uid="{00000000-0005-0000-0000-000064A40000}"/>
    <cellStyle name="Percent 4 6 2 3 2" xfId="42085" xr:uid="{00000000-0005-0000-0000-000065A40000}"/>
    <cellStyle name="Percent 4 6 2 4" xfId="42086" xr:uid="{00000000-0005-0000-0000-000066A40000}"/>
    <cellStyle name="Percent 4 6 3" xfId="42087" xr:uid="{00000000-0005-0000-0000-000067A40000}"/>
    <cellStyle name="Percent 4 6 3 2" xfId="42088" xr:uid="{00000000-0005-0000-0000-000068A40000}"/>
    <cellStyle name="Percent 4 6 3 2 2" xfId="42089" xr:uid="{00000000-0005-0000-0000-000069A40000}"/>
    <cellStyle name="Percent 4 6 3 3" xfId="42090" xr:uid="{00000000-0005-0000-0000-00006AA40000}"/>
    <cellStyle name="Percent 4 6 4" xfId="42091" xr:uid="{00000000-0005-0000-0000-00006BA40000}"/>
    <cellStyle name="Percent 4 6 4 2" xfId="42092" xr:uid="{00000000-0005-0000-0000-00006CA40000}"/>
    <cellStyle name="Percent 4 6 5" xfId="42093" xr:uid="{00000000-0005-0000-0000-00006DA40000}"/>
    <cellStyle name="Percent 4 7" xfId="42094" xr:uid="{00000000-0005-0000-0000-00006EA40000}"/>
    <cellStyle name="Percent 4 7 2" xfId="42095" xr:uid="{00000000-0005-0000-0000-00006FA40000}"/>
    <cellStyle name="Percent 4 7 2 2" xfId="42096" xr:uid="{00000000-0005-0000-0000-000070A40000}"/>
    <cellStyle name="Percent 4 7 2 2 2" xfId="42097" xr:uid="{00000000-0005-0000-0000-000071A40000}"/>
    <cellStyle name="Percent 4 7 2 3" xfId="42098" xr:uid="{00000000-0005-0000-0000-000072A40000}"/>
    <cellStyle name="Percent 4 7 3" xfId="42099" xr:uid="{00000000-0005-0000-0000-000073A40000}"/>
    <cellStyle name="Percent 4 7 3 2" xfId="42100" xr:uid="{00000000-0005-0000-0000-000074A40000}"/>
    <cellStyle name="Percent 4 7 4" xfId="42101" xr:uid="{00000000-0005-0000-0000-000075A40000}"/>
    <cellStyle name="Percent 4 8" xfId="42102" xr:uid="{00000000-0005-0000-0000-000076A40000}"/>
    <cellStyle name="Percent 4 8 2" xfId="42103" xr:uid="{00000000-0005-0000-0000-000077A40000}"/>
    <cellStyle name="Percent 4 8 2 2" xfId="42104" xr:uid="{00000000-0005-0000-0000-000078A40000}"/>
    <cellStyle name="Percent 4 8 2 2 2" xfId="42105" xr:uid="{00000000-0005-0000-0000-000079A40000}"/>
    <cellStyle name="Percent 4 8 2 3" xfId="42106" xr:uid="{00000000-0005-0000-0000-00007AA40000}"/>
    <cellStyle name="Percent 4 8 3" xfId="42107" xr:uid="{00000000-0005-0000-0000-00007BA40000}"/>
    <cellStyle name="Percent 4 8 3 2" xfId="42108" xr:uid="{00000000-0005-0000-0000-00007CA40000}"/>
    <cellStyle name="Percent 4 8 4" xfId="42109" xr:uid="{00000000-0005-0000-0000-00007DA40000}"/>
    <cellStyle name="Percent 4 9" xfId="42110" xr:uid="{00000000-0005-0000-0000-00007EA40000}"/>
    <cellStyle name="Percent 4 9 2" xfId="42111" xr:uid="{00000000-0005-0000-0000-00007FA40000}"/>
    <cellStyle name="Percent 4 9 2 2" xfId="42112" xr:uid="{00000000-0005-0000-0000-000080A40000}"/>
    <cellStyle name="Percent 4 9 3" xfId="42113" xr:uid="{00000000-0005-0000-0000-000081A40000}"/>
    <cellStyle name="Percent 5" xfId="42114" xr:uid="{00000000-0005-0000-0000-000082A40000}"/>
    <cellStyle name="Percent 5 2" xfId="42115" xr:uid="{00000000-0005-0000-0000-000083A40000}"/>
    <cellStyle name="Percent 6" xfId="42116" xr:uid="{00000000-0005-0000-0000-000084A40000}"/>
    <cellStyle name="Percent 6 2" xfId="42117" xr:uid="{00000000-0005-0000-0000-000085A40000}"/>
    <cellStyle name="Percent 7" xfId="42118" xr:uid="{00000000-0005-0000-0000-000086A40000}"/>
    <cellStyle name="Percent 7 2" xfId="42119" xr:uid="{00000000-0005-0000-0000-000087A40000}"/>
    <cellStyle name="Percent 8" xfId="42120" xr:uid="{00000000-0005-0000-0000-000088A40000}"/>
    <cellStyle name="Percent 8 2" xfId="42121" xr:uid="{00000000-0005-0000-0000-000089A40000}"/>
    <cellStyle name="Percent 9" xfId="42122" xr:uid="{00000000-0005-0000-0000-00008AA40000}"/>
    <cellStyle name="Percent 9 2" xfId="42123" xr:uid="{00000000-0005-0000-0000-00008BA40000}"/>
    <cellStyle name="RevList" xfId="42124" xr:uid="{00000000-0005-0000-0000-00008CA40000}"/>
    <cellStyle name="Subtotal" xfId="42125" xr:uid="{00000000-0005-0000-0000-00008DA40000}"/>
    <cellStyle name="Table#" xfId="42126" xr:uid="{00000000-0005-0000-0000-00008EA40000}"/>
    <cellStyle name="Table# 2" xfId="42127" xr:uid="{00000000-0005-0000-0000-00008FA40000}"/>
    <cellStyle name="TableColHeadCenter" xfId="42128" xr:uid="{00000000-0005-0000-0000-000090A40000}"/>
    <cellStyle name="TableColHeadCenter 2" xfId="42129" xr:uid="{00000000-0005-0000-0000-000091A40000}"/>
    <cellStyle name="TableColHeadLeft" xfId="42130" xr:uid="{00000000-0005-0000-0000-000092A40000}"/>
    <cellStyle name="TableColHeadLeft 2" xfId="42131" xr:uid="{00000000-0005-0000-0000-000093A40000}"/>
    <cellStyle name="TableColHeadRight" xfId="42132" xr:uid="{00000000-0005-0000-0000-000094A40000}"/>
    <cellStyle name="TableColHeadRight 2" xfId="42133" xr:uid="{00000000-0005-0000-0000-000095A40000}"/>
    <cellStyle name="TableData" xfId="42134" xr:uid="{00000000-0005-0000-0000-000096A40000}"/>
    <cellStyle name="TableData 2" xfId="42135" xr:uid="{00000000-0005-0000-0000-000097A40000}"/>
    <cellStyle name="TableData_AutoNation - Revenue Build up" xfId="42136" xr:uid="{00000000-0005-0000-0000-000098A40000}"/>
    <cellStyle name="TableFootnote" xfId="42137" xr:uid="{00000000-0005-0000-0000-000099A40000}"/>
    <cellStyle name="TableFootnote 2" xfId="42138" xr:uid="{00000000-0005-0000-0000-00009AA40000}"/>
    <cellStyle name="TableRatingsData" xfId="42139" xr:uid="{00000000-0005-0000-0000-00009BA40000}"/>
    <cellStyle name="TableRatingsData 2" xfId="42140" xr:uid="{00000000-0005-0000-0000-00009CA40000}"/>
    <cellStyle name="TableStraddle" xfId="42141" xr:uid="{00000000-0005-0000-0000-00009DA40000}"/>
    <cellStyle name="TableStraddle 2" xfId="42142" xr:uid="{00000000-0005-0000-0000-00009EA40000}"/>
    <cellStyle name="TableSub" xfId="42143" xr:uid="{00000000-0005-0000-0000-00009FA40000}"/>
    <cellStyle name="TableSub 2" xfId="42144" xr:uid="{00000000-0005-0000-0000-0000A0A40000}"/>
    <cellStyle name="TableText" xfId="42145" xr:uid="{00000000-0005-0000-0000-0000A1A40000}"/>
    <cellStyle name="TableText 2" xfId="42146" xr:uid="{00000000-0005-0000-0000-0000A2A40000}"/>
    <cellStyle name="TableText1" xfId="42147" xr:uid="{00000000-0005-0000-0000-0000A3A40000}"/>
    <cellStyle name="TableText1 2" xfId="42148" xr:uid="{00000000-0005-0000-0000-0000A4A40000}"/>
    <cellStyle name="TableText2" xfId="42149" xr:uid="{00000000-0005-0000-0000-0000A5A40000}"/>
    <cellStyle name="TableText2 2" xfId="42150" xr:uid="{00000000-0005-0000-0000-0000A6A40000}"/>
    <cellStyle name="TableTitle" xfId="42151" xr:uid="{00000000-0005-0000-0000-0000A7A40000}"/>
    <cellStyle name="TableTitle 2" xfId="42152" xr:uid="{00000000-0005-0000-0000-0000A8A40000}"/>
    <cellStyle name="TableTitleSub" xfId="42153" xr:uid="{00000000-0005-0000-0000-0000A9A40000}"/>
    <cellStyle name="TableTitleSub 2" xfId="42154" xr:uid="{00000000-0005-0000-0000-0000AAA40000}"/>
    <cellStyle name="Title 2" xfId="42155" xr:uid="{00000000-0005-0000-0000-0000ABA40000}"/>
    <cellStyle name="Title 3" xfId="42156" xr:uid="{00000000-0005-0000-0000-0000ACA40000}"/>
    <cellStyle name="Title 4" xfId="42157" xr:uid="{00000000-0005-0000-0000-0000ADA40000}"/>
    <cellStyle name="Total 2" xfId="42158" xr:uid="{00000000-0005-0000-0000-0000AEA40000}"/>
    <cellStyle name="Total 3" xfId="42159" xr:uid="{00000000-0005-0000-0000-0000AFA40000}"/>
    <cellStyle name="Total 4" xfId="42160" xr:uid="{00000000-0005-0000-0000-0000B0A40000}"/>
    <cellStyle name="Warning Text 2" xfId="42161" xr:uid="{00000000-0005-0000-0000-0000B1A40000}"/>
    <cellStyle name="Warning Text 3" xfId="42162" xr:uid="{00000000-0005-0000-0000-0000B2A40000}"/>
    <cellStyle name="Warning Text 4" xfId="42163" xr:uid="{00000000-0005-0000-0000-0000B3A4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2"/>
  <sheetViews>
    <sheetView topLeftCell="A113" workbookViewId="0">
      <selection activeCell="B22" sqref="B22"/>
    </sheetView>
  </sheetViews>
  <sheetFormatPr defaultRowHeight="12.5" x14ac:dyDescent="0.25"/>
  <cols>
    <col min="2" max="2" width="58.7265625" customWidth="1"/>
    <col min="3" max="3" width="25.1796875" bestFit="1" customWidth="1"/>
    <col min="4" max="4" width="48.7265625" style="4" bestFit="1" customWidth="1"/>
    <col min="5" max="5" width="92.81640625" style="4" customWidth="1"/>
  </cols>
  <sheetData>
    <row r="1" spans="1:5" x14ac:dyDescent="0.25">
      <c r="D1"/>
      <c r="E1"/>
    </row>
    <row r="2" spans="1:5" ht="13" x14ac:dyDescent="0.3">
      <c r="B2" s="1" t="s">
        <v>0</v>
      </c>
      <c r="C2" s="1" t="s">
        <v>1</v>
      </c>
      <c r="D2" s="1" t="s">
        <v>2</v>
      </c>
      <c r="E2" s="1" t="s">
        <v>3</v>
      </c>
    </row>
    <row r="3" spans="1:5" x14ac:dyDescent="0.25">
      <c r="A3">
        <f>1</f>
        <v>1</v>
      </c>
      <c r="B3" s="2" t="s">
        <v>4</v>
      </c>
      <c r="C3" s="2" t="s">
        <v>5</v>
      </c>
      <c r="D3" s="3" t="s">
        <v>6</v>
      </c>
      <c r="E3" s="3" t="s">
        <v>7</v>
      </c>
    </row>
    <row r="4" spans="1:5" x14ac:dyDescent="0.25">
      <c r="A4">
        <f>A3+1</f>
        <v>2</v>
      </c>
      <c r="B4" s="2" t="s">
        <v>4</v>
      </c>
      <c r="C4" s="2" t="s">
        <v>8</v>
      </c>
      <c r="D4" s="3" t="s">
        <v>9</v>
      </c>
      <c r="E4" s="3" t="s">
        <v>10</v>
      </c>
    </row>
    <row r="5" spans="1:5" x14ac:dyDescent="0.25">
      <c r="A5">
        <f t="shared" ref="A5:A68" si="0">A4+1</f>
        <v>3</v>
      </c>
      <c r="B5" s="2" t="s">
        <v>4</v>
      </c>
      <c r="C5" s="2" t="s">
        <v>11</v>
      </c>
      <c r="D5" s="3" t="s">
        <v>12</v>
      </c>
      <c r="E5" s="3" t="s">
        <v>13</v>
      </c>
    </row>
    <row r="6" spans="1:5" x14ac:dyDescent="0.25">
      <c r="A6">
        <f t="shared" si="0"/>
        <v>4</v>
      </c>
      <c r="B6" s="2" t="s">
        <v>14</v>
      </c>
      <c r="C6" s="2" t="s">
        <v>15</v>
      </c>
      <c r="D6" s="3" t="s">
        <v>16</v>
      </c>
      <c r="E6" s="3" t="s">
        <v>17</v>
      </c>
    </row>
    <row r="7" spans="1:5" x14ac:dyDescent="0.25">
      <c r="A7">
        <f t="shared" si="0"/>
        <v>5</v>
      </c>
      <c r="B7" s="2" t="s">
        <v>4</v>
      </c>
      <c r="C7" s="2" t="s">
        <v>18</v>
      </c>
      <c r="D7" s="3" t="s">
        <v>19</v>
      </c>
      <c r="E7" s="3" t="s">
        <v>20</v>
      </c>
    </row>
    <row r="8" spans="1:5" x14ac:dyDescent="0.25">
      <c r="A8">
        <f t="shared" si="0"/>
        <v>6</v>
      </c>
      <c r="B8" s="2" t="s">
        <v>4</v>
      </c>
      <c r="C8" s="2" t="s">
        <v>21</v>
      </c>
      <c r="D8" s="3" t="s">
        <v>22</v>
      </c>
      <c r="E8" s="3" t="s">
        <v>23</v>
      </c>
    </row>
    <row r="9" spans="1:5" x14ac:dyDescent="0.25">
      <c r="A9">
        <f t="shared" si="0"/>
        <v>7</v>
      </c>
      <c r="B9" s="2" t="s">
        <v>14</v>
      </c>
      <c r="C9" s="2" t="s">
        <v>24</v>
      </c>
      <c r="D9" s="3" t="s">
        <v>25</v>
      </c>
      <c r="E9" s="3" t="s">
        <v>26</v>
      </c>
    </row>
    <row r="10" spans="1:5" x14ac:dyDescent="0.25">
      <c r="A10">
        <f t="shared" si="0"/>
        <v>8</v>
      </c>
      <c r="B10" s="2" t="s">
        <v>14</v>
      </c>
      <c r="C10" s="2" t="s">
        <v>27</v>
      </c>
      <c r="D10" s="3" t="s">
        <v>28</v>
      </c>
      <c r="E10" s="3" t="s">
        <v>29</v>
      </c>
    </row>
    <row r="11" spans="1:5" x14ac:dyDescent="0.25">
      <c r="A11">
        <f t="shared" si="0"/>
        <v>9</v>
      </c>
      <c r="B11" s="2" t="s">
        <v>14</v>
      </c>
      <c r="C11" s="2" t="s">
        <v>30</v>
      </c>
      <c r="D11" s="3" t="s">
        <v>31</v>
      </c>
      <c r="E11" s="3" t="s">
        <v>32</v>
      </c>
    </row>
    <row r="12" spans="1:5" x14ac:dyDescent="0.25">
      <c r="A12">
        <f t="shared" si="0"/>
        <v>10</v>
      </c>
      <c r="B12" s="2" t="s">
        <v>14</v>
      </c>
      <c r="C12" s="2" t="s">
        <v>33</v>
      </c>
      <c r="D12" s="3" t="s">
        <v>34</v>
      </c>
      <c r="E12" s="3" t="s">
        <v>35</v>
      </c>
    </row>
    <row r="13" spans="1:5" x14ac:dyDescent="0.25">
      <c r="A13">
        <f t="shared" si="0"/>
        <v>11</v>
      </c>
      <c r="B13" s="2" t="s">
        <v>4</v>
      </c>
      <c r="C13" s="2" t="s">
        <v>36</v>
      </c>
      <c r="D13" s="3" t="s">
        <v>37</v>
      </c>
      <c r="E13" s="3" t="s">
        <v>38</v>
      </c>
    </row>
    <row r="14" spans="1:5" x14ac:dyDescent="0.25">
      <c r="A14">
        <f t="shared" si="0"/>
        <v>12</v>
      </c>
      <c r="B14" s="2" t="s">
        <v>4</v>
      </c>
      <c r="C14" s="2" t="s">
        <v>39</v>
      </c>
      <c r="D14" s="3" t="s">
        <v>40</v>
      </c>
      <c r="E14" s="3" t="s">
        <v>41</v>
      </c>
    </row>
    <row r="15" spans="1:5" x14ac:dyDescent="0.25">
      <c r="A15">
        <f t="shared" si="0"/>
        <v>13</v>
      </c>
      <c r="B15" s="2" t="s">
        <v>4</v>
      </c>
      <c r="C15" s="2" t="s">
        <v>42</v>
      </c>
      <c r="D15" s="3" t="s">
        <v>43</v>
      </c>
      <c r="E15" s="3" t="s">
        <v>44</v>
      </c>
    </row>
    <row r="16" spans="1:5" x14ac:dyDescent="0.25">
      <c r="A16">
        <f t="shared" si="0"/>
        <v>14</v>
      </c>
      <c r="B16" s="2" t="s">
        <v>14</v>
      </c>
      <c r="C16" s="2" t="s">
        <v>45</v>
      </c>
      <c r="D16" s="3" t="s">
        <v>46</v>
      </c>
      <c r="E16" s="3" t="s">
        <v>47</v>
      </c>
    </row>
    <row r="17" spans="1:5" x14ac:dyDescent="0.25">
      <c r="A17">
        <f t="shared" si="0"/>
        <v>15</v>
      </c>
      <c r="B17" s="2" t="s">
        <v>4</v>
      </c>
      <c r="C17" s="2" t="s">
        <v>48</v>
      </c>
      <c r="D17" s="3" t="s">
        <v>49</v>
      </c>
      <c r="E17" s="3" t="s">
        <v>50</v>
      </c>
    </row>
    <row r="18" spans="1:5" x14ac:dyDescent="0.25">
      <c r="A18">
        <f t="shared" si="0"/>
        <v>16</v>
      </c>
      <c r="B18" s="2" t="s">
        <v>4</v>
      </c>
      <c r="C18" s="2" t="s">
        <v>51</v>
      </c>
      <c r="D18" s="3" t="s">
        <v>52</v>
      </c>
      <c r="E18" s="3" t="s">
        <v>53</v>
      </c>
    </row>
    <row r="19" spans="1:5" x14ac:dyDescent="0.25">
      <c r="A19">
        <f t="shared" si="0"/>
        <v>17</v>
      </c>
      <c r="B19" s="2" t="s">
        <v>14</v>
      </c>
      <c r="C19" s="2" t="s">
        <v>54</v>
      </c>
      <c r="D19" s="3" t="s">
        <v>55</v>
      </c>
      <c r="E19" s="3" t="s">
        <v>56</v>
      </c>
    </row>
    <row r="20" spans="1:5" x14ac:dyDescent="0.25">
      <c r="A20">
        <f t="shared" si="0"/>
        <v>18</v>
      </c>
      <c r="B20" s="2" t="s">
        <v>14</v>
      </c>
      <c r="C20" s="2" t="s">
        <v>57</v>
      </c>
      <c r="D20" s="3" t="s">
        <v>58</v>
      </c>
      <c r="E20" s="3" t="s">
        <v>59</v>
      </c>
    </row>
    <row r="21" spans="1:5" x14ac:dyDescent="0.25">
      <c r="A21">
        <f t="shared" si="0"/>
        <v>19</v>
      </c>
      <c r="B21" s="2" t="s">
        <v>14</v>
      </c>
      <c r="C21" s="2" t="s">
        <v>60</v>
      </c>
      <c r="D21" s="3" t="s">
        <v>61</v>
      </c>
      <c r="E21" s="3" t="s">
        <v>62</v>
      </c>
    </row>
    <row r="22" spans="1:5" x14ac:dyDescent="0.25">
      <c r="A22">
        <f t="shared" si="0"/>
        <v>20</v>
      </c>
      <c r="B22" s="2" t="s">
        <v>14</v>
      </c>
      <c r="C22" s="2" t="s">
        <v>63</v>
      </c>
      <c r="D22" s="3" t="s">
        <v>64</v>
      </c>
      <c r="E22" s="3" t="s">
        <v>65</v>
      </c>
    </row>
    <row r="23" spans="1:5" x14ac:dyDescent="0.25">
      <c r="A23">
        <f t="shared" si="0"/>
        <v>21</v>
      </c>
      <c r="B23" s="2" t="s">
        <v>4</v>
      </c>
      <c r="C23" s="2" t="s">
        <v>66</v>
      </c>
      <c r="D23" s="3" t="s">
        <v>67</v>
      </c>
      <c r="E23" s="3" t="s">
        <v>68</v>
      </c>
    </row>
    <row r="24" spans="1:5" x14ac:dyDescent="0.25">
      <c r="A24">
        <f t="shared" si="0"/>
        <v>22</v>
      </c>
      <c r="B24" s="2" t="s">
        <v>4</v>
      </c>
      <c r="C24" s="2" t="s">
        <v>69</v>
      </c>
      <c r="D24" s="3" t="s">
        <v>70</v>
      </c>
      <c r="E24" s="3" t="s">
        <v>71</v>
      </c>
    </row>
    <row r="25" spans="1:5" x14ac:dyDescent="0.25">
      <c r="A25">
        <f t="shared" si="0"/>
        <v>23</v>
      </c>
      <c r="B25" s="2" t="s">
        <v>4</v>
      </c>
      <c r="C25" s="2" t="s">
        <v>72</v>
      </c>
      <c r="D25" s="3" t="s">
        <v>73</v>
      </c>
      <c r="E25" s="3" t="s">
        <v>74</v>
      </c>
    </row>
    <row r="26" spans="1:5" x14ac:dyDescent="0.25">
      <c r="A26">
        <f t="shared" si="0"/>
        <v>24</v>
      </c>
      <c r="B26" s="2" t="s">
        <v>4</v>
      </c>
      <c r="C26" s="2" t="s">
        <v>75</v>
      </c>
      <c r="D26" s="3" t="s">
        <v>76</v>
      </c>
      <c r="E26" s="3" t="s">
        <v>77</v>
      </c>
    </row>
    <row r="27" spans="1:5" x14ac:dyDescent="0.25">
      <c r="A27">
        <f t="shared" si="0"/>
        <v>25</v>
      </c>
      <c r="B27" s="2" t="s">
        <v>4</v>
      </c>
      <c r="C27" s="2" t="s">
        <v>78</v>
      </c>
      <c r="D27" s="3" t="s">
        <v>79</v>
      </c>
      <c r="E27" s="3" t="s">
        <v>80</v>
      </c>
    </row>
    <row r="28" spans="1:5" x14ac:dyDescent="0.25">
      <c r="A28">
        <f t="shared" si="0"/>
        <v>26</v>
      </c>
      <c r="B28" s="2" t="s">
        <v>14</v>
      </c>
      <c r="C28" s="2" t="s">
        <v>81</v>
      </c>
      <c r="D28" s="3" t="s">
        <v>82</v>
      </c>
      <c r="E28" s="3" t="s">
        <v>83</v>
      </c>
    </row>
    <row r="29" spans="1:5" x14ac:dyDescent="0.25">
      <c r="A29">
        <f t="shared" si="0"/>
        <v>27</v>
      </c>
      <c r="B29" s="2" t="s">
        <v>14</v>
      </c>
      <c r="C29" s="2" t="s">
        <v>84</v>
      </c>
      <c r="D29" s="3" t="s">
        <v>85</v>
      </c>
      <c r="E29" s="3" t="s">
        <v>86</v>
      </c>
    </row>
    <row r="30" spans="1:5" x14ac:dyDescent="0.25">
      <c r="A30">
        <f t="shared" si="0"/>
        <v>28</v>
      </c>
      <c r="B30" s="2" t="s">
        <v>4</v>
      </c>
      <c r="C30" s="2" t="s">
        <v>87</v>
      </c>
      <c r="D30" s="3" t="s">
        <v>88</v>
      </c>
      <c r="E30" s="3" t="s">
        <v>89</v>
      </c>
    </row>
    <row r="31" spans="1:5" x14ac:dyDescent="0.25">
      <c r="A31">
        <f t="shared" si="0"/>
        <v>29</v>
      </c>
      <c r="B31" s="2" t="s">
        <v>4</v>
      </c>
      <c r="C31" s="2" t="s">
        <v>90</v>
      </c>
      <c r="D31" s="3" t="s">
        <v>91</v>
      </c>
      <c r="E31" s="3" t="s">
        <v>92</v>
      </c>
    </row>
    <row r="32" spans="1:5" x14ac:dyDescent="0.25">
      <c r="A32">
        <f t="shared" si="0"/>
        <v>30</v>
      </c>
      <c r="B32" s="2" t="s">
        <v>4</v>
      </c>
      <c r="C32" s="2" t="s">
        <v>93</v>
      </c>
      <c r="D32" s="3" t="s">
        <v>94</v>
      </c>
      <c r="E32" s="3" t="s">
        <v>95</v>
      </c>
    </row>
    <row r="33" spans="1:5" x14ac:dyDescent="0.25">
      <c r="A33">
        <f t="shared" si="0"/>
        <v>31</v>
      </c>
      <c r="B33" s="2" t="s">
        <v>4</v>
      </c>
      <c r="C33" s="2" t="s">
        <v>96</v>
      </c>
      <c r="D33" s="3" t="s">
        <v>97</v>
      </c>
      <c r="E33" s="3" t="s">
        <v>98</v>
      </c>
    </row>
    <row r="34" spans="1:5" x14ac:dyDescent="0.25">
      <c r="A34">
        <f t="shared" si="0"/>
        <v>32</v>
      </c>
      <c r="B34" s="2" t="s">
        <v>4</v>
      </c>
      <c r="C34" s="2" t="s">
        <v>99</v>
      </c>
      <c r="D34" s="3" t="s">
        <v>100</v>
      </c>
      <c r="E34" s="3" t="s">
        <v>101</v>
      </c>
    </row>
    <row r="35" spans="1:5" x14ac:dyDescent="0.25">
      <c r="A35">
        <f t="shared" si="0"/>
        <v>33</v>
      </c>
      <c r="B35" s="2" t="s">
        <v>14</v>
      </c>
      <c r="C35" s="2" t="s">
        <v>102</v>
      </c>
      <c r="D35" s="3" t="s">
        <v>103</v>
      </c>
      <c r="E35" s="3" t="s">
        <v>104</v>
      </c>
    </row>
    <row r="36" spans="1:5" x14ac:dyDescent="0.25">
      <c r="A36">
        <f t="shared" si="0"/>
        <v>34</v>
      </c>
      <c r="B36" s="2" t="s">
        <v>14</v>
      </c>
      <c r="C36" s="2" t="s">
        <v>105</v>
      </c>
      <c r="D36" s="3" t="s">
        <v>106</v>
      </c>
      <c r="E36" s="3" t="s">
        <v>107</v>
      </c>
    </row>
    <row r="37" spans="1:5" x14ac:dyDescent="0.25">
      <c r="A37">
        <f t="shared" si="0"/>
        <v>35</v>
      </c>
      <c r="B37" s="2" t="s">
        <v>108</v>
      </c>
      <c r="C37" s="2" t="s">
        <v>78</v>
      </c>
      <c r="D37" s="3" t="s">
        <v>79</v>
      </c>
      <c r="E37" s="3" t="s">
        <v>80</v>
      </c>
    </row>
    <row r="38" spans="1:5" x14ac:dyDescent="0.25">
      <c r="A38">
        <f t="shared" si="0"/>
        <v>36</v>
      </c>
      <c r="B38" s="2" t="s">
        <v>108</v>
      </c>
      <c r="C38" s="2" t="s">
        <v>99</v>
      </c>
      <c r="D38" s="3" t="s">
        <v>100</v>
      </c>
      <c r="E38" s="3" t="s">
        <v>101</v>
      </c>
    </row>
    <row r="39" spans="1:5" x14ac:dyDescent="0.25">
      <c r="A39">
        <f t="shared" si="0"/>
        <v>37</v>
      </c>
      <c r="B39" s="2" t="s">
        <v>109</v>
      </c>
      <c r="C39" s="2" t="s">
        <v>110</v>
      </c>
      <c r="D39" s="4" t="s">
        <v>111</v>
      </c>
      <c r="E39" s="3" t="s">
        <v>112</v>
      </c>
    </row>
    <row r="40" spans="1:5" x14ac:dyDescent="0.25">
      <c r="A40">
        <f t="shared" si="0"/>
        <v>38</v>
      </c>
      <c r="B40" s="2" t="s">
        <v>109</v>
      </c>
      <c r="C40" s="2" t="s">
        <v>113</v>
      </c>
      <c r="D40" s="3" t="s">
        <v>114</v>
      </c>
      <c r="E40" s="3" t="s">
        <v>115</v>
      </c>
    </row>
    <row r="41" spans="1:5" x14ac:dyDescent="0.25">
      <c r="A41">
        <f t="shared" si="0"/>
        <v>39</v>
      </c>
      <c r="B41" s="2" t="s">
        <v>116</v>
      </c>
      <c r="C41" s="2" t="s">
        <v>117</v>
      </c>
      <c r="D41" s="4" t="s">
        <v>118</v>
      </c>
      <c r="E41" s="3" t="s">
        <v>119</v>
      </c>
    </row>
    <row r="42" spans="1:5" x14ac:dyDescent="0.25">
      <c r="A42">
        <f t="shared" si="0"/>
        <v>40</v>
      </c>
      <c r="B42" s="2" t="s">
        <v>116</v>
      </c>
      <c r="C42" s="2" t="s">
        <v>120</v>
      </c>
      <c r="D42" s="4" t="s">
        <v>121</v>
      </c>
      <c r="E42" s="3" t="s">
        <v>122</v>
      </c>
    </row>
    <row r="43" spans="1:5" x14ac:dyDescent="0.25">
      <c r="A43">
        <f t="shared" si="0"/>
        <v>41</v>
      </c>
      <c r="B43" s="2" t="s">
        <v>123</v>
      </c>
      <c r="C43" s="2" t="s">
        <v>124</v>
      </c>
      <c r="D43" s="4" t="s">
        <v>125</v>
      </c>
      <c r="E43" s="4" t="s">
        <v>126</v>
      </c>
    </row>
    <row r="44" spans="1:5" x14ac:dyDescent="0.25">
      <c r="A44">
        <f t="shared" si="0"/>
        <v>42</v>
      </c>
      <c r="B44" s="2" t="s">
        <v>123</v>
      </c>
      <c r="C44" s="2" t="s">
        <v>127</v>
      </c>
      <c r="D44" s="4" t="s">
        <v>125</v>
      </c>
      <c r="E44" s="4" t="s">
        <v>128</v>
      </c>
    </row>
    <row r="45" spans="1:5" x14ac:dyDescent="0.25">
      <c r="A45">
        <f t="shared" si="0"/>
        <v>43</v>
      </c>
      <c r="B45" s="2" t="s">
        <v>123</v>
      </c>
      <c r="C45" s="2" t="s">
        <v>129</v>
      </c>
      <c r="D45" s="4" t="s">
        <v>125</v>
      </c>
      <c r="E45" s="4" t="s">
        <v>130</v>
      </c>
    </row>
    <row r="46" spans="1:5" x14ac:dyDescent="0.25">
      <c r="A46">
        <f t="shared" si="0"/>
        <v>44</v>
      </c>
      <c r="B46" s="2" t="s">
        <v>123</v>
      </c>
      <c r="C46" s="2" t="s">
        <v>131</v>
      </c>
      <c r="D46" s="4" t="s">
        <v>125</v>
      </c>
      <c r="E46" s="4" t="s">
        <v>132</v>
      </c>
    </row>
    <row r="47" spans="1:5" x14ac:dyDescent="0.25">
      <c r="A47">
        <f t="shared" si="0"/>
        <v>45</v>
      </c>
      <c r="B47" s="2" t="s">
        <v>14</v>
      </c>
      <c r="C47" s="2" t="s">
        <v>133</v>
      </c>
      <c r="D47" s="4" t="s">
        <v>134</v>
      </c>
      <c r="E47" s="3" t="s">
        <v>135</v>
      </c>
    </row>
    <row r="48" spans="1:5" x14ac:dyDescent="0.25">
      <c r="A48">
        <f t="shared" si="0"/>
        <v>46</v>
      </c>
      <c r="B48" s="2" t="s">
        <v>14</v>
      </c>
      <c r="C48" s="2" t="s">
        <v>136</v>
      </c>
      <c r="D48" s="3" t="s">
        <v>137</v>
      </c>
      <c r="E48" s="3" t="s">
        <v>138</v>
      </c>
    </row>
    <row r="49" spans="1:5" x14ac:dyDescent="0.25">
      <c r="A49">
        <f t="shared" si="0"/>
        <v>47</v>
      </c>
      <c r="B49" s="2" t="s">
        <v>14</v>
      </c>
      <c r="C49" s="2" t="s">
        <v>139</v>
      </c>
      <c r="D49" s="3" t="s">
        <v>140</v>
      </c>
      <c r="E49" s="3" t="s">
        <v>141</v>
      </c>
    </row>
    <row r="50" spans="1:5" x14ac:dyDescent="0.25">
      <c r="A50">
        <f t="shared" si="0"/>
        <v>48</v>
      </c>
      <c r="B50" s="2" t="s">
        <v>14</v>
      </c>
      <c r="C50" s="2" t="s">
        <v>142</v>
      </c>
      <c r="D50" s="3" t="s">
        <v>143</v>
      </c>
      <c r="E50" s="3" t="s">
        <v>144</v>
      </c>
    </row>
    <row r="51" spans="1:5" x14ac:dyDescent="0.25">
      <c r="A51">
        <f t="shared" si="0"/>
        <v>49</v>
      </c>
      <c r="B51" s="2" t="s">
        <v>14</v>
      </c>
      <c r="C51" s="2" t="s">
        <v>145</v>
      </c>
      <c r="D51" s="3" t="s">
        <v>146</v>
      </c>
      <c r="E51" s="3" t="s">
        <v>147</v>
      </c>
    </row>
    <row r="52" spans="1:5" x14ac:dyDescent="0.25">
      <c r="A52">
        <f t="shared" si="0"/>
        <v>50</v>
      </c>
      <c r="B52" s="2" t="s">
        <v>14</v>
      </c>
      <c r="C52" s="2" t="s">
        <v>148</v>
      </c>
      <c r="D52" s="3" t="s">
        <v>149</v>
      </c>
      <c r="E52" s="3" t="s">
        <v>150</v>
      </c>
    </row>
    <row r="53" spans="1:5" x14ac:dyDescent="0.25">
      <c r="A53">
        <f t="shared" si="0"/>
        <v>51</v>
      </c>
      <c r="B53" s="2" t="s">
        <v>14</v>
      </c>
      <c r="C53" s="2" t="s">
        <v>151</v>
      </c>
      <c r="D53" s="3" t="s">
        <v>152</v>
      </c>
      <c r="E53" s="3" t="s">
        <v>153</v>
      </c>
    </row>
    <row r="54" spans="1:5" x14ac:dyDescent="0.25">
      <c r="A54">
        <f t="shared" si="0"/>
        <v>52</v>
      </c>
      <c r="B54" s="2" t="s">
        <v>14</v>
      </c>
      <c r="C54" s="2" t="s">
        <v>154</v>
      </c>
      <c r="D54" s="3" t="s">
        <v>155</v>
      </c>
      <c r="E54" s="3" t="s">
        <v>156</v>
      </c>
    </row>
    <row r="55" spans="1:5" x14ac:dyDescent="0.25">
      <c r="A55">
        <f t="shared" si="0"/>
        <v>53</v>
      </c>
      <c r="B55" s="2" t="s">
        <v>14</v>
      </c>
      <c r="C55" s="2" t="s">
        <v>157</v>
      </c>
      <c r="D55" s="3" t="s">
        <v>158</v>
      </c>
      <c r="E55" s="3" t="s">
        <v>159</v>
      </c>
    </row>
    <row r="56" spans="1:5" x14ac:dyDescent="0.25">
      <c r="A56">
        <f t="shared" si="0"/>
        <v>54</v>
      </c>
      <c r="B56" s="2" t="s">
        <v>14</v>
      </c>
      <c r="C56" s="2" t="s">
        <v>160</v>
      </c>
      <c r="D56" s="3" t="s">
        <v>161</v>
      </c>
      <c r="E56" s="3" t="s">
        <v>162</v>
      </c>
    </row>
    <row r="57" spans="1:5" x14ac:dyDescent="0.25">
      <c r="A57">
        <f t="shared" si="0"/>
        <v>55</v>
      </c>
      <c r="B57" s="2" t="s">
        <v>14</v>
      </c>
      <c r="C57" s="2" t="s">
        <v>163</v>
      </c>
      <c r="D57" s="3" t="s">
        <v>164</v>
      </c>
      <c r="E57" s="3" t="s">
        <v>165</v>
      </c>
    </row>
    <row r="58" spans="1:5" x14ac:dyDescent="0.25">
      <c r="A58">
        <f t="shared" si="0"/>
        <v>56</v>
      </c>
      <c r="B58" s="2" t="s">
        <v>14</v>
      </c>
      <c r="C58" s="2" t="s">
        <v>166</v>
      </c>
      <c r="D58" s="3" t="s">
        <v>167</v>
      </c>
      <c r="E58" s="3" t="s">
        <v>168</v>
      </c>
    </row>
    <row r="59" spans="1:5" x14ac:dyDescent="0.25">
      <c r="A59">
        <f t="shared" si="0"/>
        <v>57</v>
      </c>
      <c r="B59" s="2" t="s">
        <v>14</v>
      </c>
      <c r="C59" s="2" t="s">
        <v>169</v>
      </c>
      <c r="D59" s="3" t="s">
        <v>170</v>
      </c>
      <c r="E59" s="4" t="s">
        <v>171</v>
      </c>
    </row>
    <row r="60" spans="1:5" x14ac:dyDescent="0.25">
      <c r="A60">
        <f t="shared" si="0"/>
        <v>58</v>
      </c>
      <c r="B60" s="2" t="s">
        <v>14</v>
      </c>
      <c r="C60" s="2" t="s">
        <v>172</v>
      </c>
      <c r="D60" s="4" t="s">
        <v>134</v>
      </c>
      <c r="E60" s="3" t="s">
        <v>173</v>
      </c>
    </row>
    <row r="61" spans="1:5" x14ac:dyDescent="0.25">
      <c r="A61">
        <f t="shared" si="0"/>
        <v>59</v>
      </c>
      <c r="B61" s="2" t="s">
        <v>14</v>
      </c>
      <c r="C61" s="2" t="s">
        <v>174</v>
      </c>
      <c r="D61" s="3" t="s">
        <v>137</v>
      </c>
      <c r="E61" s="3" t="s">
        <v>175</v>
      </c>
    </row>
    <row r="62" spans="1:5" x14ac:dyDescent="0.25">
      <c r="A62">
        <f t="shared" si="0"/>
        <v>60</v>
      </c>
      <c r="B62" s="2" t="s">
        <v>14</v>
      </c>
      <c r="C62" s="2" t="s">
        <v>176</v>
      </c>
      <c r="D62" s="3" t="s">
        <v>140</v>
      </c>
      <c r="E62" s="3" t="s">
        <v>177</v>
      </c>
    </row>
    <row r="63" spans="1:5" x14ac:dyDescent="0.25">
      <c r="A63">
        <f t="shared" si="0"/>
        <v>61</v>
      </c>
      <c r="B63" s="2" t="s">
        <v>14</v>
      </c>
      <c r="C63" s="2" t="s">
        <v>178</v>
      </c>
      <c r="D63" s="3" t="s">
        <v>143</v>
      </c>
      <c r="E63" s="3" t="s">
        <v>179</v>
      </c>
    </row>
    <row r="64" spans="1:5" x14ac:dyDescent="0.25">
      <c r="A64">
        <f t="shared" si="0"/>
        <v>62</v>
      </c>
      <c r="B64" s="2" t="s">
        <v>14</v>
      </c>
      <c r="C64" s="2" t="s">
        <v>180</v>
      </c>
      <c r="D64" s="3" t="s">
        <v>146</v>
      </c>
      <c r="E64" s="3" t="s">
        <v>181</v>
      </c>
    </row>
    <row r="65" spans="1:5" x14ac:dyDescent="0.25">
      <c r="A65">
        <f t="shared" si="0"/>
        <v>63</v>
      </c>
      <c r="B65" s="2" t="s">
        <v>14</v>
      </c>
      <c r="C65" s="2" t="s">
        <v>182</v>
      </c>
      <c r="D65" s="3" t="s">
        <v>149</v>
      </c>
      <c r="E65" s="3" t="s">
        <v>183</v>
      </c>
    </row>
    <row r="66" spans="1:5" x14ac:dyDescent="0.25">
      <c r="A66">
        <f t="shared" si="0"/>
        <v>64</v>
      </c>
      <c r="B66" s="2" t="s">
        <v>14</v>
      </c>
      <c r="C66" s="2" t="s">
        <v>184</v>
      </c>
      <c r="D66" s="3" t="s">
        <v>152</v>
      </c>
      <c r="E66" s="3" t="s">
        <v>185</v>
      </c>
    </row>
    <row r="67" spans="1:5" x14ac:dyDescent="0.25">
      <c r="A67">
        <f t="shared" si="0"/>
        <v>65</v>
      </c>
      <c r="B67" s="2" t="s">
        <v>14</v>
      </c>
      <c r="C67" s="2" t="s">
        <v>186</v>
      </c>
      <c r="D67" s="3" t="s">
        <v>155</v>
      </c>
      <c r="E67" s="3" t="s">
        <v>187</v>
      </c>
    </row>
    <row r="68" spans="1:5" x14ac:dyDescent="0.25">
      <c r="A68">
        <f t="shared" si="0"/>
        <v>66</v>
      </c>
      <c r="B68" s="2" t="s">
        <v>14</v>
      </c>
      <c r="C68" s="2" t="s">
        <v>188</v>
      </c>
      <c r="D68" s="3" t="s">
        <v>158</v>
      </c>
      <c r="E68" s="3" t="s">
        <v>189</v>
      </c>
    </row>
    <row r="69" spans="1:5" x14ac:dyDescent="0.25">
      <c r="A69">
        <f t="shared" ref="A69:A132" si="1">A68+1</f>
        <v>67</v>
      </c>
      <c r="B69" s="2" t="s">
        <v>14</v>
      </c>
      <c r="C69" s="2" t="s">
        <v>190</v>
      </c>
      <c r="D69" s="3" t="s">
        <v>161</v>
      </c>
      <c r="E69" s="3" t="s">
        <v>191</v>
      </c>
    </row>
    <row r="70" spans="1:5" x14ac:dyDescent="0.25">
      <c r="A70">
        <f t="shared" si="1"/>
        <v>68</v>
      </c>
      <c r="B70" s="2" t="s">
        <v>14</v>
      </c>
      <c r="C70" s="2" t="s">
        <v>192</v>
      </c>
      <c r="D70" s="3" t="s">
        <v>164</v>
      </c>
      <c r="E70" s="3" t="s">
        <v>193</v>
      </c>
    </row>
    <row r="71" spans="1:5" x14ac:dyDescent="0.25">
      <c r="A71">
        <f t="shared" si="1"/>
        <v>69</v>
      </c>
      <c r="B71" s="2" t="s">
        <v>14</v>
      </c>
      <c r="C71" s="2" t="s">
        <v>194</v>
      </c>
      <c r="D71" s="3" t="s">
        <v>167</v>
      </c>
      <c r="E71" s="3" t="s">
        <v>195</v>
      </c>
    </row>
    <row r="72" spans="1:5" x14ac:dyDescent="0.25">
      <c r="A72">
        <f t="shared" si="1"/>
        <v>70</v>
      </c>
      <c r="B72" s="2" t="s">
        <v>14</v>
      </c>
      <c r="C72" s="2" t="s">
        <v>196</v>
      </c>
      <c r="D72" s="3" t="s">
        <v>170</v>
      </c>
      <c r="E72" s="4" t="s">
        <v>197</v>
      </c>
    </row>
    <row r="73" spans="1:5" x14ac:dyDescent="0.25">
      <c r="A73">
        <f t="shared" si="1"/>
        <v>71</v>
      </c>
      <c r="B73" s="2" t="s">
        <v>14</v>
      </c>
      <c r="C73" s="2" t="s">
        <v>198</v>
      </c>
      <c r="D73" s="3" t="s">
        <v>199</v>
      </c>
      <c r="E73" s="4" t="s">
        <v>200</v>
      </c>
    </row>
    <row r="74" spans="1:5" x14ac:dyDescent="0.25">
      <c r="A74">
        <f t="shared" si="1"/>
        <v>72</v>
      </c>
      <c r="B74" s="2" t="s">
        <v>14</v>
      </c>
      <c r="C74" s="2" t="s">
        <v>201</v>
      </c>
      <c r="D74" s="3" t="s">
        <v>202</v>
      </c>
      <c r="E74" s="4" t="s">
        <v>203</v>
      </c>
    </row>
    <row r="75" spans="1:5" x14ac:dyDescent="0.25">
      <c r="A75">
        <f t="shared" si="1"/>
        <v>73</v>
      </c>
      <c r="B75" s="2" t="s">
        <v>14</v>
      </c>
      <c r="C75" s="2" t="s">
        <v>204</v>
      </c>
      <c r="D75" s="3" t="s">
        <v>205</v>
      </c>
      <c r="E75" s="4" t="s">
        <v>206</v>
      </c>
    </row>
    <row r="76" spans="1:5" x14ac:dyDescent="0.25">
      <c r="A76">
        <f t="shared" si="1"/>
        <v>74</v>
      </c>
      <c r="B76" s="2" t="s">
        <v>14</v>
      </c>
      <c r="C76" s="2" t="s">
        <v>207</v>
      </c>
      <c r="D76" s="3" t="s">
        <v>208</v>
      </c>
      <c r="E76" s="3" t="s">
        <v>209</v>
      </c>
    </row>
    <row r="77" spans="1:5" x14ac:dyDescent="0.25">
      <c r="A77">
        <f t="shared" si="1"/>
        <v>75</v>
      </c>
      <c r="B77" s="2" t="s">
        <v>14</v>
      </c>
      <c r="C77" s="2" t="s">
        <v>210</v>
      </c>
      <c r="D77" s="3" t="s">
        <v>211</v>
      </c>
      <c r="E77" s="3" t="s">
        <v>212</v>
      </c>
    </row>
    <row r="78" spans="1:5" x14ac:dyDescent="0.25">
      <c r="A78">
        <f t="shared" si="1"/>
        <v>76</v>
      </c>
      <c r="B78" s="2" t="s">
        <v>14</v>
      </c>
      <c r="C78" s="2" t="s">
        <v>213</v>
      </c>
      <c r="D78" s="3" t="s">
        <v>214</v>
      </c>
      <c r="E78" s="4" t="s">
        <v>215</v>
      </c>
    </row>
    <row r="79" spans="1:5" x14ac:dyDescent="0.25">
      <c r="A79">
        <f t="shared" si="1"/>
        <v>77</v>
      </c>
      <c r="B79" s="2" t="s">
        <v>14</v>
      </c>
      <c r="C79" s="2" t="s">
        <v>216</v>
      </c>
      <c r="D79" s="3" t="s">
        <v>217</v>
      </c>
      <c r="E79" s="4" t="s">
        <v>218</v>
      </c>
    </row>
    <row r="80" spans="1:5" x14ac:dyDescent="0.25">
      <c r="A80">
        <f t="shared" si="1"/>
        <v>78</v>
      </c>
      <c r="B80" s="2" t="s">
        <v>14</v>
      </c>
      <c r="C80" s="2" t="s">
        <v>219</v>
      </c>
      <c r="D80" s="3" t="s">
        <v>220</v>
      </c>
      <c r="E80" s="4" t="s">
        <v>221</v>
      </c>
    </row>
    <row r="81" spans="1:5" x14ac:dyDescent="0.25">
      <c r="A81">
        <f t="shared" si="1"/>
        <v>79</v>
      </c>
      <c r="B81" s="2" t="s">
        <v>14</v>
      </c>
      <c r="C81" s="2" t="s">
        <v>222</v>
      </c>
      <c r="D81" s="3" t="s">
        <v>223</v>
      </c>
      <c r="E81" s="4" t="s">
        <v>224</v>
      </c>
    </row>
    <row r="82" spans="1:5" x14ac:dyDescent="0.25">
      <c r="A82">
        <f t="shared" si="1"/>
        <v>80</v>
      </c>
      <c r="B82" s="2" t="s">
        <v>14</v>
      </c>
      <c r="C82" s="2" t="s">
        <v>225</v>
      </c>
      <c r="D82" s="3" t="s">
        <v>226</v>
      </c>
      <c r="E82" s="4" t="s">
        <v>227</v>
      </c>
    </row>
    <row r="83" spans="1:5" x14ac:dyDescent="0.25">
      <c r="A83">
        <f t="shared" si="1"/>
        <v>81</v>
      </c>
      <c r="B83" s="2" t="s">
        <v>14</v>
      </c>
      <c r="C83" s="2" t="s">
        <v>228</v>
      </c>
      <c r="D83" s="3" t="s">
        <v>229</v>
      </c>
      <c r="E83" s="4" t="s">
        <v>230</v>
      </c>
    </row>
    <row r="84" spans="1:5" x14ac:dyDescent="0.25">
      <c r="A84">
        <f t="shared" si="1"/>
        <v>82</v>
      </c>
      <c r="B84" s="2" t="s">
        <v>14</v>
      </c>
      <c r="C84" s="2" t="s">
        <v>231</v>
      </c>
      <c r="D84" s="3" t="s">
        <v>232</v>
      </c>
      <c r="E84" s="4" t="s">
        <v>233</v>
      </c>
    </row>
    <row r="85" spans="1:5" x14ac:dyDescent="0.25">
      <c r="A85">
        <f t="shared" si="1"/>
        <v>83</v>
      </c>
      <c r="B85" s="2" t="s">
        <v>14</v>
      </c>
      <c r="C85" s="2" t="s">
        <v>234</v>
      </c>
      <c r="D85" s="3" t="s">
        <v>235</v>
      </c>
      <c r="E85" s="4" t="s">
        <v>236</v>
      </c>
    </row>
    <row r="86" spans="1:5" x14ac:dyDescent="0.25">
      <c r="A86">
        <f t="shared" si="1"/>
        <v>84</v>
      </c>
      <c r="B86" s="2" t="s">
        <v>14</v>
      </c>
      <c r="C86" s="2" t="s">
        <v>237</v>
      </c>
      <c r="D86" s="3" t="s">
        <v>238</v>
      </c>
      <c r="E86" s="4" t="s">
        <v>239</v>
      </c>
    </row>
    <row r="87" spans="1:5" x14ac:dyDescent="0.25">
      <c r="A87">
        <f t="shared" si="1"/>
        <v>85</v>
      </c>
      <c r="B87" s="2" t="s">
        <v>14</v>
      </c>
      <c r="C87" s="2" t="s">
        <v>240</v>
      </c>
      <c r="D87" s="3" t="s">
        <v>241</v>
      </c>
      <c r="E87" s="4" t="s">
        <v>242</v>
      </c>
    </row>
    <row r="88" spans="1:5" x14ac:dyDescent="0.25">
      <c r="A88">
        <f t="shared" si="1"/>
        <v>86</v>
      </c>
      <c r="B88" s="2" t="s">
        <v>14</v>
      </c>
      <c r="C88" s="2" t="s">
        <v>243</v>
      </c>
      <c r="D88" s="3" t="s">
        <v>199</v>
      </c>
      <c r="E88" s="4" t="s">
        <v>244</v>
      </c>
    </row>
    <row r="89" spans="1:5" x14ac:dyDescent="0.25">
      <c r="A89">
        <f t="shared" si="1"/>
        <v>87</v>
      </c>
      <c r="B89" s="2" t="s">
        <v>14</v>
      </c>
      <c r="C89" s="2" t="s">
        <v>245</v>
      </c>
      <c r="D89" s="3" t="s">
        <v>202</v>
      </c>
      <c r="E89" s="4" t="s">
        <v>246</v>
      </c>
    </row>
    <row r="90" spans="1:5" x14ac:dyDescent="0.25">
      <c r="A90">
        <f t="shared" si="1"/>
        <v>88</v>
      </c>
      <c r="B90" s="2" t="s">
        <v>14</v>
      </c>
      <c r="C90" s="2" t="s">
        <v>247</v>
      </c>
      <c r="D90" s="3" t="s">
        <v>205</v>
      </c>
      <c r="E90" s="4" t="s">
        <v>248</v>
      </c>
    </row>
    <row r="91" spans="1:5" x14ac:dyDescent="0.25">
      <c r="A91">
        <f t="shared" si="1"/>
        <v>89</v>
      </c>
      <c r="B91" s="2" t="s">
        <v>14</v>
      </c>
      <c r="C91" s="2" t="s">
        <v>249</v>
      </c>
      <c r="D91" s="3" t="s">
        <v>208</v>
      </c>
      <c r="E91" s="4" t="s">
        <v>250</v>
      </c>
    </row>
    <row r="92" spans="1:5" x14ac:dyDescent="0.25">
      <c r="A92">
        <f t="shared" si="1"/>
        <v>90</v>
      </c>
      <c r="B92" s="2" t="s">
        <v>14</v>
      </c>
      <c r="C92" s="2" t="s">
        <v>251</v>
      </c>
      <c r="D92" s="3" t="s">
        <v>211</v>
      </c>
      <c r="E92" s="4" t="s">
        <v>252</v>
      </c>
    </row>
    <row r="93" spans="1:5" x14ac:dyDescent="0.25">
      <c r="A93">
        <f t="shared" si="1"/>
        <v>91</v>
      </c>
      <c r="B93" s="2" t="s">
        <v>14</v>
      </c>
      <c r="C93" s="2" t="s">
        <v>253</v>
      </c>
      <c r="D93" s="3" t="s">
        <v>214</v>
      </c>
      <c r="E93" s="4" t="s">
        <v>254</v>
      </c>
    </row>
    <row r="94" spans="1:5" x14ac:dyDescent="0.25">
      <c r="A94">
        <f t="shared" si="1"/>
        <v>92</v>
      </c>
      <c r="B94" s="2" t="s">
        <v>14</v>
      </c>
      <c r="C94" s="2" t="s">
        <v>255</v>
      </c>
      <c r="D94" s="3" t="s">
        <v>217</v>
      </c>
      <c r="E94" s="4" t="s">
        <v>256</v>
      </c>
    </row>
    <row r="95" spans="1:5" x14ac:dyDescent="0.25">
      <c r="A95">
        <f t="shared" si="1"/>
        <v>93</v>
      </c>
      <c r="B95" s="2" t="s">
        <v>14</v>
      </c>
      <c r="C95" s="2" t="s">
        <v>257</v>
      </c>
      <c r="D95" s="3" t="s">
        <v>220</v>
      </c>
      <c r="E95" s="4" t="s">
        <v>258</v>
      </c>
    </row>
    <row r="96" spans="1:5" x14ac:dyDescent="0.25">
      <c r="A96">
        <f t="shared" si="1"/>
        <v>94</v>
      </c>
      <c r="B96" s="2" t="s">
        <v>14</v>
      </c>
      <c r="C96" s="2" t="s">
        <v>259</v>
      </c>
      <c r="D96" s="3" t="s">
        <v>223</v>
      </c>
      <c r="E96" s="4" t="s">
        <v>260</v>
      </c>
    </row>
    <row r="97" spans="1:5" x14ac:dyDescent="0.25">
      <c r="A97">
        <f t="shared" si="1"/>
        <v>95</v>
      </c>
      <c r="B97" s="2" t="s">
        <v>14</v>
      </c>
      <c r="C97" s="2" t="s">
        <v>261</v>
      </c>
      <c r="D97" s="3" t="s">
        <v>226</v>
      </c>
      <c r="E97" s="4" t="s">
        <v>262</v>
      </c>
    </row>
    <row r="98" spans="1:5" x14ac:dyDescent="0.25">
      <c r="A98">
        <f t="shared" si="1"/>
        <v>96</v>
      </c>
      <c r="B98" s="2" t="s">
        <v>14</v>
      </c>
      <c r="C98" s="2" t="s">
        <v>263</v>
      </c>
      <c r="D98" s="3" t="s">
        <v>229</v>
      </c>
      <c r="E98" s="4" t="s">
        <v>264</v>
      </c>
    </row>
    <row r="99" spans="1:5" x14ac:dyDescent="0.25">
      <c r="A99">
        <f t="shared" si="1"/>
        <v>97</v>
      </c>
      <c r="B99" s="2" t="s">
        <v>14</v>
      </c>
      <c r="C99" s="2" t="s">
        <v>265</v>
      </c>
      <c r="D99" s="3" t="s">
        <v>232</v>
      </c>
      <c r="E99" s="4" t="s">
        <v>266</v>
      </c>
    </row>
    <row r="100" spans="1:5" x14ac:dyDescent="0.25">
      <c r="A100">
        <f t="shared" si="1"/>
        <v>98</v>
      </c>
      <c r="B100" s="2" t="s">
        <v>14</v>
      </c>
      <c r="C100" s="2" t="s">
        <v>267</v>
      </c>
      <c r="D100" s="3" t="s">
        <v>235</v>
      </c>
      <c r="E100" s="4" t="s">
        <v>268</v>
      </c>
    </row>
    <row r="101" spans="1:5" x14ac:dyDescent="0.25">
      <c r="A101">
        <f t="shared" si="1"/>
        <v>99</v>
      </c>
      <c r="B101" s="2" t="s">
        <v>14</v>
      </c>
      <c r="C101" s="2" t="s">
        <v>269</v>
      </c>
      <c r="D101" s="3" t="s">
        <v>238</v>
      </c>
      <c r="E101" s="4" t="s">
        <v>270</v>
      </c>
    </row>
    <row r="102" spans="1:5" x14ac:dyDescent="0.25">
      <c r="A102">
        <f t="shared" si="1"/>
        <v>100</v>
      </c>
      <c r="B102" s="2" t="s">
        <v>14</v>
      </c>
      <c r="C102" s="2" t="s">
        <v>271</v>
      </c>
      <c r="D102" s="3" t="s">
        <v>241</v>
      </c>
      <c r="E102" s="4" t="s">
        <v>272</v>
      </c>
    </row>
    <row r="103" spans="1:5" x14ac:dyDescent="0.25">
      <c r="A103">
        <f t="shared" si="1"/>
        <v>101</v>
      </c>
      <c r="B103" s="2" t="s">
        <v>273</v>
      </c>
      <c r="C103" s="2" t="s">
        <v>274</v>
      </c>
      <c r="D103" s="3" t="s">
        <v>275</v>
      </c>
      <c r="E103" s="4" t="s">
        <v>276</v>
      </c>
    </row>
    <row r="104" spans="1:5" x14ac:dyDescent="0.25">
      <c r="A104">
        <f t="shared" si="1"/>
        <v>102</v>
      </c>
      <c r="B104" s="2" t="s">
        <v>273</v>
      </c>
      <c r="C104" s="2" t="s">
        <v>277</v>
      </c>
      <c r="D104" s="3" t="s">
        <v>278</v>
      </c>
      <c r="E104" s="4" t="s">
        <v>279</v>
      </c>
    </row>
    <row r="105" spans="1:5" x14ac:dyDescent="0.25">
      <c r="A105">
        <f t="shared" si="1"/>
        <v>103</v>
      </c>
      <c r="B105" s="2" t="s">
        <v>273</v>
      </c>
      <c r="C105" s="2" t="s">
        <v>280</v>
      </c>
      <c r="D105" s="3" t="s">
        <v>281</v>
      </c>
      <c r="E105" s="4" t="s">
        <v>282</v>
      </c>
    </row>
    <row r="106" spans="1:5" x14ac:dyDescent="0.25">
      <c r="A106">
        <f t="shared" si="1"/>
        <v>104</v>
      </c>
      <c r="B106" s="2" t="s">
        <v>273</v>
      </c>
      <c r="C106" s="2" t="s">
        <v>283</v>
      </c>
      <c r="D106" s="3" t="s">
        <v>284</v>
      </c>
      <c r="E106" s="4" t="s">
        <v>285</v>
      </c>
    </row>
    <row r="107" spans="1:5" x14ac:dyDescent="0.25">
      <c r="A107">
        <f t="shared" si="1"/>
        <v>105</v>
      </c>
      <c r="B107" s="2" t="s">
        <v>273</v>
      </c>
      <c r="C107" s="2" t="s">
        <v>286</v>
      </c>
      <c r="D107" s="3" t="s">
        <v>287</v>
      </c>
      <c r="E107" s="4" t="s">
        <v>288</v>
      </c>
    </row>
    <row r="108" spans="1:5" x14ac:dyDescent="0.25">
      <c r="A108">
        <f t="shared" si="1"/>
        <v>106</v>
      </c>
      <c r="B108" s="2" t="s">
        <v>273</v>
      </c>
      <c r="C108" s="2" t="s">
        <v>289</v>
      </c>
      <c r="D108" s="3" t="s">
        <v>290</v>
      </c>
      <c r="E108" s="4" t="s">
        <v>291</v>
      </c>
    </row>
    <row r="109" spans="1:5" x14ac:dyDescent="0.25">
      <c r="A109">
        <f t="shared" si="1"/>
        <v>107</v>
      </c>
      <c r="B109" s="2" t="s">
        <v>273</v>
      </c>
      <c r="C109" s="2" t="s">
        <v>292</v>
      </c>
      <c r="D109" s="3" t="s">
        <v>293</v>
      </c>
      <c r="E109" s="4" t="s">
        <v>294</v>
      </c>
    </row>
    <row r="110" spans="1:5" x14ac:dyDescent="0.25">
      <c r="A110">
        <f t="shared" si="1"/>
        <v>108</v>
      </c>
      <c r="B110" s="2" t="s">
        <v>273</v>
      </c>
      <c r="C110" s="2" t="s">
        <v>295</v>
      </c>
      <c r="D110" s="3" t="s">
        <v>296</v>
      </c>
      <c r="E110" s="4" t="s">
        <v>297</v>
      </c>
    </row>
    <row r="111" spans="1:5" x14ac:dyDescent="0.25">
      <c r="A111">
        <f t="shared" si="1"/>
        <v>109</v>
      </c>
      <c r="B111" s="2" t="s">
        <v>273</v>
      </c>
      <c r="C111" s="2" t="s">
        <v>298</v>
      </c>
      <c r="D111" s="3" t="s">
        <v>299</v>
      </c>
      <c r="E111" s="4" t="s">
        <v>300</v>
      </c>
    </row>
    <row r="112" spans="1:5" x14ac:dyDescent="0.25">
      <c r="A112">
        <f t="shared" si="1"/>
        <v>110</v>
      </c>
      <c r="B112" s="2" t="s">
        <v>273</v>
      </c>
      <c r="C112" s="2" t="s">
        <v>301</v>
      </c>
      <c r="D112" s="3" t="s">
        <v>302</v>
      </c>
      <c r="E112" s="4" t="s">
        <v>303</v>
      </c>
    </row>
    <row r="113" spans="1:5" x14ac:dyDescent="0.25">
      <c r="A113">
        <f t="shared" si="1"/>
        <v>111</v>
      </c>
      <c r="B113" s="2" t="s">
        <v>304</v>
      </c>
      <c r="C113" s="2" t="s">
        <v>305</v>
      </c>
      <c r="D113" s="3" t="s">
        <v>125</v>
      </c>
      <c r="E113" s="4" t="s">
        <v>306</v>
      </c>
    </row>
    <row r="114" spans="1:5" x14ac:dyDescent="0.25">
      <c r="A114">
        <f t="shared" si="1"/>
        <v>112</v>
      </c>
      <c r="B114" s="2" t="s">
        <v>304</v>
      </c>
      <c r="C114" s="2" t="s">
        <v>307</v>
      </c>
      <c r="D114" s="3" t="s">
        <v>125</v>
      </c>
      <c r="E114" s="4" t="s">
        <v>308</v>
      </c>
    </row>
    <row r="115" spans="1:5" x14ac:dyDescent="0.25">
      <c r="A115">
        <f t="shared" si="1"/>
        <v>113</v>
      </c>
      <c r="B115" s="2" t="s">
        <v>14</v>
      </c>
      <c r="C115" s="2" t="s">
        <v>309</v>
      </c>
      <c r="D115" s="3" t="s">
        <v>310</v>
      </c>
      <c r="E115" s="4" t="s">
        <v>311</v>
      </c>
    </row>
    <row r="116" spans="1:5" x14ac:dyDescent="0.25">
      <c r="A116">
        <f t="shared" si="1"/>
        <v>114</v>
      </c>
      <c r="B116" s="2" t="s">
        <v>14</v>
      </c>
      <c r="C116" s="2" t="s">
        <v>312</v>
      </c>
      <c r="D116" s="3" t="s">
        <v>313</v>
      </c>
      <c r="E116" s="4" t="s">
        <v>314</v>
      </c>
    </row>
    <row r="117" spans="1:5" x14ac:dyDescent="0.25">
      <c r="A117">
        <f t="shared" si="1"/>
        <v>115</v>
      </c>
      <c r="B117" s="2" t="s">
        <v>14</v>
      </c>
      <c r="C117" s="2" t="s">
        <v>315</v>
      </c>
      <c r="D117" s="3" t="s">
        <v>316</v>
      </c>
      <c r="E117" s="4" t="s">
        <v>317</v>
      </c>
    </row>
    <row r="118" spans="1:5" x14ac:dyDescent="0.25">
      <c r="A118">
        <f t="shared" si="1"/>
        <v>116</v>
      </c>
      <c r="B118" s="2" t="s">
        <v>14</v>
      </c>
      <c r="C118" s="2" t="s">
        <v>318</v>
      </c>
      <c r="D118" s="3" t="s">
        <v>319</v>
      </c>
      <c r="E118" s="4" t="s">
        <v>320</v>
      </c>
    </row>
    <row r="119" spans="1:5" x14ac:dyDescent="0.25">
      <c r="A119">
        <f t="shared" si="1"/>
        <v>117</v>
      </c>
      <c r="B119" s="2" t="s">
        <v>321</v>
      </c>
      <c r="C119" s="2" t="s">
        <v>322</v>
      </c>
      <c r="D119" s="4" t="s">
        <v>323</v>
      </c>
      <c r="E119" s="3" t="s">
        <v>324</v>
      </c>
    </row>
    <row r="120" spans="1:5" x14ac:dyDescent="0.25">
      <c r="A120">
        <f t="shared" si="1"/>
        <v>118</v>
      </c>
      <c r="B120" s="2" t="s">
        <v>273</v>
      </c>
      <c r="C120" s="2" t="s">
        <v>325</v>
      </c>
      <c r="D120" s="4" t="s">
        <v>326</v>
      </c>
      <c r="E120" s="4" t="s">
        <v>327</v>
      </c>
    </row>
    <row r="121" spans="1:5" x14ac:dyDescent="0.25">
      <c r="A121">
        <f t="shared" si="1"/>
        <v>119</v>
      </c>
      <c r="B121" s="2" t="s">
        <v>14</v>
      </c>
      <c r="C121" s="2" t="s">
        <v>328</v>
      </c>
      <c r="D121" s="4" t="s">
        <v>329</v>
      </c>
      <c r="E121" s="4" t="s">
        <v>330</v>
      </c>
    </row>
    <row r="122" spans="1:5" x14ac:dyDescent="0.25">
      <c r="A122">
        <f t="shared" si="1"/>
        <v>120</v>
      </c>
      <c r="B122" s="2" t="s">
        <v>14</v>
      </c>
      <c r="C122" s="2" t="s">
        <v>331</v>
      </c>
      <c r="D122" s="3" t="s">
        <v>332</v>
      </c>
      <c r="E122" s="4" t="s">
        <v>333</v>
      </c>
    </row>
    <row r="123" spans="1:5" x14ac:dyDescent="0.25">
      <c r="A123">
        <f t="shared" si="1"/>
        <v>121</v>
      </c>
      <c r="B123" s="2" t="s">
        <v>334</v>
      </c>
      <c r="C123" s="2" t="s">
        <v>335</v>
      </c>
      <c r="D123" s="4" t="s">
        <v>336</v>
      </c>
      <c r="E123" s="4" t="s">
        <v>337</v>
      </c>
    </row>
    <row r="124" spans="1:5" x14ac:dyDescent="0.25">
      <c r="A124">
        <f t="shared" si="1"/>
        <v>122</v>
      </c>
      <c r="B124" s="2" t="s">
        <v>14</v>
      </c>
      <c r="C124" s="2" t="s">
        <v>338</v>
      </c>
      <c r="D124" s="4" t="s">
        <v>339</v>
      </c>
      <c r="E124" s="4" t="s">
        <v>340</v>
      </c>
    </row>
    <row r="125" spans="1:5" x14ac:dyDescent="0.25">
      <c r="A125">
        <f t="shared" si="1"/>
        <v>123</v>
      </c>
      <c r="B125" s="2" t="s">
        <v>14</v>
      </c>
      <c r="C125" s="2" t="s">
        <v>341</v>
      </c>
      <c r="D125" s="4" t="s">
        <v>342</v>
      </c>
      <c r="E125" s="4" t="s">
        <v>343</v>
      </c>
    </row>
    <row r="126" spans="1:5" x14ac:dyDescent="0.25">
      <c r="A126">
        <f t="shared" si="1"/>
        <v>124</v>
      </c>
      <c r="B126" s="2" t="s">
        <v>334</v>
      </c>
      <c r="C126" s="2" t="s">
        <v>344</v>
      </c>
      <c r="D126" s="4" t="s">
        <v>345</v>
      </c>
      <c r="E126" s="4" t="s">
        <v>346</v>
      </c>
    </row>
    <row r="127" spans="1:5" x14ac:dyDescent="0.25">
      <c r="A127">
        <f t="shared" si="1"/>
        <v>125</v>
      </c>
      <c r="B127" s="2" t="s">
        <v>14</v>
      </c>
      <c r="C127" s="2" t="s">
        <v>347</v>
      </c>
      <c r="D127" s="4" t="s">
        <v>348</v>
      </c>
      <c r="E127" s="4" t="s">
        <v>349</v>
      </c>
    </row>
    <row r="128" spans="1:5" x14ac:dyDescent="0.25">
      <c r="A128">
        <f t="shared" si="1"/>
        <v>126</v>
      </c>
      <c r="B128" s="2" t="s">
        <v>14</v>
      </c>
      <c r="C128" s="2" t="s">
        <v>350</v>
      </c>
      <c r="D128" s="4" t="s">
        <v>351</v>
      </c>
      <c r="E128" s="4" t="s">
        <v>352</v>
      </c>
    </row>
    <row r="129" spans="1:5" x14ac:dyDescent="0.25">
      <c r="A129">
        <f t="shared" si="1"/>
        <v>127</v>
      </c>
      <c r="B129" s="2" t="s">
        <v>353</v>
      </c>
      <c r="C129" s="2" t="s">
        <v>354</v>
      </c>
      <c r="D129" s="4" t="s">
        <v>355</v>
      </c>
      <c r="E129" s="4" t="s">
        <v>356</v>
      </c>
    </row>
    <row r="130" spans="1:5" x14ac:dyDescent="0.25">
      <c r="A130">
        <f t="shared" si="1"/>
        <v>128</v>
      </c>
      <c r="B130" s="2" t="s">
        <v>357</v>
      </c>
      <c r="C130" s="2" t="s">
        <v>358</v>
      </c>
      <c r="D130" s="4" t="s">
        <v>359</v>
      </c>
      <c r="E130" s="4" t="s">
        <v>360</v>
      </c>
    </row>
    <row r="131" spans="1:5" x14ac:dyDescent="0.25">
      <c r="A131">
        <f t="shared" si="1"/>
        <v>129</v>
      </c>
      <c r="B131" s="2" t="s">
        <v>357</v>
      </c>
      <c r="C131" s="2" t="s">
        <v>361</v>
      </c>
      <c r="D131" s="4" t="s">
        <v>362</v>
      </c>
      <c r="E131" s="4" t="s">
        <v>363</v>
      </c>
    </row>
    <row r="132" spans="1:5" x14ac:dyDescent="0.25">
      <c r="A132">
        <f t="shared" si="1"/>
        <v>130</v>
      </c>
      <c r="B132" s="2" t="s">
        <v>364</v>
      </c>
      <c r="C132" s="199" t="s">
        <v>547</v>
      </c>
      <c r="D132" s="3" t="s">
        <v>125</v>
      </c>
      <c r="E132" s="4" t="s">
        <v>365</v>
      </c>
    </row>
    <row r="133" spans="1:5" x14ac:dyDescent="0.25">
      <c r="A133">
        <f t="shared" ref="A133:A152" si="2">A132+1</f>
        <v>131</v>
      </c>
      <c r="B133" s="2" t="s">
        <v>366</v>
      </c>
      <c r="C133" s="2" t="s">
        <v>367</v>
      </c>
    </row>
    <row r="134" spans="1:5" x14ac:dyDescent="0.25">
      <c r="A134">
        <f t="shared" si="2"/>
        <v>132</v>
      </c>
      <c r="B134" s="2" t="s">
        <v>368</v>
      </c>
      <c r="C134" s="2" t="s">
        <v>369</v>
      </c>
    </row>
    <row r="135" spans="1:5" x14ac:dyDescent="0.25">
      <c r="A135">
        <f t="shared" si="2"/>
        <v>133</v>
      </c>
      <c r="B135" s="199" t="s">
        <v>548</v>
      </c>
      <c r="C135" s="199" t="s">
        <v>546</v>
      </c>
    </row>
    <row r="136" spans="1:5" x14ac:dyDescent="0.25">
      <c r="A136">
        <f t="shared" si="2"/>
        <v>134</v>
      </c>
      <c r="B136" s="2" t="s">
        <v>368</v>
      </c>
      <c r="C136" s="2" t="s">
        <v>370</v>
      </c>
    </row>
    <row r="137" spans="1:5" x14ac:dyDescent="0.25">
      <c r="A137">
        <f t="shared" si="2"/>
        <v>135</v>
      </c>
      <c r="B137" s="2" t="s">
        <v>368</v>
      </c>
      <c r="C137" s="2" t="s">
        <v>371</v>
      </c>
    </row>
    <row r="138" spans="1:5" x14ac:dyDescent="0.25">
      <c r="A138">
        <f t="shared" si="2"/>
        <v>136</v>
      </c>
      <c r="B138" s="2" t="s">
        <v>372</v>
      </c>
      <c r="C138" s="2" t="s">
        <v>373</v>
      </c>
    </row>
    <row r="139" spans="1:5" x14ac:dyDescent="0.25">
      <c r="A139">
        <f t="shared" si="2"/>
        <v>137</v>
      </c>
      <c r="B139" s="2" t="s">
        <v>372</v>
      </c>
      <c r="C139" s="2" t="s">
        <v>374</v>
      </c>
    </row>
    <row r="140" spans="1:5" x14ac:dyDescent="0.25">
      <c r="A140">
        <f t="shared" si="2"/>
        <v>138</v>
      </c>
      <c r="B140" s="2" t="s">
        <v>372</v>
      </c>
      <c r="C140" s="2" t="s">
        <v>375</v>
      </c>
    </row>
    <row r="141" spans="1:5" x14ac:dyDescent="0.25">
      <c r="A141">
        <f t="shared" si="2"/>
        <v>139</v>
      </c>
      <c r="B141" s="2" t="s">
        <v>372</v>
      </c>
      <c r="C141" s="2" t="s">
        <v>376</v>
      </c>
    </row>
    <row r="142" spans="1:5" x14ac:dyDescent="0.25">
      <c r="A142">
        <f t="shared" si="2"/>
        <v>140</v>
      </c>
      <c r="B142" s="2" t="s">
        <v>372</v>
      </c>
      <c r="C142" s="2" t="s">
        <v>377</v>
      </c>
    </row>
    <row r="143" spans="1:5" x14ac:dyDescent="0.25">
      <c r="A143">
        <f t="shared" si="2"/>
        <v>141</v>
      </c>
      <c r="B143" s="2" t="s">
        <v>372</v>
      </c>
      <c r="C143" s="2" t="s">
        <v>378</v>
      </c>
    </row>
    <row r="144" spans="1:5" x14ac:dyDescent="0.25">
      <c r="A144">
        <f t="shared" si="2"/>
        <v>142</v>
      </c>
      <c r="B144" s="2" t="s">
        <v>372</v>
      </c>
      <c r="C144" s="2" t="s">
        <v>379</v>
      </c>
    </row>
    <row r="145" spans="1:5" x14ac:dyDescent="0.25">
      <c r="A145">
        <f t="shared" si="2"/>
        <v>143</v>
      </c>
      <c r="B145" s="2" t="s">
        <v>372</v>
      </c>
      <c r="C145" s="2" t="s">
        <v>380</v>
      </c>
    </row>
    <row r="146" spans="1:5" x14ac:dyDescent="0.25">
      <c r="A146">
        <f t="shared" si="2"/>
        <v>144</v>
      </c>
      <c r="B146" s="2" t="s">
        <v>372</v>
      </c>
      <c r="C146" s="2" t="s">
        <v>381</v>
      </c>
    </row>
    <row r="147" spans="1:5" x14ac:dyDescent="0.25">
      <c r="A147">
        <f t="shared" si="2"/>
        <v>145</v>
      </c>
      <c r="B147" s="2" t="s">
        <v>372</v>
      </c>
      <c r="C147" s="2" t="s">
        <v>382</v>
      </c>
    </row>
    <row r="148" spans="1:5" x14ac:dyDescent="0.25">
      <c r="A148">
        <f t="shared" si="2"/>
        <v>146</v>
      </c>
      <c r="B148" s="2" t="s">
        <v>372</v>
      </c>
      <c r="C148" s="2" t="s">
        <v>383</v>
      </c>
    </row>
    <row r="149" spans="1:5" x14ac:dyDescent="0.25">
      <c r="A149">
        <f t="shared" si="2"/>
        <v>147</v>
      </c>
      <c r="B149" s="2" t="s">
        <v>372</v>
      </c>
      <c r="C149" s="2" t="s">
        <v>384</v>
      </c>
    </row>
    <row r="150" spans="1:5" x14ac:dyDescent="0.25">
      <c r="A150">
        <f t="shared" si="2"/>
        <v>148</v>
      </c>
      <c r="B150" s="2" t="s">
        <v>372</v>
      </c>
      <c r="C150" s="2" t="s">
        <v>385</v>
      </c>
    </row>
    <row r="151" spans="1:5" x14ac:dyDescent="0.25">
      <c r="A151">
        <f t="shared" si="2"/>
        <v>149</v>
      </c>
      <c r="B151" s="2" t="s">
        <v>386</v>
      </c>
      <c r="C151" s="2" t="s">
        <v>387</v>
      </c>
      <c r="D151" s="3" t="s">
        <v>388</v>
      </c>
      <c r="E151" s="3" t="s">
        <v>389</v>
      </c>
    </row>
    <row r="152" spans="1:5" x14ac:dyDescent="0.25">
      <c r="A152">
        <f t="shared" si="2"/>
        <v>150</v>
      </c>
      <c r="B152" s="2" t="s">
        <v>390</v>
      </c>
      <c r="C152" s="2" t="s">
        <v>391</v>
      </c>
      <c r="E152" s="3" t="s">
        <v>392</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autoPageBreaks="0" fitToPage="1"/>
  </sheetPr>
  <dimension ref="A1:AG268"/>
  <sheetViews>
    <sheetView tabSelected="1" zoomScale="85" zoomScaleNormal="85" zoomScaleSheetLayoutView="70" workbookViewId="0">
      <pane xSplit="3" ySplit="3" topLeftCell="H214" activePane="bottomRight" state="frozen"/>
      <selection pane="topRight"/>
      <selection pane="bottomLeft"/>
      <selection pane="bottomRight" activeCell="H248" sqref="H248"/>
    </sheetView>
  </sheetViews>
  <sheetFormatPr defaultRowHeight="12.5" outlineLevelCol="1" x14ac:dyDescent="0.25"/>
  <cols>
    <col min="1" max="1" width="8.453125" style="6" customWidth="1"/>
    <col min="2" max="2" width="43" style="6" customWidth="1"/>
    <col min="3" max="3" width="28.1796875" style="6" bestFit="1" customWidth="1"/>
    <col min="4" max="6" width="20.26953125" style="6" customWidth="1" outlineLevel="1"/>
    <col min="7" max="18" width="20.26953125" style="6" customWidth="1"/>
    <col min="19" max="19" width="2.453125" style="6" customWidth="1"/>
    <col min="20" max="27" width="20.26953125" style="6" customWidth="1" outlineLevel="1"/>
    <col min="28" max="28" width="2.26953125" style="357" customWidth="1" outlineLevel="1"/>
    <col min="29" max="30" width="20.26953125" style="6" customWidth="1"/>
    <col min="31" max="262" width="9.1796875" style="6"/>
    <col min="263" max="263" width="8.453125" style="6" customWidth="1"/>
    <col min="264" max="264" width="43" style="6" customWidth="1"/>
    <col min="265" max="265" width="19.1796875" style="6" bestFit="1" customWidth="1"/>
    <col min="266" max="266" width="9.81640625" style="6" customWidth="1"/>
    <col min="267" max="271" width="19.26953125" style="6" customWidth="1"/>
    <col min="272" max="273" width="9.1796875" style="6"/>
    <col min="274" max="274" width="16.7265625" style="6" bestFit="1" customWidth="1"/>
    <col min="275" max="518" width="9.1796875" style="6"/>
    <col min="519" max="519" width="8.453125" style="6" customWidth="1"/>
    <col min="520" max="520" width="43" style="6" customWidth="1"/>
    <col min="521" max="521" width="19.1796875" style="6" bestFit="1" customWidth="1"/>
    <col min="522" max="522" width="9.81640625" style="6" customWidth="1"/>
    <col min="523" max="527" width="19.26953125" style="6" customWidth="1"/>
    <col min="528" max="529" width="9.1796875" style="6"/>
    <col min="530" max="530" width="16.7265625" style="6" bestFit="1" customWidth="1"/>
    <col min="531" max="774" width="9.1796875" style="6"/>
    <col min="775" max="775" width="8.453125" style="6" customWidth="1"/>
    <col min="776" max="776" width="43" style="6" customWidth="1"/>
    <col min="777" max="777" width="19.1796875" style="6" bestFit="1" customWidth="1"/>
    <col min="778" max="778" width="9.81640625" style="6" customWidth="1"/>
    <col min="779" max="783" width="19.26953125" style="6" customWidth="1"/>
    <col min="784" max="785" width="9.1796875" style="6"/>
    <col min="786" max="786" width="16.7265625" style="6" bestFit="1" customWidth="1"/>
    <col min="787" max="1030" width="9.1796875" style="6"/>
    <col min="1031" max="1031" width="8.453125" style="6" customWidth="1"/>
    <col min="1032" max="1032" width="43" style="6" customWidth="1"/>
    <col min="1033" max="1033" width="19.1796875" style="6" bestFit="1" customWidth="1"/>
    <col min="1034" max="1034" width="9.81640625" style="6" customWidth="1"/>
    <col min="1035" max="1039" width="19.26953125" style="6" customWidth="1"/>
    <col min="1040" max="1041" width="9.1796875" style="6"/>
    <col min="1042" max="1042" width="16.7265625" style="6" bestFit="1" customWidth="1"/>
    <col min="1043" max="1286" width="9.1796875" style="6"/>
    <col min="1287" max="1287" width="8.453125" style="6" customWidth="1"/>
    <col min="1288" max="1288" width="43" style="6" customWidth="1"/>
    <col min="1289" max="1289" width="19.1796875" style="6" bestFit="1" customWidth="1"/>
    <col min="1290" max="1290" width="9.81640625" style="6" customWidth="1"/>
    <col min="1291" max="1295" width="19.26953125" style="6" customWidth="1"/>
    <col min="1296" max="1297" width="9.1796875" style="6"/>
    <col min="1298" max="1298" width="16.7265625" style="6" bestFit="1" customWidth="1"/>
    <col min="1299" max="1542" width="9.1796875" style="6"/>
    <col min="1543" max="1543" width="8.453125" style="6" customWidth="1"/>
    <col min="1544" max="1544" width="43" style="6" customWidth="1"/>
    <col min="1545" max="1545" width="19.1796875" style="6" bestFit="1" customWidth="1"/>
    <col min="1546" max="1546" width="9.81640625" style="6" customWidth="1"/>
    <col min="1547" max="1551" width="19.26953125" style="6" customWidth="1"/>
    <col min="1552" max="1553" width="9.1796875" style="6"/>
    <col min="1554" max="1554" width="16.7265625" style="6" bestFit="1" customWidth="1"/>
    <col min="1555" max="1798" width="9.1796875" style="6"/>
    <col min="1799" max="1799" width="8.453125" style="6" customWidth="1"/>
    <col min="1800" max="1800" width="43" style="6" customWidth="1"/>
    <col min="1801" max="1801" width="19.1796875" style="6" bestFit="1" customWidth="1"/>
    <col min="1802" max="1802" width="9.81640625" style="6" customWidth="1"/>
    <col min="1803" max="1807" width="19.26953125" style="6" customWidth="1"/>
    <col min="1808" max="1809" width="9.1796875" style="6"/>
    <col min="1810" max="1810" width="16.7265625" style="6" bestFit="1" customWidth="1"/>
    <col min="1811" max="2054" width="9.1796875" style="6"/>
    <col min="2055" max="2055" width="8.453125" style="6" customWidth="1"/>
    <col min="2056" max="2056" width="43" style="6" customWidth="1"/>
    <col min="2057" max="2057" width="19.1796875" style="6" bestFit="1" customWidth="1"/>
    <col min="2058" max="2058" width="9.81640625" style="6" customWidth="1"/>
    <col min="2059" max="2063" width="19.26953125" style="6" customWidth="1"/>
    <col min="2064" max="2065" width="9.1796875" style="6"/>
    <col min="2066" max="2066" width="16.7265625" style="6" bestFit="1" customWidth="1"/>
    <col min="2067" max="2310" width="9.1796875" style="6"/>
    <col min="2311" max="2311" width="8.453125" style="6" customWidth="1"/>
    <col min="2312" max="2312" width="43" style="6" customWidth="1"/>
    <col min="2313" max="2313" width="19.1796875" style="6" bestFit="1" customWidth="1"/>
    <col min="2314" max="2314" width="9.81640625" style="6" customWidth="1"/>
    <col min="2315" max="2319" width="19.26953125" style="6" customWidth="1"/>
    <col min="2320" max="2321" width="9.1796875" style="6"/>
    <col min="2322" max="2322" width="16.7265625" style="6" bestFit="1" customWidth="1"/>
    <col min="2323" max="2566" width="9.1796875" style="6"/>
    <col min="2567" max="2567" width="8.453125" style="6" customWidth="1"/>
    <col min="2568" max="2568" width="43" style="6" customWidth="1"/>
    <col min="2569" max="2569" width="19.1796875" style="6" bestFit="1" customWidth="1"/>
    <col min="2570" max="2570" width="9.81640625" style="6" customWidth="1"/>
    <col min="2571" max="2575" width="19.26953125" style="6" customWidth="1"/>
    <col min="2576" max="2577" width="9.1796875" style="6"/>
    <col min="2578" max="2578" width="16.7265625" style="6" bestFit="1" customWidth="1"/>
    <col min="2579" max="2822" width="9.1796875" style="6"/>
    <col min="2823" max="2823" width="8.453125" style="6" customWidth="1"/>
    <col min="2824" max="2824" width="43" style="6" customWidth="1"/>
    <col min="2825" max="2825" width="19.1796875" style="6" bestFit="1" customWidth="1"/>
    <col min="2826" max="2826" width="9.81640625" style="6" customWidth="1"/>
    <col min="2827" max="2831" width="19.26953125" style="6" customWidth="1"/>
    <col min="2832" max="2833" width="9.1796875" style="6"/>
    <col min="2834" max="2834" width="16.7265625" style="6" bestFit="1" customWidth="1"/>
    <col min="2835" max="3078" width="9.1796875" style="6"/>
    <col min="3079" max="3079" width="8.453125" style="6" customWidth="1"/>
    <col min="3080" max="3080" width="43" style="6" customWidth="1"/>
    <col min="3081" max="3081" width="19.1796875" style="6" bestFit="1" customWidth="1"/>
    <col min="3082" max="3082" width="9.81640625" style="6" customWidth="1"/>
    <col min="3083" max="3087" width="19.26953125" style="6" customWidth="1"/>
    <col min="3088" max="3089" width="9.1796875" style="6"/>
    <col min="3090" max="3090" width="16.7265625" style="6" bestFit="1" customWidth="1"/>
    <col min="3091" max="3334" width="9.1796875" style="6"/>
    <col min="3335" max="3335" width="8.453125" style="6" customWidth="1"/>
    <col min="3336" max="3336" width="43" style="6" customWidth="1"/>
    <col min="3337" max="3337" width="19.1796875" style="6" bestFit="1" customWidth="1"/>
    <col min="3338" max="3338" width="9.81640625" style="6" customWidth="1"/>
    <col min="3339" max="3343" width="19.26953125" style="6" customWidth="1"/>
    <col min="3344" max="3345" width="9.1796875" style="6"/>
    <col min="3346" max="3346" width="16.7265625" style="6" bestFit="1" customWidth="1"/>
    <col min="3347" max="3590" width="9.1796875" style="6"/>
    <col min="3591" max="3591" width="8.453125" style="6" customWidth="1"/>
    <col min="3592" max="3592" width="43" style="6" customWidth="1"/>
    <col min="3593" max="3593" width="19.1796875" style="6" bestFit="1" customWidth="1"/>
    <col min="3594" max="3594" width="9.81640625" style="6" customWidth="1"/>
    <col min="3595" max="3599" width="19.26953125" style="6" customWidth="1"/>
    <col min="3600" max="3601" width="9.1796875" style="6"/>
    <col min="3602" max="3602" width="16.7265625" style="6" bestFit="1" customWidth="1"/>
    <col min="3603" max="3846" width="9.1796875" style="6"/>
    <col min="3847" max="3847" width="8.453125" style="6" customWidth="1"/>
    <col min="3848" max="3848" width="43" style="6" customWidth="1"/>
    <col min="3849" max="3849" width="19.1796875" style="6" bestFit="1" customWidth="1"/>
    <col min="3850" max="3850" width="9.81640625" style="6" customWidth="1"/>
    <col min="3851" max="3855" width="19.26953125" style="6" customWidth="1"/>
    <col min="3856" max="3857" width="9.1796875" style="6"/>
    <col min="3858" max="3858" width="16.7265625" style="6" bestFit="1" customWidth="1"/>
    <col min="3859" max="4102" width="9.1796875" style="6"/>
    <col min="4103" max="4103" width="8.453125" style="6" customWidth="1"/>
    <col min="4104" max="4104" width="43" style="6" customWidth="1"/>
    <col min="4105" max="4105" width="19.1796875" style="6" bestFit="1" customWidth="1"/>
    <col min="4106" max="4106" width="9.81640625" style="6" customWidth="1"/>
    <col min="4107" max="4111" width="19.26953125" style="6" customWidth="1"/>
    <col min="4112" max="4113" width="9.1796875" style="6"/>
    <col min="4114" max="4114" width="16.7265625" style="6" bestFit="1" customWidth="1"/>
    <col min="4115" max="4358" width="9.1796875" style="6"/>
    <col min="4359" max="4359" width="8.453125" style="6" customWidth="1"/>
    <col min="4360" max="4360" width="43" style="6" customWidth="1"/>
    <col min="4361" max="4361" width="19.1796875" style="6" bestFit="1" customWidth="1"/>
    <col min="4362" max="4362" width="9.81640625" style="6" customWidth="1"/>
    <col min="4363" max="4367" width="19.26953125" style="6" customWidth="1"/>
    <col min="4368" max="4369" width="9.1796875" style="6"/>
    <col min="4370" max="4370" width="16.7265625" style="6" bestFit="1" customWidth="1"/>
    <col min="4371" max="4614" width="9.1796875" style="6"/>
    <col min="4615" max="4615" width="8.453125" style="6" customWidth="1"/>
    <col min="4616" max="4616" width="43" style="6" customWidth="1"/>
    <col min="4617" max="4617" width="19.1796875" style="6" bestFit="1" customWidth="1"/>
    <col min="4618" max="4618" width="9.81640625" style="6" customWidth="1"/>
    <col min="4619" max="4623" width="19.26953125" style="6" customWidth="1"/>
    <col min="4624" max="4625" width="9.1796875" style="6"/>
    <col min="4626" max="4626" width="16.7265625" style="6" bestFit="1" customWidth="1"/>
    <col min="4627" max="4870" width="9.1796875" style="6"/>
    <col min="4871" max="4871" width="8.453125" style="6" customWidth="1"/>
    <col min="4872" max="4872" width="43" style="6" customWidth="1"/>
    <col min="4873" max="4873" width="19.1796875" style="6" bestFit="1" customWidth="1"/>
    <col min="4874" max="4874" width="9.81640625" style="6" customWidth="1"/>
    <col min="4875" max="4879" width="19.26953125" style="6" customWidth="1"/>
    <col min="4880" max="4881" width="9.1796875" style="6"/>
    <col min="4882" max="4882" width="16.7265625" style="6" bestFit="1" customWidth="1"/>
    <col min="4883" max="5126" width="9.1796875" style="6"/>
    <col min="5127" max="5127" width="8.453125" style="6" customWidth="1"/>
    <col min="5128" max="5128" width="43" style="6" customWidth="1"/>
    <col min="5129" max="5129" width="19.1796875" style="6" bestFit="1" customWidth="1"/>
    <col min="5130" max="5130" width="9.81640625" style="6" customWidth="1"/>
    <col min="5131" max="5135" width="19.26953125" style="6" customWidth="1"/>
    <col min="5136" max="5137" width="9.1796875" style="6"/>
    <col min="5138" max="5138" width="16.7265625" style="6" bestFit="1" customWidth="1"/>
    <col min="5139" max="5382" width="9.1796875" style="6"/>
    <col min="5383" max="5383" width="8.453125" style="6" customWidth="1"/>
    <col min="5384" max="5384" width="43" style="6" customWidth="1"/>
    <col min="5385" max="5385" width="19.1796875" style="6" bestFit="1" customWidth="1"/>
    <col min="5386" max="5386" width="9.81640625" style="6" customWidth="1"/>
    <col min="5387" max="5391" width="19.26953125" style="6" customWidth="1"/>
    <col min="5392" max="5393" width="9.1796875" style="6"/>
    <col min="5394" max="5394" width="16.7265625" style="6" bestFit="1" customWidth="1"/>
    <col min="5395" max="5638" width="9.1796875" style="6"/>
    <col min="5639" max="5639" width="8.453125" style="6" customWidth="1"/>
    <col min="5640" max="5640" width="43" style="6" customWidth="1"/>
    <col min="5641" max="5641" width="19.1796875" style="6" bestFit="1" customWidth="1"/>
    <col min="5642" max="5642" width="9.81640625" style="6" customWidth="1"/>
    <col min="5643" max="5647" width="19.26953125" style="6" customWidth="1"/>
    <col min="5648" max="5649" width="9.1796875" style="6"/>
    <col min="5650" max="5650" width="16.7265625" style="6" bestFit="1" customWidth="1"/>
    <col min="5651" max="5894" width="9.1796875" style="6"/>
    <col min="5895" max="5895" width="8.453125" style="6" customWidth="1"/>
    <col min="5896" max="5896" width="43" style="6" customWidth="1"/>
    <col min="5897" max="5897" width="19.1796875" style="6" bestFit="1" customWidth="1"/>
    <col min="5898" max="5898" width="9.81640625" style="6" customWidth="1"/>
    <col min="5899" max="5903" width="19.26953125" style="6" customWidth="1"/>
    <col min="5904" max="5905" width="9.1796875" style="6"/>
    <col min="5906" max="5906" width="16.7265625" style="6" bestFit="1" customWidth="1"/>
    <col min="5907" max="6150" width="9.1796875" style="6"/>
    <col min="6151" max="6151" width="8.453125" style="6" customWidth="1"/>
    <col min="6152" max="6152" width="43" style="6" customWidth="1"/>
    <col min="6153" max="6153" width="19.1796875" style="6" bestFit="1" customWidth="1"/>
    <col min="6154" max="6154" width="9.81640625" style="6" customWidth="1"/>
    <col min="6155" max="6159" width="19.26953125" style="6" customWidth="1"/>
    <col min="6160" max="6161" width="9.1796875" style="6"/>
    <col min="6162" max="6162" width="16.7265625" style="6" bestFit="1" customWidth="1"/>
    <col min="6163" max="6406" width="9.1796875" style="6"/>
    <col min="6407" max="6407" width="8.453125" style="6" customWidth="1"/>
    <col min="6408" max="6408" width="43" style="6" customWidth="1"/>
    <col min="6409" max="6409" width="19.1796875" style="6" bestFit="1" customWidth="1"/>
    <col min="6410" max="6410" width="9.81640625" style="6" customWidth="1"/>
    <col min="6411" max="6415" width="19.26953125" style="6" customWidth="1"/>
    <col min="6416" max="6417" width="9.1796875" style="6"/>
    <col min="6418" max="6418" width="16.7265625" style="6" bestFit="1" customWidth="1"/>
    <col min="6419" max="6662" width="9.1796875" style="6"/>
    <col min="6663" max="6663" width="8.453125" style="6" customWidth="1"/>
    <col min="6664" max="6664" width="43" style="6" customWidth="1"/>
    <col min="6665" max="6665" width="19.1796875" style="6" bestFit="1" customWidth="1"/>
    <col min="6666" max="6666" width="9.81640625" style="6" customWidth="1"/>
    <col min="6667" max="6671" width="19.26953125" style="6" customWidth="1"/>
    <col min="6672" max="6673" width="9.1796875" style="6"/>
    <col min="6674" max="6674" width="16.7265625" style="6" bestFit="1" customWidth="1"/>
    <col min="6675" max="6918" width="9.1796875" style="6"/>
    <col min="6919" max="6919" width="8.453125" style="6" customWidth="1"/>
    <col min="6920" max="6920" width="43" style="6" customWidth="1"/>
    <col min="6921" max="6921" width="19.1796875" style="6" bestFit="1" customWidth="1"/>
    <col min="6922" max="6922" width="9.81640625" style="6" customWidth="1"/>
    <col min="6923" max="6927" width="19.26953125" style="6" customWidth="1"/>
    <col min="6928" max="6929" width="9.1796875" style="6"/>
    <col min="6930" max="6930" width="16.7265625" style="6" bestFit="1" customWidth="1"/>
    <col min="6931" max="7174" width="9.1796875" style="6"/>
    <col min="7175" max="7175" width="8.453125" style="6" customWidth="1"/>
    <col min="7176" max="7176" width="43" style="6" customWidth="1"/>
    <col min="7177" max="7177" width="19.1796875" style="6" bestFit="1" customWidth="1"/>
    <col min="7178" max="7178" width="9.81640625" style="6" customWidth="1"/>
    <col min="7179" max="7183" width="19.26953125" style="6" customWidth="1"/>
    <col min="7184" max="7185" width="9.1796875" style="6"/>
    <col min="7186" max="7186" width="16.7265625" style="6" bestFit="1" customWidth="1"/>
    <col min="7187" max="7430" width="9.1796875" style="6"/>
    <col min="7431" max="7431" width="8.453125" style="6" customWidth="1"/>
    <col min="7432" max="7432" width="43" style="6" customWidth="1"/>
    <col min="7433" max="7433" width="19.1796875" style="6" bestFit="1" customWidth="1"/>
    <col min="7434" max="7434" width="9.81640625" style="6" customWidth="1"/>
    <col min="7435" max="7439" width="19.26953125" style="6" customWidth="1"/>
    <col min="7440" max="7441" width="9.1796875" style="6"/>
    <col min="7442" max="7442" width="16.7265625" style="6" bestFit="1" customWidth="1"/>
    <col min="7443" max="7686" width="9.1796875" style="6"/>
    <col min="7687" max="7687" width="8.453125" style="6" customWidth="1"/>
    <col min="7688" max="7688" width="43" style="6" customWidth="1"/>
    <col min="7689" max="7689" width="19.1796875" style="6" bestFit="1" customWidth="1"/>
    <col min="7690" max="7690" width="9.81640625" style="6" customWidth="1"/>
    <col min="7691" max="7695" width="19.26953125" style="6" customWidth="1"/>
    <col min="7696" max="7697" width="9.1796875" style="6"/>
    <col min="7698" max="7698" width="16.7265625" style="6" bestFit="1" customWidth="1"/>
    <col min="7699" max="7942" width="9.1796875" style="6"/>
    <col min="7943" max="7943" width="8.453125" style="6" customWidth="1"/>
    <col min="7944" max="7944" width="43" style="6" customWidth="1"/>
    <col min="7945" max="7945" width="19.1796875" style="6" bestFit="1" customWidth="1"/>
    <col min="7946" max="7946" width="9.81640625" style="6" customWidth="1"/>
    <col min="7947" max="7951" width="19.26953125" style="6" customWidth="1"/>
    <col min="7952" max="7953" width="9.1796875" style="6"/>
    <col min="7954" max="7954" width="16.7265625" style="6" bestFit="1" customWidth="1"/>
    <col min="7955" max="8198" width="9.1796875" style="6"/>
    <col min="8199" max="8199" width="8.453125" style="6" customWidth="1"/>
    <col min="8200" max="8200" width="43" style="6" customWidth="1"/>
    <col min="8201" max="8201" width="19.1796875" style="6" bestFit="1" customWidth="1"/>
    <col min="8202" max="8202" width="9.81640625" style="6" customWidth="1"/>
    <col min="8203" max="8207" width="19.26953125" style="6" customWidth="1"/>
    <col min="8208" max="8209" width="9.1796875" style="6"/>
    <col min="8210" max="8210" width="16.7265625" style="6" bestFit="1" customWidth="1"/>
    <col min="8211" max="8454" width="9.1796875" style="6"/>
    <col min="8455" max="8455" width="8.453125" style="6" customWidth="1"/>
    <col min="8456" max="8456" width="43" style="6" customWidth="1"/>
    <col min="8457" max="8457" width="19.1796875" style="6" bestFit="1" customWidth="1"/>
    <col min="8458" max="8458" width="9.81640625" style="6" customWidth="1"/>
    <col min="8459" max="8463" width="19.26953125" style="6" customWidth="1"/>
    <col min="8464" max="8465" width="9.1796875" style="6"/>
    <col min="8466" max="8466" width="16.7265625" style="6" bestFit="1" customWidth="1"/>
    <col min="8467" max="8710" width="9.1796875" style="6"/>
    <col min="8711" max="8711" width="8.453125" style="6" customWidth="1"/>
    <col min="8712" max="8712" width="43" style="6" customWidth="1"/>
    <col min="8713" max="8713" width="19.1796875" style="6" bestFit="1" customWidth="1"/>
    <col min="8714" max="8714" width="9.81640625" style="6" customWidth="1"/>
    <col min="8715" max="8719" width="19.26953125" style="6" customWidth="1"/>
    <col min="8720" max="8721" width="9.1796875" style="6"/>
    <col min="8722" max="8722" width="16.7265625" style="6" bestFit="1" customWidth="1"/>
    <col min="8723" max="8966" width="9.1796875" style="6"/>
    <col min="8967" max="8967" width="8.453125" style="6" customWidth="1"/>
    <col min="8968" max="8968" width="43" style="6" customWidth="1"/>
    <col min="8969" max="8969" width="19.1796875" style="6" bestFit="1" customWidth="1"/>
    <col min="8970" max="8970" width="9.81640625" style="6" customWidth="1"/>
    <col min="8971" max="8975" width="19.26953125" style="6" customWidth="1"/>
    <col min="8976" max="8977" width="9.1796875" style="6"/>
    <col min="8978" max="8978" width="16.7265625" style="6" bestFit="1" customWidth="1"/>
    <col min="8979" max="9222" width="9.1796875" style="6"/>
    <col min="9223" max="9223" width="8.453125" style="6" customWidth="1"/>
    <col min="9224" max="9224" width="43" style="6" customWidth="1"/>
    <col min="9225" max="9225" width="19.1796875" style="6" bestFit="1" customWidth="1"/>
    <col min="9226" max="9226" width="9.81640625" style="6" customWidth="1"/>
    <col min="9227" max="9231" width="19.26953125" style="6" customWidth="1"/>
    <col min="9232" max="9233" width="9.1796875" style="6"/>
    <col min="9234" max="9234" width="16.7265625" style="6" bestFit="1" customWidth="1"/>
    <col min="9235" max="9478" width="9.1796875" style="6"/>
    <col min="9479" max="9479" width="8.453125" style="6" customWidth="1"/>
    <col min="9480" max="9480" width="43" style="6" customWidth="1"/>
    <col min="9481" max="9481" width="19.1796875" style="6" bestFit="1" customWidth="1"/>
    <col min="9482" max="9482" width="9.81640625" style="6" customWidth="1"/>
    <col min="9483" max="9487" width="19.26953125" style="6" customWidth="1"/>
    <col min="9488" max="9489" width="9.1796875" style="6"/>
    <col min="9490" max="9490" width="16.7265625" style="6" bestFit="1" customWidth="1"/>
    <col min="9491" max="9734" width="9.1796875" style="6"/>
    <col min="9735" max="9735" width="8.453125" style="6" customWidth="1"/>
    <col min="9736" max="9736" width="43" style="6" customWidth="1"/>
    <col min="9737" max="9737" width="19.1796875" style="6" bestFit="1" customWidth="1"/>
    <col min="9738" max="9738" width="9.81640625" style="6" customWidth="1"/>
    <col min="9739" max="9743" width="19.26953125" style="6" customWidth="1"/>
    <col min="9744" max="9745" width="9.1796875" style="6"/>
    <col min="9746" max="9746" width="16.7265625" style="6" bestFit="1" customWidth="1"/>
    <col min="9747" max="9990" width="9.1796875" style="6"/>
    <col min="9991" max="9991" width="8.453125" style="6" customWidth="1"/>
    <col min="9992" max="9992" width="43" style="6" customWidth="1"/>
    <col min="9993" max="9993" width="19.1796875" style="6" bestFit="1" customWidth="1"/>
    <col min="9994" max="9994" width="9.81640625" style="6" customWidth="1"/>
    <col min="9995" max="9999" width="19.26953125" style="6" customWidth="1"/>
    <col min="10000" max="10001" width="9.1796875" style="6"/>
    <col min="10002" max="10002" width="16.7265625" style="6" bestFit="1" customWidth="1"/>
    <col min="10003" max="10246" width="9.1796875" style="6"/>
    <col min="10247" max="10247" width="8.453125" style="6" customWidth="1"/>
    <col min="10248" max="10248" width="43" style="6" customWidth="1"/>
    <col min="10249" max="10249" width="19.1796875" style="6" bestFit="1" customWidth="1"/>
    <col min="10250" max="10250" width="9.81640625" style="6" customWidth="1"/>
    <col min="10251" max="10255" width="19.26953125" style="6" customWidth="1"/>
    <col min="10256" max="10257" width="9.1796875" style="6"/>
    <col min="10258" max="10258" width="16.7265625" style="6" bestFit="1" customWidth="1"/>
    <col min="10259" max="10502" width="9.1796875" style="6"/>
    <col min="10503" max="10503" width="8.453125" style="6" customWidth="1"/>
    <col min="10504" max="10504" width="43" style="6" customWidth="1"/>
    <col min="10505" max="10505" width="19.1796875" style="6" bestFit="1" customWidth="1"/>
    <col min="10506" max="10506" width="9.81640625" style="6" customWidth="1"/>
    <col min="10507" max="10511" width="19.26953125" style="6" customWidth="1"/>
    <col min="10512" max="10513" width="9.1796875" style="6"/>
    <col min="10514" max="10514" width="16.7265625" style="6" bestFit="1" customWidth="1"/>
    <col min="10515" max="10758" width="9.1796875" style="6"/>
    <col min="10759" max="10759" width="8.453125" style="6" customWidth="1"/>
    <col min="10760" max="10760" width="43" style="6" customWidth="1"/>
    <col min="10761" max="10761" width="19.1796875" style="6" bestFit="1" customWidth="1"/>
    <col min="10762" max="10762" width="9.81640625" style="6" customWidth="1"/>
    <col min="10763" max="10767" width="19.26953125" style="6" customWidth="1"/>
    <col min="10768" max="10769" width="9.1796875" style="6"/>
    <col min="10770" max="10770" width="16.7265625" style="6" bestFit="1" customWidth="1"/>
    <col min="10771" max="11014" width="9.1796875" style="6"/>
    <col min="11015" max="11015" width="8.453125" style="6" customWidth="1"/>
    <col min="11016" max="11016" width="43" style="6" customWidth="1"/>
    <col min="11017" max="11017" width="19.1796875" style="6" bestFit="1" customWidth="1"/>
    <col min="11018" max="11018" width="9.81640625" style="6" customWidth="1"/>
    <col min="11019" max="11023" width="19.26953125" style="6" customWidth="1"/>
    <col min="11024" max="11025" width="9.1796875" style="6"/>
    <col min="11026" max="11026" width="16.7265625" style="6" bestFit="1" customWidth="1"/>
    <col min="11027" max="11270" width="9.1796875" style="6"/>
    <col min="11271" max="11271" width="8.453125" style="6" customWidth="1"/>
    <col min="11272" max="11272" width="43" style="6" customWidth="1"/>
    <col min="11273" max="11273" width="19.1796875" style="6" bestFit="1" customWidth="1"/>
    <col min="11274" max="11274" width="9.81640625" style="6" customWidth="1"/>
    <col min="11275" max="11279" width="19.26953125" style="6" customWidth="1"/>
    <col min="11280" max="11281" width="9.1796875" style="6"/>
    <col min="11282" max="11282" width="16.7265625" style="6" bestFit="1" customWidth="1"/>
    <col min="11283" max="11526" width="9.1796875" style="6"/>
    <col min="11527" max="11527" width="8.453125" style="6" customWidth="1"/>
    <col min="11528" max="11528" width="43" style="6" customWidth="1"/>
    <col min="11529" max="11529" width="19.1796875" style="6" bestFit="1" customWidth="1"/>
    <col min="11530" max="11530" width="9.81640625" style="6" customWidth="1"/>
    <col min="11531" max="11535" width="19.26953125" style="6" customWidth="1"/>
    <col min="11536" max="11537" width="9.1796875" style="6"/>
    <col min="11538" max="11538" width="16.7265625" style="6" bestFit="1" customWidth="1"/>
    <col min="11539" max="11782" width="9.1796875" style="6"/>
    <col min="11783" max="11783" width="8.453125" style="6" customWidth="1"/>
    <col min="11784" max="11784" width="43" style="6" customWidth="1"/>
    <col min="11785" max="11785" width="19.1796875" style="6" bestFit="1" customWidth="1"/>
    <col min="11786" max="11786" width="9.81640625" style="6" customWidth="1"/>
    <col min="11787" max="11791" width="19.26953125" style="6" customWidth="1"/>
    <col min="11792" max="11793" width="9.1796875" style="6"/>
    <col min="11794" max="11794" width="16.7265625" style="6" bestFit="1" customWidth="1"/>
    <col min="11795" max="12038" width="9.1796875" style="6"/>
    <col min="12039" max="12039" width="8.453125" style="6" customWidth="1"/>
    <col min="12040" max="12040" width="43" style="6" customWidth="1"/>
    <col min="12041" max="12041" width="19.1796875" style="6" bestFit="1" customWidth="1"/>
    <col min="12042" max="12042" width="9.81640625" style="6" customWidth="1"/>
    <col min="12043" max="12047" width="19.26953125" style="6" customWidth="1"/>
    <col min="12048" max="12049" width="9.1796875" style="6"/>
    <col min="12050" max="12050" width="16.7265625" style="6" bestFit="1" customWidth="1"/>
    <col min="12051" max="12294" width="9.1796875" style="6"/>
    <col min="12295" max="12295" width="8.453125" style="6" customWidth="1"/>
    <col min="12296" max="12296" width="43" style="6" customWidth="1"/>
    <col min="12297" max="12297" width="19.1796875" style="6" bestFit="1" customWidth="1"/>
    <col min="12298" max="12298" width="9.81640625" style="6" customWidth="1"/>
    <col min="12299" max="12303" width="19.26953125" style="6" customWidth="1"/>
    <col min="12304" max="12305" width="9.1796875" style="6"/>
    <col min="12306" max="12306" width="16.7265625" style="6" bestFit="1" customWidth="1"/>
    <col min="12307" max="12550" width="9.1796875" style="6"/>
    <col min="12551" max="12551" width="8.453125" style="6" customWidth="1"/>
    <col min="12552" max="12552" width="43" style="6" customWidth="1"/>
    <col min="12553" max="12553" width="19.1796875" style="6" bestFit="1" customWidth="1"/>
    <col min="12554" max="12554" width="9.81640625" style="6" customWidth="1"/>
    <col min="12555" max="12559" width="19.26953125" style="6" customWidth="1"/>
    <col min="12560" max="12561" width="9.1796875" style="6"/>
    <col min="12562" max="12562" width="16.7265625" style="6" bestFit="1" customWidth="1"/>
    <col min="12563" max="12806" width="9.1796875" style="6"/>
    <col min="12807" max="12807" width="8.453125" style="6" customWidth="1"/>
    <col min="12808" max="12808" width="43" style="6" customWidth="1"/>
    <col min="12809" max="12809" width="19.1796875" style="6" bestFit="1" customWidth="1"/>
    <col min="12810" max="12810" width="9.81640625" style="6" customWidth="1"/>
    <col min="12811" max="12815" width="19.26953125" style="6" customWidth="1"/>
    <col min="12816" max="12817" width="9.1796875" style="6"/>
    <col min="12818" max="12818" width="16.7265625" style="6" bestFit="1" customWidth="1"/>
    <col min="12819" max="13062" width="9.1796875" style="6"/>
    <col min="13063" max="13063" width="8.453125" style="6" customWidth="1"/>
    <col min="13064" max="13064" width="43" style="6" customWidth="1"/>
    <col min="13065" max="13065" width="19.1796875" style="6" bestFit="1" customWidth="1"/>
    <col min="13066" max="13066" width="9.81640625" style="6" customWidth="1"/>
    <col min="13067" max="13071" width="19.26953125" style="6" customWidth="1"/>
    <col min="13072" max="13073" width="9.1796875" style="6"/>
    <col min="13074" max="13074" width="16.7265625" style="6" bestFit="1" customWidth="1"/>
    <col min="13075" max="13318" width="9.1796875" style="6"/>
    <col min="13319" max="13319" width="8.453125" style="6" customWidth="1"/>
    <col min="13320" max="13320" width="43" style="6" customWidth="1"/>
    <col min="13321" max="13321" width="19.1796875" style="6" bestFit="1" customWidth="1"/>
    <col min="13322" max="13322" width="9.81640625" style="6" customWidth="1"/>
    <col min="13323" max="13327" width="19.26953125" style="6" customWidth="1"/>
    <col min="13328" max="13329" width="9.1796875" style="6"/>
    <col min="13330" max="13330" width="16.7265625" style="6" bestFit="1" customWidth="1"/>
    <col min="13331" max="13574" width="9.1796875" style="6"/>
    <col min="13575" max="13575" width="8.453125" style="6" customWidth="1"/>
    <col min="13576" max="13576" width="43" style="6" customWidth="1"/>
    <col min="13577" max="13577" width="19.1796875" style="6" bestFit="1" customWidth="1"/>
    <col min="13578" max="13578" width="9.81640625" style="6" customWidth="1"/>
    <col min="13579" max="13583" width="19.26953125" style="6" customWidth="1"/>
    <col min="13584" max="13585" width="9.1796875" style="6"/>
    <col min="13586" max="13586" width="16.7265625" style="6" bestFit="1" customWidth="1"/>
    <col min="13587" max="13830" width="9.1796875" style="6"/>
    <col min="13831" max="13831" width="8.453125" style="6" customWidth="1"/>
    <col min="13832" max="13832" width="43" style="6" customWidth="1"/>
    <col min="13833" max="13833" width="19.1796875" style="6" bestFit="1" customWidth="1"/>
    <col min="13834" max="13834" width="9.81640625" style="6" customWidth="1"/>
    <col min="13835" max="13839" width="19.26953125" style="6" customWidth="1"/>
    <col min="13840" max="13841" width="9.1796875" style="6"/>
    <col min="13842" max="13842" width="16.7265625" style="6" bestFit="1" customWidth="1"/>
    <col min="13843" max="14086" width="9.1796875" style="6"/>
    <col min="14087" max="14087" width="8.453125" style="6" customWidth="1"/>
    <col min="14088" max="14088" width="43" style="6" customWidth="1"/>
    <col min="14089" max="14089" width="19.1796875" style="6" bestFit="1" customWidth="1"/>
    <col min="14090" max="14090" width="9.81640625" style="6" customWidth="1"/>
    <col min="14091" max="14095" width="19.26953125" style="6" customWidth="1"/>
    <col min="14096" max="14097" width="9.1796875" style="6"/>
    <col min="14098" max="14098" width="16.7265625" style="6" bestFit="1" customWidth="1"/>
    <col min="14099" max="14342" width="9.1796875" style="6"/>
    <col min="14343" max="14343" width="8.453125" style="6" customWidth="1"/>
    <col min="14344" max="14344" width="43" style="6" customWidth="1"/>
    <col min="14345" max="14345" width="19.1796875" style="6" bestFit="1" customWidth="1"/>
    <col min="14346" max="14346" width="9.81640625" style="6" customWidth="1"/>
    <col min="14347" max="14351" width="19.26953125" style="6" customWidth="1"/>
    <col min="14352" max="14353" width="9.1796875" style="6"/>
    <col min="14354" max="14354" width="16.7265625" style="6" bestFit="1" customWidth="1"/>
    <col min="14355" max="14598" width="9.1796875" style="6"/>
    <col min="14599" max="14599" width="8.453125" style="6" customWidth="1"/>
    <col min="14600" max="14600" width="43" style="6" customWidth="1"/>
    <col min="14601" max="14601" width="19.1796875" style="6" bestFit="1" customWidth="1"/>
    <col min="14602" max="14602" width="9.81640625" style="6" customWidth="1"/>
    <col min="14603" max="14607" width="19.26953125" style="6" customWidth="1"/>
    <col min="14608" max="14609" width="9.1796875" style="6"/>
    <col min="14610" max="14610" width="16.7265625" style="6" bestFit="1" customWidth="1"/>
    <col min="14611" max="14854" width="9.1796875" style="6"/>
    <col min="14855" max="14855" width="8.453125" style="6" customWidth="1"/>
    <col min="14856" max="14856" width="43" style="6" customWidth="1"/>
    <col min="14857" max="14857" width="19.1796875" style="6" bestFit="1" customWidth="1"/>
    <col min="14858" max="14858" width="9.81640625" style="6" customWidth="1"/>
    <col min="14859" max="14863" width="19.26953125" style="6" customWidth="1"/>
    <col min="14864" max="14865" width="9.1796875" style="6"/>
    <col min="14866" max="14866" width="16.7265625" style="6" bestFit="1" customWidth="1"/>
    <col min="14867" max="15110" width="9.1796875" style="6"/>
    <col min="15111" max="15111" width="8.453125" style="6" customWidth="1"/>
    <col min="15112" max="15112" width="43" style="6" customWidth="1"/>
    <col min="15113" max="15113" width="19.1796875" style="6" bestFit="1" customWidth="1"/>
    <col min="15114" max="15114" width="9.81640625" style="6" customWidth="1"/>
    <col min="15115" max="15119" width="19.26953125" style="6" customWidth="1"/>
    <col min="15120" max="15121" width="9.1796875" style="6"/>
    <col min="15122" max="15122" width="16.7265625" style="6" bestFit="1" customWidth="1"/>
    <col min="15123" max="15366" width="9.1796875" style="6"/>
    <col min="15367" max="15367" width="8.453125" style="6" customWidth="1"/>
    <col min="15368" max="15368" width="43" style="6" customWidth="1"/>
    <col min="15369" max="15369" width="19.1796875" style="6" bestFit="1" customWidth="1"/>
    <col min="15370" max="15370" width="9.81640625" style="6" customWidth="1"/>
    <col min="15371" max="15375" width="19.26953125" style="6" customWidth="1"/>
    <col min="15376" max="15377" width="9.1796875" style="6"/>
    <col min="15378" max="15378" width="16.7265625" style="6" bestFit="1" customWidth="1"/>
    <col min="15379" max="15622" width="9.1796875" style="6"/>
    <col min="15623" max="15623" width="8.453125" style="6" customWidth="1"/>
    <col min="15624" max="15624" width="43" style="6" customWidth="1"/>
    <col min="15625" max="15625" width="19.1796875" style="6" bestFit="1" customWidth="1"/>
    <col min="15626" max="15626" width="9.81640625" style="6" customWidth="1"/>
    <col min="15627" max="15631" width="19.26953125" style="6" customWidth="1"/>
    <col min="15632" max="15633" width="9.1796875" style="6"/>
    <col min="15634" max="15634" width="16.7265625" style="6" bestFit="1" customWidth="1"/>
    <col min="15635" max="15878" width="9.1796875" style="6"/>
    <col min="15879" max="15879" width="8.453125" style="6" customWidth="1"/>
    <col min="15880" max="15880" width="43" style="6" customWidth="1"/>
    <col min="15881" max="15881" width="19.1796875" style="6" bestFit="1" customWidth="1"/>
    <col min="15882" max="15882" width="9.81640625" style="6" customWidth="1"/>
    <col min="15883" max="15887" width="19.26953125" style="6" customWidth="1"/>
    <col min="15888" max="15889" width="9.1796875" style="6"/>
    <col min="15890" max="15890" width="16.7265625" style="6" bestFit="1" customWidth="1"/>
    <col min="15891" max="16134" width="9.1796875" style="6"/>
    <col min="16135" max="16135" width="8.453125" style="6" customWidth="1"/>
    <col min="16136" max="16136" width="43" style="6" customWidth="1"/>
    <col min="16137" max="16137" width="19.1796875" style="6" bestFit="1" customWidth="1"/>
    <col min="16138" max="16138" width="9.81640625" style="6" customWidth="1"/>
    <col min="16139" max="16143" width="19.26953125" style="6" customWidth="1"/>
    <col min="16144" max="16145" width="9.1796875" style="6"/>
    <col min="16146" max="16146" width="16.7265625" style="6" bestFit="1" customWidth="1"/>
    <col min="16147" max="16384" width="9.1796875" style="6"/>
  </cols>
  <sheetData>
    <row r="1" spans="1:33" ht="18.75" customHeight="1" x14ac:dyDescent="0.6">
      <c r="A1" s="253" t="s">
        <v>587</v>
      </c>
      <c r="B1" s="5"/>
      <c r="C1" s="256"/>
      <c r="D1" s="257"/>
      <c r="E1" s="257"/>
      <c r="F1" s="257"/>
      <c r="G1" s="257" t="s">
        <v>393</v>
      </c>
      <c r="H1" s="257"/>
      <c r="I1" s="257"/>
      <c r="J1" s="257"/>
      <c r="K1" s="257"/>
      <c r="L1" s="257"/>
      <c r="M1" s="257"/>
      <c r="N1" s="257"/>
      <c r="O1" s="257"/>
      <c r="P1" s="257"/>
      <c r="Q1" s="257"/>
      <c r="R1" s="262"/>
      <c r="T1" s="265" t="s">
        <v>394</v>
      </c>
      <c r="U1" s="257"/>
      <c r="V1" s="257"/>
      <c r="W1" s="257"/>
      <c r="X1" s="257"/>
      <c r="Y1" s="257"/>
      <c r="Z1" s="257"/>
      <c r="AA1" s="262"/>
      <c r="AB1" s="268"/>
      <c r="AC1" s="265" t="s">
        <v>395</v>
      </c>
      <c r="AD1" s="262"/>
    </row>
    <row r="2" spans="1:33" ht="20" x14ac:dyDescent="0.6">
      <c r="A2" s="254" t="s">
        <v>588</v>
      </c>
      <c r="B2" s="7"/>
      <c r="C2" s="258"/>
      <c r="D2" s="259" t="s">
        <v>553</v>
      </c>
      <c r="E2" s="259"/>
      <c r="F2" s="259"/>
      <c r="G2" s="259" t="s">
        <v>396</v>
      </c>
      <c r="H2" s="259"/>
      <c r="I2" s="259"/>
      <c r="J2" s="259"/>
      <c r="K2" s="259"/>
      <c r="L2" s="259"/>
      <c r="M2" s="259"/>
      <c r="N2" s="259" t="s">
        <v>397</v>
      </c>
      <c r="O2" s="259"/>
      <c r="P2" s="259"/>
      <c r="Q2" s="259"/>
      <c r="R2" s="263"/>
      <c r="T2" s="266"/>
      <c r="U2" s="267"/>
      <c r="V2" s="267"/>
      <c r="W2" s="267"/>
      <c r="X2" s="8">
        <v>1</v>
      </c>
      <c r="Y2" s="9">
        <v>2</v>
      </c>
      <c r="Z2" s="9">
        <v>3</v>
      </c>
      <c r="AA2" s="10">
        <v>4</v>
      </c>
      <c r="AB2" s="259"/>
      <c r="AC2" s="11" t="s">
        <v>398</v>
      </c>
      <c r="AD2" s="541">
        <v>2</v>
      </c>
    </row>
    <row r="3" spans="1:33" ht="16" thickBot="1" x14ac:dyDescent="0.4">
      <c r="A3" s="255" t="s">
        <v>589</v>
      </c>
      <c r="B3" s="12"/>
      <c r="C3" s="260"/>
      <c r="D3" s="261">
        <f t="shared" ref="D3:E3" si="0">E3-1</f>
        <v>2007</v>
      </c>
      <c r="E3" s="261">
        <f t="shared" si="0"/>
        <v>2008</v>
      </c>
      <c r="F3" s="261">
        <f>G3-1</f>
        <v>2009</v>
      </c>
      <c r="G3" s="261">
        <f t="shared" ref="G3:K3" si="1">H3-1</f>
        <v>2010</v>
      </c>
      <c r="H3" s="261">
        <f t="shared" si="1"/>
        <v>2011</v>
      </c>
      <c r="I3" s="261">
        <f t="shared" si="1"/>
        <v>2012</v>
      </c>
      <c r="J3" s="261">
        <f t="shared" si="1"/>
        <v>2013</v>
      </c>
      <c r="K3" s="261">
        <f t="shared" si="1"/>
        <v>2014</v>
      </c>
      <c r="L3" s="261">
        <f>M3-1</f>
        <v>2015</v>
      </c>
      <c r="M3" s="13">
        <v>2016</v>
      </c>
      <c r="N3" s="261">
        <f>M3+1</f>
        <v>2017</v>
      </c>
      <c r="O3" s="261">
        <f>N3+1</f>
        <v>2018</v>
      </c>
      <c r="P3" s="261">
        <f t="shared" ref="P3:R3" si="2">O3+1</f>
        <v>2019</v>
      </c>
      <c r="Q3" s="261">
        <f t="shared" si="2"/>
        <v>2020</v>
      </c>
      <c r="R3" s="264">
        <f t="shared" si="2"/>
        <v>2021</v>
      </c>
      <c r="T3" s="14" t="s">
        <v>549</v>
      </c>
      <c r="U3" s="13" t="s">
        <v>550</v>
      </c>
      <c r="V3" s="13" t="s">
        <v>551</v>
      </c>
      <c r="W3" s="13" t="s">
        <v>552</v>
      </c>
      <c r="X3" s="13" t="s">
        <v>549</v>
      </c>
      <c r="Y3" s="13" t="s">
        <v>550</v>
      </c>
      <c r="Z3" s="13" t="s">
        <v>551</v>
      </c>
      <c r="AA3" s="15" t="s">
        <v>552</v>
      </c>
      <c r="AB3" s="261"/>
      <c r="AC3" s="269" t="s">
        <v>399</v>
      </c>
      <c r="AD3" s="264" t="s">
        <v>400</v>
      </c>
    </row>
    <row r="4" spans="1:33" ht="12.75" customHeight="1" thickBot="1" x14ac:dyDescent="0.35">
      <c r="A4" s="16" t="s">
        <v>401</v>
      </c>
      <c r="B4" s="17"/>
      <c r="C4" s="17"/>
      <c r="D4" s="18"/>
      <c r="E4" s="18"/>
      <c r="F4" s="18"/>
      <c r="G4" s="18"/>
      <c r="H4" s="18"/>
      <c r="I4" s="18"/>
      <c r="J4" s="18"/>
      <c r="K4" s="18"/>
      <c r="L4" s="18"/>
      <c r="M4" s="18"/>
      <c r="N4" s="18"/>
      <c r="O4" s="18"/>
      <c r="P4" s="18"/>
      <c r="Q4" s="18"/>
      <c r="R4" s="19"/>
      <c r="T4" s="20"/>
      <c r="U4" s="18"/>
      <c r="V4" s="18"/>
      <c r="W4" s="18"/>
      <c r="X4" s="18"/>
      <c r="Y4" s="18"/>
      <c r="Z4" s="18"/>
      <c r="AA4" s="19"/>
      <c r="AB4" s="366"/>
      <c r="AC4" s="20"/>
      <c r="AD4" s="19"/>
    </row>
    <row r="5" spans="1:33" ht="13" x14ac:dyDescent="0.3">
      <c r="A5" s="270"/>
      <c r="B5" s="271" t="s">
        <v>402</v>
      </c>
      <c r="C5" s="271"/>
      <c r="D5" s="21"/>
      <c r="E5" s="21"/>
      <c r="F5" s="21"/>
      <c r="G5" s="21"/>
      <c r="H5" s="21"/>
      <c r="I5" s="21"/>
      <c r="J5" s="21"/>
      <c r="K5" s="21"/>
      <c r="L5" s="21"/>
      <c r="M5" s="21"/>
      <c r="N5" s="422">
        <f>IF(N219="",N189*N203,N219)</f>
        <v>0</v>
      </c>
      <c r="O5" s="422">
        <f>IF(O219="",O189*O203,O219)</f>
        <v>0</v>
      </c>
      <c r="P5" s="422">
        <f>IF(P219="",P189*P203,P219)</f>
        <v>0</v>
      </c>
      <c r="Q5" s="422">
        <f>IF(Q219="",Q189*Q203,Q219)</f>
        <v>0</v>
      </c>
      <c r="R5" s="423">
        <f>IF(R219="",R189*R203,R219)</f>
        <v>0</v>
      </c>
      <c r="T5" s="24"/>
      <c r="U5" s="21"/>
      <c r="V5" s="21"/>
      <c r="W5" s="21"/>
      <c r="X5" s="21"/>
      <c r="Y5" s="21"/>
      <c r="Z5" s="21"/>
      <c r="AA5" s="25"/>
      <c r="AB5" s="367"/>
      <c r="AC5" s="532">
        <f>IF($AD$2=1,SUM(X5),IF($AD$2=2, SUM(X5:Y5),IF($AD$2=3,SUM(X5:Z5),IF($AD$2=4,SUM(X5:AA5)))))</f>
        <v>0</v>
      </c>
      <c r="AD5" s="423">
        <f>IF($AD$2=1,SUM(U5:X5),IF($AD$2=2,SUM(V5:Y5),IF($AD$2=3,SUM(W5:Z5),IF($AD$2=4,SUM(X5:AA5)))))</f>
        <v>0</v>
      </c>
      <c r="AF5" s="26">
        <v>1</v>
      </c>
      <c r="AG5" s="27" t="s">
        <v>403</v>
      </c>
    </row>
    <row r="6" spans="1:33" ht="13" x14ac:dyDescent="0.3">
      <c r="A6" s="272"/>
      <c r="B6" s="273" t="s">
        <v>404</v>
      </c>
      <c r="C6" s="273"/>
      <c r="D6" s="28"/>
      <c r="E6" s="28"/>
      <c r="F6" s="28"/>
      <c r="G6" s="28"/>
      <c r="H6" s="28"/>
      <c r="I6" s="28"/>
      <c r="J6" s="28"/>
      <c r="K6" s="28"/>
      <c r="L6" s="28"/>
      <c r="M6" s="28"/>
      <c r="N6" s="405">
        <f t="shared" ref="N6:R7" si="3">IF(N220="",M6*(1+N194),N220)</f>
        <v>0</v>
      </c>
      <c r="O6" s="405">
        <f t="shared" si="3"/>
        <v>0</v>
      </c>
      <c r="P6" s="405">
        <f t="shared" si="3"/>
        <v>0</v>
      </c>
      <c r="Q6" s="405">
        <f t="shared" si="3"/>
        <v>0</v>
      </c>
      <c r="R6" s="390">
        <f t="shared" si="3"/>
        <v>0</v>
      </c>
      <c r="T6" s="31"/>
      <c r="U6" s="28"/>
      <c r="V6" s="28"/>
      <c r="W6" s="28"/>
      <c r="X6" s="28"/>
      <c r="Y6" s="28"/>
      <c r="Z6" s="28"/>
      <c r="AA6" s="32"/>
      <c r="AB6" s="368"/>
      <c r="AC6" s="389">
        <f t="shared" ref="AC6:AC33" si="4">IF($AD$2=1,SUM(X6),IF($AD$2=2, SUM(X6:Y6),IF($AD$2=3,SUM(X6:Z6),IF($AD$2=4,SUM(X6:AA6)))))</f>
        <v>0</v>
      </c>
      <c r="AD6" s="390">
        <f t="shared" ref="AD6:AD33" si="5">IF($AD$2=1,SUM(U6:X6),IF($AD$2=2,SUM(V6:Y6),IF($AD$2=3,SUM(W6:Z6),IF($AD$2=4,SUM(X6:AA6)))))</f>
        <v>0</v>
      </c>
      <c r="AF6" s="34">
        <v>2</v>
      </c>
      <c r="AG6" s="27" t="s">
        <v>403</v>
      </c>
    </row>
    <row r="7" spans="1:33" ht="13" x14ac:dyDescent="0.3">
      <c r="A7" s="272"/>
      <c r="B7" s="273" t="s">
        <v>405</v>
      </c>
      <c r="C7" s="273"/>
      <c r="D7" s="28"/>
      <c r="E7" s="28"/>
      <c r="F7" s="28"/>
      <c r="G7" s="28"/>
      <c r="H7" s="28"/>
      <c r="I7" s="28"/>
      <c r="J7" s="28"/>
      <c r="K7" s="28"/>
      <c r="L7" s="28"/>
      <c r="M7" s="28"/>
      <c r="N7" s="405">
        <f t="shared" si="3"/>
        <v>0</v>
      </c>
      <c r="O7" s="405">
        <f t="shared" si="3"/>
        <v>0</v>
      </c>
      <c r="P7" s="405">
        <f t="shared" si="3"/>
        <v>0</v>
      </c>
      <c r="Q7" s="405">
        <f t="shared" si="3"/>
        <v>0</v>
      </c>
      <c r="R7" s="390">
        <f t="shared" si="3"/>
        <v>0</v>
      </c>
      <c r="T7" s="31"/>
      <c r="U7" s="28"/>
      <c r="V7" s="28"/>
      <c r="W7" s="28"/>
      <c r="X7" s="28"/>
      <c r="Y7" s="28"/>
      <c r="Z7" s="28"/>
      <c r="AA7" s="32"/>
      <c r="AB7" s="368"/>
      <c r="AC7" s="389">
        <f t="shared" si="4"/>
        <v>0</v>
      </c>
      <c r="AD7" s="390">
        <f t="shared" si="5"/>
        <v>0</v>
      </c>
      <c r="AF7" s="34">
        <v>3</v>
      </c>
      <c r="AG7" s="27" t="s">
        <v>403</v>
      </c>
    </row>
    <row r="8" spans="1:33" ht="13.5" thickBot="1" x14ac:dyDescent="0.35">
      <c r="A8" s="272"/>
      <c r="B8" s="273" t="s">
        <v>406</v>
      </c>
      <c r="C8" s="273"/>
      <c r="D8" s="28"/>
      <c r="E8" s="28"/>
      <c r="F8" s="28"/>
      <c r="G8" s="28"/>
      <c r="H8" s="28"/>
      <c r="I8" s="28"/>
      <c r="J8" s="28"/>
      <c r="K8" s="28"/>
      <c r="L8" s="28"/>
      <c r="M8" s="28"/>
      <c r="N8" s="405">
        <f>IF(N229="",SUM(N6:N7)*-N204,N229)</f>
        <v>0</v>
      </c>
      <c r="O8" s="405">
        <f>IF(O229="",SUM(O6:O7)*-O204,O229)</f>
        <v>0</v>
      </c>
      <c r="P8" s="405">
        <f>IF(P229="",SUM(P6:P7)*-P204,P229)</f>
        <v>0</v>
      </c>
      <c r="Q8" s="405">
        <f>IF(Q229="",SUM(Q6:Q7)*-Q204,Q229)</f>
        <v>0</v>
      </c>
      <c r="R8" s="390">
        <f>IF(R229="",SUM(R6:R7)*-R204,R229)</f>
        <v>0</v>
      </c>
      <c r="T8" s="31"/>
      <c r="U8" s="28"/>
      <c r="V8" s="28"/>
      <c r="W8" s="28"/>
      <c r="X8" s="28"/>
      <c r="Y8" s="28"/>
      <c r="Z8" s="28"/>
      <c r="AA8" s="32"/>
      <c r="AB8" s="368"/>
      <c r="AC8" s="389">
        <f t="shared" si="4"/>
        <v>0</v>
      </c>
      <c r="AD8" s="390">
        <f t="shared" si="5"/>
        <v>0</v>
      </c>
      <c r="AF8" s="34">
        <v>4</v>
      </c>
      <c r="AG8" s="27" t="s">
        <v>403</v>
      </c>
    </row>
    <row r="9" spans="1:33" ht="13" x14ac:dyDescent="0.3">
      <c r="A9" s="272"/>
      <c r="B9" s="273" t="s">
        <v>407</v>
      </c>
      <c r="C9" s="273"/>
      <c r="D9" s="28"/>
      <c r="E9" s="28"/>
      <c r="F9" s="28"/>
      <c r="G9" s="28"/>
      <c r="H9" s="28"/>
      <c r="I9" s="28"/>
      <c r="J9" s="28"/>
      <c r="K9" s="28"/>
      <c r="L9" s="28"/>
      <c r="M9" s="28"/>
      <c r="N9" s="405">
        <f t="shared" ref="N9:R10" si="6">IF(N222="",M9*(1+N196),N222)</f>
        <v>0</v>
      </c>
      <c r="O9" s="405">
        <f t="shared" si="6"/>
        <v>0</v>
      </c>
      <c r="P9" s="405">
        <f t="shared" si="6"/>
        <v>0</v>
      </c>
      <c r="Q9" s="405">
        <f t="shared" si="6"/>
        <v>0</v>
      </c>
      <c r="R9" s="390">
        <f t="shared" si="6"/>
        <v>0</v>
      </c>
      <c r="T9" s="31"/>
      <c r="U9" s="28"/>
      <c r="V9" s="28"/>
      <c r="W9" s="28"/>
      <c r="X9" s="28"/>
      <c r="Y9" s="28"/>
      <c r="Z9" s="28"/>
      <c r="AA9" s="32"/>
      <c r="AB9" s="368"/>
      <c r="AC9" s="389">
        <f t="shared" si="4"/>
        <v>0</v>
      </c>
      <c r="AD9" s="390">
        <f t="shared" si="5"/>
        <v>0</v>
      </c>
      <c r="AF9" s="35"/>
      <c r="AG9" s="27"/>
    </row>
    <row r="10" spans="1:33" ht="13" x14ac:dyDescent="0.3">
      <c r="A10" s="272"/>
      <c r="B10" s="273" t="s">
        <v>408</v>
      </c>
      <c r="C10" s="273"/>
      <c r="D10" s="28"/>
      <c r="E10" s="28"/>
      <c r="F10" s="28"/>
      <c r="G10" s="28"/>
      <c r="H10" s="28"/>
      <c r="I10" s="28"/>
      <c r="J10" s="28"/>
      <c r="K10" s="28"/>
      <c r="L10" s="28"/>
      <c r="M10" s="28"/>
      <c r="N10" s="428">
        <f t="shared" si="6"/>
        <v>0</v>
      </c>
      <c r="O10" s="428">
        <f t="shared" si="6"/>
        <v>0</v>
      </c>
      <c r="P10" s="428">
        <f t="shared" si="6"/>
        <v>0</v>
      </c>
      <c r="Q10" s="428">
        <f t="shared" si="6"/>
        <v>0</v>
      </c>
      <c r="R10" s="429">
        <f t="shared" si="6"/>
        <v>0</v>
      </c>
      <c r="T10" s="31"/>
      <c r="U10" s="28"/>
      <c r="V10" s="28"/>
      <c r="W10" s="28"/>
      <c r="X10" s="28"/>
      <c r="Y10" s="28"/>
      <c r="Z10" s="28"/>
      <c r="AA10" s="32"/>
      <c r="AB10" s="368"/>
      <c r="AC10" s="389">
        <f t="shared" si="4"/>
        <v>0</v>
      </c>
      <c r="AD10" s="390">
        <f t="shared" si="5"/>
        <v>0</v>
      </c>
      <c r="AF10" s="38"/>
      <c r="AG10" s="27"/>
    </row>
    <row r="11" spans="1:33" ht="13" x14ac:dyDescent="0.3">
      <c r="A11" s="272"/>
      <c r="B11" s="273" t="s">
        <v>409</v>
      </c>
      <c r="C11" s="273"/>
      <c r="D11" s="28"/>
      <c r="E11" s="28"/>
      <c r="F11" s="28"/>
      <c r="G11" s="28"/>
      <c r="H11" s="28"/>
      <c r="I11" s="28"/>
      <c r="J11" s="28"/>
      <c r="K11" s="28"/>
      <c r="L11" s="28"/>
      <c r="M11" s="39"/>
      <c r="N11" s="40"/>
      <c r="O11" s="40"/>
      <c r="P11" s="40"/>
      <c r="Q11" s="40"/>
      <c r="R11" s="41"/>
      <c r="T11" s="31"/>
      <c r="U11" s="28"/>
      <c r="V11" s="28"/>
      <c r="W11" s="28"/>
      <c r="X11" s="28"/>
      <c r="Y11" s="28"/>
      <c r="Z11" s="28"/>
      <c r="AA11" s="32"/>
      <c r="AB11" s="368"/>
      <c r="AC11" s="389">
        <f t="shared" si="4"/>
        <v>0</v>
      </c>
      <c r="AD11" s="390">
        <f t="shared" si="5"/>
        <v>0</v>
      </c>
      <c r="AF11" s="38"/>
      <c r="AG11" s="27"/>
    </row>
    <row r="12" spans="1:33" ht="13" x14ac:dyDescent="0.3">
      <c r="A12" s="272"/>
      <c r="B12" s="273" t="s">
        <v>410</v>
      </c>
      <c r="C12" s="273"/>
      <c r="D12" s="28"/>
      <c r="E12" s="28"/>
      <c r="F12" s="28"/>
      <c r="G12" s="28"/>
      <c r="H12" s="28"/>
      <c r="I12" s="28"/>
      <c r="J12" s="28"/>
      <c r="K12" s="28"/>
      <c r="L12" s="28"/>
      <c r="M12" s="28"/>
      <c r="N12" s="422">
        <f>IF(N230="",SUM(N5:N10)*-N205,N230)</f>
        <v>0</v>
      </c>
      <c r="O12" s="422">
        <f>IF(O230="",SUM(O5:O10)*-O205,O230)</f>
        <v>0</v>
      </c>
      <c r="P12" s="422">
        <f>IF(P230="",SUM(P5:P10)*-P205,P230)</f>
        <v>0</v>
      </c>
      <c r="Q12" s="422">
        <f>IF(Q230="",SUM(Q5:Q10)*-Q205,Q230)</f>
        <v>0</v>
      </c>
      <c r="R12" s="423">
        <f>IF(R230="",SUM(R5:R10)*-R205,R230)</f>
        <v>0</v>
      </c>
      <c r="T12" s="31"/>
      <c r="U12" s="28"/>
      <c r="V12" s="28"/>
      <c r="W12" s="28"/>
      <c r="X12" s="28"/>
      <c r="Y12" s="28"/>
      <c r="Z12" s="28"/>
      <c r="AA12" s="32"/>
      <c r="AB12" s="368"/>
      <c r="AC12" s="389">
        <f t="shared" si="4"/>
        <v>0</v>
      </c>
      <c r="AD12" s="533">
        <f t="shared" si="5"/>
        <v>0</v>
      </c>
      <c r="AF12" s="38"/>
      <c r="AG12" s="27"/>
    </row>
    <row r="13" spans="1:33" x14ac:dyDescent="0.25">
      <c r="A13" s="272"/>
      <c r="B13" s="273" t="s">
        <v>411</v>
      </c>
      <c r="C13" s="273"/>
      <c r="D13" s="28"/>
      <c r="E13" s="28"/>
      <c r="F13" s="28"/>
      <c r="G13" s="28"/>
      <c r="H13" s="28"/>
      <c r="I13" s="28"/>
      <c r="J13" s="28"/>
      <c r="K13" s="28"/>
      <c r="L13" s="28"/>
      <c r="M13" s="28"/>
      <c r="N13" s="405">
        <f>IF(N231="",SUM(N5:N10)*-N206,N231)</f>
        <v>0</v>
      </c>
      <c r="O13" s="405">
        <f>IF(O231="",SUM(O5:O10)*-O206,O231)</f>
        <v>0</v>
      </c>
      <c r="P13" s="405">
        <f>IF(P231="",SUM(P5:P10)*-P206,P231)</f>
        <v>0</v>
      </c>
      <c r="Q13" s="405">
        <f>IF(Q231="",SUM(Q5:Q10)*-Q206,Q231)</f>
        <v>0</v>
      </c>
      <c r="R13" s="390">
        <f>IF(R231="",SUM(R5:R10)*-R206,R231)</f>
        <v>0</v>
      </c>
      <c r="T13" s="31"/>
      <c r="U13" s="28"/>
      <c r="V13" s="28"/>
      <c r="W13" s="28"/>
      <c r="X13" s="28"/>
      <c r="Y13" s="28"/>
      <c r="Z13" s="28"/>
      <c r="AA13" s="32"/>
      <c r="AB13" s="368"/>
      <c r="AC13" s="389">
        <f t="shared" si="4"/>
        <v>0</v>
      </c>
      <c r="AD13" s="390">
        <f t="shared" si="5"/>
        <v>0</v>
      </c>
      <c r="AF13" s="43"/>
    </row>
    <row r="14" spans="1:33" x14ac:dyDescent="0.25">
      <c r="A14" s="272"/>
      <c r="B14" s="273" t="s">
        <v>412</v>
      </c>
      <c r="C14" s="273"/>
      <c r="D14" s="28"/>
      <c r="E14" s="28"/>
      <c r="F14" s="28"/>
      <c r="G14" s="28"/>
      <c r="H14" s="28"/>
      <c r="I14" s="28"/>
      <c r="J14" s="28"/>
      <c r="K14" s="28"/>
      <c r="L14" s="28"/>
      <c r="M14" s="28"/>
      <c r="N14" s="405">
        <f>IF(N232="",SUM(N5:N10)*-N207,N232)</f>
        <v>0</v>
      </c>
      <c r="O14" s="405">
        <f>IF(O232="",SUM(O5:O10)*-O207,O232)</f>
        <v>0</v>
      </c>
      <c r="P14" s="405">
        <f>IF(P232="",SUM(P5:P10)*-P207,P232)</f>
        <v>0</v>
      </c>
      <c r="Q14" s="405">
        <f>IF(Q232="",SUM(Q5:Q10)*-Q207,Q232)</f>
        <v>0</v>
      </c>
      <c r="R14" s="390">
        <f>IF(R232="",SUM(R5:R10)*-R207,R232)</f>
        <v>0</v>
      </c>
      <c r="T14" s="31"/>
      <c r="U14" s="28"/>
      <c r="V14" s="28"/>
      <c r="W14" s="28"/>
      <c r="X14" s="28"/>
      <c r="Y14" s="28"/>
      <c r="Z14" s="28"/>
      <c r="AA14" s="32"/>
      <c r="AB14" s="368"/>
      <c r="AC14" s="389">
        <f t="shared" si="4"/>
        <v>0</v>
      </c>
      <c r="AD14" s="390">
        <f t="shared" si="5"/>
        <v>0</v>
      </c>
      <c r="AF14" s="44"/>
    </row>
    <row r="15" spans="1:33" x14ac:dyDescent="0.25">
      <c r="A15" s="272"/>
      <c r="B15" s="273" t="s">
        <v>413</v>
      </c>
      <c r="C15" s="273"/>
      <c r="D15" s="28"/>
      <c r="E15" s="28"/>
      <c r="F15" s="28"/>
      <c r="G15" s="28"/>
      <c r="H15" s="28"/>
      <c r="I15" s="28"/>
      <c r="J15" s="28"/>
      <c r="K15" s="28"/>
      <c r="L15" s="28"/>
      <c r="M15" s="28"/>
      <c r="N15" s="405">
        <f>IF(N233="",SUM(N5:N10)*-N208,N233)</f>
        <v>0</v>
      </c>
      <c r="O15" s="405">
        <f>IF(O233="",SUM(O5:O10)*-O208,O233)</f>
        <v>0</v>
      </c>
      <c r="P15" s="405">
        <f>IF(P233="",SUM(P5:P10)*-P208,P233)</f>
        <v>0</v>
      </c>
      <c r="Q15" s="405">
        <f>IF(Q233="",SUM(Q5:Q10)*-Q208,Q233)</f>
        <v>0</v>
      </c>
      <c r="R15" s="390">
        <f>IF(R233="",SUM(R5:R10)*-R208,R233)</f>
        <v>0</v>
      </c>
      <c r="T15" s="31"/>
      <c r="U15" s="28"/>
      <c r="V15" s="28"/>
      <c r="W15" s="28"/>
      <c r="X15" s="28"/>
      <c r="Y15" s="28"/>
      <c r="Z15" s="28"/>
      <c r="AA15" s="32"/>
      <c r="AB15" s="368"/>
      <c r="AC15" s="389">
        <f t="shared" si="4"/>
        <v>0</v>
      </c>
      <c r="AD15" s="390">
        <f t="shared" si="5"/>
        <v>0</v>
      </c>
      <c r="AF15" s="44"/>
    </row>
    <row r="16" spans="1:33" x14ac:dyDescent="0.25">
      <c r="A16" s="272"/>
      <c r="B16" s="273" t="s">
        <v>414</v>
      </c>
      <c r="C16" s="273"/>
      <c r="D16" s="28"/>
      <c r="E16" s="28"/>
      <c r="F16" s="28"/>
      <c r="G16" s="28"/>
      <c r="H16" s="28"/>
      <c r="I16" s="28"/>
      <c r="J16" s="28"/>
      <c r="K16" s="28"/>
      <c r="L16" s="28"/>
      <c r="M16" s="28"/>
      <c r="N16" s="28">
        <v>0</v>
      </c>
      <c r="O16" s="28">
        <v>0</v>
      </c>
      <c r="P16" s="28">
        <v>0</v>
      </c>
      <c r="Q16" s="28">
        <v>0</v>
      </c>
      <c r="R16" s="32">
        <v>0</v>
      </c>
      <c r="T16" s="31"/>
      <c r="U16" s="28"/>
      <c r="V16" s="28"/>
      <c r="W16" s="28"/>
      <c r="X16" s="28"/>
      <c r="Y16" s="28">
        <v>0</v>
      </c>
      <c r="Z16" s="28"/>
      <c r="AA16" s="32"/>
      <c r="AB16" s="368"/>
      <c r="AC16" s="389">
        <f t="shared" si="4"/>
        <v>0</v>
      </c>
      <c r="AD16" s="390">
        <f t="shared" si="5"/>
        <v>0</v>
      </c>
      <c r="AF16" s="44"/>
    </row>
    <row r="17" spans="1:32" ht="13" x14ac:dyDescent="0.3">
      <c r="A17" s="274" t="s">
        <v>415</v>
      </c>
      <c r="B17" s="275"/>
      <c r="C17" s="275"/>
      <c r="D17" s="362">
        <f t="shared" ref="D17:F17" si="7">SUM(D5:D16)</f>
        <v>0</v>
      </c>
      <c r="E17" s="362">
        <f t="shared" si="7"/>
        <v>0</v>
      </c>
      <c r="F17" s="362">
        <f t="shared" si="7"/>
        <v>0</v>
      </c>
      <c r="G17" s="362">
        <f t="shared" ref="G17:I17" si="8">SUM(G5:G16)</f>
        <v>0</v>
      </c>
      <c r="H17" s="362">
        <f t="shared" si="8"/>
        <v>0</v>
      </c>
      <c r="I17" s="362">
        <f t="shared" si="8"/>
        <v>0</v>
      </c>
      <c r="J17" s="362">
        <f>SUM(J5:J16)</f>
        <v>0</v>
      </c>
      <c r="K17" s="362">
        <f t="shared" ref="K17:AA17" si="9">SUM(K5:K16)</f>
        <v>0</v>
      </c>
      <c r="L17" s="362">
        <f t="shared" si="9"/>
        <v>0</v>
      </c>
      <c r="M17" s="362">
        <f t="shared" si="9"/>
        <v>0</v>
      </c>
      <c r="N17" s="362">
        <f t="shared" si="9"/>
        <v>0</v>
      </c>
      <c r="O17" s="362">
        <f t="shared" si="9"/>
        <v>0</v>
      </c>
      <c r="P17" s="362">
        <f t="shared" ref="P17:R17" si="10">SUM(P5:P16)</f>
        <v>0</v>
      </c>
      <c r="Q17" s="362">
        <f t="shared" si="10"/>
        <v>0</v>
      </c>
      <c r="R17" s="363">
        <f t="shared" si="10"/>
        <v>0</v>
      </c>
      <c r="S17" s="357"/>
      <c r="T17" s="364">
        <f t="shared" ref="T17:V17" si="11">SUM(T5:T16)</f>
        <v>0</v>
      </c>
      <c r="U17" s="362">
        <f t="shared" si="11"/>
        <v>0</v>
      </c>
      <c r="V17" s="362">
        <f t="shared" si="11"/>
        <v>0</v>
      </c>
      <c r="W17" s="362">
        <f t="shared" si="9"/>
        <v>0</v>
      </c>
      <c r="X17" s="362">
        <f t="shared" si="9"/>
        <v>0</v>
      </c>
      <c r="Y17" s="362">
        <f t="shared" si="9"/>
        <v>0</v>
      </c>
      <c r="Z17" s="362">
        <f t="shared" si="9"/>
        <v>0</v>
      </c>
      <c r="AA17" s="363">
        <f t="shared" si="9"/>
        <v>0</v>
      </c>
      <c r="AB17" s="365"/>
      <c r="AC17" s="364">
        <f t="shared" si="4"/>
        <v>0</v>
      </c>
      <c r="AD17" s="363">
        <f t="shared" si="5"/>
        <v>0</v>
      </c>
      <c r="AE17" s="46"/>
      <c r="AF17" s="44"/>
    </row>
    <row r="18" spans="1:32" x14ac:dyDescent="0.25">
      <c r="A18" s="272"/>
      <c r="B18" s="273"/>
      <c r="C18" s="273"/>
      <c r="D18" s="29"/>
      <c r="E18" s="29"/>
      <c r="F18" s="29"/>
      <c r="G18" s="29"/>
      <c r="H18" s="29"/>
      <c r="I18" s="29"/>
      <c r="J18" s="29"/>
      <c r="K18" s="29"/>
      <c r="L18" s="29"/>
      <c r="M18" s="29"/>
      <c r="N18" s="29"/>
      <c r="O18" s="29"/>
      <c r="P18" s="29"/>
      <c r="Q18" s="29"/>
      <c r="R18" s="30"/>
      <c r="T18" s="33"/>
      <c r="U18" s="29"/>
      <c r="V18" s="29"/>
      <c r="W18" s="29"/>
      <c r="X18" s="29"/>
      <c r="Y18" s="29"/>
      <c r="Z18" s="29"/>
      <c r="AA18" s="30"/>
      <c r="AB18" s="368"/>
      <c r="AC18" s="389"/>
      <c r="AD18" s="390"/>
      <c r="AF18" s="44"/>
    </row>
    <row r="19" spans="1:32" x14ac:dyDescent="0.25">
      <c r="A19" s="272"/>
      <c r="B19" s="273" t="s">
        <v>416</v>
      </c>
      <c r="C19" s="273"/>
      <c r="D19" s="28"/>
      <c r="E19" s="28"/>
      <c r="F19" s="28"/>
      <c r="G19" s="28"/>
      <c r="H19" s="28"/>
      <c r="I19" s="28"/>
      <c r="J19" s="28"/>
      <c r="K19" s="28"/>
      <c r="L19" s="28"/>
      <c r="M19" s="28"/>
      <c r="N19" s="405">
        <f>IF(N224="",M19*(1+N198),N224)</f>
        <v>0</v>
      </c>
      <c r="O19" s="405">
        <f>IF(O224="",N19*(1+O198),O224)</f>
        <v>0</v>
      </c>
      <c r="P19" s="405">
        <f>IF(P224="",O19*(1+P198),P224)</f>
        <v>0</v>
      </c>
      <c r="Q19" s="405">
        <f>IF(Q224="",P19*(1+Q198),Q224)</f>
        <v>0</v>
      </c>
      <c r="R19" s="390">
        <f>IF(R224="",Q19*(1+R198),R224)</f>
        <v>0</v>
      </c>
      <c r="T19" s="31"/>
      <c r="U19" s="28"/>
      <c r="V19" s="28"/>
      <c r="W19" s="28"/>
      <c r="X19" s="28"/>
      <c r="Y19" s="28"/>
      <c r="Z19" s="28"/>
      <c r="AA19" s="32"/>
      <c r="AB19" s="368"/>
      <c r="AC19" s="389">
        <f t="shared" si="4"/>
        <v>0</v>
      </c>
      <c r="AD19" s="390">
        <f t="shared" si="5"/>
        <v>0</v>
      </c>
      <c r="AF19" s="44"/>
    </row>
    <row r="20" spans="1:32" x14ac:dyDescent="0.25">
      <c r="A20" s="272"/>
      <c r="B20" s="273" t="s">
        <v>417</v>
      </c>
      <c r="C20" s="273"/>
      <c r="D20" s="28"/>
      <c r="E20" s="28"/>
      <c r="F20" s="28"/>
      <c r="G20" s="28"/>
      <c r="H20" s="28"/>
      <c r="I20" s="28"/>
      <c r="J20" s="28"/>
      <c r="K20" s="28"/>
      <c r="L20" s="28"/>
      <c r="M20" s="28"/>
      <c r="N20" s="405">
        <f>IF(N234="",N19*-N209,N234)</f>
        <v>0</v>
      </c>
      <c r="O20" s="405">
        <f>IF(O234="",O19*-O209,O234)</f>
        <v>0</v>
      </c>
      <c r="P20" s="405">
        <f>IF(P234="",P19*-P209,P234)</f>
        <v>0</v>
      </c>
      <c r="Q20" s="405">
        <f>IF(Q234="",Q19*-Q209,Q234)</f>
        <v>0</v>
      </c>
      <c r="R20" s="390">
        <f>IF(R234="",R19*-R209,R234)</f>
        <v>0</v>
      </c>
      <c r="T20" s="31"/>
      <c r="U20" s="28"/>
      <c r="V20" s="28"/>
      <c r="W20" s="28"/>
      <c r="X20" s="28"/>
      <c r="Y20" s="28"/>
      <c r="Z20" s="28"/>
      <c r="AA20" s="32"/>
      <c r="AB20" s="368"/>
      <c r="AC20" s="389">
        <f t="shared" si="4"/>
        <v>0</v>
      </c>
      <c r="AD20" s="390">
        <f t="shared" si="5"/>
        <v>0</v>
      </c>
      <c r="AF20" s="44"/>
    </row>
    <row r="21" spans="1:32" s="50" customFormat="1" x14ac:dyDescent="0.25">
      <c r="A21" s="276"/>
      <c r="B21" s="47" t="s">
        <v>418</v>
      </c>
      <c r="C21" s="47"/>
      <c r="D21" s="48">
        <f t="shared" ref="D21:F21" si="12">SUM(D19:D20)</f>
        <v>0</v>
      </c>
      <c r="E21" s="48">
        <f t="shared" si="12"/>
        <v>0</v>
      </c>
      <c r="F21" s="48">
        <f t="shared" si="12"/>
        <v>0</v>
      </c>
      <c r="G21" s="48">
        <f t="shared" ref="G21:I21" si="13">SUM(G19:G20)</f>
        <v>0</v>
      </c>
      <c r="H21" s="48">
        <f t="shared" si="13"/>
        <v>0</v>
      </c>
      <c r="I21" s="48">
        <f t="shared" si="13"/>
        <v>0</v>
      </c>
      <c r="J21" s="48">
        <f>SUM(J19:J20)</f>
        <v>0</v>
      </c>
      <c r="K21" s="48">
        <f t="shared" ref="K21:AA21" si="14">SUM(K19:K20)</f>
        <v>0</v>
      </c>
      <c r="L21" s="48">
        <f t="shared" si="14"/>
        <v>0</v>
      </c>
      <c r="M21" s="48">
        <f t="shared" si="14"/>
        <v>0</v>
      </c>
      <c r="N21" s="48">
        <f t="shared" si="14"/>
        <v>0</v>
      </c>
      <c r="O21" s="48">
        <f t="shared" si="14"/>
        <v>0</v>
      </c>
      <c r="P21" s="48">
        <f t="shared" ref="P21:R21" si="15">SUM(P19:P20)</f>
        <v>0</v>
      </c>
      <c r="Q21" s="48">
        <f t="shared" si="15"/>
        <v>0</v>
      </c>
      <c r="R21" s="249">
        <f t="shared" si="15"/>
        <v>0</v>
      </c>
      <c r="T21" s="51">
        <f t="shared" ref="T21:V21" si="16">SUM(T19:T20)</f>
        <v>0</v>
      </c>
      <c r="U21" s="48">
        <f t="shared" si="16"/>
        <v>0</v>
      </c>
      <c r="V21" s="48">
        <f t="shared" si="16"/>
        <v>0</v>
      </c>
      <c r="W21" s="48">
        <f t="shared" si="14"/>
        <v>0</v>
      </c>
      <c r="X21" s="48">
        <f t="shared" si="14"/>
        <v>0</v>
      </c>
      <c r="Y21" s="48">
        <f t="shared" si="14"/>
        <v>0</v>
      </c>
      <c r="Z21" s="48">
        <f t="shared" si="14"/>
        <v>0</v>
      </c>
      <c r="AA21" s="49">
        <f t="shared" si="14"/>
        <v>0</v>
      </c>
      <c r="AB21" s="52"/>
      <c r="AC21" s="51">
        <f t="shared" si="4"/>
        <v>0</v>
      </c>
      <c r="AD21" s="49">
        <f t="shared" si="5"/>
        <v>0</v>
      </c>
      <c r="AF21" s="44"/>
    </row>
    <row r="22" spans="1:32" x14ac:dyDescent="0.25">
      <c r="A22" s="272"/>
      <c r="B22" s="273" t="s">
        <v>419</v>
      </c>
      <c r="C22" s="273"/>
      <c r="D22" s="28"/>
      <c r="E22" s="28"/>
      <c r="F22" s="28"/>
      <c r="G22" s="28"/>
      <c r="H22" s="28"/>
      <c r="I22" s="28"/>
      <c r="J22" s="28"/>
      <c r="K22" s="28"/>
      <c r="L22" s="28"/>
      <c r="M22" s="28"/>
      <c r="N22" s="405">
        <f>IF(N225="",M22*(1+N199),N225)</f>
        <v>0</v>
      </c>
      <c r="O22" s="405">
        <f>IF(O225="",N22*(1+O199),O225)</f>
        <v>0</v>
      </c>
      <c r="P22" s="405">
        <f>IF(P225="",O22*(1+P199),P225)</f>
        <v>0</v>
      </c>
      <c r="Q22" s="405">
        <f>IF(Q225="",P22*(1+Q199),Q225)</f>
        <v>0</v>
      </c>
      <c r="R22" s="390">
        <f>IF(R225="",Q22*(1+R199),R225)</f>
        <v>0</v>
      </c>
      <c r="T22" s="31"/>
      <c r="U22" s="28"/>
      <c r="V22" s="28"/>
      <c r="W22" s="28"/>
      <c r="X22" s="28"/>
      <c r="Y22" s="28"/>
      <c r="Z22" s="28"/>
      <c r="AA22" s="32"/>
      <c r="AB22" s="368"/>
      <c r="AC22" s="389">
        <f t="shared" si="4"/>
        <v>0</v>
      </c>
      <c r="AD22" s="390">
        <f t="shared" si="5"/>
        <v>0</v>
      </c>
      <c r="AF22" s="44"/>
    </row>
    <row r="23" spans="1:32" x14ac:dyDescent="0.25">
      <c r="A23" s="272"/>
      <c r="B23" s="273" t="s">
        <v>420</v>
      </c>
      <c r="C23" s="273"/>
      <c r="D23" s="28"/>
      <c r="E23" s="28"/>
      <c r="F23" s="28"/>
      <c r="G23" s="28"/>
      <c r="H23" s="28"/>
      <c r="I23" s="28"/>
      <c r="J23" s="28"/>
      <c r="K23" s="28"/>
      <c r="L23" s="28"/>
      <c r="M23" s="28"/>
      <c r="N23" s="405">
        <f>IF(N235="",N22*-N210,N235)</f>
        <v>0</v>
      </c>
      <c r="O23" s="405">
        <f>IF(O235="",O22*-O210,O235)</f>
        <v>0</v>
      </c>
      <c r="P23" s="405">
        <f>IF(P235="",P22*-P210,P235)</f>
        <v>0</v>
      </c>
      <c r="Q23" s="405">
        <f>IF(Q235="",Q22*-Q210,Q235)</f>
        <v>0</v>
      </c>
      <c r="R23" s="390">
        <f>IF(R235="",R22*-R210,R235)</f>
        <v>0</v>
      </c>
      <c r="T23" s="31"/>
      <c r="U23" s="28"/>
      <c r="V23" s="28"/>
      <c r="W23" s="28"/>
      <c r="X23" s="28"/>
      <c r="Y23" s="28"/>
      <c r="Z23" s="28"/>
      <c r="AA23" s="32"/>
      <c r="AB23" s="368"/>
      <c r="AC23" s="389">
        <f t="shared" si="4"/>
        <v>0</v>
      </c>
      <c r="AD23" s="390">
        <f t="shared" si="5"/>
        <v>0</v>
      </c>
      <c r="AF23" s="44"/>
    </row>
    <row r="24" spans="1:32" s="50" customFormat="1" x14ac:dyDescent="0.25">
      <c r="A24" s="276"/>
      <c r="B24" s="47" t="s">
        <v>421</v>
      </c>
      <c r="C24" s="47"/>
      <c r="D24" s="48">
        <f t="shared" ref="D24:F24" si="17">SUM(D22:D23)</f>
        <v>0</v>
      </c>
      <c r="E24" s="48">
        <f t="shared" si="17"/>
        <v>0</v>
      </c>
      <c r="F24" s="48">
        <f t="shared" si="17"/>
        <v>0</v>
      </c>
      <c r="G24" s="48">
        <f t="shared" ref="G24:I24" si="18">SUM(G22:G23)</f>
        <v>0</v>
      </c>
      <c r="H24" s="48">
        <f t="shared" si="18"/>
        <v>0</v>
      </c>
      <c r="I24" s="48">
        <f t="shared" si="18"/>
        <v>0</v>
      </c>
      <c r="J24" s="48">
        <f>SUM(J22:J23)</f>
        <v>0</v>
      </c>
      <c r="K24" s="48">
        <f t="shared" ref="K24:M24" si="19">SUM(K22:K23)</f>
        <v>0</v>
      </c>
      <c r="L24" s="48">
        <f t="shared" si="19"/>
        <v>0</v>
      </c>
      <c r="M24" s="48">
        <f t="shared" si="19"/>
        <v>0</v>
      </c>
      <c r="N24" s="48">
        <f t="shared" ref="N24:O24" si="20">SUM(N22:N23)</f>
        <v>0</v>
      </c>
      <c r="O24" s="48">
        <f t="shared" si="20"/>
        <v>0</v>
      </c>
      <c r="P24" s="48">
        <f t="shared" ref="P24:R24" si="21">SUM(P22:P23)</f>
        <v>0</v>
      </c>
      <c r="Q24" s="48">
        <f t="shared" si="21"/>
        <v>0</v>
      </c>
      <c r="R24" s="49">
        <f t="shared" si="21"/>
        <v>0</v>
      </c>
      <c r="T24" s="51">
        <f t="shared" ref="T24:AA24" si="22">SUM(T22:T23)</f>
        <v>0</v>
      </c>
      <c r="U24" s="48">
        <f t="shared" si="22"/>
        <v>0</v>
      </c>
      <c r="V24" s="48">
        <f t="shared" si="22"/>
        <v>0</v>
      </c>
      <c r="W24" s="48">
        <f t="shared" si="22"/>
        <v>0</v>
      </c>
      <c r="X24" s="48">
        <f t="shared" si="22"/>
        <v>0</v>
      </c>
      <c r="Y24" s="48">
        <f t="shared" si="22"/>
        <v>0</v>
      </c>
      <c r="Z24" s="48">
        <f t="shared" si="22"/>
        <v>0</v>
      </c>
      <c r="AA24" s="49">
        <f t="shared" si="22"/>
        <v>0</v>
      </c>
      <c r="AB24" s="52"/>
      <c r="AC24" s="51">
        <f t="shared" si="4"/>
        <v>0</v>
      </c>
      <c r="AD24" s="49">
        <f t="shared" si="5"/>
        <v>0</v>
      </c>
      <c r="AF24" s="44"/>
    </row>
    <row r="25" spans="1:32" x14ac:dyDescent="0.25">
      <c r="A25" s="272"/>
      <c r="B25" s="273" t="s">
        <v>422</v>
      </c>
      <c r="C25" s="273"/>
      <c r="D25" s="28"/>
      <c r="E25" s="28"/>
      <c r="F25" s="28"/>
      <c r="G25" s="28"/>
      <c r="H25" s="28"/>
      <c r="I25" s="28"/>
      <c r="J25" s="28"/>
      <c r="K25" s="28"/>
      <c r="L25" s="28"/>
      <c r="M25" s="28"/>
      <c r="N25" s="29"/>
      <c r="O25" s="29"/>
      <c r="P25" s="29"/>
      <c r="Q25" s="29"/>
      <c r="R25" s="30"/>
      <c r="T25" s="31"/>
      <c r="U25" s="28"/>
      <c r="V25" s="28"/>
      <c r="W25" s="28"/>
      <c r="X25" s="28"/>
      <c r="Y25" s="28"/>
      <c r="Z25" s="28"/>
      <c r="AA25" s="32"/>
      <c r="AB25" s="368"/>
      <c r="AC25" s="389">
        <f t="shared" si="4"/>
        <v>0</v>
      </c>
      <c r="AD25" s="390">
        <f t="shared" si="5"/>
        <v>0</v>
      </c>
      <c r="AF25" s="44"/>
    </row>
    <row r="26" spans="1:32" x14ac:dyDescent="0.25">
      <c r="A26" s="272"/>
      <c r="B26" s="273" t="s">
        <v>423</v>
      </c>
      <c r="C26" s="273"/>
      <c r="D26" s="28"/>
      <c r="E26" s="28"/>
      <c r="F26" s="28"/>
      <c r="G26" s="28"/>
      <c r="H26" s="28"/>
      <c r="I26" s="28"/>
      <c r="J26" s="28"/>
      <c r="K26" s="28"/>
      <c r="L26" s="28"/>
      <c r="M26" s="28"/>
      <c r="N26" s="29"/>
      <c r="O26" s="29"/>
      <c r="P26" s="29"/>
      <c r="Q26" s="29"/>
      <c r="R26" s="30"/>
      <c r="T26" s="31"/>
      <c r="U26" s="28"/>
      <c r="V26" s="28"/>
      <c r="W26" s="28"/>
      <c r="X26" s="28"/>
      <c r="Y26" s="28"/>
      <c r="Z26" s="28"/>
      <c r="AA26" s="32"/>
      <c r="AB26" s="368"/>
      <c r="AC26" s="389">
        <f t="shared" si="4"/>
        <v>0</v>
      </c>
      <c r="AD26" s="390">
        <f t="shared" si="5"/>
        <v>0</v>
      </c>
      <c r="AF26" s="44"/>
    </row>
    <row r="27" spans="1:32" s="50" customFormat="1" x14ac:dyDescent="0.25">
      <c r="A27" s="276"/>
      <c r="B27" s="47" t="s">
        <v>424</v>
      </c>
      <c r="C27" s="47"/>
      <c r="D27" s="48">
        <f t="shared" ref="D27:F27" si="23">SUM(D25:D26)</f>
        <v>0</v>
      </c>
      <c r="E27" s="48">
        <f t="shared" si="23"/>
        <v>0</v>
      </c>
      <c r="F27" s="48">
        <f t="shared" si="23"/>
        <v>0</v>
      </c>
      <c r="G27" s="48">
        <f t="shared" ref="G27:I27" si="24">SUM(G25:G26)</f>
        <v>0</v>
      </c>
      <c r="H27" s="48">
        <f t="shared" si="24"/>
        <v>0</v>
      </c>
      <c r="I27" s="48">
        <f t="shared" si="24"/>
        <v>0</v>
      </c>
      <c r="J27" s="48">
        <f>SUM(J25:J26)</f>
        <v>0</v>
      </c>
      <c r="K27" s="48">
        <f t="shared" ref="K27:M27" si="25">SUM(K25:K26)</f>
        <v>0</v>
      </c>
      <c r="L27" s="48">
        <f t="shared" si="25"/>
        <v>0</v>
      </c>
      <c r="M27" s="48">
        <f t="shared" si="25"/>
        <v>0</v>
      </c>
      <c r="N27" s="48">
        <f>IF(N226="",M27*(1+N200),N226)</f>
        <v>0</v>
      </c>
      <c r="O27" s="48">
        <f>IF(O226="",N27*(1+O200),O226)</f>
        <v>0</v>
      </c>
      <c r="P27" s="48">
        <f>IF(P226="",O27*(1+P200),P226)</f>
        <v>0</v>
      </c>
      <c r="Q27" s="48">
        <f>IF(Q226="",P27*(1+Q200),Q226)</f>
        <v>0</v>
      </c>
      <c r="R27" s="49">
        <f>IF(R226="",Q27*(1+R200),R226)</f>
        <v>0</v>
      </c>
      <c r="T27" s="51">
        <f t="shared" ref="T27:V27" si="26">SUM(T25:T26)</f>
        <v>0</v>
      </c>
      <c r="U27" s="48">
        <f t="shared" si="26"/>
        <v>0</v>
      </c>
      <c r="V27" s="48">
        <f t="shared" si="26"/>
        <v>0</v>
      </c>
      <c r="W27" s="48">
        <f t="shared" ref="W27:AA27" si="27">SUM(W25:W26)</f>
        <v>0</v>
      </c>
      <c r="X27" s="48">
        <f t="shared" si="27"/>
        <v>0</v>
      </c>
      <c r="Y27" s="48">
        <f t="shared" si="27"/>
        <v>0</v>
      </c>
      <c r="Z27" s="48">
        <f t="shared" si="27"/>
        <v>0</v>
      </c>
      <c r="AA27" s="49">
        <f t="shared" si="27"/>
        <v>0</v>
      </c>
      <c r="AB27" s="52"/>
      <c r="AC27" s="51">
        <f t="shared" si="4"/>
        <v>0</v>
      </c>
      <c r="AD27" s="49">
        <f t="shared" si="5"/>
        <v>0</v>
      </c>
      <c r="AF27" s="44"/>
    </row>
    <row r="28" spans="1:32" x14ac:dyDescent="0.25">
      <c r="A28" s="272"/>
      <c r="B28" s="273" t="s">
        <v>425</v>
      </c>
      <c r="C28" s="273"/>
      <c r="D28" s="28"/>
      <c r="E28" s="28"/>
      <c r="F28" s="28"/>
      <c r="G28" s="28"/>
      <c r="H28" s="28"/>
      <c r="I28" s="28"/>
      <c r="J28" s="28"/>
      <c r="K28" s="28"/>
      <c r="L28" s="28"/>
      <c r="M28" s="28"/>
      <c r="N28" s="28">
        <v>0</v>
      </c>
      <c r="O28" s="28">
        <v>0</v>
      </c>
      <c r="P28" s="28">
        <v>0</v>
      </c>
      <c r="Q28" s="28">
        <v>0</v>
      </c>
      <c r="R28" s="32">
        <v>0</v>
      </c>
      <c r="T28" s="31"/>
      <c r="U28" s="28"/>
      <c r="V28" s="28"/>
      <c r="W28" s="28"/>
      <c r="X28" s="28"/>
      <c r="Y28" s="28"/>
      <c r="Z28" s="28"/>
      <c r="AA28" s="32"/>
      <c r="AB28" s="368"/>
      <c r="AC28" s="389">
        <f t="shared" si="4"/>
        <v>0</v>
      </c>
      <c r="AD28" s="390">
        <f t="shared" si="5"/>
        <v>0</v>
      </c>
      <c r="AF28" s="44"/>
    </row>
    <row r="29" spans="1:32" x14ac:dyDescent="0.25">
      <c r="A29" s="272"/>
      <c r="B29" s="273" t="s">
        <v>426</v>
      </c>
      <c r="C29" s="273"/>
      <c r="D29" s="28"/>
      <c r="E29" s="28"/>
      <c r="F29" s="28"/>
      <c r="G29" s="28"/>
      <c r="H29" s="28"/>
      <c r="I29" s="28"/>
      <c r="J29" s="28"/>
      <c r="K29" s="28"/>
      <c r="L29" s="28"/>
      <c r="M29" s="28"/>
      <c r="N29" s="405">
        <f>IF(N236="",SUM(N17,N21,N24,N27,N28)*-N211,N236)</f>
        <v>0</v>
      </c>
      <c r="O29" s="405">
        <f>IF(O236="",SUM(O17,O21,O24,O27,O28)*-O211,O236)</f>
        <v>0</v>
      </c>
      <c r="P29" s="405">
        <f>IF(P236="",SUM(P17,P21,P24,P27,P28)*-P211,P236)</f>
        <v>0</v>
      </c>
      <c r="Q29" s="405">
        <f>IF(Q236="",SUM(Q17,Q21,Q24,Q27,Q28)*-Q211,Q236)</f>
        <v>0</v>
      </c>
      <c r="R29" s="390">
        <f>IF(R236="",SUM(R17,R21,R24,R27,R28)*-R211,R236)</f>
        <v>0</v>
      </c>
      <c r="T29" s="31"/>
      <c r="U29" s="28"/>
      <c r="V29" s="28"/>
      <c r="W29" s="28"/>
      <c r="X29" s="28"/>
      <c r="Y29" s="28"/>
      <c r="Z29" s="28"/>
      <c r="AA29" s="32"/>
      <c r="AB29" s="368"/>
      <c r="AC29" s="389">
        <f t="shared" si="4"/>
        <v>0</v>
      </c>
      <c r="AD29" s="390">
        <f t="shared" si="5"/>
        <v>0</v>
      </c>
      <c r="AF29" s="44"/>
    </row>
    <row r="30" spans="1:32" ht="13" x14ac:dyDescent="0.3">
      <c r="A30" s="272"/>
      <c r="B30" s="277" t="s">
        <v>582</v>
      </c>
      <c r="C30" s="273"/>
      <c r="D30" s="28"/>
      <c r="E30" s="28"/>
      <c r="F30" s="28"/>
      <c r="G30" s="28"/>
      <c r="H30" s="28"/>
      <c r="I30" s="28"/>
      <c r="J30" s="28"/>
      <c r="K30" s="28"/>
      <c r="L30" s="28"/>
      <c r="M30" s="28"/>
      <c r="N30" s="405">
        <f>IF(N237="",SUM(N17,N21,N24,N27,N28,N29)*-N212,N237)</f>
        <v>0</v>
      </c>
      <c r="O30" s="405">
        <f>IF(O237="",SUM(O17,O21,O24,O27,O28,O29)*-O212,O237)</f>
        <v>0</v>
      </c>
      <c r="P30" s="405">
        <f>IF(P237="",SUM(P17,P21,P24,P27,P28,P29)*-P212,P237)</f>
        <v>0</v>
      </c>
      <c r="Q30" s="405">
        <f>IF(Q237="",SUM(Q17,Q21,Q24,Q27,Q28,Q29)*-Q212,Q237)</f>
        <v>0</v>
      </c>
      <c r="R30" s="390">
        <f>IF(R237="",SUM(R17,R21,R24,R27,R28,R29)*-R212,R237)</f>
        <v>0</v>
      </c>
      <c r="T30" s="31"/>
      <c r="U30" s="28"/>
      <c r="V30" s="28"/>
      <c r="W30" s="28"/>
      <c r="X30" s="28"/>
      <c r="Y30" s="28"/>
      <c r="Z30" s="28"/>
      <c r="AA30" s="32"/>
      <c r="AB30" s="368"/>
      <c r="AC30" s="389">
        <f t="shared" si="4"/>
        <v>0</v>
      </c>
      <c r="AD30" s="390">
        <f t="shared" si="5"/>
        <v>0</v>
      </c>
      <c r="AF30" s="44"/>
    </row>
    <row r="31" spans="1:32" ht="13" x14ac:dyDescent="0.3">
      <c r="A31" s="274" t="s">
        <v>428</v>
      </c>
      <c r="B31" s="275"/>
      <c r="C31" s="275"/>
      <c r="D31" s="362">
        <f>SUM(D27:D30,D24,D21,D17)</f>
        <v>0</v>
      </c>
      <c r="E31" s="362">
        <f t="shared" ref="E31:F31" si="28">SUM(E27:E30,E24,E21,E17)</f>
        <v>0</v>
      </c>
      <c r="F31" s="362">
        <f t="shared" si="28"/>
        <v>0</v>
      </c>
      <c r="G31" s="362">
        <f t="shared" ref="G31:O31" si="29">SUM(G27:G30,G24,G21,G17)</f>
        <v>0</v>
      </c>
      <c r="H31" s="362">
        <f t="shared" si="29"/>
        <v>0</v>
      </c>
      <c r="I31" s="362">
        <f t="shared" si="29"/>
        <v>0</v>
      </c>
      <c r="J31" s="362">
        <f t="shared" si="29"/>
        <v>0</v>
      </c>
      <c r="K31" s="362">
        <f t="shared" si="29"/>
        <v>0</v>
      </c>
      <c r="L31" s="362">
        <f t="shared" si="29"/>
        <v>0</v>
      </c>
      <c r="M31" s="362">
        <f t="shared" si="29"/>
        <v>0</v>
      </c>
      <c r="N31" s="362">
        <f t="shared" si="29"/>
        <v>0</v>
      </c>
      <c r="O31" s="362">
        <f t="shared" si="29"/>
        <v>0</v>
      </c>
      <c r="P31" s="362">
        <f t="shared" ref="P31:R31" si="30">SUM(P27:P30,P24,P21,P17)</f>
        <v>0</v>
      </c>
      <c r="Q31" s="362">
        <f t="shared" si="30"/>
        <v>0</v>
      </c>
      <c r="R31" s="363">
        <f t="shared" si="30"/>
        <v>0</v>
      </c>
      <c r="S31" s="357"/>
      <c r="T31" s="364">
        <f t="shared" ref="T31:AA31" si="31">SUM(T27:T30,T24,T21,T17)</f>
        <v>0</v>
      </c>
      <c r="U31" s="362">
        <f t="shared" si="31"/>
        <v>0</v>
      </c>
      <c r="V31" s="362">
        <f t="shared" si="31"/>
        <v>0</v>
      </c>
      <c r="W31" s="362">
        <f t="shared" si="31"/>
        <v>0</v>
      </c>
      <c r="X31" s="362">
        <f t="shared" si="31"/>
        <v>0</v>
      </c>
      <c r="Y31" s="362">
        <f t="shared" si="31"/>
        <v>0</v>
      </c>
      <c r="Z31" s="362">
        <f t="shared" si="31"/>
        <v>0</v>
      </c>
      <c r="AA31" s="363">
        <f t="shared" si="31"/>
        <v>0</v>
      </c>
      <c r="AB31" s="365"/>
      <c r="AC31" s="364">
        <f t="shared" si="4"/>
        <v>0</v>
      </c>
      <c r="AD31" s="363">
        <f t="shared" si="5"/>
        <v>0</v>
      </c>
      <c r="AF31" s="44"/>
    </row>
    <row r="32" spans="1:32" ht="13" x14ac:dyDescent="0.3">
      <c r="A32" s="272"/>
      <c r="B32" s="273" t="s">
        <v>429</v>
      </c>
      <c r="C32" s="273"/>
      <c r="D32" s="28"/>
      <c r="E32" s="28"/>
      <c r="F32" s="28"/>
      <c r="G32" s="28"/>
      <c r="H32" s="28"/>
      <c r="I32" s="28"/>
      <c r="J32" s="28"/>
      <c r="K32" s="28"/>
      <c r="L32" s="28"/>
      <c r="M32" s="28"/>
      <c r="N32" s="28"/>
      <c r="O32" s="28"/>
      <c r="P32" s="28"/>
      <c r="Q32" s="28"/>
      <c r="R32" s="32"/>
      <c r="T32" s="33"/>
      <c r="U32" s="29"/>
      <c r="V32" s="29"/>
      <c r="W32" s="29"/>
      <c r="X32" s="29"/>
      <c r="Y32" s="29"/>
      <c r="Z32" s="29"/>
      <c r="AA32" s="30"/>
      <c r="AB32" s="368"/>
      <c r="AC32" s="389">
        <f t="shared" si="4"/>
        <v>0</v>
      </c>
      <c r="AD32" s="390">
        <f t="shared" si="5"/>
        <v>0</v>
      </c>
      <c r="AF32" s="44"/>
    </row>
    <row r="33" spans="1:32" ht="13" x14ac:dyDescent="0.3">
      <c r="A33" s="274" t="s">
        <v>430</v>
      </c>
      <c r="B33" s="275"/>
      <c r="C33" s="275"/>
      <c r="D33" s="362">
        <f t="shared" ref="D33:F33" si="32">SUM(D31:D32)</f>
        <v>0</v>
      </c>
      <c r="E33" s="362">
        <f t="shared" si="32"/>
        <v>0</v>
      </c>
      <c r="F33" s="362">
        <f t="shared" si="32"/>
        <v>0</v>
      </c>
      <c r="G33" s="362">
        <f t="shared" ref="G33" si="33">SUM(G31:G32)</f>
        <v>0</v>
      </c>
      <c r="H33" s="362">
        <f>SUM(H31:H32)</f>
        <v>0</v>
      </c>
      <c r="I33" s="362">
        <f>SUM(I31:I32)</f>
        <v>0</v>
      </c>
      <c r="J33" s="362">
        <f t="shared" ref="J33:AA33" si="34">SUM(J31:J32)</f>
        <v>0</v>
      </c>
      <c r="K33" s="362">
        <f t="shared" si="34"/>
        <v>0</v>
      </c>
      <c r="L33" s="362">
        <f t="shared" si="34"/>
        <v>0</v>
      </c>
      <c r="M33" s="362">
        <f t="shared" si="34"/>
        <v>0</v>
      </c>
      <c r="N33" s="362">
        <f t="shared" si="34"/>
        <v>0</v>
      </c>
      <c r="O33" s="362">
        <f t="shared" si="34"/>
        <v>0</v>
      </c>
      <c r="P33" s="362">
        <f t="shared" ref="P33:R33" si="35">SUM(P31:P32)</f>
        <v>0</v>
      </c>
      <c r="Q33" s="362">
        <f t="shared" si="35"/>
        <v>0</v>
      </c>
      <c r="R33" s="363">
        <f t="shared" si="35"/>
        <v>0</v>
      </c>
      <c r="S33" s="357"/>
      <c r="T33" s="364">
        <f t="shared" ref="T33:V33" si="36">SUM(T31:T32)</f>
        <v>0</v>
      </c>
      <c r="U33" s="362">
        <f t="shared" si="36"/>
        <v>0</v>
      </c>
      <c r="V33" s="362">
        <f t="shared" si="36"/>
        <v>0</v>
      </c>
      <c r="W33" s="362">
        <f t="shared" si="34"/>
        <v>0</v>
      </c>
      <c r="X33" s="362">
        <f t="shared" si="34"/>
        <v>0</v>
      </c>
      <c r="Y33" s="362">
        <f t="shared" si="34"/>
        <v>0</v>
      </c>
      <c r="Z33" s="362">
        <f t="shared" si="34"/>
        <v>0</v>
      </c>
      <c r="AA33" s="363">
        <f t="shared" si="34"/>
        <v>0</v>
      </c>
      <c r="AB33" s="365"/>
      <c r="AC33" s="364">
        <f t="shared" si="4"/>
        <v>0</v>
      </c>
      <c r="AD33" s="363">
        <f t="shared" si="5"/>
        <v>0</v>
      </c>
      <c r="AF33" s="44"/>
    </row>
    <row r="34" spans="1:32" x14ac:dyDescent="0.25">
      <c r="A34" s="272"/>
      <c r="B34" s="277" t="s">
        <v>569</v>
      </c>
      <c r="C34" s="273"/>
      <c r="D34" s="246"/>
      <c r="E34" s="246"/>
      <c r="F34" s="246"/>
      <c r="G34" s="246"/>
      <c r="H34" s="246"/>
      <c r="I34" s="246"/>
      <c r="J34" s="246"/>
      <c r="K34" s="246"/>
      <c r="L34" s="246"/>
      <c r="M34" s="246"/>
      <c r="N34" s="28"/>
      <c r="O34" s="28"/>
      <c r="P34" s="28"/>
      <c r="Q34" s="28"/>
      <c r="R34" s="32"/>
      <c r="T34" s="33"/>
      <c r="U34" s="29"/>
      <c r="V34" s="29"/>
      <c r="W34" s="29"/>
      <c r="X34" s="29"/>
      <c r="Y34" s="29"/>
      <c r="Z34" s="29"/>
      <c r="AA34" s="30"/>
      <c r="AB34" s="368"/>
      <c r="AC34" s="389">
        <f t="shared" ref="AC34:AC37" si="37">IF($AD$2=1,SUM(X34),IF($AD$2=2, SUM(X34:Y34),IF($AD$2=3,SUM(X34:Z34),IF($AD$2=4,SUM(X34:AA34)))))</f>
        <v>0</v>
      </c>
      <c r="AD34" s="390">
        <f t="shared" ref="AD34:AD37" si="38">IF($AD$2=1,SUM(U34:X34),IF($AD$2=2,SUM(V34:Y34),IF($AD$2=3,SUM(W34:Z34),IF($AD$2=4,SUM(X34:AA34)))))</f>
        <v>0</v>
      </c>
      <c r="AF34" s="44"/>
    </row>
    <row r="35" spans="1:32" x14ac:dyDescent="0.25">
      <c r="A35" s="272"/>
      <c r="B35" s="277" t="s">
        <v>570</v>
      </c>
      <c r="C35" s="273"/>
      <c r="D35" s="246"/>
      <c r="E35" s="246"/>
      <c r="F35" s="246"/>
      <c r="G35" s="246"/>
      <c r="H35" s="246"/>
      <c r="I35" s="246"/>
      <c r="J35" s="246"/>
      <c r="K35" s="246"/>
      <c r="L35" s="246"/>
      <c r="M35" s="246"/>
      <c r="N35" s="28"/>
      <c r="O35" s="28"/>
      <c r="P35" s="28"/>
      <c r="Q35" s="28"/>
      <c r="R35" s="32"/>
      <c r="T35" s="31"/>
      <c r="U35" s="28"/>
      <c r="V35" s="28"/>
      <c r="W35" s="28"/>
      <c r="X35" s="28"/>
      <c r="Y35" s="28"/>
      <c r="Z35" s="28"/>
      <c r="AA35" s="32"/>
      <c r="AB35" s="368"/>
      <c r="AC35" s="389">
        <f t="shared" si="37"/>
        <v>0</v>
      </c>
      <c r="AD35" s="390">
        <f t="shared" si="38"/>
        <v>0</v>
      </c>
      <c r="AF35" s="44"/>
    </row>
    <row r="36" spans="1:32" x14ac:dyDescent="0.25">
      <c r="A36" s="272"/>
      <c r="B36" s="277" t="s">
        <v>571</v>
      </c>
      <c r="C36" s="273"/>
      <c r="D36" s="246"/>
      <c r="E36" s="246"/>
      <c r="F36" s="246"/>
      <c r="G36" s="246"/>
      <c r="H36" s="246"/>
      <c r="I36" s="246"/>
      <c r="J36" s="246"/>
      <c r="K36" s="246"/>
      <c r="L36" s="246"/>
      <c r="M36" s="246"/>
      <c r="N36" s="29"/>
      <c r="O36" s="29"/>
      <c r="P36" s="29"/>
      <c r="Q36" s="29"/>
      <c r="R36" s="30"/>
      <c r="T36" s="31"/>
      <c r="U36" s="28"/>
      <c r="V36" s="28"/>
      <c r="W36" s="28"/>
      <c r="X36" s="28"/>
      <c r="Y36" s="28"/>
      <c r="Z36" s="28"/>
      <c r="AA36" s="32"/>
      <c r="AB36" s="368"/>
      <c r="AC36" s="389">
        <f t="shared" si="37"/>
        <v>0</v>
      </c>
      <c r="AD36" s="390">
        <f t="shared" si="38"/>
        <v>0</v>
      </c>
      <c r="AF36" s="44"/>
    </row>
    <row r="37" spans="1:32" x14ac:dyDescent="0.25">
      <c r="A37" s="278"/>
      <c r="B37" s="279" t="s">
        <v>465</v>
      </c>
      <c r="C37" s="280"/>
      <c r="D37" s="247"/>
      <c r="E37" s="247"/>
      <c r="F37" s="247"/>
      <c r="G37" s="247"/>
      <c r="H37" s="247"/>
      <c r="I37" s="247"/>
      <c r="J37" s="247"/>
      <c r="K37" s="247"/>
      <c r="L37" s="247"/>
      <c r="M37" s="247"/>
      <c r="N37" s="29"/>
      <c r="O37" s="29"/>
      <c r="P37" s="29"/>
      <c r="Q37" s="29"/>
      <c r="R37" s="30"/>
      <c r="T37" s="237"/>
      <c r="U37" s="105"/>
      <c r="V37" s="105"/>
      <c r="W37" s="105"/>
      <c r="X37" s="105"/>
      <c r="Y37" s="105"/>
      <c r="Z37" s="105"/>
      <c r="AA37" s="70"/>
      <c r="AB37" s="369"/>
      <c r="AC37" s="391">
        <f t="shared" si="37"/>
        <v>0</v>
      </c>
      <c r="AD37" s="392">
        <f t="shared" si="38"/>
        <v>0</v>
      </c>
      <c r="AF37" s="44"/>
    </row>
    <row r="38" spans="1:32" ht="13" x14ac:dyDescent="0.3">
      <c r="A38" s="274" t="s">
        <v>568</v>
      </c>
      <c r="B38" s="275"/>
      <c r="C38" s="275"/>
      <c r="D38" s="362">
        <f>SUM(D33:D37)</f>
        <v>0</v>
      </c>
      <c r="E38" s="362">
        <f t="shared" ref="E38:M38" si="39">SUM(E33:E37)</f>
        <v>0</v>
      </c>
      <c r="F38" s="362">
        <f t="shared" si="39"/>
        <v>0</v>
      </c>
      <c r="G38" s="362">
        <f t="shared" si="39"/>
        <v>0</v>
      </c>
      <c r="H38" s="362">
        <f t="shared" si="39"/>
        <v>0</v>
      </c>
      <c r="I38" s="362">
        <f t="shared" si="39"/>
        <v>0</v>
      </c>
      <c r="J38" s="362">
        <f t="shared" si="39"/>
        <v>0</v>
      </c>
      <c r="K38" s="362">
        <f t="shared" si="39"/>
        <v>0</v>
      </c>
      <c r="L38" s="362">
        <f t="shared" si="39"/>
        <v>0</v>
      </c>
      <c r="M38" s="384">
        <f t="shared" si="39"/>
        <v>0</v>
      </c>
      <c r="N38" s="29"/>
      <c r="O38" s="29"/>
      <c r="P38" s="29"/>
      <c r="Q38" s="29"/>
      <c r="R38" s="30"/>
      <c r="T38" s="364">
        <f t="shared" ref="T38" si="40">SUM(T33:T37)</f>
        <v>0</v>
      </c>
      <c r="U38" s="362">
        <f t="shared" ref="U38" si="41">SUM(U33:U37)</f>
        <v>0</v>
      </c>
      <c r="V38" s="362">
        <f t="shared" ref="V38" si="42">SUM(V33:V37)</f>
        <v>0</v>
      </c>
      <c r="W38" s="362">
        <f t="shared" ref="W38" si="43">SUM(W33:W37)</f>
        <v>0</v>
      </c>
      <c r="X38" s="362">
        <f t="shared" ref="X38" si="44">SUM(X33:X37)</f>
        <v>0</v>
      </c>
      <c r="Y38" s="362">
        <f t="shared" ref="Y38" si="45">SUM(Y33:Y37)</f>
        <v>0</v>
      </c>
      <c r="Z38" s="362">
        <f t="shared" ref="Z38" si="46">SUM(Z33:Z37)</f>
        <v>0</v>
      </c>
      <c r="AA38" s="363">
        <f t="shared" ref="AA38" si="47">SUM(AA33:AA37)</f>
        <v>0</v>
      </c>
      <c r="AB38" s="365"/>
      <c r="AC38" s="364">
        <f t="shared" ref="AC38" si="48">IF($AD$2=1,SUM(X38),IF($AD$2=2, SUM(X38:Y38),IF($AD$2=3,SUM(X38:Z38),IF($AD$2=4,SUM(X38:AA38)))))</f>
        <v>0</v>
      </c>
      <c r="AD38" s="363">
        <f t="shared" ref="AD38" si="49">IF($AD$2=1,SUM(U38:X38),IF($AD$2=2,SUM(V38:Y38),IF($AD$2=3,SUM(W38:Z38),IF($AD$2=4,SUM(X38:AA38)))))</f>
        <v>0</v>
      </c>
      <c r="AF38" s="44"/>
    </row>
    <row r="39" spans="1:32" x14ac:dyDescent="0.25">
      <c r="A39" s="272"/>
      <c r="B39" s="273"/>
      <c r="C39" s="273"/>
      <c r="D39" s="29"/>
      <c r="E39" s="29"/>
      <c r="F39" s="29"/>
      <c r="G39" s="29"/>
      <c r="H39" s="29"/>
      <c r="I39" s="29"/>
      <c r="J39" s="29"/>
      <c r="K39" s="29"/>
      <c r="L39" s="29"/>
      <c r="M39" s="29"/>
      <c r="N39" s="29"/>
      <c r="O39" s="29"/>
      <c r="P39" s="29"/>
      <c r="Q39" s="29"/>
      <c r="R39" s="30"/>
      <c r="T39" s="33"/>
      <c r="U39" s="29"/>
      <c r="V39" s="29"/>
      <c r="W39" s="29"/>
      <c r="X39" s="29"/>
      <c r="Y39" s="29"/>
      <c r="Z39" s="29"/>
      <c r="AA39" s="30"/>
      <c r="AB39" s="368"/>
      <c r="AC39" s="53"/>
      <c r="AD39" s="54"/>
    </row>
    <row r="40" spans="1:32" ht="13" x14ac:dyDescent="0.3">
      <c r="A40" s="281" t="s">
        <v>431</v>
      </c>
      <c r="B40" s="282"/>
      <c r="C40" s="282"/>
      <c r="D40" s="55"/>
      <c r="E40" s="55"/>
      <c r="F40" s="55"/>
      <c r="G40" s="55"/>
      <c r="H40" s="55"/>
      <c r="I40" s="55"/>
      <c r="J40" s="55"/>
      <c r="K40" s="55"/>
      <c r="L40" s="55"/>
      <c r="M40" s="55"/>
      <c r="N40" s="55"/>
      <c r="O40" s="55"/>
      <c r="P40" s="55"/>
      <c r="Q40" s="55"/>
      <c r="R40" s="56"/>
      <c r="T40" s="57"/>
      <c r="U40" s="55"/>
      <c r="V40" s="55"/>
      <c r="W40" s="55"/>
      <c r="X40" s="55"/>
      <c r="Y40" s="55"/>
      <c r="Z40" s="55"/>
      <c r="AA40" s="56"/>
      <c r="AB40" s="52"/>
      <c r="AC40" s="218"/>
      <c r="AD40" s="219"/>
    </row>
    <row r="41" spans="1:32" ht="13" x14ac:dyDescent="0.3">
      <c r="A41" s="283" t="s">
        <v>562</v>
      </c>
      <c r="B41" s="258"/>
      <c r="C41" s="258"/>
      <c r="D41" s="214"/>
      <c r="E41" s="214"/>
      <c r="F41" s="214"/>
      <c r="G41" s="214"/>
      <c r="H41" s="214"/>
      <c r="I41" s="214"/>
      <c r="J41" s="214"/>
      <c r="K41" s="214"/>
      <c r="L41" s="214"/>
      <c r="M41" s="215"/>
      <c r="N41" s="214"/>
      <c r="O41" s="214"/>
      <c r="P41" s="214"/>
      <c r="Q41" s="214"/>
      <c r="R41" s="216"/>
      <c r="T41" s="217"/>
      <c r="U41" s="214"/>
      <c r="V41" s="214"/>
      <c r="W41" s="214"/>
      <c r="X41" s="214"/>
      <c r="Y41" s="214"/>
      <c r="Z41" s="214"/>
      <c r="AA41" s="216"/>
      <c r="AB41" s="52"/>
      <c r="AC41" s="58"/>
      <c r="AD41" s="59"/>
    </row>
    <row r="42" spans="1:32" ht="13" x14ac:dyDescent="0.3">
      <c r="A42" s="270"/>
      <c r="B42" s="271" t="s">
        <v>432</v>
      </c>
      <c r="C42" s="271"/>
      <c r="D42" s="60"/>
      <c r="E42" s="60"/>
      <c r="F42" s="60"/>
      <c r="G42" s="60"/>
      <c r="H42" s="60"/>
      <c r="I42" s="60"/>
      <c r="J42" s="60"/>
      <c r="K42" s="60"/>
      <c r="L42" s="60"/>
      <c r="M42" s="61"/>
      <c r="N42" s="220"/>
      <c r="O42" s="220"/>
      <c r="P42" s="220"/>
      <c r="Q42" s="220"/>
      <c r="R42" s="221"/>
      <c r="T42" s="64"/>
      <c r="U42" s="60"/>
      <c r="V42" s="60"/>
      <c r="W42" s="60"/>
      <c r="X42" s="60"/>
      <c r="Y42" s="60"/>
      <c r="Z42" s="60"/>
      <c r="AA42" s="65"/>
      <c r="AB42" s="370"/>
      <c r="AC42" s="393">
        <f>IF($AD$2=1,X42,IF($AD$2=2,Y42,IF($AD$2=3,Z42,IF($AD$2=4,AA42))))</f>
        <v>0</v>
      </c>
      <c r="AD42" s="70"/>
    </row>
    <row r="43" spans="1:32" ht="13" x14ac:dyDescent="0.3">
      <c r="A43" s="272"/>
      <c r="B43" s="277" t="s">
        <v>581</v>
      </c>
      <c r="C43" s="273"/>
      <c r="D43" s="28"/>
      <c r="E43" s="28"/>
      <c r="F43" s="28"/>
      <c r="G43" s="28"/>
      <c r="H43" s="28"/>
      <c r="I43" s="28"/>
      <c r="J43" s="28"/>
      <c r="K43" s="28"/>
      <c r="L43" s="28"/>
      <c r="M43" s="39"/>
      <c r="N43" s="66"/>
      <c r="O43" s="66"/>
      <c r="P43" s="66"/>
      <c r="Q43" s="66"/>
      <c r="R43" s="67"/>
      <c r="T43" s="31"/>
      <c r="U43" s="28"/>
      <c r="V43" s="28"/>
      <c r="W43" s="28"/>
      <c r="X43" s="28"/>
      <c r="Y43" s="28"/>
      <c r="Z43" s="28"/>
      <c r="AA43" s="68"/>
      <c r="AB43" s="368"/>
      <c r="AC43" s="393">
        <f t="shared" ref="AC43:AC62" si="50">IF($AD$2=1,X43,IF($AD$2=2,Y43,IF($AD$2=3,Z43,IF($AD$2=4,AA43))))</f>
        <v>0</v>
      </c>
      <c r="AD43" s="70"/>
    </row>
    <row r="44" spans="1:32" ht="13" x14ac:dyDescent="0.3">
      <c r="A44" s="272"/>
      <c r="B44" s="277" t="s">
        <v>586</v>
      </c>
      <c r="C44" s="273"/>
      <c r="D44" s="71"/>
      <c r="E44" s="71"/>
      <c r="F44" s="71"/>
      <c r="G44" s="71"/>
      <c r="H44" s="71"/>
      <c r="I44" s="71"/>
      <c r="J44" s="71"/>
      <c r="K44" s="71"/>
      <c r="L44" s="28"/>
      <c r="M44" s="28"/>
      <c r="N44" s="72"/>
      <c r="O44" s="72"/>
      <c r="P44" s="72"/>
      <c r="Q44" s="72"/>
      <c r="R44" s="73"/>
      <c r="T44" s="74"/>
      <c r="U44" s="71"/>
      <c r="V44" s="71"/>
      <c r="W44" s="71"/>
      <c r="X44" s="71"/>
      <c r="Y44" s="28"/>
      <c r="Z44" s="28"/>
      <c r="AA44" s="75"/>
      <c r="AB44" s="370"/>
      <c r="AC44" s="393">
        <f t="shared" si="50"/>
        <v>0</v>
      </c>
      <c r="AD44" s="76"/>
    </row>
    <row r="45" spans="1:32" x14ac:dyDescent="0.25">
      <c r="A45" s="284"/>
      <c r="B45" s="273" t="s">
        <v>433</v>
      </c>
      <c r="C45" s="273"/>
      <c r="D45" s="28"/>
      <c r="E45" s="28"/>
      <c r="F45" s="28"/>
      <c r="G45" s="28"/>
      <c r="H45" s="28"/>
      <c r="I45" s="28"/>
      <c r="J45" s="71"/>
      <c r="K45" s="71"/>
      <c r="L45" s="71"/>
      <c r="M45" s="71"/>
      <c r="N45" s="77"/>
      <c r="O45" s="77"/>
      <c r="P45" s="77"/>
      <c r="Q45" s="77"/>
      <c r="R45" s="78"/>
      <c r="T45" s="74"/>
      <c r="U45" s="71"/>
      <c r="V45" s="71"/>
      <c r="W45" s="71"/>
      <c r="X45" s="71"/>
      <c r="Y45" s="28"/>
      <c r="Z45" s="28"/>
      <c r="AA45" s="75"/>
      <c r="AB45" s="370"/>
      <c r="AC45" s="393">
        <f t="shared" si="50"/>
        <v>0</v>
      </c>
      <c r="AD45" s="76"/>
    </row>
    <row r="46" spans="1:32" x14ac:dyDescent="0.25">
      <c r="A46" s="284"/>
      <c r="B46" s="273" t="s">
        <v>434</v>
      </c>
      <c r="C46" s="273"/>
      <c r="D46" s="71"/>
      <c r="E46" s="71"/>
      <c r="F46" s="71"/>
      <c r="G46" s="71"/>
      <c r="H46" s="71"/>
      <c r="I46" s="71"/>
      <c r="J46" s="71"/>
      <c r="K46" s="71"/>
      <c r="L46" s="71"/>
      <c r="M46" s="71"/>
      <c r="N46" s="77"/>
      <c r="O46" s="77"/>
      <c r="P46" s="77"/>
      <c r="Q46" s="77"/>
      <c r="R46" s="78"/>
      <c r="T46" s="31"/>
      <c r="U46" s="28"/>
      <c r="V46" s="28"/>
      <c r="W46" s="28"/>
      <c r="X46" s="28"/>
      <c r="Y46" s="28"/>
      <c r="Z46" s="28"/>
      <c r="AA46" s="75"/>
      <c r="AB46" s="370"/>
      <c r="AC46" s="393">
        <f t="shared" si="50"/>
        <v>0</v>
      </c>
      <c r="AD46" s="76"/>
    </row>
    <row r="47" spans="1:32" x14ac:dyDescent="0.25">
      <c r="A47" s="284"/>
      <c r="B47" s="273" t="s">
        <v>435</v>
      </c>
      <c r="C47" s="273"/>
      <c r="D47" s="71"/>
      <c r="E47" s="71"/>
      <c r="F47" s="71"/>
      <c r="G47" s="71"/>
      <c r="H47" s="71"/>
      <c r="I47" s="71"/>
      <c r="J47" s="71"/>
      <c r="K47" s="71"/>
      <c r="L47" s="71"/>
      <c r="M47" s="71"/>
      <c r="N47" s="77"/>
      <c r="O47" s="77"/>
      <c r="P47" s="77"/>
      <c r="Q47" s="77"/>
      <c r="R47" s="78"/>
      <c r="T47" s="31"/>
      <c r="U47" s="28"/>
      <c r="V47" s="28"/>
      <c r="W47" s="28"/>
      <c r="X47" s="28"/>
      <c r="Y47" s="28"/>
      <c r="Z47" s="28"/>
      <c r="AA47" s="75"/>
      <c r="AB47" s="370"/>
      <c r="AC47" s="393">
        <f t="shared" si="50"/>
        <v>0</v>
      </c>
      <c r="AD47" s="76"/>
    </row>
    <row r="48" spans="1:32" x14ac:dyDescent="0.25">
      <c r="A48" s="272"/>
      <c r="B48" s="273" t="s">
        <v>436</v>
      </c>
      <c r="C48" s="273"/>
      <c r="D48" s="71"/>
      <c r="E48" s="71"/>
      <c r="F48" s="71"/>
      <c r="G48" s="71"/>
      <c r="H48" s="71"/>
      <c r="I48" s="71"/>
      <c r="J48" s="71"/>
      <c r="K48" s="71"/>
      <c r="L48" s="71"/>
      <c r="M48" s="71"/>
      <c r="N48" s="77"/>
      <c r="O48" s="77"/>
      <c r="P48" s="77"/>
      <c r="Q48" s="77"/>
      <c r="R48" s="78"/>
      <c r="T48" s="31"/>
      <c r="U48" s="28"/>
      <c r="V48" s="28"/>
      <c r="W48" s="28"/>
      <c r="X48" s="28"/>
      <c r="Y48" s="28"/>
      <c r="Z48" s="28"/>
      <c r="AA48" s="75"/>
      <c r="AB48" s="370"/>
      <c r="AC48" s="393">
        <f t="shared" si="50"/>
        <v>0</v>
      </c>
      <c r="AD48" s="76"/>
    </row>
    <row r="49" spans="1:30" x14ac:dyDescent="0.25">
      <c r="A49" s="272"/>
      <c r="B49" s="273" t="s">
        <v>437</v>
      </c>
      <c r="C49" s="273"/>
      <c r="D49" s="28"/>
      <c r="E49" s="28"/>
      <c r="F49" s="28"/>
      <c r="G49" s="28"/>
      <c r="H49" s="28"/>
      <c r="I49" s="28"/>
      <c r="J49" s="28"/>
      <c r="K49" s="28"/>
      <c r="L49" s="28"/>
      <c r="M49" s="28"/>
      <c r="N49" s="36"/>
      <c r="O49" s="36"/>
      <c r="P49" s="36"/>
      <c r="Q49" s="36"/>
      <c r="R49" s="37"/>
      <c r="T49" s="31"/>
      <c r="U49" s="28"/>
      <c r="V49" s="28"/>
      <c r="W49" s="28"/>
      <c r="X49" s="28"/>
      <c r="Y49" s="28"/>
      <c r="Z49" s="28"/>
      <c r="AA49" s="68"/>
      <c r="AB49" s="368"/>
      <c r="AC49" s="393">
        <f t="shared" si="50"/>
        <v>0</v>
      </c>
      <c r="AD49" s="70"/>
    </row>
    <row r="50" spans="1:30" x14ac:dyDescent="0.25">
      <c r="A50" s="272"/>
      <c r="B50" s="273"/>
      <c r="C50" s="273"/>
      <c r="D50" s="28"/>
      <c r="E50" s="28"/>
      <c r="F50" s="28"/>
      <c r="G50" s="28"/>
      <c r="H50" s="28"/>
      <c r="I50" s="28"/>
      <c r="J50" s="28"/>
      <c r="K50" s="28"/>
      <c r="L50" s="28"/>
      <c r="M50" s="28"/>
      <c r="N50" s="106"/>
      <c r="O50" s="106"/>
      <c r="P50" s="106"/>
      <c r="Q50" s="106"/>
      <c r="R50" s="91"/>
      <c r="T50" s="31"/>
      <c r="U50" s="28"/>
      <c r="V50" s="28"/>
      <c r="W50" s="28"/>
      <c r="X50" s="28"/>
      <c r="Y50" s="28"/>
      <c r="Z50" s="28"/>
      <c r="AA50" s="68"/>
      <c r="AB50" s="368"/>
      <c r="AC50" s="69"/>
      <c r="AD50" s="70"/>
    </row>
    <row r="51" spans="1:30" ht="13" x14ac:dyDescent="0.3">
      <c r="A51" s="285" t="s">
        <v>577</v>
      </c>
      <c r="B51" s="273"/>
      <c r="C51" s="273"/>
      <c r="D51" s="28"/>
      <c r="E51" s="28"/>
      <c r="F51" s="28"/>
      <c r="G51" s="28"/>
      <c r="H51" s="28"/>
      <c r="I51" s="28"/>
      <c r="J51" s="28"/>
      <c r="K51" s="28"/>
      <c r="L51" s="28"/>
      <c r="M51" s="28"/>
      <c r="N51" s="106"/>
      <c r="O51" s="106"/>
      <c r="P51" s="106"/>
      <c r="Q51" s="106"/>
      <c r="R51" s="91"/>
      <c r="T51" s="31"/>
      <c r="U51" s="28"/>
      <c r="V51" s="28"/>
      <c r="W51" s="28"/>
      <c r="X51" s="28"/>
      <c r="Y51" s="28"/>
      <c r="Z51" s="28"/>
      <c r="AA51" s="68"/>
      <c r="AB51" s="368"/>
      <c r="AC51" s="69"/>
      <c r="AD51" s="70"/>
    </row>
    <row r="52" spans="1:30" ht="13" x14ac:dyDescent="0.3">
      <c r="A52" s="272"/>
      <c r="B52" s="277" t="s">
        <v>563</v>
      </c>
      <c r="C52" s="273"/>
      <c r="D52" s="28"/>
      <c r="E52" s="28"/>
      <c r="F52" s="28"/>
      <c r="G52" s="28"/>
      <c r="H52" s="28"/>
      <c r="I52" s="28"/>
      <c r="J52" s="28"/>
      <c r="K52" s="28"/>
      <c r="L52" s="28"/>
      <c r="M52" s="39"/>
      <c r="N52" s="228"/>
      <c r="O52" s="229"/>
      <c r="P52" s="229"/>
      <c r="Q52" s="229"/>
      <c r="R52" s="230"/>
      <c r="T52" s="31"/>
      <c r="U52" s="28"/>
      <c r="V52" s="28"/>
      <c r="W52" s="28"/>
      <c r="X52" s="28"/>
      <c r="Y52" s="28"/>
      <c r="Z52" s="28"/>
      <c r="AA52" s="68"/>
      <c r="AB52" s="368"/>
      <c r="AC52" s="69"/>
      <c r="AD52" s="70"/>
    </row>
    <row r="53" spans="1:30" ht="13" x14ac:dyDescent="0.3">
      <c r="A53" s="272"/>
      <c r="B53" s="277" t="s">
        <v>564</v>
      </c>
      <c r="C53" s="273"/>
      <c r="D53" s="28"/>
      <c r="E53" s="28"/>
      <c r="F53" s="28"/>
      <c r="G53" s="28"/>
      <c r="H53" s="28"/>
      <c r="I53" s="28"/>
      <c r="J53" s="28"/>
      <c r="K53" s="28"/>
      <c r="L53" s="28"/>
      <c r="M53" s="39"/>
      <c r="N53" s="231"/>
      <c r="O53" s="232"/>
      <c r="P53" s="232"/>
      <c r="Q53" s="232"/>
      <c r="R53" s="233"/>
      <c r="T53" s="31"/>
      <c r="U53" s="28"/>
      <c r="V53" s="28"/>
      <c r="W53" s="28"/>
      <c r="X53" s="28"/>
      <c r="Y53" s="28"/>
      <c r="Z53" s="28"/>
      <c r="AA53" s="68"/>
      <c r="AB53" s="368"/>
      <c r="AC53" s="69"/>
      <c r="AD53" s="70"/>
    </row>
    <row r="54" spans="1:30" ht="13" x14ac:dyDescent="0.3">
      <c r="A54" s="272"/>
      <c r="B54" s="277" t="s">
        <v>565</v>
      </c>
      <c r="C54" s="273"/>
      <c r="D54" s="28"/>
      <c r="E54" s="28"/>
      <c r="F54" s="28"/>
      <c r="G54" s="28"/>
      <c r="H54" s="28"/>
      <c r="I54" s="28"/>
      <c r="J54" s="28"/>
      <c r="K54" s="28"/>
      <c r="L54" s="28"/>
      <c r="M54" s="39"/>
      <c r="N54" s="231"/>
      <c r="O54" s="232"/>
      <c r="P54" s="232"/>
      <c r="Q54" s="232"/>
      <c r="R54" s="233"/>
      <c r="T54" s="31"/>
      <c r="U54" s="28"/>
      <c r="V54" s="28"/>
      <c r="W54" s="28"/>
      <c r="X54" s="28"/>
      <c r="Y54" s="28"/>
      <c r="Z54" s="28"/>
      <c r="AA54" s="68"/>
      <c r="AB54" s="368"/>
      <c r="AC54" s="69"/>
      <c r="AD54" s="70"/>
    </row>
    <row r="55" spans="1:30" ht="13" x14ac:dyDescent="0.3">
      <c r="A55" s="272"/>
      <c r="B55" s="277" t="s">
        <v>567</v>
      </c>
      <c r="C55" s="273"/>
      <c r="D55" s="28"/>
      <c r="E55" s="28"/>
      <c r="F55" s="28"/>
      <c r="G55" s="28"/>
      <c r="H55" s="28"/>
      <c r="I55" s="28"/>
      <c r="J55" s="28"/>
      <c r="K55" s="28"/>
      <c r="L55" s="28"/>
      <c r="M55" s="39"/>
      <c r="N55" s="231"/>
      <c r="O55" s="232"/>
      <c r="P55" s="232"/>
      <c r="Q55" s="232"/>
      <c r="R55" s="233"/>
      <c r="T55" s="31"/>
      <c r="U55" s="28"/>
      <c r="V55" s="28"/>
      <c r="W55" s="28"/>
      <c r="X55" s="28"/>
      <c r="Y55" s="28"/>
      <c r="Z55" s="28"/>
      <c r="AA55" s="68"/>
      <c r="AB55" s="368"/>
      <c r="AC55" s="69"/>
      <c r="AD55" s="70"/>
    </row>
    <row r="56" spans="1:30" ht="13" x14ac:dyDescent="0.3">
      <c r="A56" s="272"/>
      <c r="B56" s="277" t="s">
        <v>566</v>
      </c>
      <c r="C56" s="273"/>
      <c r="D56" s="28"/>
      <c r="E56" s="28"/>
      <c r="F56" s="28"/>
      <c r="G56" s="28"/>
      <c r="H56" s="28"/>
      <c r="I56" s="28"/>
      <c r="J56" s="28"/>
      <c r="K56" s="28"/>
      <c r="L56" s="28"/>
      <c r="M56" s="39"/>
      <c r="N56" s="234"/>
      <c r="O56" s="235"/>
      <c r="P56" s="235"/>
      <c r="Q56" s="235"/>
      <c r="R56" s="236"/>
      <c r="T56" s="31"/>
      <c r="U56" s="28"/>
      <c r="V56" s="28"/>
      <c r="W56" s="28"/>
      <c r="X56" s="28"/>
      <c r="Y56" s="28"/>
      <c r="Z56" s="28"/>
      <c r="AA56" s="68"/>
      <c r="AB56" s="368"/>
      <c r="AC56" s="69"/>
      <c r="AD56" s="70"/>
    </row>
    <row r="57" spans="1:30" ht="13" x14ac:dyDescent="0.3">
      <c r="A57" s="272"/>
      <c r="B57" s="286" t="s">
        <v>580</v>
      </c>
      <c r="C57" s="286"/>
      <c r="D57" s="385">
        <f t="shared" ref="D57" si="51">SUM(D52:D56)</f>
        <v>0</v>
      </c>
      <c r="E57" s="385">
        <f t="shared" ref="E57" si="52">SUM(E52:E56)</f>
        <v>0</v>
      </c>
      <c r="F57" s="385">
        <f t="shared" ref="F57" si="53">SUM(F52:F56)</f>
        <v>0</v>
      </c>
      <c r="G57" s="385">
        <f t="shared" ref="G57:I57" si="54">SUM(G52:G56)</f>
        <v>0</v>
      </c>
      <c r="H57" s="386">
        <f t="shared" si="54"/>
        <v>0</v>
      </c>
      <c r="I57" s="386">
        <f t="shared" si="54"/>
        <v>0</v>
      </c>
      <c r="J57" s="386">
        <f>SUM(J52:J56)</f>
        <v>0</v>
      </c>
      <c r="K57" s="386">
        <f t="shared" ref="K57:M57" si="55">SUM(K52:K56)</f>
        <v>0</v>
      </c>
      <c r="L57" s="386">
        <f t="shared" si="55"/>
        <v>0</v>
      </c>
      <c r="M57" s="386">
        <f t="shared" si="55"/>
        <v>0</v>
      </c>
      <c r="N57" s="387">
        <f>SUM(N52:N56)</f>
        <v>0</v>
      </c>
      <c r="O57" s="387">
        <f t="shared" ref="O57:R57" si="56">SUM(O52:O56)</f>
        <v>0</v>
      </c>
      <c r="P57" s="387">
        <f t="shared" si="56"/>
        <v>0</v>
      </c>
      <c r="Q57" s="387">
        <f t="shared" si="56"/>
        <v>0</v>
      </c>
      <c r="R57" s="388">
        <f t="shared" si="56"/>
        <v>0</v>
      </c>
      <c r="S57" s="27"/>
      <c r="T57" s="223"/>
      <c r="U57" s="222"/>
      <c r="V57" s="222"/>
      <c r="W57" s="222"/>
      <c r="X57" s="222"/>
      <c r="Y57" s="222"/>
      <c r="Z57" s="222"/>
      <c r="AA57" s="224"/>
      <c r="AB57" s="368"/>
      <c r="AC57" s="393">
        <f t="shared" si="50"/>
        <v>0</v>
      </c>
      <c r="AD57" s="70"/>
    </row>
    <row r="58" spans="1:30" ht="13" x14ac:dyDescent="0.3">
      <c r="A58" s="272"/>
      <c r="B58" s="286"/>
      <c r="C58" s="286"/>
      <c r="D58" s="226"/>
      <c r="E58" s="226"/>
      <c r="F58" s="226"/>
      <c r="G58" s="226"/>
      <c r="H58" s="227"/>
      <c r="I58" s="227"/>
      <c r="J58" s="227"/>
      <c r="K58" s="227"/>
      <c r="L58" s="227"/>
      <c r="M58" s="225"/>
      <c r="N58" s="238"/>
      <c r="O58" s="238"/>
      <c r="P58" s="238"/>
      <c r="Q58" s="238"/>
      <c r="R58" s="239"/>
      <c r="S58" s="27"/>
      <c r="T58" s="223"/>
      <c r="U58" s="222"/>
      <c r="V58" s="222"/>
      <c r="W58" s="222"/>
      <c r="X58" s="222"/>
      <c r="Y58" s="222"/>
      <c r="Z58" s="222"/>
      <c r="AA58" s="224"/>
      <c r="AB58" s="368"/>
      <c r="AC58" s="69"/>
      <c r="AD58" s="240"/>
    </row>
    <row r="59" spans="1:30" ht="13" x14ac:dyDescent="0.3">
      <c r="A59" s="285" t="s">
        <v>572</v>
      </c>
      <c r="B59" s="286"/>
      <c r="C59" s="286"/>
      <c r="D59" s="226"/>
      <c r="E59" s="226"/>
      <c r="F59" s="226"/>
      <c r="G59" s="226"/>
      <c r="H59" s="227"/>
      <c r="I59" s="227"/>
      <c r="J59" s="227"/>
      <c r="K59" s="227"/>
      <c r="L59" s="227"/>
      <c r="M59" s="225"/>
      <c r="N59" s="238"/>
      <c r="O59" s="238"/>
      <c r="P59" s="238"/>
      <c r="Q59" s="238"/>
      <c r="R59" s="239"/>
      <c r="S59" s="27"/>
      <c r="T59" s="223"/>
      <c r="U59" s="222"/>
      <c r="V59" s="222"/>
      <c r="W59" s="222"/>
      <c r="X59" s="222"/>
      <c r="Y59" s="222"/>
      <c r="Z59" s="222"/>
      <c r="AA59" s="224"/>
      <c r="AB59" s="368"/>
      <c r="AC59" s="69"/>
      <c r="AD59" s="70"/>
    </row>
    <row r="60" spans="1:30" ht="13" x14ac:dyDescent="0.3">
      <c r="A60" s="272"/>
      <c r="B60" s="277" t="s">
        <v>583</v>
      </c>
      <c r="C60" s="287"/>
      <c r="D60" s="71"/>
      <c r="E60" s="71"/>
      <c r="F60" s="71"/>
      <c r="G60" s="71"/>
      <c r="H60" s="28"/>
      <c r="I60" s="28"/>
      <c r="J60" s="28"/>
      <c r="K60" s="28"/>
      <c r="L60" s="28"/>
      <c r="M60" s="39"/>
      <c r="N60" s="79"/>
      <c r="O60" s="79"/>
      <c r="P60" s="79"/>
      <c r="Q60" s="79"/>
      <c r="R60" s="241"/>
      <c r="T60" s="31"/>
      <c r="U60" s="28"/>
      <c r="V60" s="28"/>
      <c r="W60" s="28"/>
      <c r="X60" s="28"/>
      <c r="Y60" s="28"/>
      <c r="Z60" s="28"/>
      <c r="AA60" s="68"/>
      <c r="AB60" s="368"/>
      <c r="AC60" s="393">
        <f t="shared" si="50"/>
        <v>0</v>
      </c>
      <c r="AD60" s="70"/>
    </row>
    <row r="61" spans="1:30" ht="13" x14ac:dyDescent="0.3">
      <c r="A61" s="272"/>
      <c r="B61" s="273" t="s">
        <v>439</v>
      </c>
      <c r="C61" s="287"/>
      <c r="D61" s="71"/>
      <c r="E61" s="71"/>
      <c r="F61" s="71"/>
      <c r="G61" s="71"/>
      <c r="H61" s="71"/>
      <c r="I61" s="28"/>
      <c r="J61" s="28"/>
      <c r="K61" s="28"/>
      <c r="L61" s="28"/>
      <c r="M61" s="39"/>
      <c r="N61" s="210"/>
      <c r="O61" s="210"/>
      <c r="P61" s="210"/>
      <c r="Q61" s="210"/>
      <c r="R61" s="211"/>
      <c r="T61" s="31"/>
      <c r="U61" s="28"/>
      <c r="V61" s="28"/>
      <c r="W61" s="28"/>
      <c r="X61" s="28"/>
      <c r="Y61" s="28"/>
      <c r="Z61" s="28"/>
      <c r="AA61" s="68"/>
      <c r="AB61" s="368"/>
      <c r="AC61" s="394">
        <f t="shared" si="50"/>
        <v>0</v>
      </c>
      <c r="AD61" s="70"/>
    </row>
    <row r="62" spans="1:30" ht="13" x14ac:dyDescent="0.3">
      <c r="A62" s="272"/>
      <c r="B62" s="273" t="s">
        <v>440</v>
      </c>
      <c r="C62" s="287"/>
      <c r="D62" s="71"/>
      <c r="E62" s="71"/>
      <c r="F62" s="71"/>
      <c r="G62" s="71"/>
      <c r="H62" s="71"/>
      <c r="I62" s="28"/>
      <c r="J62" s="28"/>
      <c r="K62" s="28"/>
      <c r="L62" s="28"/>
      <c r="M62" s="39"/>
      <c r="N62" s="212"/>
      <c r="O62" s="212"/>
      <c r="P62" s="212"/>
      <c r="Q62" s="212"/>
      <c r="R62" s="213"/>
      <c r="T62" s="31"/>
      <c r="U62" s="28"/>
      <c r="V62" s="28"/>
      <c r="W62" s="28"/>
      <c r="X62" s="28"/>
      <c r="Y62" s="28"/>
      <c r="Z62" s="28"/>
      <c r="AA62" s="68"/>
      <c r="AB62" s="368"/>
      <c r="AC62" s="394">
        <f t="shared" si="50"/>
        <v>0</v>
      </c>
      <c r="AD62" s="70"/>
    </row>
    <row r="63" spans="1:30" x14ac:dyDescent="0.25">
      <c r="A63" s="272"/>
      <c r="B63" s="273"/>
      <c r="C63" s="287"/>
      <c r="D63" s="71"/>
      <c r="E63" s="71"/>
      <c r="F63" s="71"/>
      <c r="G63" s="71"/>
      <c r="H63" s="71"/>
      <c r="I63" s="28"/>
      <c r="J63" s="28"/>
      <c r="K63" s="28"/>
      <c r="L63" s="28"/>
      <c r="M63" s="28"/>
      <c r="N63" s="22"/>
      <c r="O63" s="22"/>
      <c r="P63" s="22"/>
      <c r="Q63" s="22"/>
      <c r="R63" s="23"/>
      <c r="T63" s="31"/>
      <c r="U63" s="28"/>
      <c r="V63" s="28"/>
      <c r="W63" s="28"/>
      <c r="X63" s="28"/>
      <c r="Y63" s="28"/>
      <c r="Z63" s="28"/>
      <c r="AA63" s="68"/>
      <c r="AB63" s="368"/>
      <c r="AC63" s="80"/>
      <c r="AD63" s="70"/>
    </row>
    <row r="64" spans="1:30" ht="13" x14ac:dyDescent="0.3">
      <c r="A64" s="288" t="s">
        <v>441</v>
      </c>
      <c r="B64" s="289"/>
      <c r="C64" s="290"/>
      <c r="D64" s="81"/>
      <c r="E64" s="81"/>
      <c r="F64" s="81"/>
      <c r="G64" s="81"/>
      <c r="H64" s="81"/>
      <c r="I64" s="82"/>
      <c r="J64" s="82"/>
      <c r="K64" s="82"/>
      <c r="L64" s="82"/>
      <c r="M64" s="82"/>
      <c r="N64" s="83"/>
      <c r="O64" s="83"/>
      <c r="P64" s="83"/>
      <c r="Q64" s="83"/>
      <c r="R64" s="84"/>
      <c r="T64" s="85"/>
      <c r="U64" s="82"/>
      <c r="V64" s="82"/>
      <c r="W64" s="82"/>
      <c r="X64" s="82"/>
      <c r="Y64" s="82"/>
      <c r="Z64" s="82"/>
      <c r="AA64" s="86"/>
      <c r="AB64" s="368"/>
      <c r="AC64" s="87"/>
      <c r="AD64" s="88"/>
    </row>
    <row r="65" spans="1:30" x14ac:dyDescent="0.25">
      <c r="A65" s="272"/>
      <c r="B65" s="273" t="s">
        <v>442</v>
      </c>
      <c r="C65" s="287"/>
      <c r="D65" s="71"/>
      <c r="E65" s="71"/>
      <c r="F65" s="71"/>
      <c r="G65" s="71"/>
      <c r="H65" s="71"/>
      <c r="I65" s="28"/>
      <c r="J65" s="28"/>
      <c r="K65" s="28"/>
      <c r="L65" s="28"/>
      <c r="M65" s="28"/>
      <c r="N65" s="405">
        <f>SUM(N5:N10)*N214</f>
        <v>0</v>
      </c>
      <c r="O65" s="405">
        <f>SUM(O5:O10)*O214</f>
        <v>0</v>
      </c>
      <c r="P65" s="405">
        <f>SUM(P5:P10)*P214</f>
        <v>0</v>
      </c>
      <c r="Q65" s="405">
        <f>SUM(Q5:Q10)*Q214</f>
        <v>0</v>
      </c>
      <c r="R65" s="409">
        <f>SUM(R5:R10)*R214</f>
        <v>0</v>
      </c>
      <c r="T65" s="31"/>
      <c r="U65" s="28"/>
      <c r="V65" s="28"/>
      <c r="W65" s="28"/>
      <c r="X65" s="28"/>
      <c r="Y65" s="28"/>
      <c r="Z65" s="28"/>
      <c r="AA65" s="68"/>
      <c r="AB65" s="368"/>
      <c r="AC65" s="393">
        <f t="shared" ref="AC65:AC68" si="57">IF($AD$2=1,SUM(X65),IF($AD$2=2, SUM(X65:Y65),IF($AD$2=3,SUM(X65:Z65),IF($AD$2=4,SUM(X65:AA65)))))</f>
        <v>0</v>
      </c>
      <c r="AD65" s="70"/>
    </row>
    <row r="66" spans="1:30" x14ac:dyDescent="0.25">
      <c r="A66" s="272"/>
      <c r="B66" s="273" t="s">
        <v>443</v>
      </c>
      <c r="C66" s="287"/>
      <c r="D66" s="71"/>
      <c r="E66" s="71"/>
      <c r="F66" s="71"/>
      <c r="G66" s="71"/>
      <c r="H66" s="71"/>
      <c r="I66" s="28"/>
      <c r="J66" s="28"/>
      <c r="K66" s="28"/>
      <c r="L66" s="28"/>
      <c r="M66" s="28"/>
      <c r="N66" s="405">
        <f>N31*N213</f>
        <v>0</v>
      </c>
      <c r="O66" s="405">
        <f t="shared" ref="O66:R66" si="58">O31*O213</f>
        <v>0</v>
      </c>
      <c r="P66" s="405">
        <f t="shared" si="58"/>
        <v>0</v>
      </c>
      <c r="Q66" s="405">
        <f t="shared" si="58"/>
        <v>0</v>
      </c>
      <c r="R66" s="409">
        <f t="shared" si="58"/>
        <v>0</v>
      </c>
      <c r="T66" s="31"/>
      <c r="U66" s="28"/>
      <c r="V66" s="28"/>
      <c r="W66" s="28"/>
      <c r="X66" s="28"/>
      <c r="Y66" s="28"/>
      <c r="Z66" s="28"/>
      <c r="AA66" s="68"/>
      <c r="AB66" s="368"/>
      <c r="AC66" s="393">
        <f t="shared" si="57"/>
        <v>0</v>
      </c>
      <c r="AD66" s="70"/>
    </row>
    <row r="67" spans="1:30" x14ac:dyDescent="0.25">
      <c r="A67" s="272"/>
      <c r="B67" s="273" t="s">
        <v>444</v>
      </c>
      <c r="C67" s="287"/>
      <c r="D67" s="71"/>
      <c r="E67" s="71"/>
      <c r="F67" s="71"/>
      <c r="G67" s="71"/>
      <c r="H67" s="71"/>
      <c r="I67" s="28"/>
      <c r="J67" s="28"/>
      <c r="K67" s="28"/>
      <c r="L67" s="28"/>
      <c r="M67" s="28"/>
      <c r="N67" s="28"/>
      <c r="O67" s="28"/>
      <c r="P67" s="28"/>
      <c r="Q67" s="28"/>
      <c r="R67" s="90"/>
      <c r="T67" s="31"/>
      <c r="U67" s="28"/>
      <c r="V67" s="28"/>
      <c r="W67" s="28"/>
      <c r="X67" s="28"/>
      <c r="Y67" s="28"/>
      <c r="Z67" s="28"/>
      <c r="AA67" s="68"/>
      <c r="AB67" s="368"/>
      <c r="AC67" s="393">
        <f t="shared" si="57"/>
        <v>0</v>
      </c>
      <c r="AD67" s="70"/>
    </row>
    <row r="68" spans="1:30" x14ac:dyDescent="0.25">
      <c r="A68" s="272"/>
      <c r="B68" s="273" t="s">
        <v>445</v>
      </c>
      <c r="C68" s="287"/>
      <c r="D68" s="71"/>
      <c r="E68" s="71"/>
      <c r="F68" s="71"/>
      <c r="G68" s="71"/>
      <c r="H68" s="71"/>
      <c r="I68" s="28"/>
      <c r="J68" s="28"/>
      <c r="K68" s="28"/>
      <c r="L68" s="28"/>
      <c r="M68" s="28"/>
      <c r="N68" s="28"/>
      <c r="O68" s="28"/>
      <c r="P68" s="28"/>
      <c r="Q68" s="28"/>
      <c r="R68" s="90"/>
      <c r="T68" s="31"/>
      <c r="U68" s="28"/>
      <c r="V68" s="28"/>
      <c r="W68" s="28"/>
      <c r="X68" s="28"/>
      <c r="Y68" s="28"/>
      <c r="Z68" s="28"/>
      <c r="AA68" s="68"/>
      <c r="AB68" s="368"/>
      <c r="AC68" s="393">
        <f t="shared" si="57"/>
        <v>0</v>
      </c>
      <c r="AD68" s="70"/>
    </row>
    <row r="69" spans="1:30" x14ac:dyDescent="0.25">
      <c r="A69" s="272"/>
      <c r="B69" s="273"/>
      <c r="C69" s="287"/>
      <c r="D69" s="71"/>
      <c r="E69" s="71"/>
      <c r="F69" s="71"/>
      <c r="G69" s="71"/>
      <c r="H69" s="71"/>
      <c r="I69" s="28"/>
      <c r="J69" s="28"/>
      <c r="K69" s="28"/>
      <c r="L69" s="28"/>
      <c r="M69" s="28"/>
      <c r="N69" s="29"/>
      <c r="O69" s="29"/>
      <c r="P69" s="29"/>
      <c r="Q69" s="29"/>
      <c r="R69" s="89"/>
      <c r="T69" s="31"/>
      <c r="U69" s="28"/>
      <c r="V69" s="28"/>
      <c r="W69" s="28"/>
      <c r="X69" s="28"/>
      <c r="Y69" s="28"/>
      <c r="Z69" s="28"/>
      <c r="AA69" s="68"/>
      <c r="AB69" s="368"/>
      <c r="AC69" s="80"/>
      <c r="AD69" s="70"/>
    </row>
    <row r="70" spans="1:30" ht="13" x14ac:dyDescent="0.3">
      <c r="A70" s="288" t="s">
        <v>446</v>
      </c>
      <c r="B70" s="289"/>
      <c r="C70" s="290"/>
      <c r="D70" s="81"/>
      <c r="E70" s="81"/>
      <c r="F70" s="81"/>
      <c r="G70" s="81"/>
      <c r="H70" s="81"/>
      <c r="I70" s="82"/>
      <c r="J70" s="82"/>
      <c r="K70" s="82"/>
      <c r="L70" s="82"/>
      <c r="M70" s="82"/>
      <c r="N70" s="83"/>
      <c r="O70" s="83"/>
      <c r="P70" s="83"/>
      <c r="Q70" s="83"/>
      <c r="R70" s="84"/>
      <c r="T70" s="85"/>
      <c r="U70" s="82"/>
      <c r="V70" s="82"/>
      <c r="W70" s="82"/>
      <c r="X70" s="82"/>
      <c r="Y70" s="82"/>
      <c r="Z70" s="82"/>
      <c r="AA70" s="86"/>
      <c r="AB70" s="368"/>
      <c r="AC70" s="87"/>
      <c r="AD70" s="88"/>
    </row>
    <row r="71" spans="1:30" ht="13" x14ac:dyDescent="0.3">
      <c r="A71" s="272"/>
      <c r="B71" s="273" t="s">
        <v>447</v>
      </c>
      <c r="C71" s="287"/>
      <c r="D71" s="71"/>
      <c r="E71" s="71"/>
      <c r="F71" s="71"/>
      <c r="G71" s="71"/>
      <c r="H71" s="71"/>
      <c r="I71" s="28"/>
      <c r="J71" s="28"/>
      <c r="K71" s="28"/>
      <c r="L71" s="28"/>
      <c r="M71" s="39"/>
      <c r="N71" s="62"/>
      <c r="O71" s="62"/>
      <c r="P71" s="62"/>
      <c r="Q71" s="62"/>
      <c r="R71" s="63"/>
      <c r="T71" s="31"/>
      <c r="U71" s="28"/>
      <c r="V71" s="28"/>
      <c r="W71" s="28"/>
      <c r="X71" s="28"/>
      <c r="Y71" s="28"/>
      <c r="Z71" s="28"/>
      <c r="AA71" s="68"/>
      <c r="AB71" s="368"/>
      <c r="AC71" s="80"/>
      <c r="AD71" s="392">
        <f>M71</f>
        <v>0</v>
      </c>
    </row>
    <row r="72" spans="1:30" ht="13" x14ac:dyDescent="0.3">
      <c r="A72" s="272"/>
      <c r="B72" s="273" t="s">
        <v>448</v>
      </c>
      <c r="C72" s="287"/>
      <c r="D72" s="71"/>
      <c r="E72" s="71"/>
      <c r="F72" s="71"/>
      <c r="G72" s="71"/>
      <c r="H72" s="71"/>
      <c r="I72" s="28"/>
      <c r="J72" s="28"/>
      <c r="K72" s="28"/>
      <c r="L72" s="28"/>
      <c r="M72" s="39"/>
      <c r="N72" s="92"/>
      <c r="O72" s="92"/>
      <c r="P72" s="92"/>
      <c r="Q72" s="92"/>
      <c r="R72" s="93"/>
      <c r="T72" s="94"/>
      <c r="U72" s="77"/>
      <c r="V72" s="77"/>
      <c r="W72" s="77"/>
      <c r="X72" s="77"/>
      <c r="Y72" s="77"/>
      <c r="Z72" s="77"/>
      <c r="AA72" s="42"/>
      <c r="AB72" s="368"/>
      <c r="AC72" s="95"/>
      <c r="AD72" s="392">
        <f t="shared" ref="AD72:AD73" si="59">M72</f>
        <v>0</v>
      </c>
    </row>
    <row r="73" spans="1:30" ht="13.5" thickBot="1" x14ac:dyDescent="0.35">
      <c r="A73" s="291"/>
      <c r="B73" s="292" t="s">
        <v>449</v>
      </c>
      <c r="C73" s="293"/>
      <c r="D73" s="96"/>
      <c r="E73" s="96"/>
      <c r="F73" s="96"/>
      <c r="G73" s="96"/>
      <c r="H73" s="96"/>
      <c r="I73" s="97"/>
      <c r="J73" s="97"/>
      <c r="K73" s="97"/>
      <c r="L73" s="97"/>
      <c r="M73" s="98"/>
      <c r="N73" s="99"/>
      <c r="O73" s="99"/>
      <c r="P73" s="99"/>
      <c r="Q73" s="99"/>
      <c r="R73" s="100"/>
      <c r="T73" s="101"/>
      <c r="U73" s="102"/>
      <c r="V73" s="102"/>
      <c r="W73" s="102"/>
      <c r="X73" s="102"/>
      <c r="Y73" s="102"/>
      <c r="Z73" s="102"/>
      <c r="AA73" s="103"/>
      <c r="AB73" s="371"/>
      <c r="AC73" s="104"/>
      <c r="AD73" s="395">
        <f t="shared" si="59"/>
        <v>0</v>
      </c>
    </row>
    <row r="74" spans="1:30" ht="13" thickBot="1" x14ac:dyDescent="0.3">
      <c r="A74" s="280"/>
      <c r="B74" s="280"/>
      <c r="C74" s="294"/>
      <c r="D74" s="410"/>
      <c r="E74" s="410"/>
      <c r="F74" s="410"/>
      <c r="G74" s="410"/>
      <c r="H74" s="410"/>
      <c r="I74" s="411"/>
      <c r="J74" s="411"/>
      <c r="K74" s="411"/>
      <c r="L74" s="411"/>
      <c r="M74" s="411"/>
      <c r="N74" s="372"/>
      <c r="O74" s="372"/>
      <c r="P74" s="372"/>
      <c r="Q74" s="372"/>
      <c r="R74" s="369"/>
      <c r="S74" s="357"/>
      <c r="T74" s="407"/>
      <c r="U74" s="407"/>
      <c r="V74" s="407"/>
      <c r="W74" s="407"/>
      <c r="X74" s="407"/>
      <c r="Y74" s="407"/>
      <c r="Z74" s="407"/>
      <c r="AA74" s="372"/>
      <c r="AB74" s="372"/>
      <c r="AC74" s="372"/>
      <c r="AD74" s="372"/>
    </row>
    <row r="75" spans="1:30" ht="13" x14ac:dyDescent="0.3">
      <c r="A75" s="295" t="s">
        <v>450</v>
      </c>
      <c r="B75" s="296"/>
      <c r="C75" s="296"/>
      <c r="D75" s="412"/>
      <c r="E75" s="412"/>
      <c r="F75" s="412"/>
      <c r="G75" s="412"/>
      <c r="H75" s="412"/>
      <c r="I75" s="413"/>
      <c r="J75" s="413"/>
      <c r="K75" s="413"/>
      <c r="L75" s="413"/>
      <c r="M75" s="413"/>
      <c r="N75" s="413"/>
      <c r="O75" s="413"/>
      <c r="P75" s="413"/>
      <c r="Q75" s="413"/>
      <c r="R75" s="414"/>
      <c r="S75" s="357"/>
      <c r="T75" s="415"/>
      <c r="U75" s="412"/>
      <c r="V75" s="412"/>
      <c r="W75" s="412"/>
      <c r="X75" s="412"/>
      <c r="Y75" s="412"/>
      <c r="Z75" s="412"/>
      <c r="AA75" s="416"/>
      <c r="AB75" s="368"/>
      <c r="AC75" s="415"/>
      <c r="AD75" s="416"/>
    </row>
    <row r="76" spans="1:30" ht="13" x14ac:dyDescent="0.3">
      <c r="A76" s="297"/>
      <c r="B76" s="294"/>
      <c r="C76" s="294"/>
      <c r="D76" s="417"/>
      <c r="E76" s="417"/>
      <c r="F76" s="417"/>
      <c r="G76" s="417"/>
      <c r="H76" s="417"/>
      <c r="I76" s="369"/>
      <c r="J76" s="369"/>
      <c r="K76" s="369"/>
      <c r="L76" s="369"/>
      <c r="M76" s="369"/>
      <c r="N76" s="369"/>
      <c r="O76" s="369"/>
      <c r="P76" s="369"/>
      <c r="Q76" s="369"/>
      <c r="R76" s="418"/>
      <c r="S76" s="357"/>
      <c r="T76" s="419"/>
      <c r="U76" s="417"/>
      <c r="V76" s="417"/>
      <c r="W76" s="417"/>
      <c r="X76" s="417"/>
      <c r="Y76" s="417"/>
      <c r="Z76" s="417"/>
      <c r="AA76" s="420"/>
      <c r="AB76" s="368"/>
      <c r="AC76" s="419"/>
      <c r="AD76" s="420"/>
    </row>
    <row r="77" spans="1:30" x14ac:dyDescent="0.25">
      <c r="A77" s="298"/>
      <c r="B77" s="299" t="s">
        <v>415</v>
      </c>
      <c r="C77" s="299"/>
      <c r="D77" s="404">
        <f t="shared" ref="D77:R77" si="60">D17</f>
        <v>0</v>
      </c>
      <c r="E77" s="404">
        <f t="shared" si="60"/>
        <v>0</v>
      </c>
      <c r="F77" s="404">
        <f t="shared" si="60"/>
        <v>0</v>
      </c>
      <c r="G77" s="404">
        <f t="shared" si="60"/>
        <v>0</v>
      </c>
      <c r="H77" s="404">
        <f t="shared" si="60"/>
        <v>0</v>
      </c>
      <c r="I77" s="404">
        <f t="shared" si="60"/>
        <v>0</v>
      </c>
      <c r="J77" s="404">
        <f t="shared" si="60"/>
        <v>0</v>
      </c>
      <c r="K77" s="404">
        <f t="shared" si="60"/>
        <v>0</v>
      </c>
      <c r="L77" s="404">
        <f t="shared" si="60"/>
        <v>0</v>
      </c>
      <c r="M77" s="404">
        <f t="shared" si="60"/>
        <v>0</v>
      </c>
      <c r="N77" s="404">
        <f t="shared" si="60"/>
        <v>0</v>
      </c>
      <c r="O77" s="404">
        <f t="shared" si="60"/>
        <v>0</v>
      </c>
      <c r="P77" s="404">
        <f t="shared" si="60"/>
        <v>0</v>
      </c>
      <c r="Q77" s="404">
        <f t="shared" si="60"/>
        <v>0</v>
      </c>
      <c r="R77" s="397">
        <f t="shared" si="60"/>
        <v>0</v>
      </c>
      <c r="T77" s="396">
        <f t="shared" ref="T77:AA77" si="61">T17</f>
        <v>0</v>
      </c>
      <c r="U77" s="404">
        <f t="shared" si="61"/>
        <v>0</v>
      </c>
      <c r="V77" s="404">
        <f t="shared" si="61"/>
        <v>0</v>
      </c>
      <c r="W77" s="404">
        <f t="shared" si="61"/>
        <v>0</v>
      </c>
      <c r="X77" s="404">
        <f t="shared" si="61"/>
        <v>0</v>
      </c>
      <c r="Y77" s="404">
        <f t="shared" si="61"/>
        <v>0</v>
      </c>
      <c r="Z77" s="404">
        <f t="shared" si="61"/>
        <v>0</v>
      </c>
      <c r="AA77" s="397">
        <f t="shared" si="61"/>
        <v>0</v>
      </c>
      <c r="AB77" s="368"/>
      <c r="AC77" s="396">
        <f>AC17</f>
        <v>0</v>
      </c>
      <c r="AD77" s="397">
        <f>AD17</f>
        <v>0</v>
      </c>
    </row>
    <row r="78" spans="1:30" x14ac:dyDescent="0.25">
      <c r="A78" s="272"/>
      <c r="B78" s="287" t="s">
        <v>411</v>
      </c>
      <c r="C78" s="287"/>
      <c r="D78" s="405">
        <f t="shared" ref="D78:R78" si="62">-D13</f>
        <v>0</v>
      </c>
      <c r="E78" s="405">
        <f t="shared" si="62"/>
        <v>0</v>
      </c>
      <c r="F78" s="405">
        <f t="shared" si="62"/>
        <v>0</v>
      </c>
      <c r="G78" s="405">
        <f t="shared" si="62"/>
        <v>0</v>
      </c>
      <c r="H78" s="405">
        <f t="shared" si="62"/>
        <v>0</v>
      </c>
      <c r="I78" s="405">
        <f t="shared" si="62"/>
        <v>0</v>
      </c>
      <c r="J78" s="405">
        <f t="shared" si="62"/>
        <v>0</v>
      </c>
      <c r="K78" s="405">
        <f t="shared" si="62"/>
        <v>0</v>
      </c>
      <c r="L78" s="405">
        <f t="shared" si="62"/>
        <v>0</v>
      </c>
      <c r="M78" s="405">
        <f t="shared" si="62"/>
        <v>0</v>
      </c>
      <c r="N78" s="405">
        <f t="shared" si="62"/>
        <v>0</v>
      </c>
      <c r="O78" s="405">
        <f t="shared" si="62"/>
        <v>0</v>
      </c>
      <c r="P78" s="405">
        <f t="shared" si="62"/>
        <v>0</v>
      </c>
      <c r="Q78" s="405">
        <f t="shared" si="62"/>
        <v>0</v>
      </c>
      <c r="R78" s="390">
        <f t="shared" si="62"/>
        <v>0</v>
      </c>
      <c r="T78" s="389">
        <f t="shared" ref="T78:AA78" si="63">-T13</f>
        <v>0</v>
      </c>
      <c r="U78" s="405">
        <f t="shared" si="63"/>
        <v>0</v>
      </c>
      <c r="V78" s="405">
        <f t="shared" si="63"/>
        <v>0</v>
      </c>
      <c r="W78" s="405">
        <f t="shared" si="63"/>
        <v>0</v>
      </c>
      <c r="X78" s="405">
        <f t="shared" si="63"/>
        <v>0</v>
      </c>
      <c r="Y78" s="405">
        <f t="shared" si="63"/>
        <v>0</v>
      </c>
      <c r="Z78" s="405">
        <f t="shared" si="63"/>
        <v>0</v>
      </c>
      <c r="AA78" s="390">
        <f t="shared" si="63"/>
        <v>0</v>
      </c>
      <c r="AB78" s="368"/>
      <c r="AC78" s="389">
        <f>-AC13</f>
        <v>0</v>
      </c>
      <c r="AD78" s="390">
        <f>-AD13</f>
        <v>0</v>
      </c>
    </row>
    <row r="79" spans="1:30" x14ac:dyDescent="0.25">
      <c r="A79" s="272"/>
      <c r="B79" s="287" t="s">
        <v>451</v>
      </c>
      <c r="C79" s="287"/>
      <c r="D79" s="405">
        <f t="shared" ref="D79:R79" si="64">-D11</f>
        <v>0</v>
      </c>
      <c r="E79" s="405">
        <f t="shared" si="64"/>
        <v>0</v>
      </c>
      <c r="F79" s="405">
        <f t="shared" si="64"/>
        <v>0</v>
      </c>
      <c r="G79" s="405">
        <f t="shared" si="64"/>
        <v>0</v>
      </c>
      <c r="H79" s="405">
        <f t="shared" si="64"/>
        <v>0</v>
      </c>
      <c r="I79" s="405">
        <f t="shared" si="64"/>
        <v>0</v>
      </c>
      <c r="J79" s="405">
        <f t="shared" si="64"/>
        <v>0</v>
      </c>
      <c r="K79" s="405">
        <f t="shared" si="64"/>
        <v>0</v>
      </c>
      <c r="L79" s="405">
        <f t="shared" si="64"/>
        <v>0</v>
      </c>
      <c r="M79" s="405">
        <f t="shared" si="64"/>
        <v>0</v>
      </c>
      <c r="N79" s="405">
        <f t="shared" si="64"/>
        <v>0</v>
      </c>
      <c r="O79" s="405">
        <f t="shared" si="64"/>
        <v>0</v>
      </c>
      <c r="P79" s="405">
        <f t="shared" si="64"/>
        <v>0</v>
      </c>
      <c r="Q79" s="405">
        <f t="shared" si="64"/>
        <v>0</v>
      </c>
      <c r="R79" s="390">
        <f t="shared" si="64"/>
        <v>0</v>
      </c>
      <c r="T79" s="389">
        <f t="shared" ref="T79:AA79" si="65">-T11</f>
        <v>0</v>
      </c>
      <c r="U79" s="405">
        <f t="shared" si="65"/>
        <v>0</v>
      </c>
      <c r="V79" s="405">
        <f t="shared" si="65"/>
        <v>0</v>
      </c>
      <c r="W79" s="405">
        <f t="shared" si="65"/>
        <v>0</v>
      </c>
      <c r="X79" s="405">
        <f t="shared" si="65"/>
        <v>0</v>
      </c>
      <c r="Y79" s="405">
        <f t="shared" si="65"/>
        <v>0</v>
      </c>
      <c r="Z79" s="405">
        <f t="shared" si="65"/>
        <v>0</v>
      </c>
      <c r="AA79" s="390">
        <f t="shared" si="65"/>
        <v>0</v>
      </c>
      <c r="AB79" s="368"/>
      <c r="AC79" s="389">
        <f>-AC11</f>
        <v>0</v>
      </c>
      <c r="AD79" s="390">
        <f>-AD11</f>
        <v>0</v>
      </c>
    </row>
    <row r="80" spans="1:30" x14ac:dyDescent="0.25">
      <c r="A80" s="272"/>
      <c r="B80" s="287" t="s">
        <v>426</v>
      </c>
      <c r="C80" s="287"/>
      <c r="D80" s="405">
        <v>0</v>
      </c>
      <c r="E80" s="405">
        <v>0</v>
      </c>
      <c r="F80" s="405">
        <v>0</v>
      </c>
      <c r="G80" s="405">
        <v>0</v>
      </c>
      <c r="H80" s="405">
        <v>0</v>
      </c>
      <c r="I80" s="405">
        <v>0</v>
      </c>
      <c r="J80" s="405">
        <v>0</v>
      </c>
      <c r="K80" s="405">
        <v>0</v>
      </c>
      <c r="L80" s="405">
        <v>0</v>
      </c>
      <c r="M80" s="405">
        <v>0</v>
      </c>
      <c r="N80" s="405">
        <v>0</v>
      </c>
      <c r="O80" s="405">
        <v>0</v>
      </c>
      <c r="P80" s="405">
        <v>0</v>
      </c>
      <c r="Q80" s="405">
        <v>0</v>
      </c>
      <c r="R80" s="390">
        <v>0</v>
      </c>
      <c r="S80" s="357"/>
      <c r="T80" s="389">
        <v>0</v>
      </c>
      <c r="U80" s="405">
        <v>0</v>
      </c>
      <c r="V80" s="405">
        <v>0</v>
      </c>
      <c r="W80" s="405">
        <v>0</v>
      </c>
      <c r="X80" s="405">
        <v>0</v>
      </c>
      <c r="Y80" s="405">
        <v>0</v>
      </c>
      <c r="Z80" s="405">
        <v>0</v>
      </c>
      <c r="AA80" s="390">
        <v>0</v>
      </c>
      <c r="AB80" s="368"/>
      <c r="AC80" s="389">
        <v>0</v>
      </c>
      <c r="AD80" s="390">
        <v>0</v>
      </c>
    </row>
    <row r="81" spans="1:30" x14ac:dyDescent="0.25">
      <c r="A81" s="272"/>
      <c r="B81" s="287" t="s">
        <v>452</v>
      </c>
      <c r="C81" s="287"/>
      <c r="D81" s="405">
        <f t="shared" ref="D81:R81" si="66">-D14</f>
        <v>0</v>
      </c>
      <c r="E81" s="405">
        <f t="shared" si="66"/>
        <v>0</v>
      </c>
      <c r="F81" s="405">
        <f t="shared" si="66"/>
        <v>0</v>
      </c>
      <c r="G81" s="405">
        <f t="shared" si="66"/>
        <v>0</v>
      </c>
      <c r="H81" s="405">
        <f t="shared" si="66"/>
        <v>0</v>
      </c>
      <c r="I81" s="405">
        <f t="shared" si="66"/>
        <v>0</v>
      </c>
      <c r="J81" s="405">
        <f t="shared" si="66"/>
        <v>0</v>
      </c>
      <c r="K81" s="405">
        <f t="shared" si="66"/>
        <v>0</v>
      </c>
      <c r="L81" s="405">
        <f t="shared" si="66"/>
        <v>0</v>
      </c>
      <c r="M81" s="405">
        <f t="shared" si="66"/>
        <v>0</v>
      </c>
      <c r="N81" s="405">
        <f t="shared" si="66"/>
        <v>0</v>
      </c>
      <c r="O81" s="405">
        <f t="shared" si="66"/>
        <v>0</v>
      </c>
      <c r="P81" s="405">
        <f t="shared" si="66"/>
        <v>0</v>
      </c>
      <c r="Q81" s="405">
        <f t="shared" si="66"/>
        <v>0</v>
      </c>
      <c r="R81" s="390">
        <f t="shared" si="66"/>
        <v>0</v>
      </c>
      <c r="T81" s="389">
        <f t="shared" ref="T81:AA81" si="67">-T14</f>
        <v>0</v>
      </c>
      <c r="U81" s="405">
        <f t="shared" si="67"/>
        <v>0</v>
      </c>
      <c r="V81" s="405">
        <f t="shared" si="67"/>
        <v>0</v>
      </c>
      <c r="W81" s="405">
        <f t="shared" si="67"/>
        <v>0</v>
      </c>
      <c r="X81" s="405">
        <f t="shared" si="67"/>
        <v>0</v>
      </c>
      <c r="Y81" s="405">
        <f t="shared" si="67"/>
        <v>0</v>
      </c>
      <c r="Z81" s="405">
        <f t="shared" si="67"/>
        <v>0</v>
      </c>
      <c r="AA81" s="390">
        <f t="shared" si="67"/>
        <v>0</v>
      </c>
      <c r="AB81" s="368"/>
      <c r="AC81" s="389">
        <f>-AC14</f>
        <v>0</v>
      </c>
      <c r="AD81" s="390">
        <f>-AD14</f>
        <v>0</v>
      </c>
    </row>
    <row r="82" spans="1:30" x14ac:dyDescent="0.25">
      <c r="A82" s="272"/>
      <c r="B82" s="287" t="s">
        <v>453</v>
      </c>
      <c r="C82" s="287"/>
      <c r="D82" s="405">
        <f t="shared" ref="D82:R82" si="68">-D16</f>
        <v>0</v>
      </c>
      <c r="E82" s="405">
        <f t="shared" si="68"/>
        <v>0</v>
      </c>
      <c r="F82" s="405">
        <f t="shared" si="68"/>
        <v>0</v>
      </c>
      <c r="G82" s="405">
        <f t="shared" si="68"/>
        <v>0</v>
      </c>
      <c r="H82" s="405">
        <f t="shared" si="68"/>
        <v>0</v>
      </c>
      <c r="I82" s="405">
        <f t="shared" si="68"/>
        <v>0</v>
      </c>
      <c r="J82" s="405">
        <f t="shared" si="68"/>
        <v>0</v>
      </c>
      <c r="K82" s="405">
        <f t="shared" si="68"/>
        <v>0</v>
      </c>
      <c r="L82" s="405">
        <f t="shared" si="68"/>
        <v>0</v>
      </c>
      <c r="M82" s="405">
        <f t="shared" si="68"/>
        <v>0</v>
      </c>
      <c r="N82" s="405">
        <f t="shared" si="68"/>
        <v>0</v>
      </c>
      <c r="O82" s="405">
        <f t="shared" si="68"/>
        <v>0</v>
      </c>
      <c r="P82" s="405">
        <f t="shared" si="68"/>
        <v>0</v>
      </c>
      <c r="Q82" s="405">
        <f t="shared" si="68"/>
        <v>0</v>
      </c>
      <c r="R82" s="390">
        <f t="shared" si="68"/>
        <v>0</v>
      </c>
      <c r="T82" s="389">
        <f t="shared" ref="T82:AA82" si="69">-T16</f>
        <v>0</v>
      </c>
      <c r="U82" s="405">
        <f t="shared" si="69"/>
        <v>0</v>
      </c>
      <c r="V82" s="405">
        <f t="shared" si="69"/>
        <v>0</v>
      </c>
      <c r="W82" s="405">
        <f t="shared" si="69"/>
        <v>0</v>
      </c>
      <c r="X82" s="405">
        <f t="shared" si="69"/>
        <v>0</v>
      </c>
      <c r="Y82" s="405">
        <f t="shared" si="69"/>
        <v>0</v>
      </c>
      <c r="Z82" s="405">
        <f t="shared" si="69"/>
        <v>0</v>
      </c>
      <c r="AA82" s="390">
        <f t="shared" si="69"/>
        <v>0</v>
      </c>
      <c r="AB82" s="368"/>
      <c r="AC82" s="389">
        <f>-AC16</f>
        <v>0</v>
      </c>
      <c r="AD82" s="390">
        <f>-AD16</f>
        <v>0</v>
      </c>
    </row>
    <row r="83" spans="1:30" x14ac:dyDescent="0.25">
      <c r="A83" s="278"/>
      <c r="B83" s="294" t="s">
        <v>454</v>
      </c>
      <c r="C83" s="294"/>
      <c r="D83" s="372">
        <f t="shared" ref="D83:F83" si="70">D73</f>
        <v>0</v>
      </c>
      <c r="E83" s="372">
        <f t="shared" si="70"/>
        <v>0</v>
      </c>
      <c r="F83" s="372">
        <f t="shared" si="70"/>
        <v>0</v>
      </c>
      <c r="G83" s="372">
        <f t="shared" ref="G83:O83" si="71">G73</f>
        <v>0</v>
      </c>
      <c r="H83" s="372">
        <f t="shared" si="71"/>
        <v>0</v>
      </c>
      <c r="I83" s="372">
        <f t="shared" si="71"/>
        <v>0</v>
      </c>
      <c r="J83" s="372">
        <f t="shared" si="71"/>
        <v>0</v>
      </c>
      <c r="K83" s="372">
        <f t="shared" si="71"/>
        <v>0</v>
      </c>
      <c r="L83" s="372">
        <f t="shared" si="71"/>
        <v>0</v>
      </c>
      <c r="M83" s="372">
        <f t="shared" si="71"/>
        <v>0</v>
      </c>
      <c r="N83" s="372">
        <f t="shared" si="71"/>
        <v>0</v>
      </c>
      <c r="O83" s="372">
        <f t="shared" si="71"/>
        <v>0</v>
      </c>
      <c r="P83" s="372">
        <f t="shared" ref="P83:R83" si="72">P73</f>
        <v>0</v>
      </c>
      <c r="Q83" s="372">
        <f t="shared" si="72"/>
        <v>0</v>
      </c>
      <c r="R83" s="392">
        <f t="shared" si="72"/>
        <v>0</v>
      </c>
      <c r="T83" s="391">
        <f t="shared" ref="T83:AA83" si="73">T73</f>
        <v>0</v>
      </c>
      <c r="U83" s="372">
        <f t="shared" si="73"/>
        <v>0</v>
      </c>
      <c r="V83" s="372">
        <f t="shared" si="73"/>
        <v>0</v>
      </c>
      <c r="W83" s="372">
        <f t="shared" si="73"/>
        <v>0</v>
      </c>
      <c r="X83" s="372">
        <f t="shared" si="73"/>
        <v>0</v>
      </c>
      <c r="Y83" s="372">
        <f t="shared" si="73"/>
        <v>0</v>
      </c>
      <c r="Z83" s="372">
        <f t="shared" si="73"/>
        <v>0</v>
      </c>
      <c r="AA83" s="392">
        <f t="shared" si="73"/>
        <v>0</v>
      </c>
      <c r="AB83" s="369"/>
      <c r="AC83" s="391">
        <f>AC73</f>
        <v>0</v>
      </c>
      <c r="AD83" s="392">
        <f>AD73</f>
        <v>0</v>
      </c>
    </row>
    <row r="84" spans="1:30" ht="13" x14ac:dyDescent="0.3">
      <c r="A84" s="274" t="s">
        <v>455</v>
      </c>
      <c r="B84" s="300"/>
      <c r="C84" s="275"/>
      <c r="D84" s="362">
        <f t="shared" ref="D84:F84" si="74">SUM(D77:D83)</f>
        <v>0</v>
      </c>
      <c r="E84" s="362">
        <f t="shared" si="74"/>
        <v>0</v>
      </c>
      <c r="F84" s="362">
        <f t="shared" si="74"/>
        <v>0</v>
      </c>
      <c r="G84" s="362">
        <f t="shared" ref="G84:AD84" si="75">SUM(G77:G83)</f>
        <v>0</v>
      </c>
      <c r="H84" s="362">
        <f t="shared" si="75"/>
        <v>0</v>
      </c>
      <c r="I84" s="362">
        <f t="shared" si="75"/>
        <v>0</v>
      </c>
      <c r="J84" s="362">
        <f t="shared" si="75"/>
        <v>0</v>
      </c>
      <c r="K84" s="362">
        <f t="shared" si="75"/>
        <v>0</v>
      </c>
      <c r="L84" s="362">
        <f t="shared" si="75"/>
        <v>0</v>
      </c>
      <c r="M84" s="362">
        <f t="shared" si="75"/>
        <v>0</v>
      </c>
      <c r="N84" s="362">
        <f t="shared" si="75"/>
        <v>0</v>
      </c>
      <c r="O84" s="362">
        <f t="shared" si="75"/>
        <v>0</v>
      </c>
      <c r="P84" s="362">
        <f t="shared" ref="P84:R84" si="76">SUM(P77:P83)</f>
        <v>0</v>
      </c>
      <c r="Q84" s="362">
        <f t="shared" si="76"/>
        <v>0</v>
      </c>
      <c r="R84" s="363">
        <f t="shared" si="76"/>
        <v>0</v>
      </c>
      <c r="T84" s="364">
        <f t="shared" si="75"/>
        <v>0</v>
      </c>
      <c r="U84" s="362">
        <f t="shared" si="75"/>
        <v>0</v>
      </c>
      <c r="V84" s="362">
        <f t="shared" si="75"/>
        <v>0</v>
      </c>
      <c r="W84" s="362">
        <f t="shared" si="75"/>
        <v>0</v>
      </c>
      <c r="X84" s="362">
        <f t="shared" si="75"/>
        <v>0</v>
      </c>
      <c r="Y84" s="362">
        <f t="shared" si="75"/>
        <v>0</v>
      </c>
      <c r="Z84" s="362">
        <f t="shared" si="75"/>
        <v>0</v>
      </c>
      <c r="AA84" s="363">
        <f t="shared" si="75"/>
        <v>0</v>
      </c>
      <c r="AB84" s="365"/>
      <c r="AC84" s="364">
        <f t="shared" si="75"/>
        <v>0</v>
      </c>
      <c r="AD84" s="363">
        <f t="shared" si="75"/>
        <v>0</v>
      </c>
    </row>
    <row r="85" spans="1:30" x14ac:dyDescent="0.25">
      <c r="A85" s="272"/>
      <c r="B85" s="287"/>
      <c r="C85" s="287"/>
      <c r="D85" s="406"/>
      <c r="E85" s="406"/>
      <c r="F85" s="406"/>
      <c r="G85" s="406"/>
      <c r="H85" s="406"/>
      <c r="I85" s="405"/>
      <c r="J85" s="405"/>
      <c r="K85" s="405"/>
      <c r="L85" s="405"/>
      <c r="M85" s="405"/>
      <c r="N85" s="405"/>
      <c r="O85" s="405"/>
      <c r="P85" s="405"/>
      <c r="Q85" s="405"/>
      <c r="R85" s="390"/>
      <c r="T85" s="398"/>
      <c r="U85" s="406"/>
      <c r="V85" s="406"/>
      <c r="W85" s="406"/>
      <c r="X85" s="406"/>
      <c r="Y85" s="406"/>
      <c r="Z85" s="406"/>
      <c r="AA85" s="399"/>
      <c r="AB85" s="368"/>
      <c r="AC85" s="398"/>
      <c r="AD85" s="399"/>
    </row>
    <row r="86" spans="1:30" x14ac:dyDescent="0.25">
      <c r="A86" s="272"/>
      <c r="B86" s="287" t="s">
        <v>456</v>
      </c>
      <c r="C86" s="287"/>
      <c r="D86" s="406">
        <f t="shared" ref="D86:R86" si="77">D31</f>
        <v>0</v>
      </c>
      <c r="E86" s="406">
        <f t="shared" si="77"/>
        <v>0</v>
      </c>
      <c r="F86" s="406">
        <f t="shared" si="77"/>
        <v>0</v>
      </c>
      <c r="G86" s="406">
        <f t="shared" si="77"/>
        <v>0</v>
      </c>
      <c r="H86" s="406">
        <f t="shared" si="77"/>
        <v>0</v>
      </c>
      <c r="I86" s="405">
        <f t="shared" si="77"/>
        <v>0</v>
      </c>
      <c r="J86" s="405">
        <f t="shared" si="77"/>
        <v>0</v>
      </c>
      <c r="K86" s="405">
        <f t="shared" si="77"/>
        <v>0</v>
      </c>
      <c r="L86" s="405">
        <f t="shared" si="77"/>
        <v>0</v>
      </c>
      <c r="M86" s="405">
        <f t="shared" si="77"/>
        <v>0</v>
      </c>
      <c r="N86" s="405">
        <f t="shared" si="77"/>
        <v>0</v>
      </c>
      <c r="O86" s="405">
        <f t="shared" si="77"/>
        <v>0</v>
      </c>
      <c r="P86" s="405">
        <f t="shared" si="77"/>
        <v>0</v>
      </c>
      <c r="Q86" s="405">
        <f t="shared" si="77"/>
        <v>0</v>
      </c>
      <c r="R86" s="390">
        <f t="shared" si="77"/>
        <v>0</v>
      </c>
      <c r="T86" s="398">
        <f t="shared" ref="T86:AA86" si="78">T31</f>
        <v>0</v>
      </c>
      <c r="U86" s="406">
        <f t="shared" si="78"/>
        <v>0</v>
      </c>
      <c r="V86" s="406">
        <f t="shared" si="78"/>
        <v>0</v>
      </c>
      <c r="W86" s="406">
        <f t="shared" si="78"/>
        <v>0</v>
      </c>
      <c r="X86" s="406">
        <f t="shared" si="78"/>
        <v>0</v>
      </c>
      <c r="Y86" s="406">
        <f t="shared" si="78"/>
        <v>0</v>
      </c>
      <c r="Z86" s="406">
        <f t="shared" si="78"/>
        <v>0</v>
      </c>
      <c r="AA86" s="399">
        <f t="shared" si="78"/>
        <v>0</v>
      </c>
      <c r="AB86" s="368"/>
      <c r="AC86" s="398">
        <f>AC31</f>
        <v>0</v>
      </c>
      <c r="AD86" s="399">
        <f>AD31</f>
        <v>0</v>
      </c>
    </row>
    <row r="87" spans="1:30" x14ac:dyDescent="0.25">
      <c r="A87" s="272"/>
      <c r="B87" s="287" t="s">
        <v>411</v>
      </c>
      <c r="C87" s="287"/>
      <c r="D87" s="406">
        <f t="shared" ref="D87:R87" si="79">-D13</f>
        <v>0</v>
      </c>
      <c r="E87" s="406">
        <f t="shared" si="79"/>
        <v>0</v>
      </c>
      <c r="F87" s="406">
        <f t="shared" si="79"/>
        <v>0</v>
      </c>
      <c r="G87" s="406">
        <f t="shared" si="79"/>
        <v>0</v>
      </c>
      <c r="H87" s="406">
        <f t="shared" si="79"/>
        <v>0</v>
      </c>
      <c r="I87" s="405">
        <f t="shared" si="79"/>
        <v>0</v>
      </c>
      <c r="J87" s="405">
        <f t="shared" si="79"/>
        <v>0</v>
      </c>
      <c r="K87" s="405">
        <f t="shared" si="79"/>
        <v>0</v>
      </c>
      <c r="L87" s="405">
        <f t="shared" si="79"/>
        <v>0</v>
      </c>
      <c r="M87" s="405">
        <f t="shared" si="79"/>
        <v>0</v>
      </c>
      <c r="N87" s="405">
        <f t="shared" si="79"/>
        <v>0</v>
      </c>
      <c r="O87" s="405">
        <f t="shared" si="79"/>
        <v>0</v>
      </c>
      <c r="P87" s="405">
        <f t="shared" si="79"/>
        <v>0</v>
      </c>
      <c r="Q87" s="405">
        <f t="shared" si="79"/>
        <v>0</v>
      </c>
      <c r="R87" s="390">
        <f t="shared" si="79"/>
        <v>0</v>
      </c>
      <c r="T87" s="398">
        <f t="shared" ref="T87:AA87" si="80">-T13</f>
        <v>0</v>
      </c>
      <c r="U87" s="406">
        <f t="shared" si="80"/>
        <v>0</v>
      </c>
      <c r="V87" s="406">
        <f t="shared" si="80"/>
        <v>0</v>
      </c>
      <c r="W87" s="406">
        <f t="shared" si="80"/>
        <v>0</v>
      </c>
      <c r="X87" s="406">
        <f t="shared" si="80"/>
        <v>0</v>
      </c>
      <c r="Y87" s="406">
        <f t="shared" si="80"/>
        <v>0</v>
      </c>
      <c r="Z87" s="406">
        <f t="shared" si="80"/>
        <v>0</v>
      </c>
      <c r="AA87" s="399">
        <f t="shared" si="80"/>
        <v>0</v>
      </c>
      <c r="AB87" s="368"/>
      <c r="AC87" s="398">
        <f>-AC13</f>
        <v>0</v>
      </c>
      <c r="AD87" s="399">
        <f>-AD13</f>
        <v>0</v>
      </c>
    </row>
    <row r="88" spans="1:30" x14ac:dyDescent="0.25">
      <c r="A88" s="272"/>
      <c r="B88" s="287" t="s">
        <v>451</v>
      </c>
      <c r="C88" s="287"/>
      <c r="D88" s="406">
        <f t="shared" ref="D88:R88" si="81">-D11</f>
        <v>0</v>
      </c>
      <c r="E88" s="406">
        <f t="shared" si="81"/>
        <v>0</v>
      </c>
      <c r="F88" s="406">
        <f t="shared" si="81"/>
        <v>0</v>
      </c>
      <c r="G88" s="406">
        <f t="shared" si="81"/>
        <v>0</v>
      </c>
      <c r="H88" s="406">
        <f t="shared" si="81"/>
        <v>0</v>
      </c>
      <c r="I88" s="405">
        <f t="shared" si="81"/>
        <v>0</v>
      </c>
      <c r="J88" s="405">
        <f t="shared" si="81"/>
        <v>0</v>
      </c>
      <c r="K88" s="405">
        <f t="shared" si="81"/>
        <v>0</v>
      </c>
      <c r="L88" s="405">
        <f t="shared" si="81"/>
        <v>0</v>
      </c>
      <c r="M88" s="405">
        <f t="shared" si="81"/>
        <v>0</v>
      </c>
      <c r="N88" s="405">
        <f t="shared" si="81"/>
        <v>0</v>
      </c>
      <c r="O88" s="405">
        <f t="shared" si="81"/>
        <v>0</v>
      </c>
      <c r="P88" s="405">
        <f t="shared" si="81"/>
        <v>0</v>
      </c>
      <c r="Q88" s="405">
        <f t="shared" si="81"/>
        <v>0</v>
      </c>
      <c r="R88" s="390">
        <f t="shared" si="81"/>
        <v>0</v>
      </c>
      <c r="T88" s="398">
        <f t="shared" ref="T88:AA88" si="82">-T11</f>
        <v>0</v>
      </c>
      <c r="U88" s="406">
        <f t="shared" si="82"/>
        <v>0</v>
      </c>
      <c r="V88" s="406">
        <f t="shared" si="82"/>
        <v>0</v>
      </c>
      <c r="W88" s="406">
        <f t="shared" si="82"/>
        <v>0</v>
      </c>
      <c r="X88" s="406">
        <f t="shared" si="82"/>
        <v>0</v>
      </c>
      <c r="Y88" s="406">
        <f t="shared" si="82"/>
        <v>0</v>
      </c>
      <c r="Z88" s="406">
        <f t="shared" si="82"/>
        <v>0</v>
      </c>
      <c r="AA88" s="399">
        <f t="shared" si="82"/>
        <v>0</v>
      </c>
      <c r="AB88" s="368"/>
      <c r="AC88" s="398">
        <f>-AC11</f>
        <v>0</v>
      </c>
      <c r="AD88" s="399">
        <f>-AD11</f>
        <v>0</v>
      </c>
    </row>
    <row r="89" spans="1:30" x14ac:dyDescent="0.25">
      <c r="A89" s="272"/>
      <c r="B89" s="287" t="s">
        <v>426</v>
      </c>
      <c r="C89" s="287"/>
      <c r="D89" s="406">
        <f t="shared" ref="D89:R89" si="83">-D29</f>
        <v>0</v>
      </c>
      <c r="E89" s="406">
        <f t="shared" si="83"/>
        <v>0</v>
      </c>
      <c r="F89" s="406">
        <f t="shared" si="83"/>
        <v>0</v>
      </c>
      <c r="G89" s="406">
        <f t="shared" si="83"/>
        <v>0</v>
      </c>
      <c r="H89" s="406">
        <f t="shared" si="83"/>
        <v>0</v>
      </c>
      <c r="I89" s="405">
        <f t="shared" si="83"/>
        <v>0</v>
      </c>
      <c r="J89" s="405">
        <f t="shared" si="83"/>
        <v>0</v>
      </c>
      <c r="K89" s="405">
        <f t="shared" si="83"/>
        <v>0</v>
      </c>
      <c r="L89" s="405">
        <f t="shared" si="83"/>
        <v>0</v>
      </c>
      <c r="M89" s="405">
        <f t="shared" si="83"/>
        <v>0</v>
      </c>
      <c r="N89" s="405">
        <f t="shared" si="83"/>
        <v>0</v>
      </c>
      <c r="O89" s="405">
        <f t="shared" si="83"/>
        <v>0</v>
      </c>
      <c r="P89" s="405">
        <f t="shared" si="83"/>
        <v>0</v>
      </c>
      <c r="Q89" s="405">
        <f t="shared" si="83"/>
        <v>0</v>
      </c>
      <c r="R89" s="390">
        <f t="shared" si="83"/>
        <v>0</v>
      </c>
      <c r="T89" s="398">
        <f t="shared" ref="T89:AA89" si="84">-T29</f>
        <v>0</v>
      </c>
      <c r="U89" s="406">
        <f t="shared" si="84"/>
        <v>0</v>
      </c>
      <c r="V89" s="406">
        <f t="shared" si="84"/>
        <v>0</v>
      </c>
      <c r="W89" s="406">
        <f t="shared" si="84"/>
        <v>0</v>
      </c>
      <c r="X89" s="406">
        <f t="shared" si="84"/>
        <v>0</v>
      </c>
      <c r="Y89" s="406">
        <f t="shared" si="84"/>
        <v>0</v>
      </c>
      <c r="Z89" s="406">
        <f t="shared" si="84"/>
        <v>0</v>
      </c>
      <c r="AA89" s="399">
        <f t="shared" si="84"/>
        <v>0</v>
      </c>
      <c r="AB89" s="368"/>
      <c r="AC89" s="398">
        <f>-AC29</f>
        <v>0</v>
      </c>
      <c r="AD89" s="399">
        <f>-AD29</f>
        <v>0</v>
      </c>
    </row>
    <row r="90" spans="1:30" x14ac:dyDescent="0.25">
      <c r="A90" s="272"/>
      <c r="B90" s="287" t="s">
        <v>452</v>
      </c>
      <c r="C90" s="287"/>
      <c r="D90" s="406">
        <f t="shared" ref="D90:R90" si="85">-D14</f>
        <v>0</v>
      </c>
      <c r="E90" s="406">
        <f t="shared" si="85"/>
        <v>0</v>
      </c>
      <c r="F90" s="406">
        <f t="shared" si="85"/>
        <v>0</v>
      </c>
      <c r="G90" s="406">
        <f t="shared" si="85"/>
        <v>0</v>
      </c>
      <c r="H90" s="406">
        <f t="shared" si="85"/>
        <v>0</v>
      </c>
      <c r="I90" s="405">
        <f t="shared" si="85"/>
        <v>0</v>
      </c>
      <c r="J90" s="405">
        <f t="shared" si="85"/>
        <v>0</v>
      </c>
      <c r="K90" s="405">
        <f t="shared" si="85"/>
        <v>0</v>
      </c>
      <c r="L90" s="405">
        <f t="shared" si="85"/>
        <v>0</v>
      </c>
      <c r="M90" s="405">
        <f t="shared" si="85"/>
        <v>0</v>
      </c>
      <c r="N90" s="405">
        <f t="shared" si="85"/>
        <v>0</v>
      </c>
      <c r="O90" s="405">
        <f t="shared" si="85"/>
        <v>0</v>
      </c>
      <c r="P90" s="405">
        <f t="shared" si="85"/>
        <v>0</v>
      </c>
      <c r="Q90" s="405">
        <f t="shared" si="85"/>
        <v>0</v>
      </c>
      <c r="R90" s="390">
        <f t="shared" si="85"/>
        <v>0</v>
      </c>
      <c r="T90" s="398">
        <f t="shared" ref="T90:AA90" si="86">-T14</f>
        <v>0</v>
      </c>
      <c r="U90" s="406">
        <f t="shared" si="86"/>
        <v>0</v>
      </c>
      <c r="V90" s="406">
        <f t="shared" si="86"/>
        <v>0</v>
      </c>
      <c r="W90" s="406">
        <f t="shared" si="86"/>
        <v>0</v>
      </c>
      <c r="X90" s="406">
        <f t="shared" si="86"/>
        <v>0</v>
      </c>
      <c r="Y90" s="406">
        <f t="shared" si="86"/>
        <v>0</v>
      </c>
      <c r="Z90" s="406">
        <f t="shared" si="86"/>
        <v>0</v>
      </c>
      <c r="AA90" s="399">
        <f t="shared" si="86"/>
        <v>0</v>
      </c>
      <c r="AB90" s="368"/>
      <c r="AC90" s="398">
        <f>-AC14</f>
        <v>0</v>
      </c>
      <c r="AD90" s="399">
        <f>-AD14</f>
        <v>0</v>
      </c>
    </row>
    <row r="91" spans="1:30" x14ac:dyDescent="0.25">
      <c r="A91" s="272"/>
      <c r="B91" s="287" t="s">
        <v>453</v>
      </c>
      <c r="C91" s="287"/>
      <c r="D91" s="406">
        <f t="shared" ref="D91:R91" si="87">-(D16+D28)</f>
        <v>0</v>
      </c>
      <c r="E91" s="406">
        <f t="shared" si="87"/>
        <v>0</v>
      </c>
      <c r="F91" s="406">
        <f t="shared" si="87"/>
        <v>0</v>
      </c>
      <c r="G91" s="406">
        <f t="shared" si="87"/>
        <v>0</v>
      </c>
      <c r="H91" s="406">
        <f t="shared" si="87"/>
        <v>0</v>
      </c>
      <c r="I91" s="405">
        <f t="shared" si="87"/>
        <v>0</v>
      </c>
      <c r="J91" s="405">
        <f t="shared" si="87"/>
        <v>0</v>
      </c>
      <c r="K91" s="405">
        <f t="shared" si="87"/>
        <v>0</v>
      </c>
      <c r="L91" s="405">
        <f t="shared" si="87"/>
        <v>0</v>
      </c>
      <c r="M91" s="405">
        <f t="shared" si="87"/>
        <v>0</v>
      </c>
      <c r="N91" s="405">
        <f t="shared" si="87"/>
        <v>0</v>
      </c>
      <c r="O91" s="405">
        <f t="shared" si="87"/>
        <v>0</v>
      </c>
      <c r="P91" s="405">
        <f t="shared" si="87"/>
        <v>0</v>
      </c>
      <c r="Q91" s="405">
        <f t="shared" si="87"/>
        <v>0</v>
      </c>
      <c r="R91" s="390">
        <f t="shared" si="87"/>
        <v>0</v>
      </c>
      <c r="T91" s="398">
        <f t="shared" ref="T91:AA91" si="88">-(T16+T28)</f>
        <v>0</v>
      </c>
      <c r="U91" s="406">
        <f t="shared" si="88"/>
        <v>0</v>
      </c>
      <c r="V91" s="406">
        <f t="shared" si="88"/>
        <v>0</v>
      </c>
      <c r="W91" s="406">
        <f t="shared" si="88"/>
        <v>0</v>
      </c>
      <c r="X91" s="406">
        <f t="shared" si="88"/>
        <v>0</v>
      </c>
      <c r="Y91" s="406">
        <f t="shared" si="88"/>
        <v>0</v>
      </c>
      <c r="Z91" s="406">
        <f t="shared" si="88"/>
        <v>0</v>
      </c>
      <c r="AA91" s="399">
        <f t="shared" si="88"/>
        <v>0</v>
      </c>
      <c r="AB91" s="368"/>
      <c r="AC91" s="398">
        <f>-(AC16+AC28)</f>
        <v>0</v>
      </c>
      <c r="AD91" s="399">
        <f>-(AD16+AD28)</f>
        <v>0</v>
      </c>
    </row>
    <row r="92" spans="1:30" x14ac:dyDescent="0.25">
      <c r="A92" s="278"/>
      <c r="B92" s="294" t="s">
        <v>454</v>
      </c>
      <c r="C92" s="294"/>
      <c r="D92" s="407">
        <f t="shared" ref="D92:F92" si="89">D73</f>
        <v>0</v>
      </c>
      <c r="E92" s="407">
        <f t="shared" si="89"/>
        <v>0</v>
      </c>
      <c r="F92" s="407">
        <f t="shared" si="89"/>
        <v>0</v>
      </c>
      <c r="G92" s="407">
        <f t="shared" ref="G92:I92" si="90">G73</f>
        <v>0</v>
      </c>
      <c r="H92" s="407">
        <f t="shared" si="90"/>
        <v>0</v>
      </c>
      <c r="I92" s="372">
        <f t="shared" si="90"/>
        <v>0</v>
      </c>
      <c r="J92" s="372">
        <f>J73</f>
        <v>0</v>
      </c>
      <c r="K92" s="372">
        <f>K73</f>
        <v>0</v>
      </c>
      <c r="L92" s="372">
        <f>L73</f>
        <v>0</v>
      </c>
      <c r="M92" s="372">
        <f>M73</f>
        <v>0</v>
      </c>
      <c r="N92" s="372">
        <f t="shared" ref="N92:O92" si="91">N73</f>
        <v>0</v>
      </c>
      <c r="O92" s="372">
        <f t="shared" si="91"/>
        <v>0</v>
      </c>
      <c r="P92" s="372">
        <f t="shared" ref="P92:R92" si="92">P73</f>
        <v>0</v>
      </c>
      <c r="Q92" s="372">
        <f t="shared" si="92"/>
        <v>0</v>
      </c>
      <c r="R92" s="392">
        <f t="shared" si="92"/>
        <v>0</v>
      </c>
      <c r="T92" s="400">
        <f t="shared" ref="T92:AA92" si="93">T73</f>
        <v>0</v>
      </c>
      <c r="U92" s="407">
        <f t="shared" si="93"/>
        <v>0</v>
      </c>
      <c r="V92" s="407">
        <f t="shared" si="93"/>
        <v>0</v>
      </c>
      <c r="W92" s="407">
        <f t="shared" si="93"/>
        <v>0</v>
      </c>
      <c r="X92" s="407">
        <f t="shared" si="93"/>
        <v>0</v>
      </c>
      <c r="Y92" s="407">
        <f t="shared" si="93"/>
        <v>0</v>
      </c>
      <c r="Z92" s="407">
        <f t="shared" si="93"/>
        <v>0</v>
      </c>
      <c r="AA92" s="401">
        <f t="shared" si="93"/>
        <v>0</v>
      </c>
      <c r="AB92" s="369"/>
      <c r="AC92" s="400">
        <f t="shared" ref="AC92:AD92" si="94">AC73</f>
        <v>0</v>
      </c>
      <c r="AD92" s="401">
        <f t="shared" si="94"/>
        <v>0</v>
      </c>
    </row>
    <row r="93" spans="1:30" ht="13.5" thickBot="1" x14ac:dyDescent="0.35">
      <c r="A93" s="274" t="s">
        <v>457</v>
      </c>
      <c r="B93" s="300"/>
      <c r="C93" s="275"/>
      <c r="D93" s="362">
        <f t="shared" ref="D93:F93" si="95">SUM(D86:D92)</f>
        <v>0</v>
      </c>
      <c r="E93" s="362">
        <f t="shared" si="95"/>
        <v>0</v>
      </c>
      <c r="F93" s="362">
        <f t="shared" si="95"/>
        <v>0</v>
      </c>
      <c r="G93" s="362">
        <f t="shared" ref="G93:N93" si="96">SUM(G86:G92)</f>
        <v>0</v>
      </c>
      <c r="H93" s="362">
        <f t="shared" si="96"/>
        <v>0</v>
      </c>
      <c r="I93" s="362">
        <f t="shared" si="96"/>
        <v>0</v>
      </c>
      <c r="J93" s="362">
        <f t="shared" si="96"/>
        <v>0</v>
      </c>
      <c r="K93" s="362">
        <f t="shared" si="96"/>
        <v>0</v>
      </c>
      <c r="L93" s="362">
        <f t="shared" si="96"/>
        <v>0</v>
      </c>
      <c r="M93" s="362">
        <f t="shared" ref="M93" si="97">SUM(M86:M92)</f>
        <v>0</v>
      </c>
      <c r="N93" s="362">
        <f t="shared" si="96"/>
        <v>0</v>
      </c>
      <c r="O93" s="362">
        <f>SUM(O86:O92)</f>
        <v>0</v>
      </c>
      <c r="P93" s="362">
        <f t="shared" ref="P93:R93" si="98">SUM(P86:P92)</f>
        <v>0</v>
      </c>
      <c r="Q93" s="362">
        <f t="shared" si="98"/>
        <v>0</v>
      </c>
      <c r="R93" s="363">
        <f t="shared" si="98"/>
        <v>0</v>
      </c>
      <c r="T93" s="402">
        <f t="shared" ref="T93:AA93" si="99">SUM(T86:T92)</f>
        <v>0</v>
      </c>
      <c r="U93" s="408">
        <f t="shared" si="99"/>
        <v>0</v>
      </c>
      <c r="V93" s="408">
        <f t="shared" si="99"/>
        <v>0</v>
      </c>
      <c r="W93" s="408">
        <f t="shared" si="99"/>
        <v>0</v>
      </c>
      <c r="X93" s="408">
        <f t="shared" si="99"/>
        <v>0</v>
      </c>
      <c r="Y93" s="408">
        <f t="shared" si="99"/>
        <v>0</v>
      </c>
      <c r="Z93" s="408">
        <f t="shared" si="99"/>
        <v>0</v>
      </c>
      <c r="AA93" s="403">
        <f t="shared" si="99"/>
        <v>0</v>
      </c>
      <c r="AB93" s="365"/>
      <c r="AC93" s="402">
        <f t="shared" ref="AC93:AD93" si="100">SUM(AC86:AC92)</f>
        <v>0</v>
      </c>
      <c r="AD93" s="403">
        <f t="shared" si="100"/>
        <v>0</v>
      </c>
    </row>
    <row r="94" spans="1:30" x14ac:dyDescent="0.25">
      <c r="A94" s="272"/>
      <c r="B94" s="301"/>
      <c r="C94" s="301"/>
      <c r="D94" s="109"/>
      <c r="E94" s="109"/>
      <c r="F94" s="109"/>
      <c r="G94" s="109"/>
      <c r="H94" s="109"/>
      <c r="I94" s="36"/>
      <c r="J94" s="36"/>
      <c r="K94" s="36"/>
      <c r="L94" s="36"/>
      <c r="M94" s="36"/>
      <c r="N94" s="36"/>
      <c r="O94" s="36"/>
      <c r="P94" s="36"/>
      <c r="Q94" s="36"/>
      <c r="R94" s="37"/>
      <c r="T94" s="107"/>
      <c r="U94" s="108"/>
      <c r="V94" s="108"/>
      <c r="W94" s="108"/>
      <c r="X94" s="108"/>
      <c r="Y94" s="108"/>
      <c r="Z94" s="108"/>
      <c r="AA94" s="107"/>
      <c r="AB94" s="373"/>
      <c r="AC94" s="107"/>
      <c r="AD94" s="107"/>
    </row>
    <row r="95" spans="1:30" ht="13" x14ac:dyDescent="0.3">
      <c r="A95" s="272"/>
      <c r="B95" s="302" t="s">
        <v>575</v>
      </c>
      <c r="C95" s="303"/>
      <c r="D95" s="113"/>
      <c r="E95" s="113"/>
      <c r="F95" s="113"/>
      <c r="G95" s="113"/>
      <c r="H95" s="113"/>
      <c r="I95" s="113"/>
      <c r="J95" s="113"/>
      <c r="K95" s="113"/>
      <c r="L95" s="113"/>
      <c r="M95" s="113"/>
      <c r="N95" s="113"/>
      <c r="O95" s="113"/>
      <c r="P95" s="113"/>
      <c r="Q95" s="113"/>
      <c r="R95" s="114"/>
      <c r="T95" s="107"/>
      <c r="U95" s="108"/>
      <c r="V95" s="108"/>
      <c r="W95" s="108"/>
      <c r="X95" s="108"/>
      <c r="Y95" s="108"/>
      <c r="Z95" s="108"/>
      <c r="AA95" s="107"/>
      <c r="AB95" s="369"/>
      <c r="AC95" s="107"/>
      <c r="AD95" s="107"/>
    </row>
    <row r="96" spans="1:30" ht="13" x14ac:dyDescent="0.3">
      <c r="A96" s="272"/>
      <c r="B96" s="304" t="s">
        <v>576</v>
      </c>
      <c r="C96" s="305"/>
      <c r="D96" s="242"/>
      <c r="E96" s="242"/>
      <c r="F96" s="242"/>
      <c r="G96" s="242"/>
      <c r="H96" s="242"/>
      <c r="I96" s="242"/>
      <c r="J96" s="242"/>
      <c r="K96" s="242"/>
      <c r="L96" s="242"/>
      <c r="M96" s="242"/>
      <c r="N96" s="242"/>
      <c r="O96" s="242"/>
      <c r="P96" s="242"/>
      <c r="Q96" s="242"/>
      <c r="R96" s="243"/>
      <c r="T96" s="107"/>
      <c r="U96" s="108"/>
      <c r="V96" s="108"/>
      <c r="W96" s="108"/>
      <c r="X96" s="108"/>
      <c r="Y96" s="108"/>
      <c r="Z96" s="108"/>
      <c r="AA96" s="107"/>
      <c r="AB96" s="369"/>
      <c r="AC96" s="107"/>
      <c r="AD96" s="107"/>
    </row>
    <row r="97" spans="1:30" ht="13" x14ac:dyDescent="0.3">
      <c r="A97" s="272"/>
      <c r="B97" s="306" t="s">
        <v>574</v>
      </c>
      <c r="C97" s="307"/>
      <c r="D97" s="244"/>
      <c r="E97" s="244"/>
      <c r="F97" s="244"/>
      <c r="G97" s="244"/>
      <c r="H97" s="244"/>
      <c r="I97" s="244"/>
      <c r="J97" s="244"/>
      <c r="K97" s="244"/>
      <c r="L97" s="244"/>
      <c r="M97" s="244"/>
      <c r="N97" s="244"/>
      <c r="O97" s="244"/>
      <c r="P97" s="244"/>
      <c r="Q97" s="244"/>
      <c r="R97" s="245"/>
      <c r="T97" s="107"/>
      <c r="U97" s="108"/>
      <c r="V97" s="108"/>
      <c r="W97" s="108"/>
      <c r="X97" s="108"/>
      <c r="Y97" s="108"/>
      <c r="Z97" s="108"/>
      <c r="AA97" s="107"/>
      <c r="AB97" s="369"/>
      <c r="AC97" s="107"/>
      <c r="AD97" s="107"/>
    </row>
    <row r="98" spans="1:30" x14ac:dyDescent="0.25">
      <c r="A98" s="272"/>
      <c r="B98" s="308"/>
      <c r="C98" s="308"/>
      <c r="D98" s="421"/>
      <c r="E98" s="421"/>
      <c r="F98" s="421"/>
      <c r="G98" s="421"/>
      <c r="H98" s="421"/>
      <c r="I98" s="422"/>
      <c r="J98" s="422"/>
      <c r="K98" s="422"/>
      <c r="L98" s="422"/>
      <c r="M98" s="422"/>
      <c r="N98" s="422"/>
      <c r="O98" s="422"/>
      <c r="P98" s="422"/>
      <c r="Q98" s="422"/>
      <c r="R98" s="423"/>
      <c r="T98" s="107"/>
      <c r="U98" s="108"/>
      <c r="V98" s="108"/>
      <c r="W98" s="108"/>
      <c r="X98" s="108"/>
      <c r="Y98" s="108"/>
      <c r="Z98" s="108"/>
      <c r="AA98" s="107"/>
      <c r="AB98" s="369"/>
      <c r="AC98" s="107"/>
      <c r="AD98" s="107"/>
    </row>
    <row r="99" spans="1:30" x14ac:dyDescent="0.25">
      <c r="A99" s="272"/>
      <c r="B99" s="287" t="s">
        <v>457</v>
      </c>
      <c r="C99" s="287"/>
      <c r="D99" s="77"/>
      <c r="E99" s="77"/>
      <c r="F99" s="77"/>
      <c r="G99" s="77"/>
      <c r="H99" s="405">
        <f t="shared" ref="H99:I99" si="101">H93</f>
        <v>0</v>
      </c>
      <c r="I99" s="405">
        <f t="shared" si="101"/>
        <v>0</v>
      </c>
      <c r="J99" s="405">
        <f t="shared" ref="J99:O99" si="102">J93</f>
        <v>0</v>
      </c>
      <c r="K99" s="405">
        <f t="shared" si="102"/>
        <v>0</v>
      </c>
      <c r="L99" s="405">
        <f t="shared" si="102"/>
        <v>0</v>
      </c>
      <c r="M99" s="405">
        <f t="shared" si="102"/>
        <v>0</v>
      </c>
      <c r="N99" s="405">
        <f t="shared" si="102"/>
        <v>0</v>
      </c>
      <c r="O99" s="405">
        <f t="shared" si="102"/>
        <v>0</v>
      </c>
      <c r="P99" s="405">
        <f t="shared" ref="P99:R99" si="103">P93</f>
        <v>0</v>
      </c>
      <c r="Q99" s="405">
        <f t="shared" si="103"/>
        <v>0</v>
      </c>
      <c r="R99" s="390">
        <f t="shared" si="103"/>
        <v>0</v>
      </c>
      <c r="T99" s="107"/>
      <c r="U99" s="107"/>
      <c r="V99" s="107"/>
      <c r="W99" s="107"/>
      <c r="X99" s="107"/>
      <c r="Y99" s="107"/>
      <c r="Z99" s="107"/>
      <c r="AA99" s="107"/>
      <c r="AB99" s="369"/>
      <c r="AC99" s="107"/>
      <c r="AD99" s="107"/>
    </row>
    <row r="100" spans="1:30" x14ac:dyDescent="0.25">
      <c r="A100" s="272"/>
      <c r="B100" s="309" t="s">
        <v>573</v>
      </c>
      <c r="C100" s="287"/>
      <c r="D100" s="77"/>
      <c r="E100" s="77"/>
      <c r="F100" s="77"/>
      <c r="G100" s="77"/>
      <c r="H100" s="424">
        <f>-(H27+H24+H21)+(SUM(H21,G21,F21,E21,D21)/5)*(1-H95)+(SUM(H24,G24,F24,E24,D24)/5)*(1-H96)+(SUM(H27,G27,F27,E27,D27)/5)*(1-H97)</f>
        <v>0</v>
      </c>
      <c r="I100" s="424">
        <f t="shared" ref="I100:K100" si="104">-(I27+I24+I21)+(SUM(I21,H21,G21,F21,E21)/5)*(1-I95)+(SUM(I24,H24,G24,F24,E24)/5)*(1-I96)+(SUM(I27,H27,G27,F27,E27)/5)*(1-I97)</f>
        <v>0</v>
      </c>
      <c r="J100" s="424">
        <f t="shared" si="104"/>
        <v>0</v>
      </c>
      <c r="K100" s="424">
        <f t="shared" si="104"/>
        <v>0</v>
      </c>
      <c r="L100" s="424">
        <f t="shared" ref="L100" si="105">-(L27+L24+L21)+(SUM(L21,K21,J21,I21,H21)/5)*(1-L95)+(SUM(L24,K24,J24,I24,H24)/5)*(1-L96)+(SUM(L27,K27,J27,I27,H27)/5)*(1-L97)</f>
        <v>0</v>
      </c>
      <c r="M100" s="424">
        <f t="shared" ref="M100" si="106">-(M27+M24+M21)+(SUM(M21,L21,K21,J21,I21)/5)*(1-M95)+(SUM(M24,L24,K24,J24,I24)/5)*(1-M96)+(SUM(M27,L27,K27,J27,I27)/5)*(1-M97)</f>
        <v>0</v>
      </c>
      <c r="N100" s="424">
        <f t="shared" ref="N100" si="107">-(N27+N24+N21)+(SUM(N21,M21,L21,K21,J21)/5)*(1-N95)+(SUM(N24,M24,L24,K24,J24)/5)*(1-N96)+(SUM(N27,M27,L27,K27,J27)/5)*(1-N97)</f>
        <v>0</v>
      </c>
      <c r="O100" s="424">
        <f t="shared" ref="O100" si="108">-(O27+O24+O21)+(SUM(O21,N21,M21,L21,K21)/5)*(1-O95)+(SUM(O24,N24,M24,L24,K24)/5)*(1-O96)+(SUM(O27,N27,M27,L27,K27)/5)*(1-O97)</f>
        <v>0</v>
      </c>
      <c r="P100" s="424">
        <f t="shared" ref="P100" si="109">-(P27+P24+P21)+(SUM(P21,O21,N21,M21,L21)/5)*(1-P95)+(SUM(P24,O24,N24,M24,L24)/5)*(1-P96)+(SUM(P27,O27,N27,M27,L27)/5)*(1-P97)</f>
        <v>0</v>
      </c>
      <c r="Q100" s="424">
        <f t="shared" ref="Q100" si="110">-(Q27+Q24+Q21)+(SUM(Q21,P21,O21,N21,M21)/5)*(1-Q95)+(SUM(Q24,P24,O24,N24,M24)/5)*(1-Q96)+(SUM(Q27,P27,O27,N27,M27)/5)*(1-Q97)</f>
        <v>0</v>
      </c>
      <c r="R100" s="424">
        <f t="shared" ref="R100" si="111">-(R27+R24+R21)+(SUM(R21,Q21,P21,O21,N21)/5)*(1-R95)+(SUM(R24,Q24,P24,O24,N24)/5)*(1-R96)+(SUM(R27,Q27,P27,O27,N27)/5)*(1-R97)</f>
        <v>0</v>
      </c>
      <c r="T100" s="107"/>
      <c r="U100" s="107"/>
      <c r="V100" s="107"/>
      <c r="W100" s="107"/>
      <c r="X100" s="107"/>
      <c r="Y100" s="107"/>
      <c r="Z100" s="107"/>
      <c r="AA100" s="107"/>
      <c r="AB100" s="369"/>
      <c r="AC100" s="107"/>
      <c r="AD100" s="107"/>
    </row>
    <row r="101" spans="1:30" ht="13" x14ac:dyDescent="0.3">
      <c r="A101" s="274" t="s">
        <v>458</v>
      </c>
      <c r="B101" s="300"/>
      <c r="C101" s="275"/>
      <c r="D101" s="45"/>
      <c r="E101" s="45"/>
      <c r="F101" s="45"/>
      <c r="G101" s="45"/>
      <c r="H101" s="425" t="str">
        <f t="shared" ref="H101:M101" si="112">IF(D21+D24+D27=0,"-",SUM(H99:H100))</f>
        <v>-</v>
      </c>
      <c r="I101" s="425" t="str">
        <f t="shared" si="112"/>
        <v>-</v>
      </c>
      <c r="J101" s="425" t="str">
        <f t="shared" si="112"/>
        <v>-</v>
      </c>
      <c r="K101" s="425" t="str">
        <f t="shared" si="112"/>
        <v>-</v>
      </c>
      <c r="L101" s="425" t="str">
        <f t="shared" si="112"/>
        <v>-</v>
      </c>
      <c r="M101" s="425" t="str">
        <f t="shared" si="112"/>
        <v>-</v>
      </c>
      <c r="N101" s="425" t="str">
        <f t="shared" ref="N101" si="113">IF(J21+J24+J27=0,"-",SUM(N99:N100))</f>
        <v>-</v>
      </c>
      <c r="O101" s="425" t="str">
        <f t="shared" ref="O101" si="114">IF(K21+K24+K27=0,"-",SUM(O99:O100))</f>
        <v>-</v>
      </c>
      <c r="P101" s="425" t="str">
        <f t="shared" ref="P101" si="115">IF(L21+L24+L27=0,"-",SUM(P99:P100))</f>
        <v>-</v>
      </c>
      <c r="Q101" s="425" t="str">
        <f t="shared" ref="Q101" si="116">IF(M21+M24+M27=0,"-",SUM(Q99:Q100))</f>
        <v>-</v>
      </c>
      <c r="R101" s="426" t="str">
        <f t="shared" ref="R101" si="117">IF(N21+N24+N27=0,"-",SUM(R99:R100))</f>
        <v>-</v>
      </c>
      <c r="T101" s="107"/>
      <c r="U101" s="107"/>
      <c r="V101" s="107"/>
      <c r="W101" s="107"/>
      <c r="X101" s="107"/>
      <c r="Y101" s="107"/>
      <c r="Z101" s="107"/>
      <c r="AA101" s="107"/>
      <c r="AB101" s="369"/>
      <c r="AC101" s="107"/>
      <c r="AD101" s="107"/>
    </row>
    <row r="102" spans="1:30" x14ac:dyDescent="0.25">
      <c r="A102" s="272"/>
      <c r="B102" s="287"/>
      <c r="C102" s="287"/>
      <c r="D102" s="406"/>
      <c r="E102" s="406"/>
      <c r="F102" s="406"/>
      <c r="G102" s="406"/>
      <c r="H102" s="406"/>
      <c r="I102" s="405"/>
      <c r="J102" s="405"/>
      <c r="K102" s="405"/>
      <c r="L102" s="405"/>
      <c r="M102" s="405"/>
      <c r="N102" s="405"/>
      <c r="O102" s="405"/>
      <c r="P102" s="405"/>
      <c r="Q102" s="405"/>
      <c r="R102" s="390"/>
      <c r="T102" s="107"/>
      <c r="U102" s="107"/>
      <c r="V102" s="107"/>
      <c r="W102" s="107"/>
      <c r="X102" s="107"/>
      <c r="Y102" s="107"/>
      <c r="Z102" s="107"/>
      <c r="AA102" s="107"/>
      <c r="AB102" s="369"/>
      <c r="AC102" s="107"/>
      <c r="AD102" s="107"/>
    </row>
    <row r="103" spans="1:30" x14ac:dyDescent="0.25">
      <c r="A103" s="272"/>
      <c r="B103" s="287" t="s">
        <v>459</v>
      </c>
      <c r="C103" s="287"/>
      <c r="D103" s="406">
        <f t="shared" ref="D103:R103" si="118">-D11</f>
        <v>0</v>
      </c>
      <c r="E103" s="406">
        <f t="shared" si="118"/>
        <v>0</v>
      </c>
      <c r="F103" s="406">
        <f t="shared" si="118"/>
        <v>0</v>
      </c>
      <c r="G103" s="406">
        <f t="shared" si="118"/>
        <v>0</v>
      </c>
      <c r="H103" s="406">
        <f t="shared" si="118"/>
        <v>0</v>
      </c>
      <c r="I103" s="405">
        <f t="shared" si="118"/>
        <v>0</v>
      </c>
      <c r="J103" s="405">
        <f t="shared" si="118"/>
        <v>0</v>
      </c>
      <c r="K103" s="405">
        <f t="shared" si="118"/>
        <v>0</v>
      </c>
      <c r="L103" s="405">
        <f t="shared" si="118"/>
        <v>0</v>
      </c>
      <c r="M103" s="405">
        <f t="shared" si="118"/>
        <v>0</v>
      </c>
      <c r="N103" s="405">
        <f t="shared" si="118"/>
        <v>0</v>
      </c>
      <c r="O103" s="405">
        <f t="shared" si="118"/>
        <v>0</v>
      </c>
      <c r="P103" s="405">
        <f t="shared" si="118"/>
        <v>0</v>
      </c>
      <c r="Q103" s="405">
        <f t="shared" si="118"/>
        <v>0</v>
      </c>
      <c r="R103" s="390">
        <f t="shared" si="118"/>
        <v>0</v>
      </c>
      <c r="T103" s="107"/>
      <c r="U103" s="107"/>
      <c r="V103" s="107"/>
      <c r="W103" s="107"/>
      <c r="X103" s="107"/>
      <c r="Y103" s="107"/>
      <c r="Z103" s="107"/>
      <c r="AA103" s="107"/>
      <c r="AB103" s="369"/>
      <c r="AC103" s="107"/>
      <c r="AD103" s="107"/>
    </row>
    <row r="104" spans="1:30" x14ac:dyDescent="0.25">
      <c r="A104" s="272"/>
      <c r="B104" s="301" t="s">
        <v>454</v>
      </c>
      <c r="C104" s="301"/>
      <c r="D104" s="427">
        <f t="shared" ref="D104:F104" si="119">D72</f>
        <v>0</v>
      </c>
      <c r="E104" s="427">
        <f t="shared" si="119"/>
        <v>0</v>
      </c>
      <c r="F104" s="427">
        <f t="shared" si="119"/>
        <v>0</v>
      </c>
      <c r="G104" s="427">
        <f t="shared" ref="G104:O104" si="120">G72</f>
        <v>0</v>
      </c>
      <c r="H104" s="427">
        <f t="shared" si="120"/>
        <v>0</v>
      </c>
      <c r="I104" s="428">
        <f t="shared" si="120"/>
        <v>0</v>
      </c>
      <c r="J104" s="428">
        <f t="shared" si="120"/>
        <v>0</v>
      </c>
      <c r="K104" s="428">
        <f t="shared" si="120"/>
        <v>0</v>
      </c>
      <c r="L104" s="428">
        <f t="shared" si="120"/>
        <v>0</v>
      </c>
      <c r="M104" s="428">
        <f t="shared" si="120"/>
        <v>0</v>
      </c>
      <c r="N104" s="428">
        <f t="shared" si="120"/>
        <v>0</v>
      </c>
      <c r="O104" s="428">
        <f t="shared" si="120"/>
        <v>0</v>
      </c>
      <c r="P104" s="428">
        <f t="shared" ref="P104:R104" si="121">P72</f>
        <v>0</v>
      </c>
      <c r="Q104" s="428">
        <f t="shared" si="121"/>
        <v>0</v>
      </c>
      <c r="R104" s="429">
        <f t="shared" si="121"/>
        <v>0</v>
      </c>
      <c r="T104" s="107"/>
      <c r="U104" s="107"/>
      <c r="V104" s="107"/>
      <c r="W104" s="107"/>
      <c r="X104" s="107"/>
      <c r="Y104" s="107"/>
      <c r="Z104" s="107"/>
      <c r="AA104" s="107"/>
      <c r="AB104" s="369"/>
      <c r="AC104" s="107"/>
      <c r="AD104" s="107"/>
    </row>
    <row r="105" spans="1:30" ht="13" x14ac:dyDescent="0.3">
      <c r="A105" s="274" t="s">
        <v>460</v>
      </c>
      <c r="B105" s="300"/>
      <c r="C105" s="275"/>
      <c r="D105" s="362">
        <f t="shared" ref="D105:F105" si="122">SUM(D103:D104)</f>
        <v>0</v>
      </c>
      <c r="E105" s="362">
        <f t="shared" si="122"/>
        <v>0</v>
      </c>
      <c r="F105" s="362">
        <f t="shared" si="122"/>
        <v>0</v>
      </c>
      <c r="G105" s="362">
        <f t="shared" ref="G105:O105" si="123">SUM(G103:G104)</f>
        <v>0</v>
      </c>
      <c r="H105" s="362">
        <f t="shared" si="123"/>
        <v>0</v>
      </c>
      <c r="I105" s="362">
        <f t="shared" si="123"/>
        <v>0</v>
      </c>
      <c r="J105" s="362">
        <f t="shared" si="123"/>
        <v>0</v>
      </c>
      <c r="K105" s="362">
        <f t="shared" si="123"/>
        <v>0</v>
      </c>
      <c r="L105" s="362">
        <f t="shared" si="123"/>
        <v>0</v>
      </c>
      <c r="M105" s="362">
        <f t="shared" si="123"/>
        <v>0</v>
      </c>
      <c r="N105" s="362">
        <f t="shared" si="123"/>
        <v>0</v>
      </c>
      <c r="O105" s="362">
        <f t="shared" si="123"/>
        <v>0</v>
      </c>
      <c r="P105" s="362">
        <f t="shared" ref="P105:R105" si="124">SUM(P103:P104)</f>
        <v>0</v>
      </c>
      <c r="Q105" s="362">
        <f t="shared" si="124"/>
        <v>0</v>
      </c>
      <c r="R105" s="363">
        <f t="shared" si="124"/>
        <v>0</v>
      </c>
      <c r="T105" s="107"/>
      <c r="U105" s="107"/>
      <c r="V105" s="107"/>
      <c r="W105" s="107"/>
      <c r="X105" s="107"/>
      <c r="Y105" s="107"/>
      <c r="Z105" s="107"/>
      <c r="AA105" s="107"/>
      <c r="AB105" s="369"/>
      <c r="AC105" s="107"/>
      <c r="AD105" s="107"/>
    </row>
    <row r="106" spans="1:30" x14ac:dyDescent="0.25">
      <c r="A106" s="272"/>
      <c r="B106" s="287"/>
      <c r="C106" s="287"/>
      <c r="D106" s="406"/>
      <c r="E106" s="406"/>
      <c r="F106" s="406"/>
      <c r="G106" s="406"/>
      <c r="H106" s="406"/>
      <c r="I106" s="405"/>
      <c r="J106" s="405"/>
      <c r="K106" s="405"/>
      <c r="L106" s="405"/>
      <c r="M106" s="405"/>
      <c r="N106" s="405"/>
      <c r="O106" s="405"/>
      <c r="P106" s="405"/>
      <c r="Q106" s="405"/>
      <c r="R106" s="390"/>
      <c r="T106" s="107"/>
      <c r="U106" s="107"/>
      <c r="V106" s="107"/>
      <c r="W106" s="107"/>
      <c r="X106" s="107"/>
      <c r="Y106" s="107"/>
      <c r="Z106" s="107"/>
      <c r="AA106" s="107"/>
      <c r="AB106" s="369"/>
      <c r="AC106" s="107"/>
      <c r="AD106" s="107"/>
    </row>
    <row r="107" spans="1:30" x14ac:dyDescent="0.25">
      <c r="A107" s="272"/>
      <c r="B107" s="287" t="s">
        <v>461</v>
      </c>
      <c r="C107" s="287"/>
      <c r="D107" s="406">
        <f t="shared" ref="D107:F107" si="125">D60+D62</f>
        <v>0</v>
      </c>
      <c r="E107" s="406">
        <f t="shared" si="125"/>
        <v>0</v>
      </c>
      <c r="F107" s="406">
        <f t="shared" si="125"/>
        <v>0</v>
      </c>
      <c r="G107" s="406">
        <f t="shared" ref="G107:O107" si="126">G60+G62</f>
        <v>0</v>
      </c>
      <c r="H107" s="406">
        <f t="shared" si="126"/>
        <v>0</v>
      </c>
      <c r="I107" s="405">
        <f t="shared" si="126"/>
        <v>0</v>
      </c>
      <c r="J107" s="405">
        <f t="shared" si="126"/>
        <v>0</v>
      </c>
      <c r="K107" s="405">
        <f t="shared" si="126"/>
        <v>0</v>
      </c>
      <c r="L107" s="405">
        <f t="shared" si="126"/>
        <v>0</v>
      </c>
      <c r="M107" s="405">
        <f t="shared" si="126"/>
        <v>0</v>
      </c>
      <c r="N107" s="405">
        <f t="shared" si="126"/>
        <v>0</v>
      </c>
      <c r="O107" s="405">
        <f t="shared" si="126"/>
        <v>0</v>
      </c>
      <c r="P107" s="405">
        <f t="shared" ref="P107:R107" si="127">P60+P62</f>
        <v>0</v>
      </c>
      <c r="Q107" s="405">
        <f t="shared" si="127"/>
        <v>0</v>
      </c>
      <c r="R107" s="390">
        <f t="shared" si="127"/>
        <v>0</v>
      </c>
      <c r="T107" s="107"/>
      <c r="U107" s="107"/>
      <c r="V107" s="107"/>
      <c r="W107" s="107"/>
      <c r="X107" s="107"/>
      <c r="Y107" s="107"/>
      <c r="Z107" s="107"/>
      <c r="AA107" s="107"/>
      <c r="AB107" s="369"/>
      <c r="AC107" s="107"/>
      <c r="AD107" s="107"/>
    </row>
    <row r="108" spans="1:30" x14ac:dyDescent="0.25">
      <c r="A108" s="272"/>
      <c r="B108" s="287" t="s">
        <v>462</v>
      </c>
      <c r="C108" s="287"/>
      <c r="D108" s="406">
        <f t="shared" ref="D108:F108" si="128">-D48</f>
        <v>0</v>
      </c>
      <c r="E108" s="406">
        <f t="shared" si="128"/>
        <v>0</v>
      </c>
      <c r="F108" s="406">
        <f t="shared" si="128"/>
        <v>0</v>
      </c>
      <c r="G108" s="406">
        <f t="shared" ref="G108:O108" si="129">-G48</f>
        <v>0</v>
      </c>
      <c r="H108" s="406">
        <f t="shared" si="129"/>
        <v>0</v>
      </c>
      <c r="I108" s="405">
        <f t="shared" si="129"/>
        <v>0</v>
      </c>
      <c r="J108" s="405">
        <f t="shared" si="129"/>
        <v>0</v>
      </c>
      <c r="K108" s="405">
        <f t="shared" si="129"/>
        <v>0</v>
      </c>
      <c r="L108" s="405">
        <f t="shared" si="129"/>
        <v>0</v>
      </c>
      <c r="M108" s="405">
        <f t="shared" si="129"/>
        <v>0</v>
      </c>
      <c r="N108" s="405">
        <f t="shared" si="129"/>
        <v>0</v>
      </c>
      <c r="O108" s="405">
        <f t="shared" si="129"/>
        <v>0</v>
      </c>
      <c r="P108" s="405">
        <f t="shared" ref="P108:R108" si="130">-P48</f>
        <v>0</v>
      </c>
      <c r="Q108" s="405">
        <f t="shared" si="130"/>
        <v>0</v>
      </c>
      <c r="R108" s="390">
        <f t="shared" si="130"/>
        <v>0</v>
      </c>
      <c r="T108" s="107"/>
      <c r="U108" s="107"/>
      <c r="V108" s="107"/>
      <c r="W108" s="107"/>
      <c r="X108" s="107"/>
      <c r="Y108" s="107"/>
      <c r="Z108" s="107"/>
      <c r="AA108" s="107"/>
      <c r="AB108" s="369"/>
      <c r="AC108" s="107"/>
      <c r="AD108" s="107"/>
    </row>
    <row r="109" spans="1:30" x14ac:dyDescent="0.25">
      <c r="A109" s="272"/>
      <c r="B109" s="287" t="s">
        <v>463</v>
      </c>
      <c r="C109" s="287"/>
      <c r="D109" s="406">
        <f t="shared" ref="D109:F109" si="131">-D61</f>
        <v>0</v>
      </c>
      <c r="E109" s="406">
        <f t="shared" si="131"/>
        <v>0</v>
      </c>
      <c r="F109" s="406">
        <f t="shared" si="131"/>
        <v>0</v>
      </c>
      <c r="G109" s="406">
        <f t="shared" ref="G109:O109" si="132">-G61</f>
        <v>0</v>
      </c>
      <c r="H109" s="406">
        <f t="shared" si="132"/>
        <v>0</v>
      </c>
      <c r="I109" s="405">
        <f t="shared" si="132"/>
        <v>0</v>
      </c>
      <c r="J109" s="405">
        <f t="shared" si="132"/>
        <v>0</v>
      </c>
      <c r="K109" s="405">
        <f t="shared" si="132"/>
        <v>0</v>
      </c>
      <c r="L109" s="405">
        <f t="shared" si="132"/>
        <v>0</v>
      </c>
      <c r="M109" s="405">
        <f t="shared" si="132"/>
        <v>0</v>
      </c>
      <c r="N109" s="405">
        <f t="shared" si="132"/>
        <v>0</v>
      </c>
      <c r="O109" s="405">
        <f t="shared" si="132"/>
        <v>0</v>
      </c>
      <c r="P109" s="405">
        <f t="shared" ref="P109:R109" si="133">-P61</f>
        <v>0</v>
      </c>
      <c r="Q109" s="405">
        <f t="shared" si="133"/>
        <v>0</v>
      </c>
      <c r="R109" s="390">
        <f t="shared" si="133"/>
        <v>0</v>
      </c>
      <c r="T109" s="107"/>
      <c r="U109" s="107"/>
      <c r="V109" s="107"/>
      <c r="W109" s="107"/>
      <c r="X109" s="107"/>
      <c r="Y109" s="107"/>
      <c r="Z109" s="107"/>
      <c r="AA109" s="107"/>
      <c r="AB109" s="369"/>
      <c r="AC109" s="107"/>
      <c r="AD109" s="107"/>
    </row>
    <row r="110" spans="1:30" x14ac:dyDescent="0.25">
      <c r="A110" s="272"/>
      <c r="B110" s="301" t="s">
        <v>464</v>
      </c>
      <c r="C110" s="301"/>
      <c r="D110" s="427">
        <f t="shared" ref="D110:F110" si="134">-D44</f>
        <v>0</v>
      </c>
      <c r="E110" s="427">
        <f t="shared" si="134"/>
        <v>0</v>
      </c>
      <c r="F110" s="427">
        <f t="shared" si="134"/>
        <v>0</v>
      </c>
      <c r="G110" s="427">
        <f t="shared" ref="G110:O110" si="135">-G44</f>
        <v>0</v>
      </c>
      <c r="H110" s="427">
        <f t="shared" si="135"/>
        <v>0</v>
      </c>
      <c r="I110" s="428">
        <f t="shared" si="135"/>
        <v>0</v>
      </c>
      <c r="J110" s="428">
        <f t="shared" si="135"/>
        <v>0</v>
      </c>
      <c r="K110" s="428">
        <f t="shared" si="135"/>
        <v>0</v>
      </c>
      <c r="L110" s="428">
        <f t="shared" si="135"/>
        <v>0</v>
      </c>
      <c r="M110" s="428">
        <f t="shared" si="135"/>
        <v>0</v>
      </c>
      <c r="N110" s="428">
        <f t="shared" si="135"/>
        <v>0</v>
      </c>
      <c r="O110" s="428">
        <f t="shared" si="135"/>
        <v>0</v>
      </c>
      <c r="P110" s="428">
        <f t="shared" ref="P110:R110" si="136">-P44</f>
        <v>0</v>
      </c>
      <c r="Q110" s="428">
        <f t="shared" si="136"/>
        <v>0</v>
      </c>
      <c r="R110" s="429">
        <f t="shared" si="136"/>
        <v>0</v>
      </c>
      <c r="T110" s="107"/>
      <c r="U110" s="107"/>
      <c r="V110" s="107"/>
      <c r="W110" s="107"/>
      <c r="X110" s="107"/>
      <c r="Y110" s="107"/>
      <c r="Z110" s="107"/>
      <c r="AA110" s="107"/>
      <c r="AB110" s="369"/>
      <c r="AC110" s="107"/>
      <c r="AD110" s="107"/>
    </row>
    <row r="111" spans="1:30" ht="13" x14ac:dyDescent="0.3">
      <c r="A111" s="278"/>
      <c r="B111" s="310" t="s">
        <v>465</v>
      </c>
      <c r="C111" s="311"/>
      <c r="D111" s="110"/>
      <c r="E111" s="110"/>
      <c r="F111" s="110"/>
      <c r="G111" s="110"/>
      <c r="H111" s="110"/>
      <c r="I111" s="110"/>
      <c r="J111" s="110"/>
      <c r="K111" s="110"/>
      <c r="L111" s="110"/>
      <c r="M111" s="110"/>
      <c r="N111" s="110"/>
      <c r="O111" s="110"/>
      <c r="P111" s="110"/>
      <c r="Q111" s="110"/>
      <c r="R111" s="111"/>
      <c r="T111" s="107"/>
      <c r="U111" s="107"/>
      <c r="V111" s="107"/>
      <c r="W111" s="107"/>
      <c r="X111" s="107"/>
      <c r="Y111" s="107"/>
      <c r="Z111" s="107"/>
      <c r="AA111" s="107"/>
      <c r="AB111" s="369"/>
      <c r="AC111" s="107"/>
      <c r="AD111" s="107"/>
    </row>
    <row r="112" spans="1:30" ht="13" x14ac:dyDescent="0.3">
      <c r="A112" s="274" t="s">
        <v>466</v>
      </c>
      <c r="B112" s="300"/>
      <c r="C112" s="275"/>
      <c r="D112" s="362">
        <f>SUM(D107:D111)</f>
        <v>0</v>
      </c>
      <c r="E112" s="362">
        <f>SUM(E107:E111)</f>
        <v>0</v>
      </c>
      <c r="F112" s="362">
        <f t="shared" ref="F112:R112" si="137">SUM(F107:F111)</f>
        <v>0</v>
      </c>
      <c r="G112" s="362">
        <f t="shared" si="137"/>
        <v>0</v>
      </c>
      <c r="H112" s="362">
        <f t="shared" si="137"/>
        <v>0</v>
      </c>
      <c r="I112" s="362">
        <f t="shared" si="137"/>
        <v>0</v>
      </c>
      <c r="J112" s="362">
        <f t="shared" si="137"/>
        <v>0</v>
      </c>
      <c r="K112" s="362">
        <f t="shared" si="137"/>
        <v>0</v>
      </c>
      <c r="L112" s="362">
        <f t="shared" si="137"/>
        <v>0</v>
      </c>
      <c r="M112" s="362">
        <f t="shared" si="137"/>
        <v>0</v>
      </c>
      <c r="N112" s="362">
        <f t="shared" si="137"/>
        <v>0</v>
      </c>
      <c r="O112" s="362">
        <f t="shared" si="137"/>
        <v>0</v>
      </c>
      <c r="P112" s="362">
        <f t="shared" si="137"/>
        <v>0</v>
      </c>
      <c r="Q112" s="362">
        <f t="shared" si="137"/>
        <v>0</v>
      </c>
      <c r="R112" s="362">
        <f t="shared" si="137"/>
        <v>0</v>
      </c>
      <c r="T112" s="107"/>
      <c r="U112" s="112"/>
      <c r="V112" s="112"/>
      <c r="W112" s="112"/>
      <c r="X112" s="112"/>
      <c r="Y112" s="112"/>
      <c r="Z112" s="112"/>
      <c r="AA112" s="112"/>
      <c r="AB112" s="374"/>
      <c r="AC112" s="107"/>
      <c r="AD112" s="107"/>
    </row>
    <row r="113" spans="1:30" x14ac:dyDescent="0.25">
      <c r="A113" s="272"/>
      <c r="B113" s="287"/>
      <c r="C113" s="287"/>
      <c r="D113" s="406"/>
      <c r="E113" s="406"/>
      <c r="F113" s="406"/>
      <c r="G113" s="406"/>
      <c r="H113" s="406"/>
      <c r="I113" s="405"/>
      <c r="J113" s="405"/>
      <c r="K113" s="405"/>
      <c r="L113" s="405"/>
      <c r="M113" s="405"/>
      <c r="N113" s="405"/>
      <c r="O113" s="405"/>
      <c r="P113" s="405"/>
      <c r="Q113" s="405"/>
      <c r="R113" s="390"/>
      <c r="T113" s="107"/>
      <c r="U113" s="107"/>
      <c r="V113" s="107"/>
      <c r="W113" s="107"/>
      <c r="X113" s="107"/>
      <c r="Y113" s="107"/>
      <c r="Z113" s="107"/>
      <c r="AA113" s="107"/>
      <c r="AB113" s="369"/>
      <c r="AC113" s="107"/>
      <c r="AD113" s="107"/>
    </row>
    <row r="114" spans="1:30" x14ac:dyDescent="0.25">
      <c r="A114" s="272"/>
      <c r="B114" s="301" t="s">
        <v>467</v>
      </c>
      <c r="C114" s="301"/>
      <c r="D114" s="427">
        <f t="shared" ref="D114:F114" si="138">D42+D43</f>
        <v>0</v>
      </c>
      <c r="E114" s="427">
        <f t="shared" si="138"/>
        <v>0</v>
      </c>
      <c r="F114" s="427">
        <f t="shared" si="138"/>
        <v>0</v>
      </c>
      <c r="G114" s="427">
        <f t="shared" ref="G114:O114" si="139">G42+G43</f>
        <v>0</v>
      </c>
      <c r="H114" s="427">
        <f t="shared" si="139"/>
        <v>0</v>
      </c>
      <c r="I114" s="428">
        <f t="shared" si="139"/>
        <v>0</v>
      </c>
      <c r="J114" s="428">
        <f t="shared" si="139"/>
        <v>0</v>
      </c>
      <c r="K114" s="428">
        <f t="shared" si="139"/>
        <v>0</v>
      </c>
      <c r="L114" s="428">
        <f t="shared" si="139"/>
        <v>0</v>
      </c>
      <c r="M114" s="428">
        <f t="shared" si="139"/>
        <v>0</v>
      </c>
      <c r="N114" s="428">
        <f t="shared" si="139"/>
        <v>0</v>
      </c>
      <c r="O114" s="428">
        <f t="shared" si="139"/>
        <v>0</v>
      </c>
      <c r="P114" s="428">
        <f t="shared" ref="P114:R114" si="140">P42+P43</f>
        <v>0</v>
      </c>
      <c r="Q114" s="428">
        <f t="shared" si="140"/>
        <v>0</v>
      </c>
      <c r="R114" s="429">
        <f t="shared" si="140"/>
        <v>0</v>
      </c>
      <c r="T114" s="107"/>
      <c r="U114" s="107"/>
      <c r="V114" s="107"/>
      <c r="W114" s="107"/>
      <c r="X114" s="107"/>
      <c r="Y114" s="107"/>
      <c r="Z114" s="107"/>
      <c r="AA114" s="107"/>
      <c r="AB114" s="369"/>
      <c r="AC114" s="107"/>
      <c r="AD114" s="107"/>
    </row>
    <row r="115" spans="1:30" ht="13" x14ac:dyDescent="0.3">
      <c r="A115" s="272"/>
      <c r="B115" s="312" t="s">
        <v>472</v>
      </c>
      <c r="C115" s="311"/>
      <c r="D115" s="110"/>
      <c r="E115" s="110"/>
      <c r="F115" s="110"/>
      <c r="G115" s="110"/>
      <c r="H115" s="110"/>
      <c r="I115" s="110"/>
      <c r="J115" s="110"/>
      <c r="K115" s="110"/>
      <c r="L115" s="110"/>
      <c r="M115" s="110"/>
      <c r="N115" s="110"/>
      <c r="O115" s="110"/>
      <c r="P115" s="110"/>
      <c r="Q115" s="110"/>
      <c r="R115" s="111"/>
      <c r="T115" s="107"/>
      <c r="U115" s="107"/>
      <c r="V115" s="107"/>
      <c r="W115" s="107"/>
      <c r="X115" s="107"/>
      <c r="Y115" s="107"/>
      <c r="Z115" s="107"/>
      <c r="AA115" s="107"/>
      <c r="AB115" s="369"/>
      <c r="AC115" s="107"/>
      <c r="AD115" s="107"/>
    </row>
    <row r="116" spans="1:30" x14ac:dyDescent="0.25">
      <c r="A116" s="272"/>
      <c r="B116" s="279" t="s">
        <v>578</v>
      </c>
      <c r="C116" s="294"/>
      <c r="D116" s="407">
        <f>D114+D115</f>
        <v>0</v>
      </c>
      <c r="E116" s="407">
        <f t="shared" ref="E116:R116" si="141">E114+E115</f>
        <v>0</v>
      </c>
      <c r="F116" s="407">
        <f t="shared" si="141"/>
        <v>0</v>
      </c>
      <c r="G116" s="407">
        <f t="shared" si="141"/>
        <v>0</v>
      </c>
      <c r="H116" s="407">
        <f t="shared" si="141"/>
        <v>0</v>
      </c>
      <c r="I116" s="372">
        <f t="shared" si="141"/>
        <v>0</v>
      </c>
      <c r="J116" s="372">
        <f t="shared" si="141"/>
        <v>0</v>
      </c>
      <c r="K116" s="372">
        <f t="shared" si="141"/>
        <v>0</v>
      </c>
      <c r="L116" s="372">
        <f t="shared" si="141"/>
        <v>0</v>
      </c>
      <c r="M116" s="372">
        <f t="shared" si="141"/>
        <v>0</v>
      </c>
      <c r="N116" s="372">
        <f t="shared" si="141"/>
        <v>0</v>
      </c>
      <c r="O116" s="372">
        <f t="shared" si="141"/>
        <v>0</v>
      </c>
      <c r="P116" s="372">
        <f t="shared" si="141"/>
        <v>0</v>
      </c>
      <c r="Q116" s="372">
        <f t="shared" si="141"/>
        <v>0</v>
      </c>
      <c r="R116" s="392">
        <f t="shared" si="141"/>
        <v>0</v>
      </c>
      <c r="T116" s="107"/>
      <c r="U116" s="107"/>
      <c r="V116" s="107"/>
      <c r="W116" s="107"/>
      <c r="X116" s="107"/>
      <c r="Y116" s="107"/>
      <c r="Z116" s="107"/>
      <c r="AA116" s="107"/>
      <c r="AB116" s="369"/>
      <c r="AC116" s="107"/>
      <c r="AD116" s="107"/>
    </row>
    <row r="117" spans="1:30" ht="13" x14ac:dyDescent="0.3">
      <c r="A117" s="272"/>
      <c r="B117" s="302" t="s">
        <v>468</v>
      </c>
      <c r="C117" s="303"/>
      <c r="D117" s="113"/>
      <c r="E117" s="113"/>
      <c r="F117" s="113"/>
      <c r="G117" s="113"/>
      <c r="H117" s="113"/>
      <c r="I117" s="113"/>
      <c r="J117" s="113"/>
      <c r="K117" s="113"/>
      <c r="L117" s="113"/>
      <c r="M117" s="113"/>
      <c r="N117" s="113"/>
      <c r="O117" s="113"/>
      <c r="P117" s="113"/>
      <c r="Q117" s="113"/>
      <c r="R117" s="114"/>
      <c r="T117" s="107"/>
      <c r="U117" s="107"/>
      <c r="V117" s="107"/>
      <c r="W117" s="107"/>
      <c r="X117" s="107"/>
      <c r="Y117" s="107"/>
      <c r="Z117" s="107"/>
      <c r="AA117" s="107"/>
      <c r="AB117" s="369"/>
      <c r="AC117" s="107"/>
      <c r="AD117" s="107"/>
    </row>
    <row r="118" spans="1:30" ht="13" x14ac:dyDescent="0.3">
      <c r="A118" s="272"/>
      <c r="B118" s="313" t="s">
        <v>469</v>
      </c>
      <c r="C118" s="314"/>
      <c r="D118" s="430"/>
      <c r="E118" s="430"/>
      <c r="F118" s="430"/>
      <c r="G118" s="430"/>
      <c r="H118" s="430"/>
      <c r="I118" s="430"/>
      <c r="J118" s="430"/>
      <c r="K118" s="430"/>
      <c r="L118" s="430"/>
      <c r="M118" s="431"/>
      <c r="N118" s="431"/>
      <c r="O118" s="431"/>
      <c r="P118" s="431"/>
      <c r="Q118" s="431"/>
      <c r="R118" s="432"/>
      <c r="T118" s="107"/>
      <c r="U118" s="107"/>
      <c r="V118" s="107"/>
      <c r="W118" s="107"/>
      <c r="X118" s="107"/>
      <c r="Y118" s="107"/>
      <c r="Z118" s="107"/>
      <c r="AA118" s="107"/>
      <c r="AB118" s="369"/>
      <c r="AC118" s="107"/>
      <c r="AD118" s="107"/>
    </row>
    <row r="119" spans="1:30" ht="13" x14ac:dyDescent="0.3">
      <c r="A119" s="272"/>
      <c r="B119" s="315" t="s">
        <v>470</v>
      </c>
      <c r="C119" s="316"/>
      <c r="D119" s="115"/>
      <c r="E119" s="115"/>
      <c r="F119" s="115"/>
      <c r="G119" s="115"/>
      <c r="H119" s="115"/>
      <c r="I119" s="115"/>
      <c r="J119" s="115"/>
      <c r="K119" s="115"/>
      <c r="L119" s="115"/>
      <c r="M119" s="116"/>
      <c r="N119" s="116"/>
      <c r="O119" s="116"/>
      <c r="P119" s="116"/>
      <c r="Q119" s="116"/>
      <c r="R119" s="117"/>
      <c r="T119" s="107"/>
      <c r="U119" s="107"/>
      <c r="V119" s="107"/>
      <c r="W119" s="107"/>
      <c r="X119" s="107"/>
      <c r="Y119" s="107"/>
      <c r="Z119" s="107"/>
      <c r="AA119" s="107"/>
      <c r="AB119" s="369"/>
      <c r="AC119" s="107"/>
      <c r="AD119" s="107"/>
    </row>
    <row r="120" spans="1:30" ht="13" x14ac:dyDescent="0.3">
      <c r="A120" s="274" t="s">
        <v>471</v>
      </c>
      <c r="B120" s="300"/>
      <c r="C120" s="275"/>
      <c r="D120" s="362">
        <f>D116*(1-D117)+D119</f>
        <v>0</v>
      </c>
      <c r="E120" s="362">
        <f t="shared" ref="E120:R120" si="142">E116*(1-E117)+E119</f>
        <v>0</v>
      </c>
      <c r="F120" s="362">
        <f t="shared" si="142"/>
        <v>0</v>
      </c>
      <c r="G120" s="362">
        <f t="shared" si="142"/>
        <v>0</v>
      </c>
      <c r="H120" s="362">
        <f t="shared" si="142"/>
        <v>0</v>
      </c>
      <c r="I120" s="362">
        <f t="shared" si="142"/>
        <v>0</v>
      </c>
      <c r="J120" s="362">
        <f t="shared" si="142"/>
        <v>0</v>
      </c>
      <c r="K120" s="362">
        <f t="shared" si="142"/>
        <v>0</v>
      </c>
      <c r="L120" s="362">
        <f t="shared" si="142"/>
        <v>0</v>
      </c>
      <c r="M120" s="362">
        <f t="shared" si="142"/>
        <v>0</v>
      </c>
      <c r="N120" s="362">
        <f t="shared" si="142"/>
        <v>0</v>
      </c>
      <c r="O120" s="362">
        <f t="shared" si="142"/>
        <v>0</v>
      </c>
      <c r="P120" s="362">
        <f t="shared" si="142"/>
        <v>0</v>
      </c>
      <c r="Q120" s="362">
        <f t="shared" si="142"/>
        <v>0</v>
      </c>
      <c r="R120" s="363">
        <f t="shared" si="142"/>
        <v>0</v>
      </c>
      <c r="T120" s="107"/>
      <c r="U120" s="112"/>
      <c r="V120" s="112"/>
      <c r="W120" s="112"/>
      <c r="X120" s="112"/>
      <c r="Y120" s="112"/>
      <c r="Z120" s="112"/>
      <c r="AA120" s="112"/>
      <c r="AB120" s="374"/>
      <c r="AC120" s="107"/>
      <c r="AD120" s="107"/>
    </row>
    <row r="121" spans="1:30" x14ac:dyDescent="0.25">
      <c r="A121" s="272"/>
      <c r="B121" s="287"/>
      <c r="C121" s="287"/>
      <c r="D121" s="406"/>
      <c r="E121" s="406"/>
      <c r="F121" s="406"/>
      <c r="G121" s="406"/>
      <c r="H121" s="406"/>
      <c r="I121" s="405"/>
      <c r="J121" s="405"/>
      <c r="K121" s="405"/>
      <c r="L121" s="405"/>
      <c r="M121" s="405"/>
      <c r="N121" s="405"/>
      <c r="O121" s="405"/>
      <c r="P121" s="405"/>
      <c r="Q121" s="405"/>
      <c r="R121" s="390"/>
      <c r="T121" s="107"/>
      <c r="U121" s="107"/>
      <c r="V121" s="107"/>
      <c r="W121" s="107"/>
      <c r="X121" s="107"/>
      <c r="Y121" s="107"/>
      <c r="Z121" s="107"/>
      <c r="AA121" s="107"/>
      <c r="AB121" s="369"/>
      <c r="AC121" s="107"/>
      <c r="AD121" s="107"/>
    </row>
    <row r="122" spans="1:30" x14ac:dyDescent="0.25">
      <c r="A122" s="272"/>
      <c r="B122" s="301" t="s">
        <v>438</v>
      </c>
      <c r="C122" s="301"/>
      <c r="D122" s="428">
        <f t="shared" ref="D122:F122" si="143">D57</f>
        <v>0</v>
      </c>
      <c r="E122" s="428">
        <f t="shared" si="143"/>
        <v>0</v>
      </c>
      <c r="F122" s="428">
        <f t="shared" si="143"/>
        <v>0</v>
      </c>
      <c r="G122" s="428">
        <f t="shared" ref="G122:O122" si="144">G57</f>
        <v>0</v>
      </c>
      <c r="H122" s="428">
        <f t="shared" si="144"/>
        <v>0</v>
      </c>
      <c r="I122" s="428">
        <f t="shared" si="144"/>
        <v>0</v>
      </c>
      <c r="J122" s="428">
        <f t="shared" si="144"/>
        <v>0</v>
      </c>
      <c r="K122" s="428">
        <f t="shared" si="144"/>
        <v>0</v>
      </c>
      <c r="L122" s="428">
        <f t="shared" si="144"/>
        <v>0</v>
      </c>
      <c r="M122" s="428">
        <f t="shared" si="144"/>
        <v>0</v>
      </c>
      <c r="N122" s="428">
        <f t="shared" si="144"/>
        <v>0</v>
      </c>
      <c r="O122" s="428">
        <f t="shared" si="144"/>
        <v>0</v>
      </c>
      <c r="P122" s="428">
        <f t="shared" ref="P122:R122" si="145">P57</f>
        <v>0</v>
      </c>
      <c r="Q122" s="428">
        <f t="shared" si="145"/>
        <v>0</v>
      </c>
      <c r="R122" s="429">
        <f t="shared" si="145"/>
        <v>0</v>
      </c>
      <c r="T122" s="107"/>
      <c r="U122" s="107"/>
      <c r="V122" s="107"/>
      <c r="W122" s="107"/>
      <c r="X122" s="107"/>
      <c r="Y122" s="107"/>
      <c r="Z122" s="107"/>
      <c r="AA122" s="107"/>
      <c r="AB122" s="369"/>
      <c r="AC122" s="107"/>
      <c r="AD122" s="107"/>
    </row>
    <row r="123" spans="1:30" x14ac:dyDescent="0.25">
      <c r="A123" s="272"/>
      <c r="B123" s="287" t="s">
        <v>579</v>
      </c>
      <c r="C123" s="287"/>
      <c r="D123" s="406">
        <f>D115</f>
        <v>0</v>
      </c>
      <c r="E123" s="406">
        <f t="shared" ref="E123:R123" si="146">E115</f>
        <v>0</v>
      </c>
      <c r="F123" s="406">
        <f t="shared" si="146"/>
        <v>0</v>
      </c>
      <c r="G123" s="406">
        <f t="shared" si="146"/>
        <v>0</v>
      </c>
      <c r="H123" s="406">
        <f t="shared" si="146"/>
        <v>0</v>
      </c>
      <c r="I123" s="405">
        <f t="shared" si="146"/>
        <v>0</v>
      </c>
      <c r="J123" s="405">
        <f t="shared" si="146"/>
        <v>0</v>
      </c>
      <c r="K123" s="405">
        <f t="shared" si="146"/>
        <v>0</v>
      </c>
      <c r="L123" s="405">
        <f t="shared" si="146"/>
        <v>0</v>
      </c>
      <c r="M123" s="405">
        <f t="shared" si="146"/>
        <v>0</v>
      </c>
      <c r="N123" s="405">
        <f t="shared" si="146"/>
        <v>0</v>
      </c>
      <c r="O123" s="405">
        <f t="shared" si="146"/>
        <v>0</v>
      </c>
      <c r="P123" s="405">
        <f t="shared" si="146"/>
        <v>0</v>
      </c>
      <c r="Q123" s="405">
        <f t="shared" si="146"/>
        <v>0</v>
      </c>
      <c r="R123" s="390">
        <f t="shared" si="146"/>
        <v>0</v>
      </c>
      <c r="T123" s="107"/>
      <c r="U123" s="107"/>
      <c r="V123" s="107"/>
      <c r="W123" s="107"/>
      <c r="X123" s="107"/>
      <c r="Y123" s="107"/>
      <c r="Z123" s="107"/>
      <c r="AA123" s="107"/>
      <c r="AB123" s="369"/>
      <c r="AC123" s="107"/>
      <c r="AD123" s="107"/>
    </row>
    <row r="124" spans="1:30" ht="13" x14ac:dyDescent="0.3">
      <c r="A124" s="274" t="s">
        <v>473</v>
      </c>
      <c r="B124" s="300"/>
      <c r="C124" s="275"/>
      <c r="D124" s="362">
        <f t="shared" ref="D124:F124" si="147">SUM(D122:D123)</f>
        <v>0</v>
      </c>
      <c r="E124" s="362">
        <f t="shared" si="147"/>
        <v>0</v>
      </c>
      <c r="F124" s="362">
        <f t="shared" si="147"/>
        <v>0</v>
      </c>
      <c r="G124" s="362">
        <f t="shared" ref="G124:N124" si="148">SUM(G122:G123)</f>
        <v>0</v>
      </c>
      <c r="H124" s="362">
        <f t="shared" si="148"/>
        <v>0</v>
      </c>
      <c r="I124" s="362">
        <f t="shared" si="148"/>
        <v>0</v>
      </c>
      <c r="J124" s="362">
        <f t="shared" si="148"/>
        <v>0</v>
      </c>
      <c r="K124" s="362">
        <f t="shared" si="148"/>
        <v>0</v>
      </c>
      <c r="L124" s="362">
        <f t="shared" si="148"/>
        <v>0</v>
      </c>
      <c r="M124" s="362">
        <f t="shared" si="148"/>
        <v>0</v>
      </c>
      <c r="N124" s="362">
        <f t="shared" si="148"/>
        <v>0</v>
      </c>
      <c r="O124" s="362">
        <f>SUM(O122:O123)</f>
        <v>0</v>
      </c>
      <c r="P124" s="362">
        <f t="shared" ref="P124:R124" si="149">SUM(P122:P123)</f>
        <v>0</v>
      </c>
      <c r="Q124" s="362">
        <f t="shared" si="149"/>
        <v>0</v>
      </c>
      <c r="R124" s="363">
        <f t="shared" si="149"/>
        <v>0</v>
      </c>
      <c r="T124" s="107"/>
      <c r="U124" s="107"/>
      <c r="V124" s="107"/>
      <c r="W124" s="107"/>
      <c r="X124" s="107"/>
      <c r="Y124" s="107"/>
      <c r="Z124" s="107"/>
      <c r="AA124" s="107"/>
      <c r="AB124" s="369"/>
      <c r="AC124" s="107"/>
      <c r="AD124" s="107"/>
    </row>
    <row r="125" spans="1:30" x14ac:dyDescent="0.25">
      <c r="A125" s="272"/>
      <c r="B125" s="287"/>
      <c r="C125" s="287"/>
      <c r="D125" s="406"/>
      <c r="E125" s="406"/>
      <c r="F125" s="406"/>
      <c r="G125" s="406"/>
      <c r="H125" s="406"/>
      <c r="I125" s="405"/>
      <c r="J125" s="405"/>
      <c r="K125" s="405"/>
      <c r="L125" s="405"/>
      <c r="M125" s="405"/>
      <c r="N125" s="405"/>
      <c r="O125" s="405"/>
      <c r="P125" s="405"/>
      <c r="Q125" s="405"/>
      <c r="R125" s="390"/>
      <c r="T125" s="107"/>
      <c r="U125" s="107"/>
      <c r="V125" s="107"/>
      <c r="W125" s="107"/>
      <c r="X125" s="107"/>
      <c r="Y125" s="107"/>
      <c r="Z125" s="107"/>
      <c r="AA125" s="107"/>
      <c r="AB125" s="369"/>
      <c r="AC125" s="107"/>
      <c r="AD125" s="107"/>
    </row>
    <row r="126" spans="1:30" x14ac:dyDescent="0.25">
      <c r="A126" s="272"/>
      <c r="B126" s="287" t="s">
        <v>438</v>
      </c>
      <c r="C126" s="287"/>
      <c r="D126" s="406">
        <f t="shared" ref="D126:F126" si="150">D57</f>
        <v>0</v>
      </c>
      <c r="E126" s="406">
        <f t="shared" si="150"/>
        <v>0</v>
      </c>
      <c r="F126" s="406">
        <f t="shared" si="150"/>
        <v>0</v>
      </c>
      <c r="G126" s="406">
        <f t="shared" ref="G126:O126" si="151">G57</f>
        <v>0</v>
      </c>
      <c r="H126" s="406">
        <f t="shared" si="151"/>
        <v>0</v>
      </c>
      <c r="I126" s="405">
        <f t="shared" si="151"/>
        <v>0</v>
      </c>
      <c r="J126" s="405">
        <f t="shared" si="151"/>
        <v>0</v>
      </c>
      <c r="K126" s="405">
        <f t="shared" si="151"/>
        <v>0</v>
      </c>
      <c r="L126" s="405">
        <f t="shared" si="151"/>
        <v>0</v>
      </c>
      <c r="M126" s="405">
        <f t="shared" si="151"/>
        <v>0</v>
      </c>
      <c r="N126" s="405">
        <f t="shared" si="151"/>
        <v>0</v>
      </c>
      <c r="O126" s="405">
        <f t="shared" si="151"/>
        <v>0</v>
      </c>
      <c r="P126" s="405">
        <f t="shared" ref="P126:R126" si="152">P57</f>
        <v>0</v>
      </c>
      <c r="Q126" s="405">
        <f t="shared" si="152"/>
        <v>0</v>
      </c>
      <c r="R126" s="390">
        <f t="shared" si="152"/>
        <v>0</v>
      </c>
      <c r="T126" s="107"/>
      <c r="U126" s="107"/>
      <c r="V126" s="107"/>
      <c r="W126" s="107"/>
      <c r="X126" s="107"/>
      <c r="Y126" s="107"/>
      <c r="Z126" s="107"/>
      <c r="AA126" s="107"/>
      <c r="AB126" s="369"/>
      <c r="AC126" s="107"/>
      <c r="AD126" s="107"/>
    </row>
    <row r="127" spans="1:30" x14ac:dyDescent="0.25">
      <c r="A127" s="272"/>
      <c r="B127" s="287" t="s">
        <v>474</v>
      </c>
      <c r="C127" s="287"/>
      <c r="D127" s="406">
        <f t="shared" ref="D127:F127" si="153">D71</f>
        <v>0</v>
      </c>
      <c r="E127" s="406">
        <f t="shared" si="153"/>
        <v>0</v>
      </c>
      <c r="F127" s="406">
        <f t="shared" si="153"/>
        <v>0</v>
      </c>
      <c r="G127" s="406">
        <f t="shared" ref="G127:O127" si="154">G71</f>
        <v>0</v>
      </c>
      <c r="H127" s="406">
        <f t="shared" si="154"/>
        <v>0</v>
      </c>
      <c r="I127" s="405">
        <f t="shared" si="154"/>
        <v>0</v>
      </c>
      <c r="J127" s="405">
        <f t="shared" si="154"/>
        <v>0</v>
      </c>
      <c r="K127" s="405">
        <f t="shared" si="154"/>
        <v>0</v>
      </c>
      <c r="L127" s="405">
        <f t="shared" si="154"/>
        <v>0</v>
      </c>
      <c r="M127" s="405">
        <f t="shared" si="154"/>
        <v>0</v>
      </c>
      <c r="N127" s="405">
        <f t="shared" si="154"/>
        <v>0</v>
      </c>
      <c r="O127" s="405">
        <f t="shared" si="154"/>
        <v>0</v>
      </c>
      <c r="P127" s="405">
        <f t="shared" ref="P127:R127" si="155">P71</f>
        <v>0</v>
      </c>
      <c r="Q127" s="405">
        <f t="shared" si="155"/>
        <v>0</v>
      </c>
      <c r="R127" s="390">
        <f t="shared" si="155"/>
        <v>0</v>
      </c>
      <c r="T127" s="107"/>
      <c r="U127" s="107"/>
      <c r="V127" s="107"/>
      <c r="W127" s="107"/>
      <c r="X127" s="107"/>
      <c r="Y127" s="107"/>
      <c r="Z127" s="107"/>
      <c r="AA127" s="107"/>
      <c r="AB127" s="369"/>
      <c r="AC127" s="107"/>
      <c r="AD127" s="107"/>
    </row>
    <row r="128" spans="1:30" x14ac:dyDescent="0.25">
      <c r="A128" s="272"/>
      <c r="B128" s="287" t="s">
        <v>475</v>
      </c>
      <c r="C128" s="287"/>
      <c r="D128" s="406">
        <f t="shared" ref="D128:F128" si="156">-D120</f>
        <v>0</v>
      </c>
      <c r="E128" s="406">
        <f t="shared" si="156"/>
        <v>0</v>
      </c>
      <c r="F128" s="406">
        <f t="shared" si="156"/>
        <v>0</v>
      </c>
      <c r="G128" s="406">
        <f t="shared" ref="G128:J128" si="157">-G120</f>
        <v>0</v>
      </c>
      <c r="H128" s="406">
        <f t="shared" si="157"/>
        <v>0</v>
      </c>
      <c r="I128" s="405">
        <f t="shared" si="157"/>
        <v>0</v>
      </c>
      <c r="J128" s="405">
        <f t="shared" si="157"/>
        <v>0</v>
      </c>
      <c r="K128" s="405">
        <f>-K120</f>
        <v>0</v>
      </c>
      <c r="L128" s="405">
        <f>-L120</f>
        <v>0</v>
      </c>
      <c r="M128" s="405">
        <f>-M120</f>
        <v>0</v>
      </c>
      <c r="N128" s="405">
        <f t="shared" ref="N128:O128" si="158">-N120</f>
        <v>0</v>
      </c>
      <c r="O128" s="405">
        <f t="shared" si="158"/>
        <v>0</v>
      </c>
      <c r="P128" s="405">
        <f t="shared" ref="P128:R128" si="159">-P120</f>
        <v>0</v>
      </c>
      <c r="Q128" s="405">
        <f t="shared" si="159"/>
        <v>0</v>
      </c>
      <c r="R128" s="390">
        <f t="shared" si="159"/>
        <v>0</v>
      </c>
      <c r="T128" s="107"/>
      <c r="U128" s="107"/>
      <c r="V128" s="107"/>
      <c r="W128" s="107"/>
      <c r="X128" s="107"/>
      <c r="Y128" s="107"/>
      <c r="Z128" s="107"/>
      <c r="AA128" s="107"/>
      <c r="AB128" s="369"/>
      <c r="AC128" s="107"/>
      <c r="AD128" s="107"/>
    </row>
    <row r="129" spans="1:30" ht="13" x14ac:dyDescent="0.3">
      <c r="A129" s="274" t="s">
        <v>476</v>
      </c>
      <c r="B129" s="300"/>
      <c r="C129" s="275"/>
      <c r="D129" s="362">
        <f t="shared" ref="D129:F129" si="160">SUM(D126:D128)</f>
        <v>0</v>
      </c>
      <c r="E129" s="362">
        <f t="shared" si="160"/>
        <v>0</v>
      </c>
      <c r="F129" s="362">
        <f t="shared" si="160"/>
        <v>0</v>
      </c>
      <c r="G129" s="362">
        <f t="shared" ref="G129:J129" si="161">SUM(G126:G128)</f>
        <v>0</v>
      </c>
      <c r="H129" s="362">
        <f t="shared" si="161"/>
        <v>0</v>
      </c>
      <c r="I129" s="362">
        <f t="shared" si="161"/>
        <v>0</v>
      </c>
      <c r="J129" s="362">
        <f t="shared" si="161"/>
        <v>0</v>
      </c>
      <c r="K129" s="362">
        <f>SUM(K126:K128)</f>
        <v>0</v>
      </c>
      <c r="L129" s="362">
        <f>SUM(L126:L128)</f>
        <v>0</v>
      </c>
      <c r="M129" s="362">
        <f>SUM(M126:M128)</f>
        <v>0</v>
      </c>
      <c r="N129" s="362">
        <f t="shared" ref="N129:O129" si="162">SUM(N126:N128)</f>
        <v>0</v>
      </c>
      <c r="O129" s="362">
        <f t="shared" si="162"/>
        <v>0</v>
      </c>
      <c r="P129" s="362">
        <f t="shared" ref="P129:R129" si="163">SUM(P126:P128)</f>
        <v>0</v>
      </c>
      <c r="Q129" s="362">
        <f t="shared" si="163"/>
        <v>0</v>
      </c>
      <c r="R129" s="363">
        <f t="shared" si="163"/>
        <v>0</v>
      </c>
      <c r="T129" s="107"/>
      <c r="U129" s="112"/>
      <c r="V129" s="112"/>
      <c r="W129" s="112"/>
      <c r="X129" s="112"/>
      <c r="Y129" s="112"/>
      <c r="Z129" s="112"/>
      <c r="AA129" s="112"/>
      <c r="AB129" s="374"/>
      <c r="AC129" s="107"/>
      <c r="AD129" s="107"/>
    </row>
    <row r="130" spans="1:30" x14ac:dyDescent="0.25">
      <c r="A130" s="272"/>
      <c r="B130" s="287"/>
      <c r="C130" s="287"/>
      <c r="D130" s="406"/>
      <c r="E130" s="406"/>
      <c r="F130" s="406"/>
      <c r="G130" s="406"/>
      <c r="H130" s="406"/>
      <c r="I130" s="405"/>
      <c r="J130" s="405"/>
      <c r="K130" s="405"/>
      <c r="L130" s="405"/>
      <c r="M130" s="405"/>
      <c r="N130" s="405"/>
      <c r="O130" s="405"/>
      <c r="P130" s="405"/>
      <c r="Q130" s="405"/>
      <c r="R130" s="390"/>
      <c r="T130" s="107"/>
      <c r="U130" s="107"/>
      <c r="V130" s="107"/>
      <c r="W130" s="107"/>
      <c r="X130" s="107"/>
      <c r="Y130" s="107"/>
      <c r="Z130" s="107"/>
      <c r="AA130" s="107"/>
      <c r="AB130" s="369"/>
      <c r="AC130" s="107"/>
      <c r="AD130" s="107"/>
    </row>
    <row r="131" spans="1:30" x14ac:dyDescent="0.25">
      <c r="A131" s="272"/>
      <c r="B131" s="287" t="s">
        <v>476</v>
      </c>
      <c r="C131" s="287"/>
      <c r="D131" s="406">
        <f t="shared" ref="D131:F131" si="164">D129</f>
        <v>0</v>
      </c>
      <c r="E131" s="406">
        <f t="shared" si="164"/>
        <v>0</v>
      </c>
      <c r="F131" s="406">
        <f t="shared" si="164"/>
        <v>0</v>
      </c>
      <c r="G131" s="406">
        <f>G129</f>
        <v>0</v>
      </c>
      <c r="H131" s="406">
        <f t="shared" ref="H131:O131" si="165">H129</f>
        <v>0</v>
      </c>
      <c r="I131" s="405">
        <f t="shared" si="165"/>
        <v>0</v>
      </c>
      <c r="J131" s="405">
        <f t="shared" si="165"/>
        <v>0</v>
      </c>
      <c r="K131" s="405">
        <f t="shared" si="165"/>
        <v>0</v>
      </c>
      <c r="L131" s="405">
        <f t="shared" si="165"/>
        <v>0</v>
      </c>
      <c r="M131" s="405">
        <f t="shared" si="165"/>
        <v>0</v>
      </c>
      <c r="N131" s="405">
        <f t="shared" si="165"/>
        <v>0</v>
      </c>
      <c r="O131" s="405">
        <f t="shared" si="165"/>
        <v>0</v>
      </c>
      <c r="P131" s="405">
        <f t="shared" ref="P131:R131" si="166">P129</f>
        <v>0</v>
      </c>
      <c r="Q131" s="405">
        <f t="shared" si="166"/>
        <v>0</v>
      </c>
      <c r="R131" s="390">
        <f t="shared" si="166"/>
        <v>0</v>
      </c>
      <c r="T131" s="107"/>
      <c r="U131" s="107"/>
      <c r="V131" s="107"/>
      <c r="W131" s="107"/>
      <c r="X131" s="107"/>
      <c r="Y131" s="107"/>
      <c r="Z131" s="107"/>
      <c r="AA131" s="107"/>
      <c r="AB131" s="369"/>
      <c r="AC131" s="107"/>
      <c r="AD131" s="107"/>
    </row>
    <row r="132" spans="1:30" x14ac:dyDescent="0.25">
      <c r="A132" s="272"/>
      <c r="B132" s="287" t="s">
        <v>477</v>
      </c>
      <c r="C132" s="287"/>
      <c r="D132" s="406">
        <f t="shared" ref="D132:F132" si="167">D112</f>
        <v>0</v>
      </c>
      <c r="E132" s="406">
        <f t="shared" si="167"/>
        <v>0</v>
      </c>
      <c r="F132" s="406">
        <f t="shared" si="167"/>
        <v>0</v>
      </c>
      <c r="G132" s="406">
        <f t="shared" ref="G132:O132" si="168">G112</f>
        <v>0</v>
      </c>
      <c r="H132" s="406">
        <f t="shared" si="168"/>
        <v>0</v>
      </c>
      <c r="I132" s="405">
        <f t="shared" si="168"/>
        <v>0</v>
      </c>
      <c r="J132" s="405">
        <f t="shared" si="168"/>
        <v>0</v>
      </c>
      <c r="K132" s="405">
        <f t="shared" si="168"/>
        <v>0</v>
      </c>
      <c r="L132" s="405">
        <f t="shared" si="168"/>
        <v>0</v>
      </c>
      <c r="M132" s="405">
        <f t="shared" si="168"/>
        <v>0</v>
      </c>
      <c r="N132" s="405">
        <f t="shared" si="168"/>
        <v>0</v>
      </c>
      <c r="O132" s="405">
        <f t="shared" si="168"/>
        <v>0</v>
      </c>
      <c r="P132" s="405">
        <f t="shared" ref="P132:R132" si="169">P112</f>
        <v>0</v>
      </c>
      <c r="Q132" s="405">
        <f t="shared" si="169"/>
        <v>0</v>
      </c>
      <c r="R132" s="390">
        <f t="shared" si="169"/>
        <v>0</v>
      </c>
      <c r="T132" s="107"/>
      <c r="U132" s="107"/>
      <c r="V132" s="107"/>
      <c r="W132" s="107"/>
      <c r="X132" s="107"/>
      <c r="Y132" s="107"/>
      <c r="Z132" s="107"/>
      <c r="AA132" s="107"/>
      <c r="AB132" s="369"/>
      <c r="AC132" s="107"/>
      <c r="AD132" s="107"/>
    </row>
    <row r="133" spans="1:30" ht="13" x14ac:dyDescent="0.3">
      <c r="A133" s="274" t="s">
        <v>478</v>
      </c>
      <c r="B133" s="300"/>
      <c r="C133" s="275"/>
      <c r="D133" s="433" t="str">
        <f t="shared" ref="D133:F133" si="170">IF(ISERROR(D131/D132),"-",D131/D132)</f>
        <v>-</v>
      </c>
      <c r="E133" s="433" t="str">
        <f t="shared" si="170"/>
        <v>-</v>
      </c>
      <c r="F133" s="433" t="str">
        <f t="shared" si="170"/>
        <v>-</v>
      </c>
      <c r="G133" s="433" t="str">
        <f>IF(ISERROR(G131/G132),"-",G131/G132)</f>
        <v>-</v>
      </c>
      <c r="H133" s="433" t="str">
        <f t="shared" ref="H133:O133" si="171">IF(ISERROR(H131/H132),"-",H131/H132)</f>
        <v>-</v>
      </c>
      <c r="I133" s="433" t="str">
        <f t="shared" si="171"/>
        <v>-</v>
      </c>
      <c r="J133" s="433" t="str">
        <f t="shared" si="171"/>
        <v>-</v>
      </c>
      <c r="K133" s="433" t="str">
        <f t="shared" si="171"/>
        <v>-</v>
      </c>
      <c r="L133" s="433" t="str">
        <f t="shared" si="171"/>
        <v>-</v>
      </c>
      <c r="M133" s="433" t="str">
        <f t="shared" si="171"/>
        <v>-</v>
      </c>
      <c r="N133" s="433" t="str">
        <f t="shared" si="171"/>
        <v>-</v>
      </c>
      <c r="O133" s="433" t="str">
        <f t="shared" si="171"/>
        <v>-</v>
      </c>
      <c r="P133" s="433" t="str">
        <f t="shared" ref="P133:R133" si="172">IF(ISERROR(P131/P132),"-",P131/P132)</f>
        <v>-</v>
      </c>
      <c r="Q133" s="433" t="str">
        <f t="shared" si="172"/>
        <v>-</v>
      </c>
      <c r="R133" s="434" t="str">
        <f t="shared" si="172"/>
        <v>-</v>
      </c>
      <c r="T133" s="107"/>
      <c r="U133" s="107"/>
      <c r="V133" s="107"/>
      <c r="W133" s="107"/>
      <c r="X133" s="107"/>
      <c r="Y133" s="107"/>
      <c r="Z133" s="107"/>
      <c r="AA133" s="107"/>
      <c r="AB133" s="369"/>
      <c r="AC133" s="107"/>
      <c r="AD133" s="107"/>
    </row>
    <row r="134" spans="1:30" x14ac:dyDescent="0.25">
      <c r="A134" s="272"/>
      <c r="B134" s="287"/>
      <c r="C134" s="287"/>
      <c r="D134" s="406"/>
      <c r="E134" s="406"/>
      <c r="F134" s="406"/>
      <c r="G134" s="406"/>
      <c r="H134" s="406"/>
      <c r="I134" s="405"/>
      <c r="J134" s="405"/>
      <c r="K134" s="405"/>
      <c r="L134" s="405"/>
      <c r="M134" s="405"/>
      <c r="N134" s="405"/>
      <c r="O134" s="405"/>
      <c r="P134" s="405"/>
      <c r="Q134" s="405"/>
      <c r="R134" s="390"/>
      <c r="T134" s="107"/>
      <c r="U134" s="107"/>
      <c r="V134" s="107"/>
      <c r="W134" s="107"/>
      <c r="X134" s="107"/>
      <c r="Y134" s="107"/>
      <c r="Z134" s="107"/>
      <c r="AA134" s="107"/>
      <c r="AB134" s="369"/>
      <c r="AC134" s="107"/>
      <c r="AD134" s="107"/>
    </row>
    <row r="135" spans="1:30" x14ac:dyDescent="0.25">
      <c r="A135" s="272"/>
      <c r="B135" s="287" t="s">
        <v>433</v>
      </c>
      <c r="C135" s="287"/>
      <c r="D135" s="406">
        <f t="shared" ref="D135:F135" si="173">D45</f>
        <v>0</v>
      </c>
      <c r="E135" s="406">
        <f t="shared" si="173"/>
        <v>0</v>
      </c>
      <c r="F135" s="406">
        <f t="shared" si="173"/>
        <v>0</v>
      </c>
      <c r="G135" s="406">
        <f t="shared" ref="G135:O135" si="174">G45</f>
        <v>0</v>
      </c>
      <c r="H135" s="406">
        <f t="shared" si="174"/>
        <v>0</v>
      </c>
      <c r="I135" s="405">
        <f t="shared" si="174"/>
        <v>0</v>
      </c>
      <c r="J135" s="405">
        <f t="shared" si="174"/>
        <v>0</v>
      </c>
      <c r="K135" s="405">
        <f t="shared" si="174"/>
        <v>0</v>
      </c>
      <c r="L135" s="405">
        <f t="shared" si="174"/>
        <v>0</v>
      </c>
      <c r="M135" s="405">
        <f t="shared" si="174"/>
        <v>0</v>
      </c>
      <c r="N135" s="405">
        <f t="shared" si="174"/>
        <v>0</v>
      </c>
      <c r="O135" s="405">
        <f t="shared" si="174"/>
        <v>0</v>
      </c>
      <c r="P135" s="405">
        <f t="shared" ref="P135:R135" si="175">P45</f>
        <v>0</v>
      </c>
      <c r="Q135" s="405">
        <f t="shared" si="175"/>
        <v>0</v>
      </c>
      <c r="R135" s="390">
        <f t="shared" si="175"/>
        <v>0</v>
      </c>
      <c r="T135" s="107"/>
      <c r="U135" s="107"/>
      <c r="V135" s="107"/>
      <c r="W135" s="107"/>
      <c r="X135" s="107"/>
      <c r="Y135" s="107"/>
      <c r="Z135" s="107"/>
      <c r="AA135" s="107"/>
      <c r="AB135" s="369"/>
      <c r="AC135" s="107"/>
      <c r="AD135" s="107"/>
    </row>
    <row r="136" spans="1:30" x14ac:dyDescent="0.25">
      <c r="A136" s="272"/>
      <c r="B136" s="287" t="s">
        <v>473</v>
      </c>
      <c r="C136" s="287"/>
      <c r="D136" s="406">
        <f t="shared" ref="D136:F136" si="176">D124</f>
        <v>0</v>
      </c>
      <c r="E136" s="406">
        <f t="shared" si="176"/>
        <v>0</v>
      </c>
      <c r="F136" s="406">
        <f t="shared" si="176"/>
        <v>0</v>
      </c>
      <c r="G136" s="406">
        <f>G124</f>
        <v>0</v>
      </c>
      <c r="H136" s="406">
        <f t="shared" ref="H136:O136" si="177">H124</f>
        <v>0</v>
      </c>
      <c r="I136" s="405">
        <f t="shared" si="177"/>
        <v>0</v>
      </c>
      <c r="J136" s="405">
        <f t="shared" si="177"/>
        <v>0</v>
      </c>
      <c r="K136" s="405">
        <f t="shared" si="177"/>
        <v>0</v>
      </c>
      <c r="L136" s="405">
        <f t="shared" si="177"/>
        <v>0</v>
      </c>
      <c r="M136" s="405">
        <f t="shared" si="177"/>
        <v>0</v>
      </c>
      <c r="N136" s="405">
        <f t="shared" si="177"/>
        <v>0</v>
      </c>
      <c r="O136" s="405">
        <f t="shared" si="177"/>
        <v>0</v>
      </c>
      <c r="P136" s="405">
        <f t="shared" ref="P136:R136" si="178">P124</f>
        <v>0</v>
      </c>
      <c r="Q136" s="405">
        <f t="shared" si="178"/>
        <v>0</v>
      </c>
      <c r="R136" s="390">
        <f t="shared" si="178"/>
        <v>0</v>
      </c>
      <c r="T136" s="107"/>
      <c r="U136" s="107"/>
      <c r="V136" s="107"/>
      <c r="W136" s="107"/>
      <c r="X136" s="107"/>
      <c r="Y136" s="107"/>
      <c r="Z136" s="107"/>
      <c r="AA136" s="107"/>
      <c r="AB136" s="369"/>
      <c r="AC136" s="107"/>
      <c r="AD136" s="107"/>
    </row>
    <row r="137" spans="1:30" ht="13" x14ac:dyDescent="0.3">
      <c r="A137" s="274" t="s">
        <v>479</v>
      </c>
      <c r="B137" s="300"/>
      <c r="C137" s="275"/>
      <c r="D137" s="435" t="str">
        <f t="shared" ref="D137:F137" si="179">IF(IF(ISERROR(D135/D136),"-",D135/D136)=0,"-",IF(ISERROR(D135/D136),"-",D135/D136))</f>
        <v>-</v>
      </c>
      <c r="E137" s="435" t="str">
        <f t="shared" si="179"/>
        <v>-</v>
      </c>
      <c r="F137" s="435" t="str">
        <f t="shared" si="179"/>
        <v>-</v>
      </c>
      <c r="G137" s="435" t="str">
        <f>IF(IF(ISERROR(G135/G136),"-",G135/G136)=0,"-",IF(ISERROR(G135/G136),"-",G135/G136))</f>
        <v>-</v>
      </c>
      <c r="H137" s="435" t="str">
        <f t="shared" ref="H137:O137" si="180">IF(IF(ISERROR(H135/H136),"-",H135/H136)=0,"-",IF(ISERROR(H135/H136),"-",H135/H136))</f>
        <v>-</v>
      </c>
      <c r="I137" s="435" t="str">
        <f t="shared" si="180"/>
        <v>-</v>
      </c>
      <c r="J137" s="435" t="str">
        <f t="shared" si="180"/>
        <v>-</v>
      </c>
      <c r="K137" s="435" t="str">
        <f t="shared" si="180"/>
        <v>-</v>
      </c>
      <c r="L137" s="435" t="str">
        <f t="shared" si="180"/>
        <v>-</v>
      </c>
      <c r="M137" s="435" t="str">
        <f t="shared" si="180"/>
        <v>-</v>
      </c>
      <c r="N137" s="435" t="str">
        <f t="shared" si="180"/>
        <v>-</v>
      </c>
      <c r="O137" s="435" t="str">
        <f t="shared" si="180"/>
        <v>-</v>
      </c>
      <c r="P137" s="435" t="str">
        <f t="shared" ref="P137:R137" si="181">IF(IF(ISERROR(P135/P136),"-",P135/P136)=0,"-",IF(ISERROR(P135/P136),"-",P135/P136))</f>
        <v>-</v>
      </c>
      <c r="Q137" s="435" t="str">
        <f t="shared" si="181"/>
        <v>-</v>
      </c>
      <c r="R137" s="436" t="str">
        <f t="shared" si="181"/>
        <v>-</v>
      </c>
      <c r="T137" s="107"/>
      <c r="U137" s="107"/>
      <c r="V137" s="107"/>
      <c r="W137" s="107"/>
      <c r="X137" s="107"/>
      <c r="Y137" s="107"/>
      <c r="Z137" s="107"/>
      <c r="AA137" s="107"/>
      <c r="AB137" s="369"/>
      <c r="AC137" s="107"/>
      <c r="AD137" s="107"/>
    </row>
    <row r="138" spans="1:30" x14ac:dyDescent="0.25">
      <c r="A138" s="272"/>
      <c r="B138" s="294"/>
      <c r="C138" s="294"/>
      <c r="D138" s="407"/>
      <c r="E138" s="407"/>
      <c r="F138" s="407"/>
      <c r="G138" s="407"/>
      <c r="H138" s="407"/>
      <c r="I138" s="372"/>
      <c r="J138" s="372"/>
      <c r="K138" s="372"/>
      <c r="L138" s="372"/>
      <c r="M138" s="372"/>
      <c r="N138" s="372"/>
      <c r="O138" s="372"/>
      <c r="P138" s="372"/>
      <c r="Q138" s="372"/>
      <c r="R138" s="392"/>
      <c r="T138" s="107"/>
      <c r="U138" s="107"/>
      <c r="V138" s="107"/>
      <c r="W138" s="107"/>
      <c r="X138" s="107"/>
      <c r="Y138" s="107"/>
      <c r="Z138" s="107"/>
      <c r="AA138" s="107"/>
      <c r="AB138" s="369"/>
      <c r="AC138" s="107"/>
      <c r="AD138" s="107"/>
    </row>
    <row r="139" spans="1:30" ht="12.75" customHeight="1" x14ac:dyDescent="0.3">
      <c r="A139" s="272"/>
      <c r="B139" s="317" t="s">
        <v>555</v>
      </c>
      <c r="C139" s="318"/>
      <c r="D139" s="437" t="str">
        <f>IF(ISERROR((D84-D83)/D79),"-",(D84-D83)/D79)</f>
        <v>-</v>
      </c>
      <c r="E139" s="437" t="str">
        <f t="shared" ref="E139:R139" si="182">IF(ISERROR((E84-E83)/E79),"-",(E84-E83)/E79)</f>
        <v>-</v>
      </c>
      <c r="F139" s="437" t="str">
        <f t="shared" si="182"/>
        <v>-</v>
      </c>
      <c r="G139" s="437" t="str">
        <f t="shared" si="182"/>
        <v>-</v>
      </c>
      <c r="H139" s="437" t="str">
        <f t="shared" si="182"/>
        <v>-</v>
      </c>
      <c r="I139" s="438" t="str">
        <f t="shared" si="182"/>
        <v>-</v>
      </c>
      <c r="J139" s="438" t="str">
        <f t="shared" si="182"/>
        <v>-</v>
      </c>
      <c r="K139" s="438" t="str">
        <f t="shared" si="182"/>
        <v>-</v>
      </c>
      <c r="L139" s="438" t="str">
        <f t="shared" si="182"/>
        <v>-</v>
      </c>
      <c r="M139" s="438" t="str">
        <f t="shared" si="182"/>
        <v>-</v>
      </c>
      <c r="N139" s="438" t="str">
        <f t="shared" si="182"/>
        <v>-</v>
      </c>
      <c r="O139" s="438" t="str">
        <f t="shared" si="182"/>
        <v>-</v>
      </c>
      <c r="P139" s="438" t="str">
        <f t="shared" si="182"/>
        <v>-</v>
      </c>
      <c r="Q139" s="438" t="str">
        <f t="shared" si="182"/>
        <v>-</v>
      </c>
      <c r="R139" s="439" t="str">
        <f t="shared" si="182"/>
        <v>-</v>
      </c>
      <c r="T139" s="108"/>
      <c r="U139" s="108"/>
      <c r="V139" s="108"/>
      <c r="W139" s="108"/>
      <c r="X139" s="108"/>
      <c r="Y139" s="108"/>
      <c r="Z139" s="108"/>
      <c r="AA139" s="107"/>
      <c r="AB139" s="369"/>
      <c r="AC139" s="107"/>
      <c r="AD139" s="107"/>
    </row>
    <row r="140" spans="1:30" ht="12.75" customHeight="1" x14ac:dyDescent="0.3">
      <c r="A140" s="272"/>
      <c r="B140" s="317" t="s">
        <v>554</v>
      </c>
      <c r="C140" s="318"/>
      <c r="D140" s="437" t="str">
        <f t="shared" ref="D140:Q140" si="183">IF(ISERROR(D84/D105),"-",D84/D105)</f>
        <v>-</v>
      </c>
      <c r="E140" s="437" t="str">
        <f t="shared" si="183"/>
        <v>-</v>
      </c>
      <c r="F140" s="437" t="str">
        <f t="shared" si="183"/>
        <v>-</v>
      </c>
      <c r="G140" s="437" t="str">
        <f t="shared" si="183"/>
        <v>-</v>
      </c>
      <c r="H140" s="437" t="str">
        <f t="shared" si="183"/>
        <v>-</v>
      </c>
      <c r="I140" s="438" t="str">
        <f t="shared" si="183"/>
        <v>-</v>
      </c>
      <c r="J140" s="438" t="str">
        <f t="shared" si="183"/>
        <v>-</v>
      </c>
      <c r="K140" s="438" t="str">
        <f t="shared" si="183"/>
        <v>-</v>
      </c>
      <c r="L140" s="438" t="str">
        <f t="shared" si="183"/>
        <v>-</v>
      </c>
      <c r="M140" s="438" t="str">
        <f t="shared" si="183"/>
        <v>-</v>
      </c>
      <c r="N140" s="438" t="str">
        <f t="shared" si="183"/>
        <v>-</v>
      </c>
      <c r="O140" s="438" t="str">
        <f t="shared" si="183"/>
        <v>-</v>
      </c>
      <c r="P140" s="438" t="str">
        <f t="shared" si="183"/>
        <v>-</v>
      </c>
      <c r="Q140" s="438" t="str">
        <f t="shared" si="183"/>
        <v>-</v>
      </c>
      <c r="R140" s="439" t="str">
        <f>IF(ISERROR(R84/R105),"-",R84/R105)</f>
        <v>-</v>
      </c>
      <c r="T140" s="108"/>
      <c r="U140" s="108"/>
      <c r="V140" s="108"/>
      <c r="W140" s="108"/>
      <c r="X140" s="108"/>
      <c r="Y140" s="108"/>
      <c r="Z140" s="108"/>
      <c r="AA140" s="107"/>
      <c r="AB140" s="369"/>
      <c r="AC140" s="107"/>
      <c r="AD140" s="107"/>
    </row>
    <row r="141" spans="1:30" x14ac:dyDescent="0.25">
      <c r="A141" s="272"/>
      <c r="B141" s="280"/>
      <c r="C141" s="294"/>
      <c r="D141" s="440"/>
      <c r="E141" s="440"/>
      <c r="F141" s="440"/>
      <c r="G141" s="440"/>
      <c r="H141" s="440"/>
      <c r="I141" s="441"/>
      <c r="J141" s="441"/>
      <c r="K141" s="372"/>
      <c r="L141" s="372"/>
      <c r="M141" s="372"/>
      <c r="N141" s="372"/>
      <c r="O141" s="372"/>
      <c r="P141" s="372"/>
      <c r="Q141" s="372"/>
      <c r="R141" s="392"/>
      <c r="T141" s="107"/>
      <c r="U141" s="107"/>
      <c r="V141" s="107"/>
      <c r="W141" s="107"/>
      <c r="X141" s="107"/>
      <c r="Y141" s="107"/>
      <c r="Z141" s="107"/>
      <c r="AA141" s="107"/>
      <c r="AB141" s="369"/>
      <c r="AC141" s="107"/>
      <c r="AD141" s="107"/>
    </row>
    <row r="142" spans="1:30" ht="12.75" customHeight="1" x14ac:dyDescent="0.3">
      <c r="A142" s="272"/>
      <c r="B142" s="317" t="s">
        <v>556</v>
      </c>
      <c r="C142" s="318"/>
      <c r="D142" s="437" t="str">
        <f>IF(ISERROR((D93-D92)/D88),"-",(D93-D92)/D88)</f>
        <v>-</v>
      </c>
      <c r="E142" s="437" t="str">
        <f t="shared" ref="E142:R142" si="184">IF(ISERROR((E93-E92)/E88),"-",(E93-E92)/E88)</f>
        <v>-</v>
      </c>
      <c r="F142" s="437" t="str">
        <f t="shared" si="184"/>
        <v>-</v>
      </c>
      <c r="G142" s="437" t="str">
        <f t="shared" si="184"/>
        <v>-</v>
      </c>
      <c r="H142" s="437" t="str">
        <f t="shared" si="184"/>
        <v>-</v>
      </c>
      <c r="I142" s="438" t="str">
        <f t="shared" si="184"/>
        <v>-</v>
      </c>
      <c r="J142" s="438" t="str">
        <f t="shared" si="184"/>
        <v>-</v>
      </c>
      <c r="K142" s="438" t="str">
        <f t="shared" si="184"/>
        <v>-</v>
      </c>
      <c r="L142" s="438" t="str">
        <f t="shared" si="184"/>
        <v>-</v>
      </c>
      <c r="M142" s="438" t="str">
        <f t="shared" si="184"/>
        <v>-</v>
      </c>
      <c r="N142" s="438" t="str">
        <f t="shared" si="184"/>
        <v>-</v>
      </c>
      <c r="O142" s="438" t="str">
        <f t="shared" si="184"/>
        <v>-</v>
      </c>
      <c r="P142" s="438" t="str">
        <f t="shared" si="184"/>
        <v>-</v>
      </c>
      <c r="Q142" s="438" t="str">
        <f t="shared" si="184"/>
        <v>-</v>
      </c>
      <c r="R142" s="439" t="str">
        <f t="shared" si="184"/>
        <v>-</v>
      </c>
      <c r="T142" s="108"/>
      <c r="U142" s="108"/>
      <c r="V142" s="108"/>
      <c r="W142" s="108"/>
      <c r="X142" s="108"/>
      <c r="Y142" s="108"/>
      <c r="Z142" s="108"/>
      <c r="AA142" s="107"/>
      <c r="AB142" s="369"/>
      <c r="AC142" s="107"/>
      <c r="AD142" s="107"/>
    </row>
    <row r="143" spans="1:30" ht="12.75" customHeight="1" x14ac:dyDescent="0.3">
      <c r="A143" s="272"/>
      <c r="B143" s="317" t="s">
        <v>557</v>
      </c>
      <c r="C143" s="318"/>
      <c r="D143" s="437" t="str">
        <f t="shared" ref="D143:Q143" si="185">IF(ISERROR(D93/D105),"-",D93/D105)</f>
        <v>-</v>
      </c>
      <c r="E143" s="437" t="str">
        <f t="shared" si="185"/>
        <v>-</v>
      </c>
      <c r="F143" s="437" t="str">
        <f t="shared" si="185"/>
        <v>-</v>
      </c>
      <c r="G143" s="437" t="str">
        <f t="shared" si="185"/>
        <v>-</v>
      </c>
      <c r="H143" s="437" t="str">
        <f t="shared" si="185"/>
        <v>-</v>
      </c>
      <c r="I143" s="438" t="str">
        <f t="shared" si="185"/>
        <v>-</v>
      </c>
      <c r="J143" s="438" t="str">
        <f t="shared" si="185"/>
        <v>-</v>
      </c>
      <c r="K143" s="438" t="str">
        <f t="shared" si="185"/>
        <v>-</v>
      </c>
      <c r="L143" s="438" t="str">
        <f t="shared" si="185"/>
        <v>-</v>
      </c>
      <c r="M143" s="438" t="str">
        <f t="shared" si="185"/>
        <v>-</v>
      </c>
      <c r="N143" s="438" t="str">
        <f t="shared" si="185"/>
        <v>-</v>
      </c>
      <c r="O143" s="438" t="str">
        <f t="shared" si="185"/>
        <v>-</v>
      </c>
      <c r="P143" s="438" t="str">
        <f t="shared" si="185"/>
        <v>-</v>
      </c>
      <c r="Q143" s="438" t="str">
        <f t="shared" si="185"/>
        <v>-</v>
      </c>
      <c r="R143" s="439" t="str">
        <f>IF(ISERROR(R93/R105),"-",R93/R105)</f>
        <v>-</v>
      </c>
      <c r="T143" s="108"/>
      <c r="U143" s="108"/>
      <c r="V143" s="108"/>
      <c r="W143" s="108"/>
      <c r="X143" s="108"/>
      <c r="Y143" s="108"/>
      <c r="Z143" s="108"/>
      <c r="AA143" s="107"/>
      <c r="AB143" s="369"/>
      <c r="AC143" s="107"/>
      <c r="AD143" s="107"/>
    </row>
    <row r="144" spans="1:30" x14ac:dyDescent="0.25">
      <c r="A144" s="272"/>
      <c r="B144" s="294"/>
      <c r="C144" s="294"/>
      <c r="D144" s="407"/>
      <c r="E144" s="407"/>
      <c r="F144" s="407"/>
      <c r="G144" s="407"/>
      <c r="H144" s="407"/>
      <c r="I144" s="372"/>
      <c r="J144" s="372"/>
      <c r="K144" s="372"/>
      <c r="L144" s="372"/>
      <c r="M144" s="372"/>
      <c r="N144" s="372"/>
      <c r="O144" s="372"/>
      <c r="P144" s="372"/>
      <c r="Q144" s="372"/>
      <c r="R144" s="392"/>
      <c r="T144" s="107"/>
      <c r="U144" s="107"/>
      <c r="V144" s="107"/>
      <c r="W144" s="107"/>
      <c r="X144" s="107"/>
      <c r="Y144" s="107"/>
      <c r="Z144" s="107"/>
      <c r="AA144" s="107"/>
      <c r="AB144" s="369"/>
      <c r="AC144" s="107"/>
      <c r="AD144" s="107"/>
    </row>
    <row r="145" spans="1:30" ht="12.75" customHeight="1" x14ac:dyDescent="0.3">
      <c r="A145" s="272"/>
      <c r="B145" s="317" t="s">
        <v>480</v>
      </c>
      <c r="C145" s="318"/>
      <c r="D145" s="442"/>
      <c r="E145" s="442"/>
      <c r="F145" s="442"/>
      <c r="G145" s="442"/>
      <c r="H145" s="438" t="str">
        <f t="shared" ref="H145:O145" si="186">IF(ISERROR(H101/H105),"-",H101/H105)</f>
        <v>-</v>
      </c>
      <c r="I145" s="438" t="str">
        <f t="shared" si="186"/>
        <v>-</v>
      </c>
      <c r="J145" s="438" t="str">
        <f t="shared" si="186"/>
        <v>-</v>
      </c>
      <c r="K145" s="438" t="str">
        <f t="shared" si="186"/>
        <v>-</v>
      </c>
      <c r="L145" s="438" t="str">
        <f t="shared" si="186"/>
        <v>-</v>
      </c>
      <c r="M145" s="438" t="str">
        <f t="shared" si="186"/>
        <v>-</v>
      </c>
      <c r="N145" s="438" t="str">
        <f t="shared" si="186"/>
        <v>-</v>
      </c>
      <c r="O145" s="438" t="str">
        <f t="shared" si="186"/>
        <v>-</v>
      </c>
      <c r="P145" s="438" t="str">
        <f t="shared" ref="P145:R145" si="187">IF(ISERROR(P101/P105),"-",P101/P105)</f>
        <v>-</v>
      </c>
      <c r="Q145" s="438" t="str">
        <f t="shared" si="187"/>
        <v>-</v>
      </c>
      <c r="R145" s="439" t="str">
        <f t="shared" si="187"/>
        <v>-</v>
      </c>
      <c r="T145" s="108"/>
      <c r="U145" s="108"/>
      <c r="V145" s="108"/>
      <c r="W145" s="108"/>
      <c r="X145" s="108"/>
      <c r="Y145" s="108"/>
      <c r="Z145" s="108"/>
      <c r="AA145" s="107"/>
      <c r="AB145" s="369"/>
      <c r="AC145" s="107"/>
      <c r="AD145" s="107"/>
    </row>
    <row r="146" spans="1:30" ht="12.75" customHeight="1" x14ac:dyDescent="0.3">
      <c r="A146" s="272"/>
      <c r="B146" s="294" t="s">
        <v>481</v>
      </c>
      <c r="C146" s="319"/>
      <c r="D146" s="421"/>
      <c r="E146" s="421"/>
      <c r="F146" s="421"/>
      <c r="G146" s="421"/>
      <c r="H146" s="421"/>
      <c r="I146" s="422"/>
      <c r="J146" s="422"/>
      <c r="K146" s="422"/>
      <c r="L146" s="455"/>
      <c r="M146" s="250"/>
      <c r="N146" s="250"/>
      <c r="O146" s="251"/>
      <c r="P146" s="251"/>
      <c r="Q146" s="251"/>
      <c r="R146" s="252"/>
      <c r="T146" s="108"/>
      <c r="U146" s="108"/>
      <c r="V146" s="108"/>
      <c r="W146" s="108"/>
      <c r="X146" s="108"/>
      <c r="Y146" s="108"/>
      <c r="Z146" s="108"/>
      <c r="AA146" s="107"/>
      <c r="AB146" s="369"/>
      <c r="AC146" s="107"/>
      <c r="AD146" s="107"/>
    </row>
    <row r="147" spans="1:30" ht="12.75" customHeight="1" x14ac:dyDescent="0.25">
      <c r="A147" s="272"/>
      <c r="B147" s="308" t="s">
        <v>482</v>
      </c>
      <c r="C147" s="308"/>
      <c r="D147" s="456"/>
      <c r="E147" s="456"/>
      <c r="F147" s="456"/>
      <c r="G147" s="456"/>
      <c r="H147" s="456"/>
      <c r="I147" s="457"/>
      <c r="J147" s="457"/>
      <c r="K147" s="457"/>
      <c r="L147" s="443"/>
      <c r="M147" s="443" t="str">
        <f>IF(ISERROR(M145*M146),"-",M145*M146)</f>
        <v>-</v>
      </c>
      <c r="N147" s="443" t="str">
        <f t="shared" ref="N147:R147" si="188">IF(ISERROR(N145*N146),"-",N145*N146)</f>
        <v>-</v>
      </c>
      <c r="O147" s="443" t="str">
        <f t="shared" si="188"/>
        <v>-</v>
      </c>
      <c r="P147" s="443" t="str">
        <f t="shared" si="188"/>
        <v>-</v>
      </c>
      <c r="Q147" s="443" t="str">
        <f t="shared" si="188"/>
        <v>-</v>
      </c>
      <c r="R147" s="444" t="str">
        <f t="shared" si="188"/>
        <v>-</v>
      </c>
      <c r="T147" s="108"/>
      <c r="U147" s="108"/>
      <c r="V147" s="108"/>
      <c r="W147" s="108"/>
      <c r="X147" s="108"/>
      <c r="Y147" s="108"/>
      <c r="Z147" s="108"/>
      <c r="AA147" s="107"/>
      <c r="AB147" s="369"/>
      <c r="AC147" s="107"/>
      <c r="AD147" s="107"/>
    </row>
    <row r="148" spans="1:30" ht="18" x14ac:dyDescent="0.4">
      <c r="A148" s="320" t="s">
        <v>483</v>
      </c>
      <c r="B148" s="321"/>
      <c r="C148" s="322"/>
      <c r="D148" s="445"/>
      <c r="E148" s="445"/>
      <c r="F148" s="445"/>
      <c r="G148" s="445"/>
      <c r="H148" s="445"/>
      <c r="I148" s="445"/>
      <c r="J148" s="445"/>
      <c r="K148" s="445"/>
      <c r="L148" s="445"/>
      <c r="M148" s="445"/>
      <c r="N148" s="445"/>
      <c r="O148" s="445"/>
      <c r="P148" s="445"/>
      <c r="Q148" s="445"/>
      <c r="R148" s="446">
        <f>SUM(M147:R147)</f>
        <v>0</v>
      </c>
      <c r="T148" s="108"/>
      <c r="U148" s="108"/>
      <c r="V148" s="108"/>
      <c r="W148" s="108"/>
      <c r="X148" s="108"/>
      <c r="Y148" s="108"/>
      <c r="Z148" s="108"/>
      <c r="AA148" s="107"/>
      <c r="AB148" s="369"/>
      <c r="AC148" s="107"/>
      <c r="AD148" s="107"/>
    </row>
    <row r="149" spans="1:30" x14ac:dyDescent="0.25">
      <c r="A149" s="276"/>
      <c r="B149" s="280"/>
      <c r="C149" s="280"/>
      <c r="D149" s="447"/>
      <c r="E149" s="447"/>
      <c r="F149" s="447"/>
      <c r="G149" s="447"/>
      <c r="H149" s="447"/>
      <c r="I149" s="447"/>
      <c r="J149" s="447"/>
      <c r="K149" s="447"/>
      <c r="L149" s="447"/>
      <c r="M149" s="447"/>
      <c r="N149" s="447"/>
      <c r="O149" s="447"/>
      <c r="P149" s="447"/>
      <c r="Q149" s="447"/>
      <c r="R149" s="448"/>
      <c r="T149" s="108"/>
      <c r="U149" s="108"/>
      <c r="V149" s="108"/>
      <c r="W149" s="108"/>
      <c r="X149" s="108"/>
      <c r="Y149" s="108"/>
      <c r="Z149" s="108"/>
      <c r="AA149" s="107"/>
      <c r="AB149" s="369"/>
      <c r="AC149" s="107"/>
      <c r="AD149" s="107"/>
    </row>
    <row r="150" spans="1:30" ht="13" x14ac:dyDescent="0.3">
      <c r="A150" s="276"/>
      <c r="B150" s="317" t="s">
        <v>558</v>
      </c>
      <c r="C150" s="318"/>
      <c r="D150" s="438" t="str">
        <f t="shared" ref="D150:F150" si="189">IF(ISERROR((D55+D56)/(D84-D83)),"-",(D55+D56)/(D84-D83))</f>
        <v>-</v>
      </c>
      <c r="E150" s="438" t="str">
        <f t="shared" si="189"/>
        <v>-</v>
      </c>
      <c r="F150" s="438" t="str">
        <f t="shared" si="189"/>
        <v>-</v>
      </c>
      <c r="G150" s="438" t="str">
        <f>IF(ISERROR((G55+G56)/(G84-G83)),"-",(G55+G56)/(G84-G83))</f>
        <v>-</v>
      </c>
      <c r="H150" s="438" t="str">
        <f t="shared" ref="H150:R150" si="190">IF(ISERROR((H55+H56)/(H84-H83)),"-",(H55+H56)/(H84-H83))</f>
        <v>-</v>
      </c>
      <c r="I150" s="438" t="str">
        <f t="shared" si="190"/>
        <v>-</v>
      </c>
      <c r="J150" s="438" t="str">
        <f t="shared" si="190"/>
        <v>-</v>
      </c>
      <c r="K150" s="438" t="str">
        <f t="shared" si="190"/>
        <v>-</v>
      </c>
      <c r="L150" s="438" t="str">
        <f t="shared" si="190"/>
        <v>-</v>
      </c>
      <c r="M150" s="438" t="str">
        <f t="shared" si="190"/>
        <v>-</v>
      </c>
      <c r="N150" s="438" t="str">
        <f t="shared" si="190"/>
        <v>-</v>
      </c>
      <c r="O150" s="438" t="str">
        <f t="shared" si="190"/>
        <v>-</v>
      </c>
      <c r="P150" s="438" t="str">
        <f t="shared" si="190"/>
        <v>-</v>
      </c>
      <c r="Q150" s="438" t="str">
        <f t="shared" si="190"/>
        <v>-</v>
      </c>
      <c r="R150" s="449" t="str">
        <f t="shared" si="190"/>
        <v>-</v>
      </c>
      <c r="T150" s="108"/>
      <c r="U150" s="108"/>
      <c r="V150" s="108"/>
      <c r="W150" s="108"/>
      <c r="X150" s="108"/>
      <c r="Y150" s="108"/>
      <c r="Z150" s="108"/>
      <c r="AA150" s="107"/>
      <c r="AB150" s="369"/>
      <c r="AC150" s="107"/>
      <c r="AD150" s="107"/>
    </row>
    <row r="151" spans="1:30" ht="13" x14ac:dyDescent="0.3">
      <c r="A151" s="276"/>
      <c r="B151" s="317" t="s">
        <v>559</v>
      </c>
      <c r="C151" s="318"/>
      <c r="D151" s="438" t="str">
        <f t="shared" ref="D151:Q151" si="191">IF(ISERROR(D129/D84),"-",D129/D84)</f>
        <v>-</v>
      </c>
      <c r="E151" s="438" t="str">
        <f t="shared" si="191"/>
        <v>-</v>
      </c>
      <c r="F151" s="438" t="str">
        <f t="shared" si="191"/>
        <v>-</v>
      </c>
      <c r="G151" s="438" t="str">
        <f t="shared" si="191"/>
        <v>-</v>
      </c>
      <c r="H151" s="438" t="str">
        <f t="shared" si="191"/>
        <v>-</v>
      </c>
      <c r="I151" s="438" t="str">
        <f t="shared" si="191"/>
        <v>-</v>
      </c>
      <c r="J151" s="438" t="str">
        <f t="shared" si="191"/>
        <v>-</v>
      </c>
      <c r="K151" s="438" t="str">
        <f t="shared" si="191"/>
        <v>-</v>
      </c>
      <c r="L151" s="438" t="str">
        <f t="shared" si="191"/>
        <v>-</v>
      </c>
      <c r="M151" s="438" t="str">
        <f t="shared" si="191"/>
        <v>-</v>
      </c>
      <c r="N151" s="438" t="str">
        <f t="shared" si="191"/>
        <v>-</v>
      </c>
      <c r="O151" s="438" t="str">
        <f t="shared" si="191"/>
        <v>-</v>
      </c>
      <c r="P151" s="438" t="str">
        <f t="shared" si="191"/>
        <v>-</v>
      </c>
      <c r="Q151" s="438" t="str">
        <f t="shared" si="191"/>
        <v>-</v>
      </c>
      <c r="R151" s="449" t="str">
        <f>IF(ISERROR(R129/R84),"-",R129/R84)</f>
        <v>-</v>
      </c>
      <c r="T151" s="108"/>
      <c r="U151" s="108"/>
      <c r="V151" s="108"/>
      <c r="W151" s="108"/>
      <c r="X151" s="108"/>
      <c r="Y151" s="108"/>
      <c r="Z151" s="108"/>
      <c r="AA151" s="107"/>
      <c r="AB151" s="369"/>
      <c r="AC151" s="107"/>
      <c r="AD151" s="107"/>
    </row>
    <row r="152" spans="1:30" x14ac:dyDescent="0.25">
      <c r="A152" s="276"/>
      <c r="B152" s="280"/>
      <c r="C152" s="280"/>
      <c r="D152" s="450"/>
      <c r="E152" s="450"/>
      <c r="F152" s="450"/>
      <c r="G152" s="450"/>
      <c r="H152" s="450"/>
      <c r="I152" s="450"/>
      <c r="J152" s="450"/>
      <c r="K152" s="450"/>
      <c r="L152" s="450"/>
      <c r="M152" s="450"/>
      <c r="N152" s="450"/>
      <c r="O152" s="450"/>
      <c r="P152" s="450"/>
      <c r="Q152" s="450"/>
      <c r="R152" s="451"/>
      <c r="T152" s="108"/>
      <c r="U152" s="108"/>
      <c r="V152" s="108"/>
      <c r="W152" s="108"/>
      <c r="X152" s="108"/>
      <c r="Y152" s="108"/>
      <c r="Z152" s="108"/>
      <c r="AA152" s="107"/>
      <c r="AB152" s="369"/>
      <c r="AC152" s="107"/>
      <c r="AD152" s="107"/>
    </row>
    <row r="153" spans="1:30" ht="13" x14ac:dyDescent="0.3">
      <c r="A153" s="276"/>
      <c r="B153" s="317" t="s">
        <v>560</v>
      </c>
      <c r="C153" s="318"/>
      <c r="D153" s="438" t="str">
        <f>IF(ISERROR((D56+D55)/(D93-D92)),"-",(D56+D55)/(D93-D92))</f>
        <v>-</v>
      </c>
      <c r="E153" s="438" t="str">
        <f t="shared" ref="E153:R153" si="192">IF(ISERROR((E56+E55)/(E93-E92)),"-",(E56+E55)/(E93-E92))</f>
        <v>-</v>
      </c>
      <c r="F153" s="438" t="str">
        <f t="shared" si="192"/>
        <v>-</v>
      </c>
      <c r="G153" s="438" t="str">
        <f t="shared" si="192"/>
        <v>-</v>
      </c>
      <c r="H153" s="438" t="str">
        <f t="shared" si="192"/>
        <v>-</v>
      </c>
      <c r="I153" s="438" t="str">
        <f t="shared" si="192"/>
        <v>-</v>
      </c>
      <c r="J153" s="438" t="str">
        <f t="shared" si="192"/>
        <v>-</v>
      </c>
      <c r="K153" s="438" t="str">
        <f t="shared" si="192"/>
        <v>-</v>
      </c>
      <c r="L153" s="438" t="str">
        <f t="shared" si="192"/>
        <v>-</v>
      </c>
      <c r="M153" s="438" t="str">
        <f t="shared" si="192"/>
        <v>-</v>
      </c>
      <c r="N153" s="438" t="str">
        <f t="shared" si="192"/>
        <v>-</v>
      </c>
      <c r="O153" s="438" t="str">
        <f t="shared" si="192"/>
        <v>-</v>
      </c>
      <c r="P153" s="438" t="str">
        <f t="shared" si="192"/>
        <v>-</v>
      </c>
      <c r="Q153" s="438" t="str">
        <f t="shared" si="192"/>
        <v>-</v>
      </c>
      <c r="R153" s="449" t="str">
        <f t="shared" si="192"/>
        <v>-</v>
      </c>
      <c r="T153" s="108"/>
      <c r="U153" s="108"/>
      <c r="V153" s="108"/>
      <c r="W153" s="108"/>
      <c r="X153" s="108"/>
      <c r="Y153" s="108"/>
      <c r="Z153" s="108"/>
      <c r="AA153" s="107"/>
      <c r="AB153" s="369"/>
      <c r="AC153" s="107"/>
      <c r="AD153" s="107"/>
    </row>
    <row r="154" spans="1:30" ht="13" x14ac:dyDescent="0.3">
      <c r="A154" s="276"/>
      <c r="B154" s="317" t="s">
        <v>561</v>
      </c>
      <c r="C154" s="318"/>
      <c r="D154" s="438" t="str">
        <f t="shared" ref="D154:Q154" si="193">IF(ISERROR(D129/D93),"-",D129/D93)</f>
        <v>-</v>
      </c>
      <c r="E154" s="438" t="str">
        <f t="shared" si="193"/>
        <v>-</v>
      </c>
      <c r="F154" s="438" t="str">
        <f t="shared" si="193"/>
        <v>-</v>
      </c>
      <c r="G154" s="438" t="str">
        <f t="shared" si="193"/>
        <v>-</v>
      </c>
      <c r="H154" s="438" t="str">
        <f t="shared" si="193"/>
        <v>-</v>
      </c>
      <c r="I154" s="438" t="str">
        <f t="shared" si="193"/>
        <v>-</v>
      </c>
      <c r="J154" s="438" t="str">
        <f t="shared" si="193"/>
        <v>-</v>
      </c>
      <c r="K154" s="438" t="str">
        <f t="shared" si="193"/>
        <v>-</v>
      </c>
      <c r="L154" s="438" t="str">
        <f t="shared" si="193"/>
        <v>-</v>
      </c>
      <c r="M154" s="438" t="str">
        <f t="shared" si="193"/>
        <v>-</v>
      </c>
      <c r="N154" s="438" t="str">
        <f t="shared" si="193"/>
        <v>-</v>
      </c>
      <c r="O154" s="438" t="str">
        <f t="shared" si="193"/>
        <v>-</v>
      </c>
      <c r="P154" s="438" t="str">
        <f t="shared" si="193"/>
        <v>-</v>
      </c>
      <c r="Q154" s="438" t="str">
        <f t="shared" si="193"/>
        <v>-</v>
      </c>
      <c r="R154" s="449" t="str">
        <f>IF(ISERROR(R129/R93),"-",R129/R93)</f>
        <v>-</v>
      </c>
      <c r="T154" s="108"/>
      <c r="U154" s="108"/>
      <c r="V154" s="108"/>
      <c r="W154" s="108"/>
      <c r="X154" s="108"/>
      <c r="Y154" s="108"/>
      <c r="Z154" s="108"/>
      <c r="AA154" s="107"/>
      <c r="AB154" s="369"/>
      <c r="AC154" s="107"/>
      <c r="AD154" s="107"/>
    </row>
    <row r="155" spans="1:30" x14ac:dyDescent="0.25">
      <c r="A155" s="276"/>
      <c r="B155" s="280"/>
      <c r="C155" s="280"/>
      <c r="D155" s="447"/>
      <c r="E155" s="447"/>
      <c r="F155" s="447"/>
      <c r="G155" s="447"/>
      <c r="H155" s="447"/>
      <c r="I155" s="447"/>
      <c r="J155" s="447"/>
      <c r="K155" s="447"/>
      <c r="L155" s="447"/>
      <c r="M155" s="447"/>
      <c r="N155" s="447"/>
      <c r="O155" s="447"/>
      <c r="P155" s="447"/>
      <c r="Q155" s="447"/>
      <c r="R155" s="448"/>
      <c r="T155" s="417"/>
      <c r="U155" s="417"/>
      <c r="V155" s="417"/>
      <c r="W155" s="417"/>
      <c r="X155" s="417"/>
      <c r="Y155" s="417"/>
      <c r="Z155" s="417"/>
      <c r="AA155" s="369"/>
      <c r="AB155" s="369"/>
      <c r="AC155" s="369"/>
      <c r="AD155" s="369"/>
    </row>
    <row r="156" spans="1:30" ht="12.75" customHeight="1" x14ac:dyDescent="0.3">
      <c r="A156" s="272"/>
      <c r="B156" s="317" t="s">
        <v>484</v>
      </c>
      <c r="C156" s="318"/>
      <c r="D156" s="452"/>
      <c r="E156" s="452"/>
      <c r="F156" s="452"/>
      <c r="G156" s="452"/>
      <c r="H156" s="438" t="str">
        <f t="shared" ref="H156:Q156" si="194">IF(ISERROR(H129/H101),"-",H129/H101)</f>
        <v>-</v>
      </c>
      <c r="I156" s="438" t="str">
        <f t="shared" si="194"/>
        <v>-</v>
      </c>
      <c r="J156" s="438" t="str">
        <f t="shared" si="194"/>
        <v>-</v>
      </c>
      <c r="K156" s="438" t="str">
        <f t="shared" si="194"/>
        <v>-</v>
      </c>
      <c r="L156" s="438" t="str">
        <f t="shared" si="194"/>
        <v>-</v>
      </c>
      <c r="M156" s="438" t="str">
        <f t="shared" si="194"/>
        <v>-</v>
      </c>
      <c r="N156" s="438" t="str">
        <f t="shared" si="194"/>
        <v>-</v>
      </c>
      <c r="O156" s="438" t="str">
        <f t="shared" si="194"/>
        <v>-</v>
      </c>
      <c r="P156" s="438" t="str">
        <f t="shared" si="194"/>
        <v>-</v>
      </c>
      <c r="Q156" s="438" t="str">
        <f t="shared" si="194"/>
        <v>-</v>
      </c>
      <c r="R156" s="449" t="str">
        <f>IF(ISERROR(R129/R101),"-",R129/R101)</f>
        <v>-</v>
      </c>
      <c r="T156" s="417"/>
      <c r="U156" s="417"/>
      <c r="V156" s="417"/>
      <c r="W156" s="417"/>
      <c r="X156" s="417"/>
      <c r="Y156" s="417"/>
      <c r="Z156" s="417"/>
      <c r="AA156" s="369"/>
      <c r="AB156" s="369"/>
      <c r="AC156" s="369"/>
      <c r="AD156" s="369"/>
    </row>
    <row r="157" spans="1:30" ht="12.75" customHeight="1" x14ac:dyDescent="0.3">
      <c r="A157" s="272"/>
      <c r="B157" s="294" t="s">
        <v>481</v>
      </c>
      <c r="C157" s="319"/>
      <c r="D157" s="421"/>
      <c r="E157" s="421"/>
      <c r="F157" s="421"/>
      <c r="G157" s="421"/>
      <c r="H157" s="421"/>
      <c r="I157" s="422"/>
      <c r="J157" s="422"/>
      <c r="K157" s="422"/>
      <c r="L157" s="453"/>
      <c r="M157" s="550">
        <f>M146</f>
        <v>0</v>
      </c>
      <c r="N157" s="550">
        <f t="shared" ref="N157:R157" si="195">N146</f>
        <v>0</v>
      </c>
      <c r="O157" s="550">
        <f t="shared" si="195"/>
        <v>0</v>
      </c>
      <c r="P157" s="550">
        <f t="shared" si="195"/>
        <v>0</v>
      </c>
      <c r="Q157" s="550">
        <f t="shared" si="195"/>
        <v>0</v>
      </c>
      <c r="R157" s="551">
        <f t="shared" si="195"/>
        <v>0</v>
      </c>
      <c r="T157" s="417"/>
      <c r="U157" s="417"/>
      <c r="V157" s="417"/>
      <c r="W157" s="417"/>
      <c r="X157" s="417"/>
      <c r="Y157" s="417"/>
      <c r="Z157" s="417"/>
      <c r="AA157" s="369"/>
      <c r="AB157" s="369"/>
      <c r="AC157" s="369"/>
      <c r="AD157" s="369"/>
    </row>
    <row r="158" spans="1:30" ht="12.75" customHeight="1" x14ac:dyDescent="0.3">
      <c r="A158" s="272"/>
      <c r="B158" s="308" t="s">
        <v>482</v>
      </c>
      <c r="C158" s="319"/>
      <c r="D158" s="421"/>
      <c r="E158" s="421"/>
      <c r="F158" s="421"/>
      <c r="G158" s="421"/>
      <c r="H158" s="421"/>
      <c r="I158" s="422"/>
      <c r="J158" s="422"/>
      <c r="K158" s="422"/>
      <c r="L158" s="454"/>
      <c r="M158" s="443" t="str">
        <f>IF(ISERROR(M156*M157),"-",M156*M157)</f>
        <v>-</v>
      </c>
      <c r="N158" s="443" t="str">
        <f t="shared" ref="N158:R158" si="196">IF(ISERROR(N156*N157),"-",N156*N157)</f>
        <v>-</v>
      </c>
      <c r="O158" s="443" t="str">
        <f t="shared" si="196"/>
        <v>-</v>
      </c>
      <c r="P158" s="443" t="str">
        <f t="shared" si="196"/>
        <v>-</v>
      </c>
      <c r="Q158" s="443" t="str">
        <f t="shared" si="196"/>
        <v>-</v>
      </c>
      <c r="R158" s="444" t="str">
        <f t="shared" si="196"/>
        <v>-</v>
      </c>
      <c r="T158" s="417"/>
      <c r="U158" s="417"/>
      <c r="V158" s="417"/>
      <c r="W158" s="417"/>
      <c r="X158" s="417"/>
      <c r="Y158" s="417"/>
      <c r="Z158" s="417"/>
      <c r="AA158" s="369"/>
      <c r="AB158" s="369"/>
      <c r="AC158" s="369"/>
      <c r="AD158" s="369"/>
    </row>
    <row r="159" spans="1:30" ht="18" x14ac:dyDescent="0.4">
      <c r="A159" s="320" t="s">
        <v>485</v>
      </c>
      <c r="B159" s="321"/>
      <c r="C159" s="322"/>
      <c r="D159" s="445"/>
      <c r="E159" s="445"/>
      <c r="F159" s="445"/>
      <c r="G159" s="445"/>
      <c r="H159" s="445"/>
      <c r="I159" s="445"/>
      <c r="J159" s="445"/>
      <c r="K159" s="445"/>
      <c r="L159" s="445"/>
      <c r="M159" s="445"/>
      <c r="N159" s="445"/>
      <c r="O159" s="445"/>
      <c r="P159" s="445"/>
      <c r="Q159" s="445"/>
      <c r="R159" s="446">
        <f>SUM(M158:R158)</f>
        <v>0</v>
      </c>
      <c r="T159" s="417"/>
      <c r="U159" s="417"/>
      <c r="V159" s="417"/>
      <c r="W159" s="417"/>
      <c r="X159" s="417"/>
      <c r="Y159" s="417"/>
      <c r="Z159" s="417"/>
      <c r="AA159" s="369"/>
      <c r="AB159" s="369"/>
      <c r="AC159" s="369"/>
      <c r="AD159" s="369"/>
    </row>
    <row r="160" spans="1:30" x14ac:dyDescent="0.25">
      <c r="A160" s="272"/>
      <c r="B160" s="287"/>
      <c r="C160" s="287"/>
      <c r="D160" s="406"/>
      <c r="E160" s="406"/>
      <c r="F160" s="406"/>
      <c r="G160" s="406"/>
      <c r="H160" s="406"/>
      <c r="I160" s="405"/>
      <c r="J160" s="405"/>
      <c r="K160" s="405"/>
      <c r="L160" s="405"/>
      <c r="M160" s="422"/>
      <c r="N160" s="422"/>
      <c r="O160" s="422"/>
      <c r="P160" s="422"/>
      <c r="Q160" s="422"/>
      <c r="R160" s="390"/>
      <c r="T160" s="417"/>
      <c r="U160" s="417"/>
      <c r="V160" s="417"/>
      <c r="W160" s="417"/>
      <c r="X160" s="417"/>
      <c r="Y160" s="417"/>
      <c r="Z160" s="417"/>
      <c r="AA160" s="369"/>
      <c r="AB160" s="369"/>
      <c r="AC160" s="369"/>
      <c r="AD160" s="369"/>
    </row>
    <row r="161" spans="1:30" x14ac:dyDescent="0.25">
      <c r="A161" s="272"/>
      <c r="B161" s="287" t="s">
        <v>486</v>
      </c>
      <c r="C161" s="287"/>
      <c r="D161" s="458">
        <f t="shared" ref="D161:R161" si="197">SUM(D5:D10)</f>
        <v>0</v>
      </c>
      <c r="E161" s="458">
        <f t="shared" si="197"/>
        <v>0</v>
      </c>
      <c r="F161" s="458">
        <f t="shared" si="197"/>
        <v>0</v>
      </c>
      <c r="G161" s="458">
        <f t="shared" si="197"/>
        <v>0</v>
      </c>
      <c r="H161" s="406">
        <f t="shared" si="197"/>
        <v>0</v>
      </c>
      <c r="I161" s="405">
        <f t="shared" si="197"/>
        <v>0</v>
      </c>
      <c r="J161" s="405">
        <f t="shared" si="197"/>
        <v>0</v>
      </c>
      <c r="K161" s="405">
        <f t="shared" si="197"/>
        <v>0</v>
      </c>
      <c r="L161" s="405">
        <f t="shared" si="197"/>
        <v>0</v>
      </c>
      <c r="M161" s="405">
        <f t="shared" si="197"/>
        <v>0</v>
      </c>
      <c r="N161" s="422">
        <f t="shared" si="197"/>
        <v>0</v>
      </c>
      <c r="O161" s="422">
        <f t="shared" si="197"/>
        <v>0</v>
      </c>
      <c r="P161" s="422">
        <f t="shared" si="197"/>
        <v>0</v>
      </c>
      <c r="Q161" s="422">
        <f t="shared" si="197"/>
        <v>0</v>
      </c>
      <c r="R161" s="390">
        <f t="shared" si="197"/>
        <v>0</v>
      </c>
      <c r="T161" s="417"/>
      <c r="U161" s="417"/>
      <c r="V161" s="417"/>
      <c r="W161" s="417"/>
      <c r="X161" s="417"/>
      <c r="Y161" s="417"/>
      <c r="Z161" s="417"/>
      <c r="AA161" s="369"/>
      <c r="AB161" s="369"/>
      <c r="AC161" s="369"/>
      <c r="AD161" s="369"/>
    </row>
    <row r="162" spans="1:30" x14ac:dyDescent="0.25">
      <c r="A162" s="272"/>
      <c r="B162" s="301" t="s">
        <v>455</v>
      </c>
      <c r="C162" s="301"/>
      <c r="D162" s="459">
        <f t="shared" ref="D162:F162" si="198">D84</f>
        <v>0</v>
      </c>
      <c r="E162" s="459">
        <f t="shared" si="198"/>
        <v>0</v>
      </c>
      <c r="F162" s="459">
        <f t="shared" si="198"/>
        <v>0</v>
      </c>
      <c r="G162" s="459">
        <f t="shared" ref="G162:O162" si="199">G84</f>
        <v>0</v>
      </c>
      <c r="H162" s="427">
        <f t="shared" si="199"/>
        <v>0</v>
      </c>
      <c r="I162" s="428">
        <f t="shared" si="199"/>
        <v>0</v>
      </c>
      <c r="J162" s="428">
        <f t="shared" si="199"/>
        <v>0</v>
      </c>
      <c r="K162" s="428">
        <f t="shared" si="199"/>
        <v>0</v>
      </c>
      <c r="L162" s="428">
        <f t="shared" si="199"/>
        <v>0</v>
      </c>
      <c r="M162" s="428">
        <f t="shared" si="199"/>
        <v>0</v>
      </c>
      <c r="N162" s="428">
        <f t="shared" si="199"/>
        <v>0</v>
      </c>
      <c r="O162" s="428">
        <f t="shared" si="199"/>
        <v>0</v>
      </c>
      <c r="P162" s="428">
        <f t="shared" ref="P162:R162" si="200">P84</f>
        <v>0</v>
      </c>
      <c r="Q162" s="428">
        <f t="shared" si="200"/>
        <v>0</v>
      </c>
      <c r="R162" s="429">
        <f t="shared" si="200"/>
        <v>0</v>
      </c>
      <c r="T162" s="417"/>
      <c r="U162" s="417"/>
      <c r="V162" s="417"/>
      <c r="W162" s="417"/>
      <c r="X162" s="417"/>
      <c r="Y162" s="417"/>
      <c r="Z162" s="417"/>
      <c r="AA162" s="369"/>
      <c r="AB162" s="369"/>
      <c r="AC162" s="369"/>
      <c r="AD162" s="369"/>
    </row>
    <row r="163" spans="1:30" ht="13" x14ac:dyDescent="0.3">
      <c r="A163" s="272"/>
      <c r="B163" s="317" t="s">
        <v>487</v>
      </c>
      <c r="C163" s="318"/>
      <c r="D163" s="460" t="str">
        <f t="shared" ref="D163:F163" si="201">IF(ISERROR(D162/D161),"-",D162/D161)</f>
        <v>-</v>
      </c>
      <c r="E163" s="460" t="str">
        <f t="shared" si="201"/>
        <v>-</v>
      </c>
      <c r="F163" s="460" t="str">
        <f t="shared" si="201"/>
        <v>-</v>
      </c>
      <c r="G163" s="460" t="str">
        <f t="shared" ref="G163:N163" si="202">IF(ISERROR(G162/G161),"-",G162/G161)</f>
        <v>-</v>
      </c>
      <c r="H163" s="460" t="str">
        <f t="shared" si="202"/>
        <v>-</v>
      </c>
      <c r="I163" s="460" t="str">
        <f t="shared" si="202"/>
        <v>-</v>
      </c>
      <c r="J163" s="460" t="str">
        <f t="shared" si="202"/>
        <v>-</v>
      </c>
      <c r="K163" s="460" t="str">
        <f t="shared" si="202"/>
        <v>-</v>
      </c>
      <c r="L163" s="460" t="str">
        <f t="shared" si="202"/>
        <v>-</v>
      </c>
      <c r="M163" s="460" t="str">
        <f t="shared" si="202"/>
        <v>-</v>
      </c>
      <c r="N163" s="460" t="str">
        <f t="shared" si="202"/>
        <v>-</v>
      </c>
      <c r="O163" s="460" t="str">
        <f>IF(ISERROR(O162/O161),"-",O162/O161)</f>
        <v>-</v>
      </c>
      <c r="P163" s="460" t="str">
        <f t="shared" ref="P163:R163" si="203">IF(ISERROR(P162/P161),"-",P162/P161)</f>
        <v>-</v>
      </c>
      <c r="Q163" s="460" t="str">
        <f t="shared" si="203"/>
        <v>-</v>
      </c>
      <c r="R163" s="461" t="str">
        <f t="shared" si="203"/>
        <v>-</v>
      </c>
      <c r="T163" s="417"/>
      <c r="U163" s="417"/>
      <c r="V163" s="417"/>
      <c r="W163" s="417"/>
      <c r="X163" s="417"/>
      <c r="Y163" s="417"/>
      <c r="Z163" s="417"/>
      <c r="AA163" s="369"/>
      <c r="AB163" s="369"/>
      <c r="AC163" s="369"/>
      <c r="AD163" s="369"/>
    </row>
    <row r="164" spans="1:30" x14ac:dyDescent="0.25">
      <c r="A164" s="272"/>
      <c r="B164" s="308"/>
      <c r="C164" s="308"/>
      <c r="D164" s="462"/>
      <c r="E164" s="462"/>
      <c r="F164" s="462"/>
      <c r="G164" s="421"/>
      <c r="H164" s="421"/>
      <c r="I164" s="422"/>
      <c r="J164" s="422"/>
      <c r="K164" s="422"/>
      <c r="L164" s="422"/>
      <c r="M164" s="422"/>
      <c r="N164" s="422"/>
      <c r="O164" s="422"/>
      <c r="P164" s="422"/>
      <c r="Q164" s="422"/>
      <c r="R164" s="423"/>
      <c r="T164" s="417"/>
      <c r="U164" s="417"/>
      <c r="V164" s="417"/>
      <c r="W164" s="417"/>
      <c r="X164" s="417"/>
      <c r="Y164" s="417"/>
      <c r="Z164" s="417"/>
      <c r="AA164" s="369"/>
      <c r="AB164" s="369"/>
      <c r="AC164" s="369"/>
      <c r="AD164" s="369"/>
    </row>
    <row r="165" spans="1:30" x14ac:dyDescent="0.25">
      <c r="A165" s="272"/>
      <c r="B165" s="287" t="s">
        <v>488</v>
      </c>
      <c r="C165" s="287"/>
      <c r="D165" s="463">
        <f t="shared" ref="D165:R165" si="204">SUM(D5:D10,D19,D22,D27)</f>
        <v>0</v>
      </c>
      <c r="E165" s="463">
        <f t="shared" si="204"/>
        <v>0</v>
      </c>
      <c r="F165" s="463">
        <f t="shared" si="204"/>
        <v>0</v>
      </c>
      <c r="G165" s="463">
        <f t="shared" si="204"/>
        <v>0</v>
      </c>
      <c r="H165" s="464">
        <f t="shared" si="204"/>
        <v>0</v>
      </c>
      <c r="I165" s="463">
        <f t="shared" si="204"/>
        <v>0</v>
      </c>
      <c r="J165" s="463">
        <f t="shared" si="204"/>
        <v>0</v>
      </c>
      <c r="K165" s="463">
        <f t="shared" si="204"/>
        <v>0</v>
      </c>
      <c r="L165" s="463">
        <f t="shared" si="204"/>
        <v>0</v>
      </c>
      <c r="M165" s="463">
        <f t="shared" si="204"/>
        <v>0</v>
      </c>
      <c r="N165" s="465">
        <f t="shared" si="204"/>
        <v>0</v>
      </c>
      <c r="O165" s="465">
        <f t="shared" si="204"/>
        <v>0</v>
      </c>
      <c r="P165" s="465">
        <f t="shared" si="204"/>
        <v>0</v>
      </c>
      <c r="Q165" s="465">
        <f t="shared" si="204"/>
        <v>0</v>
      </c>
      <c r="R165" s="466">
        <f t="shared" si="204"/>
        <v>0</v>
      </c>
      <c r="T165" s="417"/>
      <c r="U165" s="417"/>
      <c r="V165" s="417"/>
      <c r="W165" s="417"/>
      <c r="X165" s="417"/>
      <c r="Y165" s="417"/>
      <c r="Z165" s="417"/>
      <c r="AA165" s="369"/>
      <c r="AB165" s="369"/>
      <c r="AC165" s="369"/>
      <c r="AD165" s="369"/>
    </row>
    <row r="166" spans="1:30" x14ac:dyDescent="0.25">
      <c r="A166" s="272"/>
      <c r="B166" s="301" t="s">
        <v>457</v>
      </c>
      <c r="C166" s="301"/>
      <c r="D166" s="467">
        <f t="shared" ref="D166:F166" si="205">D93</f>
        <v>0</v>
      </c>
      <c r="E166" s="467">
        <f t="shared" si="205"/>
        <v>0</v>
      </c>
      <c r="F166" s="467">
        <f t="shared" si="205"/>
        <v>0</v>
      </c>
      <c r="G166" s="467">
        <f t="shared" ref="G166:O166" si="206">G93</f>
        <v>0</v>
      </c>
      <c r="H166" s="468">
        <f t="shared" si="206"/>
        <v>0</v>
      </c>
      <c r="I166" s="469">
        <f t="shared" si="206"/>
        <v>0</v>
      </c>
      <c r="J166" s="469">
        <f t="shared" si="206"/>
        <v>0</v>
      </c>
      <c r="K166" s="469">
        <f t="shared" si="206"/>
        <v>0</v>
      </c>
      <c r="L166" s="469">
        <f t="shared" si="206"/>
        <v>0</v>
      </c>
      <c r="M166" s="469">
        <f t="shared" si="206"/>
        <v>0</v>
      </c>
      <c r="N166" s="469">
        <f t="shared" si="206"/>
        <v>0</v>
      </c>
      <c r="O166" s="469">
        <f t="shared" si="206"/>
        <v>0</v>
      </c>
      <c r="P166" s="469">
        <f t="shared" ref="P166:R166" si="207">P93</f>
        <v>0</v>
      </c>
      <c r="Q166" s="469">
        <f t="shared" si="207"/>
        <v>0</v>
      </c>
      <c r="R166" s="470">
        <f t="shared" si="207"/>
        <v>0</v>
      </c>
      <c r="T166" s="417"/>
      <c r="U166" s="417"/>
      <c r="V166" s="417"/>
      <c r="W166" s="417"/>
      <c r="X166" s="417"/>
      <c r="Y166" s="417"/>
      <c r="Z166" s="417"/>
      <c r="AA166" s="369"/>
      <c r="AB166" s="369"/>
      <c r="AC166" s="369"/>
      <c r="AD166" s="369"/>
    </row>
    <row r="167" spans="1:30" ht="13" x14ac:dyDescent="0.3">
      <c r="A167" s="272"/>
      <c r="B167" s="317" t="s">
        <v>489</v>
      </c>
      <c r="C167" s="318"/>
      <c r="D167" s="460" t="str">
        <f t="shared" ref="D167:F167" si="208">IF(ISERROR(D166/D165),"-",D166/D165)</f>
        <v>-</v>
      </c>
      <c r="E167" s="460" t="str">
        <f t="shared" si="208"/>
        <v>-</v>
      </c>
      <c r="F167" s="460" t="str">
        <f t="shared" si="208"/>
        <v>-</v>
      </c>
      <c r="G167" s="460" t="str">
        <f t="shared" ref="G167:N167" si="209">IF(ISERROR(G166/G165),"-",G166/G165)</f>
        <v>-</v>
      </c>
      <c r="H167" s="460" t="str">
        <f t="shared" si="209"/>
        <v>-</v>
      </c>
      <c r="I167" s="460" t="str">
        <f t="shared" si="209"/>
        <v>-</v>
      </c>
      <c r="J167" s="460" t="str">
        <f t="shared" si="209"/>
        <v>-</v>
      </c>
      <c r="K167" s="460" t="str">
        <f t="shared" si="209"/>
        <v>-</v>
      </c>
      <c r="L167" s="460" t="str">
        <f t="shared" si="209"/>
        <v>-</v>
      </c>
      <c r="M167" s="460" t="str">
        <f t="shared" si="209"/>
        <v>-</v>
      </c>
      <c r="N167" s="460" t="str">
        <f t="shared" si="209"/>
        <v>-</v>
      </c>
      <c r="O167" s="460" t="str">
        <f>IF(ISERROR(O166/O165),"-",O166/O165)</f>
        <v>-</v>
      </c>
      <c r="P167" s="460" t="str">
        <f t="shared" ref="P167:R167" si="210">IF(ISERROR(P166/P165),"-",P166/P165)</f>
        <v>-</v>
      </c>
      <c r="Q167" s="460" t="str">
        <f t="shared" si="210"/>
        <v>-</v>
      </c>
      <c r="R167" s="461" t="str">
        <f t="shared" si="210"/>
        <v>-</v>
      </c>
      <c r="T167" s="417"/>
      <c r="U167" s="417"/>
      <c r="V167" s="417"/>
      <c r="W167" s="417"/>
      <c r="X167" s="417"/>
      <c r="Y167" s="417"/>
      <c r="Z167" s="417"/>
      <c r="AA167" s="369"/>
      <c r="AB167" s="369"/>
      <c r="AC167" s="369"/>
      <c r="AD167" s="369"/>
    </row>
    <row r="168" spans="1:30" x14ac:dyDescent="0.25">
      <c r="A168" s="272"/>
      <c r="B168" s="308"/>
      <c r="C168" s="308"/>
      <c r="D168" s="421"/>
      <c r="E168" s="421"/>
      <c r="F168" s="421"/>
      <c r="G168" s="421"/>
      <c r="H168" s="421"/>
      <c r="I168" s="422"/>
      <c r="J168" s="422"/>
      <c r="K168" s="422"/>
      <c r="L168" s="422"/>
      <c r="M168" s="422"/>
      <c r="N168" s="422"/>
      <c r="O168" s="422"/>
      <c r="P168" s="422"/>
      <c r="Q168" s="422"/>
      <c r="R168" s="423"/>
      <c r="T168" s="417"/>
      <c r="U168" s="417"/>
      <c r="V168" s="417"/>
      <c r="W168" s="417"/>
      <c r="X168" s="417"/>
      <c r="Y168" s="417"/>
      <c r="Z168" s="417"/>
      <c r="AA168" s="369"/>
      <c r="AB168" s="369"/>
      <c r="AC168" s="369"/>
      <c r="AD168" s="369"/>
    </row>
    <row r="169" spans="1:30" x14ac:dyDescent="0.25">
      <c r="A169" s="272"/>
      <c r="B169" s="287" t="s">
        <v>490</v>
      </c>
      <c r="C169" s="287"/>
      <c r="D169" s="406"/>
      <c r="E169" s="406"/>
      <c r="F169" s="406"/>
      <c r="G169" s="406"/>
      <c r="H169" s="458" t="str">
        <f t="shared" ref="H169:M169" si="211">IF(D27+D22+D19=0,"-",SUM(H5:H10)+(SUM(H19,G19,F19,E19,D19)/5)*(1-H95)+(SUM(H22,G22,F22,E22,D22)/5)*(1-H96)+(SUM(H27,G27,F27,E27,D27)/5)*(1-H97))</f>
        <v>-</v>
      </c>
      <c r="I169" s="458" t="str">
        <f t="shared" si="211"/>
        <v>-</v>
      </c>
      <c r="J169" s="458" t="str">
        <f t="shared" si="211"/>
        <v>-</v>
      </c>
      <c r="K169" s="458" t="str">
        <f t="shared" si="211"/>
        <v>-</v>
      </c>
      <c r="L169" s="458" t="str">
        <f t="shared" si="211"/>
        <v>-</v>
      </c>
      <c r="M169" s="458" t="str">
        <f t="shared" si="211"/>
        <v>-</v>
      </c>
      <c r="N169" s="458" t="str">
        <f>IF(J27+J22+J19=0,"-",SUM(N5:N10)+(SUM(N19,M19,L19,K19,J19)/5)*(1-N95)+(SUM(N22,M22,L22,K22,J22)/5)*(1-N96)+(SUM(N27,M27,L27,K27,J27)/5)*(1-N97))</f>
        <v>-</v>
      </c>
      <c r="O169" s="458" t="str">
        <f t="shared" ref="O169:R169" si="212">IF(K27+K22+K19=0,"-",SUM(O5:O10)+(SUM(O19,N19,M19,L19,K19)/5)*(1-O95)+(SUM(O22,N22,M22,L22,K22)/5)*(1-O96)+(SUM(O27,N27,M27,L27,K27)/5)*(1-O97))</f>
        <v>-</v>
      </c>
      <c r="P169" s="458" t="str">
        <f t="shared" si="212"/>
        <v>-</v>
      </c>
      <c r="Q169" s="458" t="str">
        <f t="shared" si="212"/>
        <v>-</v>
      </c>
      <c r="R169" s="458" t="str">
        <f t="shared" si="212"/>
        <v>-</v>
      </c>
      <c r="T169" s="417"/>
      <c r="U169" s="417"/>
      <c r="V169" s="417"/>
      <c r="W169" s="417"/>
      <c r="X169" s="417"/>
      <c r="Y169" s="417"/>
      <c r="Z169" s="417"/>
      <c r="AA169" s="369"/>
      <c r="AB169" s="369"/>
      <c r="AC169" s="369"/>
      <c r="AD169" s="369"/>
    </row>
    <row r="170" spans="1:30" x14ac:dyDescent="0.25">
      <c r="A170" s="272"/>
      <c r="B170" s="301" t="s">
        <v>458</v>
      </c>
      <c r="C170" s="301"/>
      <c r="D170" s="427"/>
      <c r="E170" s="427"/>
      <c r="F170" s="427"/>
      <c r="G170" s="427"/>
      <c r="H170" s="471" t="str">
        <f t="shared" ref="H170:J170" si="213">H101</f>
        <v>-</v>
      </c>
      <c r="I170" s="472" t="str">
        <f t="shared" si="213"/>
        <v>-</v>
      </c>
      <c r="J170" s="472" t="str">
        <f t="shared" si="213"/>
        <v>-</v>
      </c>
      <c r="K170" s="459" t="str">
        <f t="shared" ref="K170:O170" si="214">K101</f>
        <v>-</v>
      </c>
      <c r="L170" s="472" t="str">
        <f t="shared" si="214"/>
        <v>-</v>
      </c>
      <c r="M170" s="472" t="str">
        <f t="shared" si="214"/>
        <v>-</v>
      </c>
      <c r="N170" s="472" t="str">
        <f t="shared" si="214"/>
        <v>-</v>
      </c>
      <c r="O170" s="472" t="str">
        <f t="shared" si="214"/>
        <v>-</v>
      </c>
      <c r="P170" s="472" t="str">
        <f t="shared" ref="P170:R170" si="215">P101</f>
        <v>-</v>
      </c>
      <c r="Q170" s="472" t="str">
        <f t="shared" si="215"/>
        <v>-</v>
      </c>
      <c r="R170" s="473" t="str">
        <f t="shared" si="215"/>
        <v>-</v>
      </c>
      <c r="T170" s="417"/>
      <c r="U170" s="417"/>
      <c r="V170" s="417"/>
      <c r="W170" s="417"/>
      <c r="X170" s="417"/>
      <c r="Y170" s="417"/>
      <c r="Z170" s="417"/>
      <c r="AA170" s="369"/>
      <c r="AB170" s="369"/>
      <c r="AC170" s="369"/>
      <c r="AD170" s="369"/>
    </row>
    <row r="171" spans="1:30" ht="12.75" customHeight="1" x14ac:dyDescent="0.3">
      <c r="A171" s="272"/>
      <c r="B171" s="317" t="s">
        <v>491</v>
      </c>
      <c r="C171" s="318"/>
      <c r="D171" s="442"/>
      <c r="E171" s="442"/>
      <c r="F171" s="442"/>
      <c r="G171" s="442"/>
      <c r="H171" s="474" t="str">
        <f t="shared" ref="H171:J171" si="216">IF(ISERROR(H170/H169),"-",H170/H169)</f>
        <v>-</v>
      </c>
      <c r="I171" s="474" t="str">
        <f t="shared" si="216"/>
        <v>-</v>
      </c>
      <c r="J171" s="474" t="str">
        <f t="shared" si="216"/>
        <v>-</v>
      </c>
      <c r="K171" s="474" t="str">
        <f t="shared" ref="K171:N171" si="217">IF(ISERROR(K170/K169),"-",K170/K169)</f>
        <v>-</v>
      </c>
      <c r="L171" s="460" t="str">
        <f t="shared" si="217"/>
        <v>-</v>
      </c>
      <c r="M171" s="460" t="str">
        <f t="shared" si="217"/>
        <v>-</v>
      </c>
      <c r="N171" s="475" t="str">
        <f t="shared" si="217"/>
        <v>-</v>
      </c>
      <c r="O171" s="475" t="str">
        <f>IF(ISERROR(O170/O169),"-",O170/O169)</f>
        <v>-</v>
      </c>
      <c r="P171" s="475" t="str">
        <f t="shared" ref="P171:R171" si="218">IF(ISERROR(P170/P169),"-",P170/P169)</f>
        <v>-</v>
      </c>
      <c r="Q171" s="475" t="str">
        <f t="shared" si="218"/>
        <v>-</v>
      </c>
      <c r="R171" s="476" t="str">
        <f t="shared" si="218"/>
        <v>-</v>
      </c>
      <c r="T171" s="417"/>
      <c r="U171" s="417"/>
      <c r="V171" s="417"/>
      <c r="W171" s="417"/>
      <c r="X171" s="417"/>
      <c r="Y171" s="417"/>
      <c r="Z171" s="417"/>
      <c r="AA171" s="369"/>
      <c r="AB171" s="369"/>
      <c r="AC171" s="369"/>
      <c r="AD171" s="369"/>
    </row>
    <row r="172" spans="1:30" ht="12.75" customHeight="1" x14ac:dyDescent="0.3">
      <c r="A172" s="272"/>
      <c r="B172" s="294" t="s">
        <v>481</v>
      </c>
      <c r="C172" s="319"/>
      <c r="D172" s="421"/>
      <c r="E172" s="421"/>
      <c r="F172" s="421"/>
      <c r="G172" s="421"/>
      <c r="H172" s="421"/>
      <c r="I172" s="422"/>
      <c r="J172" s="422"/>
      <c r="K172" s="422"/>
      <c r="L172" s="453"/>
      <c r="M172" s="250"/>
      <c r="N172" s="250"/>
      <c r="O172" s="251"/>
      <c r="P172" s="251"/>
      <c r="Q172" s="251"/>
      <c r="R172" s="252"/>
      <c r="T172" s="417"/>
      <c r="U172" s="417"/>
      <c r="V172" s="417"/>
      <c r="W172" s="417"/>
      <c r="X172" s="417"/>
      <c r="Y172" s="417"/>
      <c r="Z172" s="417"/>
      <c r="AA172" s="369"/>
      <c r="AB172" s="369"/>
      <c r="AC172" s="369"/>
      <c r="AD172" s="369"/>
    </row>
    <row r="173" spans="1:30" ht="12.75" customHeight="1" x14ac:dyDescent="0.3">
      <c r="A173" s="272"/>
      <c r="B173" s="308" t="s">
        <v>482</v>
      </c>
      <c r="C173" s="319"/>
      <c r="D173" s="421"/>
      <c r="E173" s="421"/>
      <c r="F173" s="421"/>
      <c r="G173" s="421"/>
      <c r="H173" s="421"/>
      <c r="I173" s="422"/>
      <c r="J173" s="422"/>
      <c r="K173" s="422"/>
      <c r="L173" s="477"/>
      <c r="M173" s="477" t="str">
        <f>IF(ISERROR(M171*M172),"-",M171*M172)</f>
        <v>-</v>
      </c>
      <c r="N173" s="477" t="str">
        <f t="shared" ref="N173:R173" si="219">IF(ISERROR(N171*N172),"-",N171*N172)</f>
        <v>-</v>
      </c>
      <c r="O173" s="477" t="str">
        <f t="shared" si="219"/>
        <v>-</v>
      </c>
      <c r="P173" s="477" t="str">
        <f t="shared" si="219"/>
        <v>-</v>
      </c>
      <c r="Q173" s="477" t="str">
        <f t="shared" si="219"/>
        <v>-</v>
      </c>
      <c r="R173" s="478" t="str">
        <f t="shared" si="219"/>
        <v>-</v>
      </c>
      <c r="T173" s="417"/>
      <c r="U173" s="417"/>
      <c r="V173" s="417"/>
      <c r="W173" s="417"/>
      <c r="X173" s="417"/>
      <c r="Y173" s="417"/>
      <c r="Z173" s="417"/>
      <c r="AA173" s="369"/>
      <c r="AB173" s="369"/>
      <c r="AC173" s="369"/>
      <c r="AD173" s="369"/>
    </row>
    <row r="174" spans="1:30" ht="18.5" thickBot="1" x14ac:dyDescent="0.45">
      <c r="A174" s="323" t="s">
        <v>492</v>
      </c>
      <c r="B174" s="324"/>
      <c r="C174" s="325"/>
      <c r="D174" s="479"/>
      <c r="E174" s="479"/>
      <c r="F174" s="479"/>
      <c r="G174" s="480"/>
      <c r="H174" s="480"/>
      <c r="I174" s="480"/>
      <c r="J174" s="480"/>
      <c r="K174" s="480"/>
      <c r="L174" s="480"/>
      <c r="M174" s="480"/>
      <c r="N174" s="480"/>
      <c r="O174" s="480"/>
      <c r="P174" s="480"/>
      <c r="Q174" s="480"/>
      <c r="R174" s="481">
        <f>SUM(M173:R173)</f>
        <v>0</v>
      </c>
      <c r="T174" s="417"/>
      <c r="U174" s="417"/>
      <c r="V174" s="417"/>
      <c r="W174" s="417"/>
      <c r="X174" s="417"/>
      <c r="Y174" s="417"/>
      <c r="Z174" s="417"/>
      <c r="AA174" s="369"/>
      <c r="AB174" s="369"/>
      <c r="AC174" s="369"/>
      <c r="AD174" s="369"/>
    </row>
    <row r="175" spans="1:30" ht="13" thickBot="1" x14ac:dyDescent="0.3">
      <c r="A175" s="294"/>
      <c r="B175" s="294"/>
      <c r="C175" s="294"/>
      <c r="D175" s="375"/>
      <c r="E175" s="375"/>
      <c r="F175" s="375"/>
      <c r="G175" s="375"/>
      <c r="H175" s="375"/>
      <c r="I175" s="375"/>
      <c r="J175" s="375"/>
      <c r="K175" s="375"/>
      <c r="L175" s="375"/>
      <c r="M175" s="375"/>
      <c r="N175" s="375"/>
      <c r="O175" s="375"/>
      <c r="P175" s="375"/>
      <c r="Q175" s="375"/>
      <c r="R175" s="375"/>
      <c r="T175" s="375"/>
      <c r="U175" s="375"/>
      <c r="V175" s="375"/>
      <c r="W175" s="375"/>
      <c r="X175" s="375"/>
      <c r="Y175" s="375"/>
      <c r="Z175" s="375"/>
      <c r="AA175" s="375"/>
      <c r="AB175" s="375"/>
      <c r="AC175" s="375"/>
      <c r="AD175" s="375"/>
    </row>
    <row r="176" spans="1:30" ht="13" x14ac:dyDescent="0.3">
      <c r="A176" s="326" t="s">
        <v>493</v>
      </c>
      <c r="B176" s="327"/>
      <c r="C176" s="327"/>
      <c r="D176" s="376"/>
      <c r="E176" s="376"/>
      <c r="F176" s="376"/>
      <c r="G176" s="376"/>
      <c r="H176" s="376"/>
      <c r="I176" s="376"/>
      <c r="J176" s="376"/>
      <c r="K176" s="376"/>
      <c r="L176" s="376"/>
      <c r="M176" s="376"/>
      <c r="N176" s="376"/>
      <c r="O176" s="376"/>
      <c r="P176" s="376"/>
      <c r="Q176" s="376"/>
      <c r="R176" s="482"/>
      <c r="T176" s="121"/>
      <c r="U176" s="119"/>
      <c r="V176" s="119"/>
      <c r="W176" s="119"/>
      <c r="X176" s="119"/>
      <c r="Y176" s="119"/>
      <c r="Z176" s="119"/>
      <c r="AA176" s="120"/>
      <c r="AB176" s="376"/>
      <c r="AC176" s="491"/>
      <c r="AD176" s="482"/>
    </row>
    <row r="177" spans="1:33" ht="13" x14ac:dyDescent="0.3">
      <c r="A177" s="328"/>
      <c r="B177" s="329"/>
      <c r="C177" s="329"/>
      <c r="D177" s="377"/>
      <c r="E177" s="377"/>
      <c r="F177" s="377"/>
      <c r="G177" s="377"/>
      <c r="H177" s="377"/>
      <c r="I177" s="377"/>
      <c r="J177" s="377"/>
      <c r="K177" s="377"/>
      <c r="L177" s="377"/>
      <c r="M177" s="377"/>
      <c r="N177" s="377"/>
      <c r="O177" s="377"/>
      <c r="P177" s="377"/>
      <c r="Q177" s="377"/>
      <c r="R177" s="483"/>
      <c r="T177" s="124"/>
      <c r="U177" s="122"/>
      <c r="V177" s="122"/>
      <c r="W177" s="122"/>
      <c r="X177" s="122"/>
      <c r="Y177" s="122"/>
      <c r="Z177" s="122"/>
      <c r="AA177" s="123"/>
      <c r="AB177" s="377"/>
      <c r="AC177" s="492"/>
      <c r="AD177" s="483"/>
    </row>
    <row r="178" spans="1:33" ht="13" x14ac:dyDescent="0.3">
      <c r="A178" s="297" t="s">
        <v>494</v>
      </c>
      <c r="B178" s="294"/>
      <c r="C178" s="294"/>
      <c r="D178" s="378"/>
      <c r="E178" s="378"/>
      <c r="F178" s="378"/>
      <c r="G178" s="378"/>
      <c r="H178" s="378"/>
      <c r="I178" s="378"/>
      <c r="J178" s="378"/>
      <c r="K178" s="378"/>
      <c r="L178" s="378"/>
      <c r="M178" s="378"/>
      <c r="N178" s="378"/>
      <c r="O178" s="378"/>
      <c r="P178" s="378"/>
      <c r="Q178" s="378"/>
      <c r="R178" s="484"/>
      <c r="T178" s="127"/>
      <c r="U178" s="125"/>
      <c r="V178" s="125"/>
      <c r="W178" s="125"/>
      <c r="X178" s="125"/>
      <c r="Y178" s="125"/>
      <c r="Z178" s="125"/>
      <c r="AA178" s="126"/>
      <c r="AB178" s="378"/>
      <c r="AC178" s="493"/>
      <c r="AD178" s="484"/>
    </row>
    <row r="179" spans="1:33" ht="13" x14ac:dyDescent="0.3">
      <c r="A179" s="330" t="s">
        <v>495</v>
      </c>
      <c r="B179" s="329"/>
      <c r="C179" s="542"/>
      <c r="D179" s="128"/>
      <c r="E179" s="128"/>
      <c r="F179" s="128"/>
      <c r="G179" s="128"/>
      <c r="H179" s="128"/>
      <c r="I179" s="128"/>
      <c r="J179" s="128"/>
      <c r="K179" s="128"/>
      <c r="L179" s="128"/>
      <c r="M179" s="128"/>
      <c r="N179" s="543"/>
      <c r="O179" s="543"/>
      <c r="P179" s="543"/>
      <c r="Q179" s="543"/>
      <c r="R179" s="544"/>
      <c r="T179" s="129"/>
      <c r="U179" s="128"/>
      <c r="V179" s="128"/>
      <c r="W179" s="128"/>
      <c r="X179" s="130"/>
      <c r="Y179" s="130"/>
      <c r="Z179" s="130"/>
      <c r="AA179" s="131"/>
      <c r="AB179" s="379"/>
      <c r="AC179" s="494">
        <f>X179</f>
        <v>0</v>
      </c>
      <c r="AD179" s="495">
        <f>IF($AD$2=1,U179,IF($AD$2=2,V179,IF($AD$2=3,W179,IF($AD$2=4,X179))))</f>
        <v>0</v>
      </c>
    </row>
    <row r="180" spans="1:33" x14ac:dyDescent="0.25">
      <c r="A180" s="276" t="s">
        <v>496</v>
      </c>
      <c r="B180" s="294"/>
      <c r="C180" s="294"/>
      <c r="D180" s="132"/>
      <c r="E180" s="132"/>
      <c r="F180" s="132"/>
      <c r="G180" s="132"/>
      <c r="H180" s="132"/>
      <c r="I180" s="132"/>
      <c r="J180" s="132"/>
      <c r="K180" s="132"/>
      <c r="L180" s="132"/>
      <c r="M180" s="132"/>
      <c r="N180" s="125"/>
      <c r="O180" s="125"/>
      <c r="P180" s="125"/>
      <c r="Q180" s="125"/>
      <c r="R180" s="126"/>
      <c r="T180" s="133"/>
      <c r="U180" s="134"/>
      <c r="V180" s="134"/>
      <c r="W180" s="134"/>
      <c r="X180" s="135"/>
      <c r="Y180" s="135"/>
      <c r="Z180" s="135"/>
      <c r="AA180" s="136"/>
      <c r="AB180" s="375"/>
      <c r="AC180" s="493">
        <f>IF($AD$2=1,SUM(X180),IF($AD$2=2, SUM(X180:Y180),IF($AD$2=3,SUM(X180:Z180),IF($AD$2=4,SUM(X180:AA180)))))</f>
        <v>0</v>
      </c>
      <c r="AD180" s="496">
        <f>IF($AD$2=1,SUM(U180:X180),IF($AD$2=2,SUM(V180:Y180),IF($AD$2=3,SUM(W180:Z180),IF($AD$2=4,SUM(X180:AA180)))))</f>
        <v>0</v>
      </c>
    </row>
    <row r="181" spans="1:33" x14ac:dyDescent="0.25">
      <c r="A181" s="276" t="s">
        <v>497</v>
      </c>
      <c r="B181" s="294"/>
      <c r="C181" s="294"/>
      <c r="D181" s="125"/>
      <c r="E181" s="125"/>
      <c r="F181" s="125"/>
      <c r="G181" s="125"/>
      <c r="H181" s="132"/>
      <c r="I181" s="132"/>
      <c r="J181" s="132"/>
      <c r="K181" s="132"/>
      <c r="L181" s="132"/>
      <c r="M181" s="132"/>
      <c r="N181" s="125"/>
      <c r="O181" s="125"/>
      <c r="P181" s="125"/>
      <c r="Q181" s="125"/>
      <c r="R181" s="126"/>
      <c r="T181" s="133"/>
      <c r="U181" s="134"/>
      <c r="V181" s="134"/>
      <c r="W181" s="134"/>
      <c r="X181" s="135"/>
      <c r="Y181" s="135"/>
      <c r="Z181" s="135"/>
      <c r="AA181" s="136"/>
      <c r="AB181" s="375"/>
      <c r="AC181" s="493">
        <f>IF($AD$2=1,SUM(X181),IF($AD$2=2, SUM(X181:Y181),IF($AD$2=3,SUM(X181:Z181),IF($AD$2=4,SUM(X181:AA181)))))</f>
        <v>0</v>
      </c>
      <c r="AD181" s="496">
        <f t="shared" ref="AD181" si="220">IF($AD$2=1,SUM(U181:X181),IF($AD$2=2,SUM(V181:Y181),IF($AD$2=3,SUM(W181:Z181),IF($AD$2=4,SUM(X181:AA181)))))</f>
        <v>0</v>
      </c>
    </row>
    <row r="182" spans="1:33" ht="13" x14ac:dyDescent="0.3">
      <c r="A182" s="331" t="s">
        <v>498</v>
      </c>
      <c r="B182" s="332"/>
      <c r="C182" s="332"/>
      <c r="D182" s="485">
        <f t="shared" ref="D182:F182" si="221">SUM(D180:D181)</f>
        <v>0</v>
      </c>
      <c r="E182" s="485">
        <f t="shared" si="221"/>
        <v>0</v>
      </c>
      <c r="F182" s="485">
        <f t="shared" si="221"/>
        <v>0</v>
      </c>
      <c r="G182" s="485">
        <f t="shared" ref="G182:M182" si="222">SUM(G180:G181)</f>
        <v>0</v>
      </c>
      <c r="H182" s="485">
        <f t="shared" si="222"/>
        <v>0</v>
      </c>
      <c r="I182" s="485">
        <f t="shared" si="222"/>
        <v>0</v>
      </c>
      <c r="J182" s="485">
        <f t="shared" si="222"/>
        <v>0</v>
      </c>
      <c r="K182" s="485">
        <f t="shared" si="222"/>
        <v>0</v>
      </c>
      <c r="L182" s="485">
        <f t="shared" si="222"/>
        <v>0</v>
      </c>
      <c r="M182" s="485">
        <f t="shared" si="222"/>
        <v>0</v>
      </c>
      <c r="N182" s="137"/>
      <c r="O182" s="137"/>
      <c r="P182" s="137"/>
      <c r="Q182" s="137"/>
      <c r="R182" s="138"/>
      <c r="T182" s="488">
        <f t="shared" ref="T182:AA182" si="223">SUM(T180:T181)</f>
        <v>0</v>
      </c>
      <c r="U182" s="485">
        <f t="shared" si="223"/>
        <v>0</v>
      </c>
      <c r="V182" s="485">
        <f t="shared" si="223"/>
        <v>0</v>
      </c>
      <c r="W182" s="485">
        <f t="shared" si="223"/>
        <v>0</v>
      </c>
      <c r="X182" s="485">
        <f t="shared" si="223"/>
        <v>0</v>
      </c>
      <c r="Y182" s="485">
        <f t="shared" si="223"/>
        <v>0</v>
      </c>
      <c r="Z182" s="485">
        <f t="shared" si="223"/>
        <v>0</v>
      </c>
      <c r="AA182" s="489">
        <f t="shared" si="223"/>
        <v>0</v>
      </c>
      <c r="AB182" s="375"/>
      <c r="AC182" s="488">
        <f t="shared" ref="AC182" si="224">SUM(AC180:AC181)</f>
        <v>0</v>
      </c>
      <c r="AD182" s="489">
        <f>SUM(AD180:AD181)</f>
        <v>0</v>
      </c>
      <c r="AG182" s="27"/>
    </row>
    <row r="183" spans="1:33" x14ac:dyDescent="0.25">
      <c r="A183" s="276" t="s">
        <v>443</v>
      </c>
      <c r="B183" s="294"/>
      <c r="C183" s="294"/>
      <c r="D183" s="125"/>
      <c r="E183" s="125"/>
      <c r="F183" s="125"/>
      <c r="G183" s="125"/>
      <c r="H183" s="132"/>
      <c r="I183" s="132"/>
      <c r="J183" s="132"/>
      <c r="K183" s="132"/>
      <c r="L183" s="132"/>
      <c r="M183" s="132"/>
      <c r="N183" s="125"/>
      <c r="O183" s="125"/>
      <c r="P183" s="125"/>
      <c r="Q183" s="125"/>
      <c r="R183" s="126"/>
      <c r="T183" s="139"/>
      <c r="U183" s="132"/>
      <c r="V183" s="132"/>
      <c r="W183" s="132"/>
      <c r="X183" s="140"/>
      <c r="Y183" s="140"/>
      <c r="Z183" s="140"/>
      <c r="AA183" s="141"/>
      <c r="AB183" s="375"/>
      <c r="AC183" s="493">
        <f>IF($AD$2=1,SUM(X183),IF($AD$2=2, SUM(X183:Y183),IF($AD$2=3,SUM(X183:Z183),IF($AD$2=4,SUM(X183:AA183)))))</f>
        <v>0</v>
      </c>
      <c r="AD183" s="496">
        <f t="shared" ref="AD183:AD184" si="225">IF($AD$2=1,SUM(U183:X183),IF($AD$2=2,SUM(V183:Y183),IF($AD$2=3,SUM(W183:Z183),IF($AD$2=4,SUM(X183:AA183)))))</f>
        <v>0</v>
      </c>
    </row>
    <row r="184" spans="1:33" x14ac:dyDescent="0.25">
      <c r="A184" s="333" t="s">
        <v>499</v>
      </c>
      <c r="B184" s="294"/>
      <c r="C184" s="294"/>
      <c r="D184" s="125"/>
      <c r="E184" s="125"/>
      <c r="F184" s="125"/>
      <c r="G184" s="125"/>
      <c r="H184" s="132"/>
      <c r="I184" s="132"/>
      <c r="J184" s="132"/>
      <c r="K184" s="132"/>
      <c r="L184" s="132"/>
      <c r="M184" s="132"/>
      <c r="N184" s="125"/>
      <c r="O184" s="125"/>
      <c r="P184" s="125"/>
      <c r="Q184" s="125"/>
      <c r="R184" s="126"/>
      <c r="T184" s="139"/>
      <c r="U184" s="132"/>
      <c r="V184" s="132"/>
      <c r="W184" s="132"/>
      <c r="X184" s="140"/>
      <c r="Y184" s="140"/>
      <c r="Z184" s="140"/>
      <c r="AA184" s="141"/>
      <c r="AB184" s="375"/>
      <c r="AC184" s="493">
        <f>IF($AD$2=1,SUM(X184),IF($AD$2=2, SUM(X184:Y184),IF($AD$2=3,SUM(X184:Z184),IF($AD$2=4,SUM(X184:AA184)))))</f>
        <v>0</v>
      </c>
      <c r="AD184" s="496">
        <f t="shared" si="225"/>
        <v>0</v>
      </c>
    </row>
    <row r="185" spans="1:33" ht="13" x14ac:dyDescent="0.3">
      <c r="A185" s="331" t="s">
        <v>500</v>
      </c>
      <c r="B185" s="332"/>
      <c r="C185" s="332"/>
      <c r="D185" s="485">
        <f t="shared" ref="D185:F185" si="226">SUM(D182:D184)</f>
        <v>0</v>
      </c>
      <c r="E185" s="485">
        <f t="shared" si="226"/>
        <v>0</v>
      </c>
      <c r="F185" s="485">
        <f t="shared" si="226"/>
        <v>0</v>
      </c>
      <c r="G185" s="485">
        <f>SUM(G182:G184)</f>
        <v>0</v>
      </c>
      <c r="H185" s="485">
        <f t="shared" ref="H185:M185" si="227">SUM(H182:H184)</f>
        <v>0</v>
      </c>
      <c r="I185" s="485">
        <f t="shared" si="227"/>
        <v>0</v>
      </c>
      <c r="J185" s="485">
        <f t="shared" si="227"/>
        <v>0</v>
      </c>
      <c r="K185" s="485">
        <f t="shared" si="227"/>
        <v>0</v>
      </c>
      <c r="L185" s="485">
        <f t="shared" si="227"/>
        <v>0</v>
      </c>
      <c r="M185" s="485">
        <f t="shared" si="227"/>
        <v>0</v>
      </c>
      <c r="N185" s="137"/>
      <c r="O185" s="137"/>
      <c r="P185" s="137"/>
      <c r="Q185" s="137"/>
      <c r="R185" s="138"/>
      <c r="T185" s="488">
        <f t="shared" ref="T185:AA185" si="228">SUM(T182:T184)</f>
        <v>0</v>
      </c>
      <c r="U185" s="485">
        <f t="shared" si="228"/>
        <v>0</v>
      </c>
      <c r="V185" s="485">
        <f t="shared" si="228"/>
        <v>0</v>
      </c>
      <c r="W185" s="485">
        <f t="shared" si="228"/>
        <v>0</v>
      </c>
      <c r="X185" s="485">
        <f t="shared" si="228"/>
        <v>0</v>
      </c>
      <c r="Y185" s="485">
        <f t="shared" si="228"/>
        <v>0</v>
      </c>
      <c r="Z185" s="485">
        <f t="shared" si="228"/>
        <v>0</v>
      </c>
      <c r="AA185" s="489">
        <f t="shared" si="228"/>
        <v>0</v>
      </c>
      <c r="AB185" s="375"/>
      <c r="AC185" s="488">
        <f t="shared" ref="AC185" si="229">SUM(AC182:AC184)</f>
        <v>0</v>
      </c>
      <c r="AD185" s="489">
        <f>SUM(AD182:AD184)</f>
        <v>0</v>
      </c>
      <c r="AG185" s="27"/>
    </row>
    <row r="186" spans="1:33" x14ac:dyDescent="0.25">
      <c r="A186" s="276" t="s">
        <v>501</v>
      </c>
      <c r="B186" s="294"/>
      <c r="C186" s="294"/>
      <c r="D186" s="132"/>
      <c r="E186" s="132"/>
      <c r="F186" s="132"/>
      <c r="G186" s="132"/>
      <c r="H186" s="132"/>
      <c r="I186" s="132"/>
      <c r="J186" s="132"/>
      <c r="K186" s="132"/>
      <c r="L186" s="132"/>
      <c r="M186" s="132"/>
      <c r="N186" s="125"/>
      <c r="O186" s="125"/>
      <c r="P186" s="125"/>
      <c r="Q186" s="125"/>
      <c r="R186" s="126"/>
      <c r="T186" s="139"/>
      <c r="U186" s="132"/>
      <c r="V186" s="132"/>
      <c r="W186" s="132"/>
      <c r="X186" s="140"/>
      <c r="Y186" s="140"/>
      <c r="Z186" s="140"/>
      <c r="AA186" s="141"/>
      <c r="AB186" s="375"/>
      <c r="AC186" s="493">
        <f>IF($AD$2=1,SUM(X186),IF($AD$2=2, SUM(X186:Y186),IF($AD$2=3,SUM(X186:Z186),IF($AD$2=4,SUM(X186:AA186)))))</f>
        <v>0</v>
      </c>
      <c r="AD186" s="496">
        <f t="shared" ref="AD186:AD187" si="230">IF($AD$2=1,SUM(U186:X186),IF($AD$2=2,SUM(V186:Y186),IF($AD$2=3,SUM(W186:Z186),IF($AD$2=4,SUM(X186:AA186)))))</f>
        <v>0</v>
      </c>
    </row>
    <row r="187" spans="1:33" x14ac:dyDescent="0.25">
      <c r="A187" s="334" t="s">
        <v>445</v>
      </c>
      <c r="B187" s="335"/>
      <c r="C187" s="335"/>
      <c r="D187" s="142"/>
      <c r="E187" s="142"/>
      <c r="F187" s="142"/>
      <c r="G187" s="142"/>
      <c r="H187" s="142"/>
      <c r="I187" s="142"/>
      <c r="J187" s="142"/>
      <c r="K187" s="142"/>
      <c r="L187" s="142"/>
      <c r="M187" s="142"/>
      <c r="N187" s="143"/>
      <c r="O187" s="143"/>
      <c r="P187" s="143"/>
      <c r="Q187" s="143"/>
      <c r="R187" s="144"/>
      <c r="T187" s="145"/>
      <c r="U187" s="142"/>
      <c r="V187" s="142"/>
      <c r="W187" s="142"/>
      <c r="X187" s="146"/>
      <c r="Y187" s="146"/>
      <c r="Z187" s="146"/>
      <c r="AA187" s="147"/>
      <c r="AB187" s="375"/>
      <c r="AC187" s="497">
        <f>IF($AD$2=1,SUM(X187),IF($AD$2=2, SUM(X187:Y187),IF($AD$2=3,SUM(X187:Z187),IF($AD$2=4,SUM(X187:AA187)))))</f>
        <v>0</v>
      </c>
      <c r="AD187" s="498">
        <f t="shared" si="230"/>
        <v>0</v>
      </c>
    </row>
    <row r="188" spans="1:33" s="27" customFormat="1" ht="13" x14ac:dyDescent="0.3">
      <c r="A188" s="336" t="s">
        <v>502</v>
      </c>
      <c r="B188" s="337"/>
      <c r="C188" s="337"/>
      <c r="D188" s="486">
        <f t="shared" ref="D188:F188" si="231">SUM(D185:D187,D179)</f>
        <v>0</v>
      </c>
      <c r="E188" s="486">
        <f t="shared" si="231"/>
        <v>0</v>
      </c>
      <c r="F188" s="486">
        <f t="shared" si="231"/>
        <v>0</v>
      </c>
      <c r="G188" s="486">
        <f t="shared" ref="G188:M188" si="232">SUM(G185:G187,G179)</f>
        <v>0</v>
      </c>
      <c r="H188" s="486">
        <f t="shared" si="232"/>
        <v>0</v>
      </c>
      <c r="I188" s="486">
        <f t="shared" si="232"/>
        <v>0</v>
      </c>
      <c r="J188" s="486">
        <f t="shared" si="232"/>
        <v>0</v>
      </c>
      <c r="K188" s="486">
        <f t="shared" si="232"/>
        <v>0</v>
      </c>
      <c r="L188" s="486">
        <f t="shared" si="232"/>
        <v>0</v>
      </c>
      <c r="M188" s="486">
        <f t="shared" si="232"/>
        <v>0</v>
      </c>
      <c r="N188" s="486">
        <f>M188*(1+(N192+N193))</f>
        <v>0</v>
      </c>
      <c r="O188" s="486">
        <f>N188*(1+(O192+O193))</f>
        <v>0</v>
      </c>
      <c r="P188" s="486">
        <f t="shared" ref="P188:R188" si="233">O188*(1+(P192+P193))</f>
        <v>0</v>
      </c>
      <c r="Q188" s="486">
        <f t="shared" si="233"/>
        <v>0</v>
      </c>
      <c r="R188" s="487">
        <f t="shared" si="233"/>
        <v>0</v>
      </c>
      <c r="T188" s="490">
        <f t="shared" ref="T188:AA188" si="234">SUM(T185:T187,T179)</f>
        <v>0</v>
      </c>
      <c r="U188" s="486">
        <f t="shared" si="234"/>
        <v>0</v>
      </c>
      <c r="V188" s="486">
        <f t="shared" si="234"/>
        <v>0</v>
      </c>
      <c r="W188" s="486">
        <f t="shared" si="234"/>
        <v>0</v>
      </c>
      <c r="X188" s="486">
        <f t="shared" si="234"/>
        <v>0</v>
      </c>
      <c r="Y188" s="486">
        <f t="shared" si="234"/>
        <v>0</v>
      </c>
      <c r="Z188" s="486">
        <f t="shared" si="234"/>
        <v>0</v>
      </c>
      <c r="AA188" s="487">
        <f t="shared" si="234"/>
        <v>0</v>
      </c>
      <c r="AB188" s="380"/>
      <c r="AC188" s="490">
        <f t="shared" ref="AC188:AD188" si="235">SUM(AC185:AC187,AC179)</f>
        <v>0</v>
      </c>
      <c r="AD188" s="487">
        <f t="shared" si="235"/>
        <v>0</v>
      </c>
      <c r="AF188" s="6"/>
    </row>
    <row r="189" spans="1:33" ht="13" x14ac:dyDescent="0.3">
      <c r="A189" s="338" t="s">
        <v>503</v>
      </c>
      <c r="B189" s="339"/>
      <c r="C189" s="339"/>
      <c r="D189" s="148"/>
      <c r="E189" s="148"/>
      <c r="F189" s="148"/>
      <c r="G189" s="148"/>
      <c r="H189" s="149"/>
      <c r="I189" s="149"/>
      <c r="J189" s="149"/>
      <c r="K189" s="149"/>
      <c r="L189" s="149"/>
      <c r="M189" s="149"/>
      <c r="N189" s="149"/>
      <c r="O189" s="149"/>
      <c r="P189" s="149"/>
      <c r="Q189" s="149"/>
      <c r="R189" s="150"/>
      <c r="T189" s="151"/>
      <c r="U189" s="149"/>
      <c r="V189" s="149"/>
      <c r="W189" s="149"/>
      <c r="X189" s="149"/>
      <c r="Y189" s="149"/>
      <c r="Z189" s="149"/>
      <c r="AA189" s="150"/>
      <c r="AB189" s="381"/>
      <c r="AC189" s="151"/>
      <c r="AD189" s="150"/>
    </row>
    <row r="190" spans="1:33" ht="13" x14ac:dyDescent="0.3">
      <c r="A190" s="297"/>
      <c r="B190" s="294"/>
      <c r="C190" s="294"/>
      <c r="D190" s="375"/>
      <c r="E190" s="375"/>
      <c r="F190" s="375"/>
      <c r="G190" s="375"/>
      <c r="H190" s="375"/>
      <c r="I190" s="375"/>
      <c r="J190" s="375"/>
      <c r="K190" s="375"/>
      <c r="L190" s="375"/>
      <c r="M190" s="375"/>
      <c r="N190" s="375"/>
      <c r="O190" s="375"/>
      <c r="P190" s="375"/>
      <c r="Q190" s="375"/>
      <c r="R190" s="499"/>
      <c r="S190" s="357"/>
      <c r="T190" s="500"/>
      <c r="U190" s="375"/>
      <c r="V190" s="375"/>
      <c r="W190" s="375"/>
      <c r="X190" s="375"/>
      <c r="Y190" s="375"/>
      <c r="Z190" s="375"/>
      <c r="AA190" s="499"/>
      <c r="AB190" s="375"/>
      <c r="AC190" s="500"/>
      <c r="AD190" s="499"/>
    </row>
    <row r="191" spans="1:33" ht="16" x14ac:dyDescent="0.6">
      <c r="A191" s="340" t="s">
        <v>504</v>
      </c>
      <c r="B191" s="335"/>
      <c r="C191" s="335"/>
      <c r="D191" s="381"/>
      <c r="E191" s="381"/>
      <c r="F191" s="381"/>
      <c r="G191" s="381"/>
      <c r="H191" s="381"/>
      <c r="I191" s="381"/>
      <c r="J191" s="381"/>
      <c r="K191" s="381"/>
      <c r="L191" s="381"/>
      <c r="M191" s="381"/>
      <c r="N191" s="501" t="s">
        <v>505</v>
      </c>
      <c r="O191" s="501"/>
      <c r="P191" s="501"/>
      <c r="Q191" s="501"/>
      <c r="R191" s="502"/>
      <c r="S191" s="357"/>
      <c r="T191" s="500"/>
      <c r="U191" s="375"/>
      <c r="V191" s="375"/>
      <c r="W191" s="375"/>
      <c r="X191" s="375"/>
      <c r="Y191" s="375"/>
      <c r="Z191" s="375"/>
      <c r="AA191" s="499"/>
      <c r="AB191" s="375"/>
      <c r="AC191" s="500"/>
      <c r="AD191" s="499"/>
    </row>
    <row r="192" spans="1:33" ht="13" x14ac:dyDescent="0.3">
      <c r="A192" s="341" t="s">
        <v>585</v>
      </c>
      <c r="B192" s="294"/>
      <c r="C192" s="294"/>
      <c r="D192" s="154"/>
      <c r="E192" s="503" t="str">
        <f t="shared" ref="E192:G192" si="236">IF(ISERROR(E188/D188-1),"-",(E188/D188-1))</f>
        <v>-</v>
      </c>
      <c r="F192" s="503" t="str">
        <f t="shared" si="236"/>
        <v>-</v>
      </c>
      <c r="G192" s="503" t="str">
        <f t="shared" si="236"/>
        <v>-</v>
      </c>
      <c r="H192" s="503" t="str">
        <f>IF(ISERROR(H188/G188-1),"-",(H188/G188-1))</f>
        <v>-</v>
      </c>
      <c r="I192" s="503" t="str">
        <f t="shared" ref="I192:M192" si="237">IF(ISERROR(I188/H188-1),"-",(I188/H188-1))</f>
        <v>-</v>
      </c>
      <c r="J192" s="503" t="str">
        <f t="shared" si="237"/>
        <v>-</v>
      </c>
      <c r="K192" s="503" t="str">
        <f t="shared" si="237"/>
        <v>-</v>
      </c>
      <c r="L192" s="503" t="str">
        <f t="shared" si="237"/>
        <v>-</v>
      </c>
      <c r="M192" s="503" t="str">
        <f t="shared" si="237"/>
        <v>-</v>
      </c>
      <c r="N192" s="202"/>
      <c r="O192" s="203"/>
      <c r="P192" s="203"/>
      <c r="Q192" s="203"/>
      <c r="R192" s="204"/>
      <c r="T192" s="156"/>
      <c r="U192" s="118"/>
      <c r="V192" s="118"/>
      <c r="W192" s="118"/>
      <c r="X192" s="118"/>
      <c r="Y192" s="118"/>
      <c r="Z192" s="118"/>
      <c r="AA192" s="157"/>
      <c r="AB192" s="375"/>
      <c r="AC192" s="156"/>
      <c r="AD192" s="157"/>
    </row>
    <row r="193" spans="1:30" ht="13" x14ac:dyDescent="0.3">
      <c r="A193" s="341" t="s">
        <v>584</v>
      </c>
      <c r="B193" s="294"/>
      <c r="C193" s="294"/>
      <c r="D193" s="154"/>
      <c r="E193" s="503" t="str">
        <f t="shared" ref="E193:G193" si="238">IF(ISERROR((E188-E187)/D188-1),"-",(E188-E187)/D188-1)</f>
        <v>-</v>
      </c>
      <c r="F193" s="503" t="str">
        <f t="shared" si="238"/>
        <v>-</v>
      </c>
      <c r="G193" s="503" t="str">
        <f t="shared" si="238"/>
        <v>-</v>
      </c>
      <c r="H193" s="503" t="str">
        <f>IF(ISERROR((H188-H187)/G188-1),"-",(H188-H187)/G188-1)</f>
        <v>-</v>
      </c>
      <c r="I193" s="503" t="str">
        <f t="shared" ref="I193:M193" si="239">IF(ISERROR((I188-I187)/H188-1),"-",(I188-I187)/H188-1)</f>
        <v>-</v>
      </c>
      <c r="J193" s="503" t="str">
        <f t="shared" si="239"/>
        <v>-</v>
      </c>
      <c r="K193" s="503" t="str">
        <f t="shared" si="239"/>
        <v>-</v>
      </c>
      <c r="L193" s="503" t="str">
        <f t="shared" si="239"/>
        <v>-</v>
      </c>
      <c r="M193" s="503" t="str">
        <f t="shared" si="239"/>
        <v>-</v>
      </c>
      <c r="N193" s="155"/>
      <c r="O193" s="201"/>
      <c r="P193" s="201"/>
      <c r="Q193" s="201"/>
      <c r="R193" s="205"/>
      <c r="T193" s="153"/>
      <c r="U193" s="118"/>
      <c r="V193" s="118"/>
      <c r="W193" s="118"/>
      <c r="X193" s="118"/>
      <c r="Y193" s="118"/>
      <c r="Z193" s="118"/>
      <c r="AA193" s="152"/>
      <c r="AB193" s="375"/>
      <c r="AC193" s="156"/>
      <c r="AD193" s="157"/>
    </row>
    <row r="194" spans="1:30" ht="13" x14ac:dyDescent="0.3">
      <c r="A194" s="342" t="s">
        <v>506</v>
      </c>
      <c r="B194" s="294"/>
      <c r="C194" s="294"/>
      <c r="D194" s="154"/>
      <c r="E194" s="503" t="str">
        <f t="shared" ref="E194:M194" si="240">IF(ISERROR(E6/D6-1),"-",E6/D6-1)</f>
        <v>-</v>
      </c>
      <c r="F194" s="503" t="str">
        <f t="shared" si="240"/>
        <v>-</v>
      </c>
      <c r="G194" s="503" t="str">
        <f t="shared" si="240"/>
        <v>-</v>
      </c>
      <c r="H194" s="503" t="str">
        <f t="shared" si="240"/>
        <v>-</v>
      </c>
      <c r="I194" s="503" t="str">
        <f t="shared" si="240"/>
        <v>-</v>
      </c>
      <c r="J194" s="503" t="str">
        <f t="shared" si="240"/>
        <v>-</v>
      </c>
      <c r="K194" s="503" t="str">
        <f t="shared" si="240"/>
        <v>-</v>
      </c>
      <c r="L194" s="503" t="str">
        <f t="shared" si="240"/>
        <v>-</v>
      </c>
      <c r="M194" s="503" t="str">
        <f t="shared" si="240"/>
        <v>-</v>
      </c>
      <c r="N194" s="155"/>
      <c r="O194" s="201"/>
      <c r="P194" s="201"/>
      <c r="Q194" s="201"/>
      <c r="R194" s="205"/>
      <c r="T194" s="153"/>
      <c r="U194" s="118"/>
      <c r="V194" s="118"/>
      <c r="W194" s="118"/>
      <c r="X194" s="118"/>
      <c r="Y194" s="118"/>
      <c r="Z194" s="118"/>
      <c r="AA194" s="152"/>
      <c r="AB194" s="375"/>
      <c r="AC194" s="156"/>
      <c r="AD194" s="157"/>
    </row>
    <row r="195" spans="1:30" ht="13" x14ac:dyDescent="0.3">
      <c r="A195" s="342" t="s">
        <v>507</v>
      </c>
      <c r="B195" s="294"/>
      <c r="C195" s="294"/>
      <c r="D195" s="154"/>
      <c r="E195" s="503" t="str">
        <f t="shared" ref="E195:M195" si="241">IF(ISERROR(E7/D7-1),"-",E7/D7-1)</f>
        <v>-</v>
      </c>
      <c r="F195" s="503" t="str">
        <f t="shared" si="241"/>
        <v>-</v>
      </c>
      <c r="G195" s="503" t="str">
        <f t="shared" si="241"/>
        <v>-</v>
      </c>
      <c r="H195" s="503" t="str">
        <f t="shared" si="241"/>
        <v>-</v>
      </c>
      <c r="I195" s="503" t="str">
        <f t="shared" si="241"/>
        <v>-</v>
      </c>
      <c r="J195" s="503" t="str">
        <f t="shared" si="241"/>
        <v>-</v>
      </c>
      <c r="K195" s="503" t="str">
        <f t="shared" si="241"/>
        <v>-</v>
      </c>
      <c r="L195" s="503" t="str">
        <f t="shared" si="241"/>
        <v>-</v>
      </c>
      <c r="M195" s="503" t="str">
        <f t="shared" si="241"/>
        <v>-</v>
      </c>
      <c r="N195" s="155"/>
      <c r="O195" s="201"/>
      <c r="P195" s="201"/>
      <c r="Q195" s="201"/>
      <c r="R195" s="205"/>
      <c r="T195" s="153"/>
      <c r="U195" s="118"/>
      <c r="V195" s="118"/>
      <c r="W195" s="118"/>
      <c r="X195" s="118"/>
      <c r="Y195" s="118"/>
      <c r="Z195" s="118"/>
      <c r="AA195" s="152"/>
      <c r="AB195" s="375"/>
      <c r="AC195" s="156"/>
      <c r="AD195" s="157"/>
    </row>
    <row r="196" spans="1:30" ht="13" x14ac:dyDescent="0.3">
      <c r="A196" s="342" t="s">
        <v>508</v>
      </c>
      <c r="B196" s="294"/>
      <c r="C196" s="294"/>
      <c r="D196" s="154"/>
      <c r="E196" s="503" t="str">
        <f t="shared" ref="E196:M196" si="242">IF(ISERROR(E9/D9-1),"-",E9/D9-1)</f>
        <v>-</v>
      </c>
      <c r="F196" s="503" t="str">
        <f t="shared" si="242"/>
        <v>-</v>
      </c>
      <c r="G196" s="503" t="str">
        <f t="shared" si="242"/>
        <v>-</v>
      </c>
      <c r="H196" s="503" t="str">
        <f t="shared" si="242"/>
        <v>-</v>
      </c>
      <c r="I196" s="503" t="str">
        <f t="shared" si="242"/>
        <v>-</v>
      </c>
      <c r="J196" s="503" t="str">
        <f t="shared" si="242"/>
        <v>-</v>
      </c>
      <c r="K196" s="503" t="str">
        <f t="shared" si="242"/>
        <v>-</v>
      </c>
      <c r="L196" s="503" t="str">
        <f t="shared" si="242"/>
        <v>-</v>
      </c>
      <c r="M196" s="503" t="str">
        <f t="shared" si="242"/>
        <v>-</v>
      </c>
      <c r="N196" s="155"/>
      <c r="O196" s="201"/>
      <c r="P196" s="201"/>
      <c r="Q196" s="201"/>
      <c r="R196" s="205"/>
      <c r="T196" s="153"/>
      <c r="U196" s="118"/>
      <c r="V196" s="118"/>
      <c r="W196" s="118"/>
      <c r="X196" s="118"/>
      <c r="Y196" s="118"/>
      <c r="Z196" s="118"/>
      <c r="AA196" s="152"/>
      <c r="AB196" s="375"/>
      <c r="AC196" s="156"/>
      <c r="AD196" s="157"/>
    </row>
    <row r="197" spans="1:30" ht="13" x14ac:dyDescent="0.3">
      <c r="A197" s="342" t="s">
        <v>509</v>
      </c>
      <c r="B197" s="294"/>
      <c r="C197" s="294"/>
      <c r="D197" s="154"/>
      <c r="E197" s="503" t="str">
        <f t="shared" ref="E197:M197" si="243">IF(ISERROR(E10/D10-1),"-",E10/D10-1)</f>
        <v>-</v>
      </c>
      <c r="F197" s="503" t="str">
        <f t="shared" si="243"/>
        <v>-</v>
      </c>
      <c r="G197" s="503" t="str">
        <f t="shared" si="243"/>
        <v>-</v>
      </c>
      <c r="H197" s="503" t="str">
        <f t="shared" si="243"/>
        <v>-</v>
      </c>
      <c r="I197" s="503" t="str">
        <f t="shared" si="243"/>
        <v>-</v>
      </c>
      <c r="J197" s="503" t="str">
        <f t="shared" si="243"/>
        <v>-</v>
      </c>
      <c r="K197" s="503" t="str">
        <f t="shared" si="243"/>
        <v>-</v>
      </c>
      <c r="L197" s="503" t="str">
        <f t="shared" si="243"/>
        <v>-</v>
      </c>
      <c r="M197" s="503" t="str">
        <f t="shared" si="243"/>
        <v>-</v>
      </c>
      <c r="N197" s="155"/>
      <c r="O197" s="201"/>
      <c r="P197" s="201"/>
      <c r="Q197" s="201"/>
      <c r="R197" s="205"/>
      <c r="T197" s="153"/>
      <c r="U197" s="118"/>
      <c r="V197" s="118"/>
      <c r="W197" s="118"/>
      <c r="X197" s="118"/>
      <c r="Y197" s="118"/>
      <c r="Z197" s="118"/>
      <c r="AA197" s="152"/>
      <c r="AB197" s="375"/>
      <c r="AC197" s="156"/>
      <c r="AD197" s="157"/>
    </row>
    <row r="198" spans="1:30" ht="13" x14ac:dyDescent="0.3">
      <c r="A198" s="342" t="s">
        <v>510</v>
      </c>
      <c r="B198" s="294"/>
      <c r="C198" s="294"/>
      <c r="D198" s="154"/>
      <c r="E198" s="503" t="str">
        <f t="shared" ref="E198:M198" si="244">IF(ISERROR(E19/D19-1),"-",E19/D19-1)</f>
        <v>-</v>
      </c>
      <c r="F198" s="503" t="str">
        <f t="shared" si="244"/>
        <v>-</v>
      </c>
      <c r="G198" s="503" t="str">
        <f t="shared" si="244"/>
        <v>-</v>
      </c>
      <c r="H198" s="503" t="str">
        <f t="shared" si="244"/>
        <v>-</v>
      </c>
      <c r="I198" s="503" t="str">
        <f t="shared" si="244"/>
        <v>-</v>
      </c>
      <c r="J198" s="503" t="str">
        <f t="shared" si="244"/>
        <v>-</v>
      </c>
      <c r="K198" s="503" t="str">
        <f t="shared" si="244"/>
        <v>-</v>
      </c>
      <c r="L198" s="503" t="str">
        <f t="shared" si="244"/>
        <v>-</v>
      </c>
      <c r="M198" s="503" t="str">
        <f t="shared" si="244"/>
        <v>-</v>
      </c>
      <c r="N198" s="155"/>
      <c r="O198" s="201"/>
      <c r="P198" s="201"/>
      <c r="Q198" s="201"/>
      <c r="R198" s="205"/>
      <c r="T198" s="153"/>
      <c r="U198" s="118"/>
      <c r="V198" s="118"/>
      <c r="W198" s="118"/>
      <c r="X198" s="118"/>
      <c r="Y198" s="118"/>
      <c r="Z198" s="118"/>
      <c r="AA198" s="152"/>
      <c r="AB198" s="375"/>
      <c r="AC198" s="156"/>
      <c r="AD198" s="157"/>
    </row>
    <row r="199" spans="1:30" ht="13" x14ac:dyDescent="0.3">
      <c r="A199" s="343" t="s">
        <v>511</v>
      </c>
      <c r="B199" s="280"/>
      <c r="C199" s="280"/>
      <c r="D199" s="159"/>
      <c r="E199" s="504" t="str">
        <f t="shared" ref="E199:M199" si="245">IF(ISERROR(E22/D22-1),"-",E22/D22-1)</f>
        <v>-</v>
      </c>
      <c r="F199" s="504" t="str">
        <f t="shared" si="245"/>
        <v>-</v>
      </c>
      <c r="G199" s="504" t="str">
        <f t="shared" si="245"/>
        <v>-</v>
      </c>
      <c r="H199" s="504" t="str">
        <f t="shared" si="245"/>
        <v>-</v>
      </c>
      <c r="I199" s="504" t="str">
        <f t="shared" si="245"/>
        <v>-</v>
      </c>
      <c r="J199" s="504" t="str">
        <f t="shared" si="245"/>
        <v>-</v>
      </c>
      <c r="K199" s="504" t="str">
        <f t="shared" si="245"/>
        <v>-</v>
      </c>
      <c r="L199" s="504" t="str">
        <f t="shared" si="245"/>
        <v>-</v>
      </c>
      <c r="M199" s="504" t="str">
        <f t="shared" si="245"/>
        <v>-</v>
      </c>
      <c r="N199" s="155"/>
      <c r="O199" s="201"/>
      <c r="P199" s="201"/>
      <c r="Q199" s="201"/>
      <c r="R199" s="205"/>
      <c r="T199" s="160"/>
      <c r="U199" s="158"/>
      <c r="V199" s="158"/>
      <c r="W199" s="158"/>
      <c r="X199" s="158"/>
      <c r="Y199" s="158"/>
      <c r="Z199" s="158"/>
      <c r="AA199" s="161"/>
      <c r="AC199" s="162"/>
      <c r="AD199" s="163"/>
    </row>
    <row r="200" spans="1:30" ht="13" x14ac:dyDescent="0.3">
      <c r="A200" s="549" t="s">
        <v>591</v>
      </c>
      <c r="B200" s="280"/>
      <c r="C200" s="280"/>
      <c r="D200" s="159"/>
      <c r="E200" s="504" t="str">
        <f t="shared" ref="E200:M200" si="246">IF(ISERROR(E27/D27-1),"-",E27/D27-1)</f>
        <v>-</v>
      </c>
      <c r="F200" s="504" t="str">
        <f t="shared" si="246"/>
        <v>-</v>
      </c>
      <c r="G200" s="504" t="str">
        <f t="shared" si="246"/>
        <v>-</v>
      </c>
      <c r="H200" s="504" t="str">
        <f t="shared" si="246"/>
        <v>-</v>
      </c>
      <c r="I200" s="504" t="str">
        <f t="shared" si="246"/>
        <v>-</v>
      </c>
      <c r="J200" s="504" t="str">
        <f t="shared" si="246"/>
        <v>-</v>
      </c>
      <c r="K200" s="504" t="str">
        <f t="shared" si="246"/>
        <v>-</v>
      </c>
      <c r="L200" s="504" t="str">
        <f t="shared" si="246"/>
        <v>-</v>
      </c>
      <c r="M200" s="504" t="str">
        <f t="shared" si="246"/>
        <v>-</v>
      </c>
      <c r="N200" s="155"/>
      <c r="O200" s="201"/>
      <c r="P200" s="201"/>
      <c r="Q200" s="201"/>
      <c r="R200" s="205"/>
      <c r="T200" s="164"/>
      <c r="U200" s="165"/>
      <c r="V200" s="165"/>
      <c r="W200" s="165"/>
      <c r="X200" s="165"/>
      <c r="Y200" s="158"/>
      <c r="Z200" s="158"/>
      <c r="AA200" s="161"/>
      <c r="AC200" s="162"/>
      <c r="AD200" s="163"/>
    </row>
    <row r="201" spans="1:30" ht="13" x14ac:dyDescent="0.3">
      <c r="A201" s="342"/>
      <c r="B201" s="294"/>
      <c r="C201" s="294"/>
      <c r="D201" s="503"/>
      <c r="E201" s="503"/>
      <c r="F201" s="503"/>
      <c r="G201" s="503"/>
      <c r="H201" s="503"/>
      <c r="I201" s="503"/>
      <c r="J201" s="503"/>
      <c r="K201" s="503"/>
      <c r="L201" s="503"/>
      <c r="M201" s="503"/>
      <c r="N201" s="538"/>
      <c r="O201" s="539"/>
      <c r="P201" s="539"/>
      <c r="Q201" s="539"/>
      <c r="R201" s="540"/>
      <c r="S201" s="357"/>
      <c r="T201" s="500"/>
      <c r="U201" s="375"/>
      <c r="V201" s="375"/>
      <c r="W201" s="375"/>
      <c r="X201" s="375"/>
      <c r="Y201" s="375"/>
      <c r="Z201" s="375"/>
      <c r="AA201" s="499"/>
      <c r="AB201" s="375"/>
      <c r="AC201" s="505"/>
      <c r="AD201" s="506"/>
    </row>
    <row r="202" spans="1:30" ht="16" x14ac:dyDescent="0.6">
      <c r="A202" s="344" t="s">
        <v>512</v>
      </c>
      <c r="B202" s="335"/>
      <c r="C202" s="335"/>
      <c r="D202" s="507"/>
      <c r="E202" s="507"/>
      <c r="F202" s="507"/>
      <c r="G202" s="507"/>
      <c r="H202" s="507"/>
      <c r="I202" s="507"/>
      <c r="J202" s="507"/>
      <c r="K202" s="507"/>
      <c r="L202" s="507"/>
      <c r="M202" s="507"/>
      <c r="N202" s="501" t="s">
        <v>505</v>
      </c>
      <c r="O202" s="501"/>
      <c r="P202" s="501"/>
      <c r="Q202" s="501"/>
      <c r="R202" s="502"/>
      <c r="S202" s="357"/>
      <c r="T202" s="500"/>
      <c r="U202" s="375"/>
      <c r="V202" s="375"/>
      <c r="W202" s="375"/>
      <c r="X202" s="375"/>
      <c r="Y202" s="375"/>
      <c r="Z202" s="375"/>
      <c r="AA202" s="499"/>
      <c r="AB202" s="375"/>
      <c r="AC202" s="508"/>
      <c r="AD202" s="509"/>
    </row>
    <row r="203" spans="1:30" ht="13" x14ac:dyDescent="0.3">
      <c r="A203" s="342" t="s">
        <v>513</v>
      </c>
      <c r="B203" s="294"/>
      <c r="C203" s="294"/>
      <c r="D203" s="510" t="str">
        <f t="shared" ref="D203:M203" si="247">IF(ISERROR(D5/D189),"-",D5/D189)</f>
        <v>-</v>
      </c>
      <c r="E203" s="510" t="str">
        <f t="shared" si="247"/>
        <v>-</v>
      </c>
      <c r="F203" s="510" t="str">
        <f t="shared" si="247"/>
        <v>-</v>
      </c>
      <c r="G203" s="510" t="str">
        <f t="shared" si="247"/>
        <v>-</v>
      </c>
      <c r="H203" s="510" t="str">
        <f t="shared" si="247"/>
        <v>-</v>
      </c>
      <c r="I203" s="510" t="str">
        <f t="shared" si="247"/>
        <v>-</v>
      </c>
      <c r="J203" s="510" t="str">
        <f t="shared" si="247"/>
        <v>-</v>
      </c>
      <c r="K203" s="510" t="str">
        <f t="shared" si="247"/>
        <v>-</v>
      </c>
      <c r="L203" s="510" t="str">
        <f t="shared" si="247"/>
        <v>-</v>
      </c>
      <c r="M203" s="510" t="str">
        <f t="shared" si="247"/>
        <v>-</v>
      </c>
      <c r="N203" s="206"/>
      <c r="O203" s="207"/>
      <c r="P203" s="207"/>
      <c r="Q203" s="207"/>
      <c r="R203" s="208"/>
      <c r="T203" s="512" t="str">
        <f t="shared" ref="T203:AA203" si="248">IF(ISERROR((T5*T239)/T189),"-",(T5*T239)/T189)</f>
        <v>-</v>
      </c>
      <c r="U203" s="513" t="str">
        <f t="shared" si="248"/>
        <v>-</v>
      </c>
      <c r="V203" s="513" t="str">
        <f t="shared" si="248"/>
        <v>-</v>
      </c>
      <c r="W203" s="513" t="str">
        <f t="shared" si="248"/>
        <v>-</v>
      </c>
      <c r="X203" s="513" t="str">
        <f t="shared" si="248"/>
        <v>-</v>
      </c>
      <c r="Y203" s="513" t="str">
        <f t="shared" si="248"/>
        <v>-</v>
      </c>
      <c r="Z203" s="513" t="str">
        <f t="shared" si="248"/>
        <v>-</v>
      </c>
      <c r="AA203" s="514" t="str">
        <f t="shared" si="248"/>
        <v>-</v>
      </c>
      <c r="AB203" s="375"/>
      <c r="AC203" s="515" t="str">
        <f>IF(ISERROR((AC5*AC239)/AC189),"-",(AC5*AC239)/AC189)</f>
        <v>-</v>
      </c>
      <c r="AD203" s="516" t="str">
        <f>IF(ISERROR((AD5*AD239)/AD189),"-",(AD5*AD239)/AD189)</f>
        <v>-</v>
      </c>
    </row>
    <row r="204" spans="1:30" ht="13" x14ac:dyDescent="0.3">
      <c r="A204" s="342" t="s">
        <v>514</v>
      </c>
      <c r="B204" s="294"/>
      <c r="C204" s="294"/>
      <c r="D204" s="503" t="str">
        <f t="shared" ref="D204:M204" si="249">IF(ISERROR(-D8/SUM(D6:D7)),"-",-D8/SUM(D6:D7))</f>
        <v>-</v>
      </c>
      <c r="E204" s="503" t="str">
        <f t="shared" si="249"/>
        <v>-</v>
      </c>
      <c r="F204" s="503" t="str">
        <f t="shared" si="249"/>
        <v>-</v>
      </c>
      <c r="G204" s="503" t="str">
        <f t="shared" si="249"/>
        <v>-</v>
      </c>
      <c r="H204" s="503" t="str">
        <f t="shared" si="249"/>
        <v>-</v>
      </c>
      <c r="I204" s="503" t="str">
        <f t="shared" si="249"/>
        <v>-</v>
      </c>
      <c r="J204" s="503" t="str">
        <f t="shared" si="249"/>
        <v>-</v>
      </c>
      <c r="K204" s="503" t="str">
        <f t="shared" si="249"/>
        <v>-</v>
      </c>
      <c r="L204" s="503" t="str">
        <f t="shared" si="249"/>
        <v>-</v>
      </c>
      <c r="M204" s="503" t="str">
        <f t="shared" si="249"/>
        <v>-</v>
      </c>
      <c r="N204" s="155"/>
      <c r="O204" s="201"/>
      <c r="P204" s="201"/>
      <c r="Q204" s="201"/>
      <c r="R204" s="205"/>
      <c r="T204" s="505" t="str">
        <f t="shared" ref="T204:AA204" si="250">IF(ISERROR(-T8/SUM(T6:T7)),"-",-T8/SUM(T6:T7))</f>
        <v>-</v>
      </c>
      <c r="U204" s="503" t="str">
        <f t="shared" si="250"/>
        <v>-</v>
      </c>
      <c r="V204" s="503" t="str">
        <f t="shared" si="250"/>
        <v>-</v>
      </c>
      <c r="W204" s="503" t="str">
        <f t="shared" si="250"/>
        <v>-</v>
      </c>
      <c r="X204" s="503" t="str">
        <f t="shared" si="250"/>
        <v>-</v>
      </c>
      <c r="Y204" s="503" t="str">
        <f t="shared" si="250"/>
        <v>-</v>
      </c>
      <c r="Z204" s="503" t="str">
        <f t="shared" si="250"/>
        <v>-</v>
      </c>
      <c r="AA204" s="506" t="str">
        <f t="shared" si="250"/>
        <v>-</v>
      </c>
      <c r="AB204" s="375"/>
      <c r="AC204" s="505" t="str">
        <f>IF(ISERROR(-AC8/SUM(AC6:AC7)),"-",-AC8/SUM(AC6:AC7))</f>
        <v>-</v>
      </c>
      <c r="AD204" s="506" t="str">
        <f>IF(ISERROR(-AD8/SUM(AD6:AD7)),"-",-AD8/SUM(AD6:AD7))</f>
        <v>-</v>
      </c>
    </row>
    <row r="205" spans="1:30" ht="13" x14ac:dyDescent="0.3">
      <c r="A205" s="342" t="s">
        <v>515</v>
      </c>
      <c r="B205" s="294"/>
      <c r="C205" s="294"/>
      <c r="D205" s="503" t="str">
        <f t="shared" ref="D205:M205" si="251">IF(ISERROR(-D12/SUM(D5:D10)),"-",-D12/SUM(D5:D10))</f>
        <v>-</v>
      </c>
      <c r="E205" s="503" t="str">
        <f t="shared" si="251"/>
        <v>-</v>
      </c>
      <c r="F205" s="503" t="str">
        <f t="shared" si="251"/>
        <v>-</v>
      </c>
      <c r="G205" s="503" t="str">
        <f t="shared" si="251"/>
        <v>-</v>
      </c>
      <c r="H205" s="503" t="str">
        <f t="shared" si="251"/>
        <v>-</v>
      </c>
      <c r="I205" s="503" t="str">
        <f t="shared" si="251"/>
        <v>-</v>
      </c>
      <c r="J205" s="503" t="str">
        <f t="shared" si="251"/>
        <v>-</v>
      </c>
      <c r="K205" s="503" t="str">
        <f t="shared" si="251"/>
        <v>-</v>
      </c>
      <c r="L205" s="503" t="str">
        <f t="shared" si="251"/>
        <v>-</v>
      </c>
      <c r="M205" s="503" t="str">
        <f t="shared" si="251"/>
        <v>-</v>
      </c>
      <c r="N205" s="155"/>
      <c r="O205" s="201"/>
      <c r="P205" s="201"/>
      <c r="Q205" s="201"/>
      <c r="R205" s="205"/>
      <c r="T205" s="505" t="str">
        <f t="shared" ref="T205:AA205" si="252">IF(ISERROR(-T12/SUM(T5:T10)),"-",-T12/SUM(T5:T10))</f>
        <v>-</v>
      </c>
      <c r="U205" s="503" t="str">
        <f t="shared" si="252"/>
        <v>-</v>
      </c>
      <c r="V205" s="503" t="str">
        <f t="shared" si="252"/>
        <v>-</v>
      </c>
      <c r="W205" s="503" t="str">
        <f t="shared" si="252"/>
        <v>-</v>
      </c>
      <c r="X205" s="503" t="str">
        <f t="shared" si="252"/>
        <v>-</v>
      </c>
      <c r="Y205" s="503" t="str">
        <f t="shared" si="252"/>
        <v>-</v>
      </c>
      <c r="Z205" s="503" t="str">
        <f t="shared" si="252"/>
        <v>-</v>
      </c>
      <c r="AA205" s="506" t="str">
        <f t="shared" si="252"/>
        <v>-</v>
      </c>
      <c r="AB205" s="375"/>
      <c r="AC205" s="505" t="str">
        <f>IF(ISERROR(-AC12/SUM(AC5:AC10)),"-",-AC12/SUM(AC5:AC10))</f>
        <v>-</v>
      </c>
      <c r="AD205" s="506" t="str">
        <f>IF(ISERROR(-AD12/SUM(AD5:AD10)),"-",-AD12/SUM(AD5:AD10))</f>
        <v>-</v>
      </c>
    </row>
    <row r="206" spans="1:30" ht="13" x14ac:dyDescent="0.3">
      <c r="A206" s="342" t="s">
        <v>516</v>
      </c>
      <c r="B206" s="294"/>
      <c r="C206" s="294"/>
      <c r="D206" s="503" t="str">
        <f t="shared" ref="D206:M206" si="253">IF(ISERROR(-D13/SUM(D5:D10)),"-",-D13/SUM(D5:D10))</f>
        <v>-</v>
      </c>
      <c r="E206" s="503" t="str">
        <f t="shared" si="253"/>
        <v>-</v>
      </c>
      <c r="F206" s="503" t="str">
        <f t="shared" si="253"/>
        <v>-</v>
      </c>
      <c r="G206" s="503" t="str">
        <f t="shared" si="253"/>
        <v>-</v>
      </c>
      <c r="H206" s="503" t="str">
        <f t="shared" si="253"/>
        <v>-</v>
      </c>
      <c r="I206" s="503" t="str">
        <f t="shared" si="253"/>
        <v>-</v>
      </c>
      <c r="J206" s="503" t="str">
        <f t="shared" si="253"/>
        <v>-</v>
      </c>
      <c r="K206" s="503" t="str">
        <f t="shared" si="253"/>
        <v>-</v>
      </c>
      <c r="L206" s="503" t="str">
        <f t="shared" si="253"/>
        <v>-</v>
      </c>
      <c r="M206" s="503" t="str">
        <f t="shared" si="253"/>
        <v>-</v>
      </c>
      <c r="N206" s="155"/>
      <c r="O206" s="201"/>
      <c r="P206" s="201"/>
      <c r="Q206" s="201"/>
      <c r="R206" s="205"/>
      <c r="T206" s="505" t="str">
        <f t="shared" ref="T206:AA206" si="254">IF(ISERROR(-T13/SUM(T5:T10)),"-",-T13/SUM(T5:T10))</f>
        <v>-</v>
      </c>
      <c r="U206" s="503" t="str">
        <f t="shared" si="254"/>
        <v>-</v>
      </c>
      <c r="V206" s="503" t="str">
        <f t="shared" si="254"/>
        <v>-</v>
      </c>
      <c r="W206" s="503" t="str">
        <f t="shared" si="254"/>
        <v>-</v>
      </c>
      <c r="X206" s="503" t="str">
        <f t="shared" si="254"/>
        <v>-</v>
      </c>
      <c r="Y206" s="503" t="str">
        <f t="shared" si="254"/>
        <v>-</v>
      </c>
      <c r="Z206" s="503" t="str">
        <f t="shared" si="254"/>
        <v>-</v>
      </c>
      <c r="AA206" s="506" t="str">
        <f t="shared" si="254"/>
        <v>-</v>
      </c>
      <c r="AB206" s="375"/>
      <c r="AC206" s="505" t="str">
        <f>IF(ISERROR(-AC13/SUM(AC5:AC10)),"-",-AC13/SUM(AC5:AC10))</f>
        <v>-</v>
      </c>
      <c r="AD206" s="506" t="str">
        <f>IF(ISERROR(-AD13/SUM(AD5:AD10)),"-",-AD13/SUM(AD5:AD10))</f>
        <v>-</v>
      </c>
    </row>
    <row r="207" spans="1:30" ht="13" x14ac:dyDescent="0.3">
      <c r="A207" s="342" t="s">
        <v>517</v>
      </c>
      <c r="B207" s="294"/>
      <c r="C207" s="294"/>
      <c r="D207" s="503" t="str">
        <f t="shared" ref="D207:M207" si="255">IF(ISERROR(-D14/SUM(D5:D10)),"-",-D14/SUM(D5:D10))</f>
        <v>-</v>
      </c>
      <c r="E207" s="503" t="str">
        <f t="shared" si="255"/>
        <v>-</v>
      </c>
      <c r="F207" s="503" t="str">
        <f t="shared" si="255"/>
        <v>-</v>
      </c>
      <c r="G207" s="503" t="str">
        <f t="shared" si="255"/>
        <v>-</v>
      </c>
      <c r="H207" s="503" t="str">
        <f t="shared" si="255"/>
        <v>-</v>
      </c>
      <c r="I207" s="503" t="str">
        <f t="shared" si="255"/>
        <v>-</v>
      </c>
      <c r="J207" s="503" t="str">
        <f t="shared" si="255"/>
        <v>-</v>
      </c>
      <c r="K207" s="503" t="str">
        <f t="shared" si="255"/>
        <v>-</v>
      </c>
      <c r="L207" s="503" t="str">
        <f t="shared" si="255"/>
        <v>-</v>
      </c>
      <c r="M207" s="503" t="str">
        <f t="shared" si="255"/>
        <v>-</v>
      </c>
      <c r="N207" s="155"/>
      <c r="O207" s="201"/>
      <c r="P207" s="201"/>
      <c r="Q207" s="201"/>
      <c r="R207" s="205"/>
      <c r="T207" s="505" t="str">
        <f t="shared" ref="T207:AA207" si="256">IF(ISERROR(-T14/SUM(T5:T10)),"-",-T14/SUM(T5:T10))</f>
        <v>-</v>
      </c>
      <c r="U207" s="503" t="str">
        <f t="shared" si="256"/>
        <v>-</v>
      </c>
      <c r="V207" s="503" t="str">
        <f t="shared" si="256"/>
        <v>-</v>
      </c>
      <c r="W207" s="503" t="str">
        <f t="shared" si="256"/>
        <v>-</v>
      </c>
      <c r="X207" s="503" t="str">
        <f t="shared" si="256"/>
        <v>-</v>
      </c>
      <c r="Y207" s="503" t="str">
        <f t="shared" si="256"/>
        <v>-</v>
      </c>
      <c r="Z207" s="503" t="str">
        <f t="shared" si="256"/>
        <v>-</v>
      </c>
      <c r="AA207" s="506" t="str">
        <f t="shared" si="256"/>
        <v>-</v>
      </c>
      <c r="AB207" s="375"/>
      <c r="AC207" s="505" t="str">
        <f>IF(ISERROR(-AC14/SUM(AC5:AC10)),"-",-AC14/SUM(AC5:AC10))</f>
        <v>-</v>
      </c>
      <c r="AD207" s="506" t="str">
        <f>IF(ISERROR(-AD14/SUM(AD5:AD10)),"-",-AD14/SUM(AD5:AD10))</f>
        <v>-</v>
      </c>
    </row>
    <row r="208" spans="1:30" ht="13" x14ac:dyDescent="0.3">
      <c r="A208" s="342" t="s">
        <v>518</v>
      </c>
      <c r="B208" s="294"/>
      <c r="C208" s="294"/>
      <c r="D208" s="503" t="str">
        <f t="shared" ref="D208:M208" si="257">IF(ISERROR(-D15/SUM(D5:D10)),"-",-D15/SUM(D5:D10))</f>
        <v>-</v>
      </c>
      <c r="E208" s="503" t="str">
        <f t="shared" si="257"/>
        <v>-</v>
      </c>
      <c r="F208" s="503" t="str">
        <f t="shared" si="257"/>
        <v>-</v>
      </c>
      <c r="G208" s="503" t="str">
        <f t="shared" si="257"/>
        <v>-</v>
      </c>
      <c r="H208" s="503" t="str">
        <f t="shared" si="257"/>
        <v>-</v>
      </c>
      <c r="I208" s="503" t="str">
        <f t="shared" si="257"/>
        <v>-</v>
      </c>
      <c r="J208" s="503" t="str">
        <f t="shared" si="257"/>
        <v>-</v>
      </c>
      <c r="K208" s="503" t="str">
        <f t="shared" si="257"/>
        <v>-</v>
      </c>
      <c r="L208" s="503" t="str">
        <f t="shared" si="257"/>
        <v>-</v>
      </c>
      <c r="M208" s="503" t="str">
        <f t="shared" si="257"/>
        <v>-</v>
      </c>
      <c r="N208" s="155"/>
      <c r="O208" s="201"/>
      <c r="P208" s="201"/>
      <c r="Q208" s="201"/>
      <c r="R208" s="205"/>
      <c r="T208" s="505" t="str">
        <f t="shared" ref="T208:AA208" si="258">IF(ISERROR(-T15/SUM(T5:T10)),"-",-T15/SUM(T5:T10))</f>
        <v>-</v>
      </c>
      <c r="U208" s="503" t="str">
        <f t="shared" si="258"/>
        <v>-</v>
      </c>
      <c r="V208" s="503" t="str">
        <f t="shared" si="258"/>
        <v>-</v>
      </c>
      <c r="W208" s="503" t="str">
        <f t="shared" si="258"/>
        <v>-</v>
      </c>
      <c r="X208" s="503" t="str">
        <f t="shared" si="258"/>
        <v>-</v>
      </c>
      <c r="Y208" s="503" t="str">
        <f t="shared" si="258"/>
        <v>-</v>
      </c>
      <c r="Z208" s="503" t="str">
        <f t="shared" si="258"/>
        <v>-</v>
      </c>
      <c r="AA208" s="506" t="str">
        <f t="shared" si="258"/>
        <v>-</v>
      </c>
      <c r="AB208" s="375"/>
      <c r="AC208" s="505" t="str">
        <f>IF(ISERROR(-AC15/SUM(AC5:AC10)),"-",-AC15/SUM(AC5:AC10))</f>
        <v>-</v>
      </c>
      <c r="AD208" s="506" t="str">
        <f>IF(ISERROR(-AD15/SUM(AD5:AD10)),"-",-AD15/SUM(AD5:AD10))</f>
        <v>-</v>
      </c>
    </row>
    <row r="209" spans="1:30" ht="13" x14ac:dyDescent="0.3">
      <c r="A209" s="342" t="s">
        <v>519</v>
      </c>
      <c r="B209" s="280"/>
      <c r="C209" s="280"/>
      <c r="D209" s="504" t="str">
        <f t="shared" ref="D209:M209" si="259">IF(ISERROR(-D20/D19),"-",-D20/D19)</f>
        <v>-</v>
      </c>
      <c r="E209" s="504" t="str">
        <f t="shared" si="259"/>
        <v>-</v>
      </c>
      <c r="F209" s="504" t="str">
        <f t="shared" si="259"/>
        <v>-</v>
      </c>
      <c r="G209" s="504" t="str">
        <f t="shared" si="259"/>
        <v>-</v>
      </c>
      <c r="H209" s="504" t="str">
        <f t="shared" si="259"/>
        <v>-</v>
      </c>
      <c r="I209" s="504" t="str">
        <f t="shared" si="259"/>
        <v>-</v>
      </c>
      <c r="J209" s="504" t="str">
        <f t="shared" si="259"/>
        <v>-</v>
      </c>
      <c r="K209" s="504" t="str">
        <f t="shared" si="259"/>
        <v>-</v>
      </c>
      <c r="L209" s="504" t="str">
        <f t="shared" si="259"/>
        <v>-</v>
      </c>
      <c r="M209" s="504" t="str">
        <f t="shared" si="259"/>
        <v>-</v>
      </c>
      <c r="N209" s="155"/>
      <c r="O209" s="201"/>
      <c r="P209" s="201"/>
      <c r="Q209" s="201"/>
      <c r="R209" s="205"/>
      <c r="T209" s="517" t="str">
        <f t="shared" ref="T209:AA209" si="260">IF(ISERROR(-T20/T19),"-",-T20/T19)</f>
        <v>-</v>
      </c>
      <c r="U209" s="504" t="str">
        <f t="shared" si="260"/>
        <v>-</v>
      </c>
      <c r="V209" s="504" t="str">
        <f t="shared" si="260"/>
        <v>-</v>
      </c>
      <c r="W209" s="504" t="str">
        <f t="shared" si="260"/>
        <v>-</v>
      </c>
      <c r="X209" s="504" t="str">
        <f t="shared" si="260"/>
        <v>-</v>
      </c>
      <c r="Y209" s="504" t="str">
        <f t="shared" si="260"/>
        <v>-</v>
      </c>
      <c r="Z209" s="504" t="str">
        <f t="shared" si="260"/>
        <v>-</v>
      </c>
      <c r="AA209" s="518" t="str">
        <f t="shared" si="260"/>
        <v>-</v>
      </c>
      <c r="AC209" s="517" t="str">
        <f>IF(ISERROR(-AC20/AC19),"-",-AC20/AC19)</f>
        <v>-</v>
      </c>
      <c r="AD209" s="518" t="str">
        <f>IF(ISERROR(-AD20/AD19),"-",-AD20/AD19)</f>
        <v>-</v>
      </c>
    </row>
    <row r="210" spans="1:30" ht="13" x14ac:dyDescent="0.3">
      <c r="A210" s="343" t="s">
        <v>520</v>
      </c>
      <c r="B210" s="280"/>
      <c r="C210" s="280"/>
      <c r="D210" s="504" t="str">
        <f t="shared" ref="D210:M210" si="261">IF(ISERROR(-D23/D22),"-",-D23/D22)</f>
        <v>-</v>
      </c>
      <c r="E210" s="504" t="str">
        <f t="shared" si="261"/>
        <v>-</v>
      </c>
      <c r="F210" s="504" t="str">
        <f t="shared" si="261"/>
        <v>-</v>
      </c>
      <c r="G210" s="504" t="str">
        <f t="shared" si="261"/>
        <v>-</v>
      </c>
      <c r="H210" s="504" t="str">
        <f t="shared" si="261"/>
        <v>-</v>
      </c>
      <c r="I210" s="504" t="str">
        <f t="shared" si="261"/>
        <v>-</v>
      </c>
      <c r="J210" s="504" t="str">
        <f t="shared" si="261"/>
        <v>-</v>
      </c>
      <c r="K210" s="504" t="str">
        <f t="shared" si="261"/>
        <v>-</v>
      </c>
      <c r="L210" s="504" t="str">
        <f t="shared" si="261"/>
        <v>-</v>
      </c>
      <c r="M210" s="504" t="str">
        <f t="shared" si="261"/>
        <v>-</v>
      </c>
      <c r="N210" s="155"/>
      <c r="O210" s="201"/>
      <c r="P210" s="201"/>
      <c r="Q210" s="201"/>
      <c r="R210" s="205"/>
      <c r="T210" s="517" t="str">
        <f t="shared" ref="T210:AA210" si="262">IF(ISERROR(-T23/T22),"-",-T23/T22)</f>
        <v>-</v>
      </c>
      <c r="U210" s="504" t="str">
        <f t="shared" si="262"/>
        <v>-</v>
      </c>
      <c r="V210" s="504" t="str">
        <f t="shared" si="262"/>
        <v>-</v>
      </c>
      <c r="W210" s="504" t="str">
        <f t="shared" si="262"/>
        <v>-</v>
      </c>
      <c r="X210" s="504" t="str">
        <f t="shared" si="262"/>
        <v>-</v>
      </c>
      <c r="Y210" s="504" t="str">
        <f t="shared" si="262"/>
        <v>-</v>
      </c>
      <c r="Z210" s="504" t="str">
        <f t="shared" si="262"/>
        <v>-</v>
      </c>
      <c r="AA210" s="518" t="str">
        <f t="shared" si="262"/>
        <v>-</v>
      </c>
      <c r="AC210" s="517" t="str">
        <f>IF(ISERROR(-AC23/AC22),"-",-AC23/AC22)</f>
        <v>-</v>
      </c>
      <c r="AD210" s="518" t="str">
        <f>IF(ISERROR(-AD23/AD22),"-",-AD23/AD22)</f>
        <v>-</v>
      </c>
    </row>
    <row r="211" spans="1:30" ht="13" x14ac:dyDescent="0.3">
      <c r="A211" s="343" t="s">
        <v>521</v>
      </c>
      <c r="B211" s="280"/>
      <c r="C211" s="280"/>
      <c r="D211" s="504" t="str">
        <f t="shared" ref="D211:M211" si="263">IF(ISERROR(-D29/SUM(D17,D21,D24,D27,D28)),"-",-D29/SUM(D17,D21,D24,D27,D28))</f>
        <v>-</v>
      </c>
      <c r="E211" s="504" t="str">
        <f t="shared" si="263"/>
        <v>-</v>
      </c>
      <c r="F211" s="504" t="str">
        <f t="shared" si="263"/>
        <v>-</v>
      </c>
      <c r="G211" s="504" t="str">
        <f t="shared" si="263"/>
        <v>-</v>
      </c>
      <c r="H211" s="504" t="str">
        <f t="shared" si="263"/>
        <v>-</v>
      </c>
      <c r="I211" s="504" t="str">
        <f t="shared" si="263"/>
        <v>-</v>
      </c>
      <c r="J211" s="504" t="str">
        <f t="shared" si="263"/>
        <v>-</v>
      </c>
      <c r="K211" s="504" t="str">
        <f t="shared" si="263"/>
        <v>-</v>
      </c>
      <c r="L211" s="504" t="str">
        <f t="shared" si="263"/>
        <v>-</v>
      </c>
      <c r="M211" s="504" t="str">
        <f t="shared" si="263"/>
        <v>-</v>
      </c>
      <c r="N211" s="155"/>
      <c r="O211" s="201"/>
      <c r="P211" s="201"/>
      <c r="Q211" s="201"/>
      <c r="R211" s="205"/>
      <c r="T211" s="517" t="str">
        <f t="shared" ref="T211:AA211" si="264">IF(ISERROR(-T29/SUM(T17,T21,T24,T27,T28)),"-",-T29/SUM(T17,T21,T24,T27,T28))</f>
        <v>-</v>
      </c>
      <c r="U211" s="504" t="str">
        <f t="shared" si="264"/>
        <v>-</v>
      </c>
      <c r="V211" s="504" t="str">
        <f t="shared" si="264"/>
        <v>-</v>
      </c>
      <c r="W211" s="504" t="str">
        <f t="shared" si="264"/>
        <v>-</v>
      </c>
      <c r="X211" s="504" t="str">
        <f t="shared" si="264"/>
        <v>-</v>
      </c>
      <c r="Y211" s="504" t="str">
        <f t="shared" si="264"/>
        <v>-</v>
      </c>
      <c r="Z211" s="504" t="str">
        <f t="shared" si="264"/>
        <v>-</v>
      </c>
      <c r="AA211" s="518" t="str">
        <f t="shared" si="264"/>
        <v>-</v>
      </c>
      <c r="AC211" s="517" t="str">
        <f>IF(ISERROR(-AC29/SUM(AC17,AC21,AC24,AC27,AC28)),"-",-AC29/SUM(AC17,AC21,AC24,AC27,AC28))</f>
        <v>-</v>
      </c>
      <c r="AD211" s="518" t="str">
        <f>IF(ISERROR(-AD29/SUM(AD17,AD21,AD24,AD27,AD28)),"-",-AD29/SUM(AD17,AD21,AD24,AD27,AD28))</f>
        <v>-</v>
      </c>
    </row>
    <row r="212" spans="1:30" ht="13" x14ac:dyDescent="0.3">
      <c r="A212" s="343" t="s">
        <v>522</v>
      </c>
      <c r="B212" s="280"/>
      <c r="C212" s="280"/>
      <c r="D212" s="504" t="str">
        <f t="shared" ref="D212:M212" si="265">IF(ISERROR(-D30/SUM(D17,D21,D24,D27,D28,D29)),"-",-D30/SUM(D17,D21,D24,D27,D28,D29))</f>
        <v>-</v>
      </c>
      <c r="E212" s="504" t="str">
        <f t="shared" si="265"/>
        <v>-</v>
      </c>
      <c r="F212" s="504" t="str">
        <f t="shared" si="265"/>
        <v>-</v>
      </c>
      <c r="G212" s="504" t="str">
        <f t="shared" si="265"/>
        <v>-</v>
      </c>
      <c r="H212" s="503" t="str">
        <f t="shared" si="265"/>
        <v>-</v>
      </c>
      <c r="I212" s="503" t="str">
        <f t="shared" si="265"/>
        <v>-</v>
      </c>
      <c r="J212" s="503" t="str">
        <f t="shared" si="265"/>
        <v>-</v>
      </c>
      <c r="K212" s="503" t="str">
        <f t="shared" si="265"/>
        <v>-</v>
      </c>
      <c r="L212" s="503" t="str">
        <f t="shared" si="265"/>
        <v>-</v>
      </c>
      <c r="M212" s="503" t="str">
        <f t="shared" si="265"/>
        <v>-</v>
      </c>
      <c r="N212" s="155"/>
      <c r="O212" s="201"/>
      <c r="P212" s="201"/>
      <c r="Q212" s="201"/>
      <c r="R212" s="205"/>
      <c r="T212" s="517" t="str">
        <f t="shared" ref="T212:AA212" si="266">IF(ISERROR(-T30/SUM(T17,T21,T24,T27,T28,T29)),"-",-T30/SUM(T17,T21,T24,T27,T28,T29))</f>
        <v>-</v>
      </c>
      <c r="U212" s="504" t="str">
        <f t="shared" si="266"/>
        <v>-</v>
      </c>
      <c r="V212" s="504" t="str">
        <f t="shared" si="266"/>
        <v>-</v>
      </c>
      <c r="W212" s="504" t="str">
        <f t="shared" si="266"/>
        <v>-</v>
      </c>
      <c r="X212" s="504" t="str">
        <f t="shared" si="266"/>
        <v>-</v>
      </c>
      <c r="Y212" s="504" t="str">
        <f t="shared" si="266"/>
        <v>-</v>
      </c>
      <c r="Z212" s="504" t="str">
        <f t="shared" si="266"/>
        <v>-</v>
      </c>
      <c r="AA212" s="518" t="str">
        <f t="shared" si="266"/>
        <v>-</v>
      </c>
      <c r="AC212" s="505" t="str">
        <f>IF(ISERROR(-AC30/SUM(AC17,AC21,AC24,AC27,AC28,AC29)),"-",-AC30/SUM(AC17,AC21,AC24,AC27,AC28,AC29))</f>
        <v>-</v>
      </c>
      <c r="AD212" s="506" t="str">
        <f>IF(ISERROR(-AD30/SUM(AD17,AD21,AD24,AD27,AD28,AD29)),"-",-AD30/SUM(AD17,AD21,AD24,AD27,AD28,AD29))</f>
        <v>-</v>
      </c>
    </row>
    <row r="213" spans="1:30" ht="13" x14ac:dyDescent="0.3">
      <c r="A213" s="343" t="s">
        <v>523</v>
      </c>
      <c r="B213" s="280"/>
      <c r="C213" s="280"/>
      <c r="D213" s="504" t="str">
        <f t="shared" ref="D213:M213" si="267">IF(ISERROR(D66/D31),"-",D66/D31)</f>
        <v>-</v>
      </c>
      <c r="E213" s="504" t="str">
        <f t="shared" si="267"/>
        <v>-</v>
      </c>
      <c r="F213" s="504" t="str">
        <f t="shared" si="267"/>
        <v>-</v>
      </c>
      <c r="G213" s="504" t="str">
        <f t="shared" si="267"/>
        <v>-</v>
      </c>
      <c r="H213" s="504" t="str">
        <f t="shared" si="267"/>
        <v>-</v>
      </c>
      <c r="I213" s="504" t="str">
        <f t="shared" si="267"/>
        <v>-</v>
      </c>
      <c r="J213" s="504" t="str">
        <f t="shared" si="267"/>
        <v>-</v>
      </c>
      <c r="K213" s="504" t="str">
        <f t="shared" si="267"/>
        <v>-</v>
      </c>
      <c r="L213" s="504" t="str">
        <f t="shared" si="267"/>
        <v>-</v>
      </c>
      <c r="M213" s="504" t="str">
        <f t="shared" si="267"/>
        <v>-</v>
      </c>
      <c r="N213" s="155"/>
      <c r="O213" s="201"/>
      <c r="P213" s="201"/>
      <c r="Q213" s="201"/>
      <c r="R213" s="205"/>
      <c r="T213" s="517" t="str">
        <f t="shared" ref="T213:AA213" si="268">IF(ISERROR(T66/T31),"-",T66/T31)</f>
        <v>-</v>
      </c>
      <c r="U213" s="504" t="str">
        <f t="shared" si="268"/>
        <v>-</v>
      </c>
      <c r="V213" s="504" t="str">
        <f t="shared" si="268"/>
        <v>-</v>
      </c>
      <c r="W213" s="504" t="str">
        <f t="shared" si="268"/>
        <v>-</v>
      </c>
      <c r="X213" s="504" t="str">
        <f t="shared" si="268"/>
        <v>-</v>
      </c>
      <c r="Y213" s="504" t="str">
        <f t="shared" si="268"/>
        <v>-</v>
      </c>
      <c r="Z213" s="504" t="str">
        <f t="shared" si="268"/>
        <v>-</v>
      </c>
      <c r="AA213" s="518" t="str">
        <f t="shared" si="268"/>
        <v>-</v>
      </c>
      <c r="AC213" s="517" t="str">
        <f>IF(ISERROR(AC66/AC31),"-",AC66/AC31)</f>
        <v>-</v>
      </c>
      <c r="AD213" s="518" t="str">
        <f>IF(ISERROR(AD66/AD31),"-",AD66/AD31)</f>
        <v>-</v>
      </c>
    </row>
    <row r="214" spans="1:30" ht="13.5" thickBot="1" x14ac:dyDescent="0.35">
      <c r="A214" s="345" t="s">
        <v>524</v>
      </c>
      <c r="B214" s="346"/>
      <c r="C214" s="346"/>
      <c r="D214" s="511" t="str">
        <f t="shared" ref="D214:M214" si="269">IF(ISERROR(D65/SUM(D5:D10)),"-",D65/SUM(D5:D10))</f>
        <v>-</v>
      </c>
      <c r="E214" s="511" t="str">
        <f t="shared" si="269"/>
        <v>-</v>
      </c>
      <c r="F214" s="511" t="str">
        <f t="shared" si="269"/>
        <v>-</v>
      </c>
      <c r="G214" s="511" t="str">
        <f t="shared" si="269"/>
        <v>-</v>
      </c>
      <c r="H214" s="511" t="str">
        <f t="shared" si="269"/>
        <v>-</v>
      </c>
      <c r="I214" s="511" t="str">
        <f t="shared" si="269"/>
        <v>-</v>
      </c>
      <c r="J214" s="511" t="str">
        <f t="shared" si="269"/>
        <v>-</v>
      </c>
      <c r="K214" s="511" t="str">
        <f t="shared" si="269"/>
        <v>-</v>
      </c>
      <c r="L214" s="511" t="str">
        <f t="shared" si="269"/>
        <v>-</v>
      </c>
      <c r="M214" s="511" t="str">
        <f t="shared" si="269"/>
        <v>-</v>
      </c>
      <c r="N214" s="545"/>
      <c r="O214" s="546"/>
      <c r="P214" s="546"/>
      <c r="Q214" s="546"/>
      <c r="R214" s="547"/>
      <c r="T214" s="519" t="str">
        <f t="shared" ref="T214:AA214" si="270">IF(ISERROR(T65/SUM(T5:T10)),"-",T65/SUM(T5:T10))</f>
        <v>-</v>
      </c>
      <c r="U214" s="511" t="str">
        <f t="shared" si="270"/>
        <v>-</v>
      </c>
      <c r="V214" s="511" t="str">
        <f t="shared" si="270"/>
        <v>-</v>
      </c>
      <c r="W214" s="511" t="str">
        <f t="shared" si="270"/>
        <v>-</v>
      </c>
      <c r="X214" s="511" t="str">
        <f t="shared" si="270"/>
        <v>-</v>
      </c>
      <c r="Y214" s="511" t="str">
        <f t="shared" si="270"/>
        <v>-</v>
      </c>
      <c r="Z214" s="511" t="str">
        <f t="shared" si="270"/>
        <v>-</v>
      </c>
      <c r="AA214" s="520" t="str">
        <f t="shared" si="270"/>
        <v>-</v>
      </c>
      <c r="AC214" s="519" t="str">
        <f>IF(ISERROR(AC65/SUM(AC5:AC10)),"-",AC65/SUM(AC5:AC10))</f>
        <v>-</v>
      </c>
      <c r="AD214" s="520" t="str">
        <f>IF(ISERROR(AD65/SUM(AD5:AD10)),"-",AD65/SUM(AD5:AD10))</f>
        <v>-</v>
      </c>
    </row>
    <row r="215" spans="1:30" s="158" customFormat="1" ht="13" x14ac:dyDescent="0.3">
      <c r="A215" s="343"/>
      <c r="B215" s="280"/>
      <c r="C215" s="280"/>
      <c r="D215" s="504"/>
      <c r="E215" s="504"/>
      <c r="F215" s="504"/>
      <c r="G215" s="504"/>
      <c r="H215" s="504"/>
      <c r="I215" s="504"/>
      <c r="J215" s="504"/>
      <c r="K215" s="504"/>
      <c r="L215" s="504"/>
      <c r="M215" s="504"/>
      <c r="N215" s="521"/>
      <c r="O215" s="521"/>
      <c r="P215" s="521"/>
      <c r="Q215" s="521"/>
      <c r="R215" s="522"/>
      <c r="S215" s="280"/>
      <c r="T215" s="517"/>
      <c r="U215" s="504"/>
      <c r="V215" s="504"/>
      <c r="W215" s="504"/>
      <c r="X215" s="504"/>
      <c r="Y215" s="504"/>
      <c r="Z215" s="504"/>
      <c r="AA215" s="518"/>
      <c r="AB215" s="280"/>
      <c r="AC215" s="517"/>
      <c r="AD215" s="518"/>
    </row>
    <row r="216" spans="1:30" s="158" customFormat="1" ht="13" x14ac:dyDescent="0.3">
      <c r="A216" s="347" t="s">
        <v>525</v>
      </c>
      <c r="B216" s="280"/>
      <c r="C216" s="280"/>
      <c r="D216" s="504"/>
      <c r="E216" s="504"/>
      <c r="F216" s="504"/>
      <c r="G216" s="504"/>
      <c r="H216" s="504"/>
      <c r="I216" s="504"/>
      <c r="J216" s="504"/>
      <c r="K216" s="504"/>
      <c r="L216" s="504"/>
      <c r="M216" s="504"/>
      <c r="N216" s="521"/>
      <c r="O216" s="521"/>
      <c r="P216" s="521"/>
      <c r="Q216" s="521"/>
      <c r="R216" s="522"/>
      <c r="S216" s="280"/>
      <c r="T216" s="517"/>
      <c r="U216" s="504"/>
      <c r="V216" s="504"/>
      <c r="W216" s="504"/>
      <c r="X216" s="504"/>
      <c r="Y216" s="504"/>
      <c r="Z216" s="504"/>
      <c r="AA216" s="518"/>
      <c r="AB216" s="280"/>
      <c r="AC216" s="517"/>
      <c r="AD216" s="518"/>
    </row>
    <row r="217" spans="1:30" s="158" customFormat="1" ht="13" x14ac:dyDescent="0.3">
      <c r="A217" s="347"/>
      <c r="B217" s="280"/>
      <c r="C217" s="280"/>
      <c r="D217" s="504"/>
      <c r="E217" s="504"/>
      <c r="F217" s="504"/>
      <c r="G217" s="504"/>
      <c r="H217" s="504"/>
      <c r="I217" s="504"/>
      <c r="J217" s="504"/>
      <c r="K217" s="504"/>
      <c r="L217" s="504"/>
      <c r="M217" s="504"/>
      <c r="N217" s="521"/>
      <c r="O217" s="521"/>
      <c r="P217" s="521"/>
      <c r="Q217" s="521"/>
      <c r="R217" s="522"/>
      <c r="S217" s="280"/>
      <c r="T217" s="517"/>
      <c r="U217" s="504"/>
      <c r="V217" s="504"/>
      <c r="W217" s="504"/>
      <c r="X217" s="504"/>
      <c r="Y217" s="504"/>
      <c r="Z217" s="504"/>
      <c r="AA217" s="518"/>
      <c r="AB217" s="280"/>
      <c r="AC217" s="517"/>
      <c r="AD217" s="518"/>
    </row>
    <row r="218" spans="1:30" s="158" customFormat="1" ht="13" x14ac:dyDescent="0.3">
      <c r="A218" s="348" t="s">
        <v>526</v>
      </c>
      <c r="B218" s="349"/>
      <c r="C218" s="349"/>
      <c r="D218" s="523"/>
      <c r="E218" s="523"/>
      <c r="F218" s="523"/>
      <c r="G218" s="523"/>
      <c r="H218" s="523"/>
      <c r="I218" s="523"/>
      <c r="J218" s="523"/>
      <c r="K218" s="523"/>
      <c r="L218" s="523"/>
      <c r="M218" s="523"/>
      <c r="N218" s="501" t="s">
        <v>505</v>
      </c>
      <c r="O218" s="501"/>
      <c r="P218" s="501"/>
      <c r="Q218" s="501"/>
      <c r="R218" s="524"/>
      <c r="S218" s="280"/>
      <c r="T218" s="517"/>
      <c r="U218" s="504"/>
      <c r="V218" s="504"/>
      <c r="W218" s="504"/>
      <c r="X218" s="504"/>
      <c r="Y218" s="504"/>
      <c r="Z218" s="504"/>
      <c r="AA218" s="518"/>
      <c r="AB218" s="280"/>
      <c r="AC218" s="517"/>
      <c r="AD218" s="518"/>
    </row>
    <row r="219" spans="1:30" s="158" customFormat="1" ht="13" x14ac:dyDescent="0.3">
      <c r="A219" s="342" t="s">
        <v>402</v>
      </c>
      <c r="B219" s="294"/>
      <c r="C219" s="294"/>
      <c r="D219" s="154"/>
      <c r="E219" s="154"/>
      <c r="F219" s="154"/>
      <c r="G219" s="154"/>
      <c r="H219" s="154">
        <v>0.03</v>
      </c>
      <c r="I219" s="154">
        <v>0.34</v>
      </c>
      <c r="J219" s="154"/>
      <c r="K219" s="154"/>
      <c r="L219" s="154"/>
      <c r="M219" s="154"/>
      <c r="N219" s="170"/>
      <c r="O219" s="209"/>
      <c r="P219" s="209"/>
      <c r="Q219" s="209"/>
      <c r="R219" s="534"/>
      <c r="T219" s="162"/>
      <c r="U219" s="159"/>
      <c r="V219" s="159"/>
      <c r="W219" s="159"/>
      <c r="X219" s="159"/>
      <c r="Y219" s="159"/>
      <c r="Z219" s="159"/>
      <c r="AA219" s="163"/>
      <c r="AB219" s="280"/>
      <c r="AC219" s="162"/>
      <c r="AD219" s="163"/>
    </row>
    <row r="220" spans="1:30" s="158" customFormat="1" ht="13" x14ac:dyDescent="0.3">
      <c r="A220" s="342" t="s">
        <v>404</v>
      </c>
      <c r="B220" s="294"/>
      <c r="C220" s="294"/>
      <c r="D220" s="154"/>
      <c r="E220" s="154"/>
      <c r="F220" s="154"/>
      <c r="G220" s="154"/>
      <c r="H220" s="154">
        <v>0.03</v>
      </c>
      <c r="I220" s="154"/>
      <c r="J220" s="154"/>
      <c r="K220" s="154"/>
      <c r="L220" s="154"/>
      <c r="M220" s="154"/>
      <c r="N220" s="171"/>
      <c r="O220" s="200"/>
      <c r="P220" s="200"/>
      <c r="Q220" s="200"/>
      <c r="R220" s="535"/>
      <c r="T220" s="162"/>
      <c r="U220" s="159"/>
      <c r="V220" s="159"/>
      <c r="W220" s="159"/>
      <c r="X220" s="159"/>
      <c r="Y220" s="159"/>
      <c r="Z220" s="159"/>
      <c r="AA220" s="163"/>
      <c r="AB220" s="280"/>
      <c r="AC220" s="162"/>
      <c r="AD220" s="163"/>
    </row>
    <row r="221" spans="1:30" s="158" customFormat="1" ht="13" x14ac:dyDescent="0.3">
      <c r="A221" s="342" t="s">
        <v>405</v>
      </c>
      <c r="B221" s="294"/>
      <c r="C221" s="294"/>
      <c r="D221" s="154"/>
      <c r="E221" s="154"/>
      <c r="F221" s="154"/>
      <c r="G221" s="154"/>
      <c r="H221" s="172">
        <v>0.03</v>
      </c>
      <c r="I221" s="173"/>
      <c r="J221" s="173"/>
      <c r="K221" s="154"/>
      <c r="L221" s="154"/>
      <c r="M221" s="154"/>
      <c r="N221" s="171"/>
      <c r="O221" s="200"/>
      <c r="P221" s="200"/>
      <c r="Q221" s="200"/>
      <c r="R221" s="535"/>
      <c r="T221" s="162"/>
      <c r="U221" s="159"/>
      <c r="V221" s="159"/>
      <c r="W221" s="159"/>
      <c r="X221" s="159"/>
      <c r="Y221" s="159"/>
      <c r="Z221" s="159"/>
      <c r="AA221" s="163"/>
      <c r="AB221" s="280"/>
      <c r="AC221" s="162"/>
      <c r="AD221" s="163"/>
    </row>
    <row r="222" spans="1:30" s="158" customFormat="1" ht="13" x14ac:dyDescent="0.3">
      <c r="A222" s="342" t="s">
        <v>527</v>
      </c>
      <c r="B222" s="294"/>
      <c r="C222" s="294"/>
      <c r="D222" s="154"/>
      <c r="E222" s="154"/>
      <c r="F222" s="154"/>
      <c r="G222" s="154"/>
      <c r="H222" s="154">
        <v>0.89</v>
      </c>
      <c r="I222" s="154"/>
      <c r="J222" s="154"/>
      <c r="K222" s="154"/>
      <c r="L222" s="154"/>
      <c r="M222" s="154"/>
      <c r="N222" s="171"/>
      <c r="O222" s="200"/>
      <c r="P222" s="200"/>
      <c r="Q222" s="200"/>
      <c r="R222" s="535"/>
      <c r="T222" s="162"/>
      <c r="U222" s="159"/>
      <c r="V222" s="159"/>
      <c r="W222" s="159"/>
      <c r="X222" s="159"/>
      <c r="Y222" s="159"/>
      <c r="Z222" s="159"/>
      <c r="AA222" s="163"/>
      <c r="AB222" s="280"/>
      <c r="AC222" s="162"/>
      <c r="AD222" s="163"/>
    </row>
    <row r="223" spans="1:30" s="158" customFormat="1" ht="13" x14ac:dyDescent="0.3">
      <c r="A223" s="342" t="s">
        <v>408</v>
      </c>
      <c r="B223" s="280"/>
      <c r="C223" s="280"/>
      <c r="D223" s="159"/>
      <c r="E223" s="159"/>
      <c r="F223" s="159"/>
      <c r="G223" s="159"/>
      <c r="H223" s="159"/>
      <c r="I223" s="159"/>
      <c r="J223" s="159"/>
      <c r="K223" s="159"/>
      <c r="L223" s="159"/>
      <c r="M223" s="159"/>
      <c r="N223" s="171"/>
      <c r="O223" s="200"/>
      <c r="P223" s="200"/>
      <c r="Q223" s="200"/>
      <c r="R223" s="535"/>
      <c r="T223" s="162"/>
      <c r="U223" s="159"/>
      <c r="V223" s="159"/>
      <c r="W223" s="159"/>
      <c r="X223" s="159"/>
      <c r="Y223" s="159"/>
      <c r="Z223" s="159"/>
      <c r="AA223" s="163"/>
      <c r="AB223" s="280"/>
      <c r="AC223" s="162"/>
      <c r="AD223" s="163"/>
    </row>
    <row r="224" spans="1:30" s="158" customFormat="1" ht="13" x14ac:dyDescent="0.3">
      <c r="A224" s="343" t="s">
        <v>416</v>
      </c>
      <c r="B224" s="280"/>
      <c r="C224" s="280"/>
      <c r="D224" s="159"/>
      <c r="E224" s="159"/>
      <c r="F224" s="159"/>
      <c r="G224" s="159"/>
      <c r="H224" s="159"/>
      <c r="I224" s="159"/>
      <c r="J224" s="159"/>
      <c r="K224" s="159"/>
      <c r="L224" s="159"/>
      <c r="M224" s="159"/>
      <c r="N224" s="171"/>
      <c r="O224" s="200"/>
      <c r="P224" s="200"/>
      <c r="Q224" s="200"/>
      <c r="R224" s="535"/>
      <c r="T224" s="162"/>
      <c r="U224" s="159"/>
      <c r="V224" s="159"/>
      <c r="W224" s="159"/>
      <c r="X224" s="159"/>
      <c r="Y224" s="159"/>
      <c r="Z224" s="159"/>
      <c r="AA224" s="163"/>
      <c r="AB224" s="280"/>
      <c r="AC224" s="162"/>
      <c r="AD224" s="163"/>
    </row>
    <row r="225" spans="1:30" s="158" customFormat="1" ht="13" x14ac:dyDescent="0.3">
      <c r="A225" s="343" t="s">
        <v>528</v>
      </c>
      <c r="B225" s="280"/>
      <c r="C225" s="280"/>
      <c r="D225" s="159"/>
      <c r="E225" s="159"/>
      <c r="F225" s="159"/>
      <c r="G225" s="159"/>
      <c r="H225" s="159"/>
      <c r="I225" s="159"/>
      <c r="J225" s="159"/>
      <c r="K225" s="159"/>
      <c r="L225" s="159"/>
      <c r="M225" s="159"/>
      <c r="N225" s="171"/>
      <c r="O225" s="200"/>
      <c r="P225" s="200"/>
      <c r="Q225" s="200"/>
      <c r="R225" s="535"/>
      <c r="T225" s="162"/>
      <c r="U225" s="159"/>
      <c r="V225" s="159"/>
      <c r="W225" s="159"/>
      <c r="X225" s="159"/>
      <c r="Y225" s="159"/>
      <c r="Z225" s="159"/>
      <c r="AA225" s="163"/>
      <c r="AB225" s="280"/>
      <c r="AC225" s="162"/>
      <c r="AD225" s="163"/>
    </row>
    <row r="226" spans="1:30" s="158" customFormat="1" ht="13" x14ac:dyDescent="0.3">
      <c r="A226" s="548" t="s">
        <v>590</v>
      </c>
      <c r="B226" s="351"/>
      <c r="C226" s="351"/>
      <c r="D226" s="174"/>
      <c r="E226" s="174"/>
      <c r="F226" s="174"/>
      <c r="G226" s="174"/>
      <c r="H226" s="174"/>
      <c r="I226" s="174"/>
      <c r="J226" s="174"/>
      <c r="K226" s="174"/>
      <c r="L226" s="174"/>
      <c r="M226" s="174"/>
      <c r="N226" s="536"/>
      <c r="O226" s="537"/>
      <c r="P226" s="537"/>
      <c r="Q226" s="537"/>
      <c r="R226" s="150"/>
      <c r="T226" s="162"/>
      <c r="U226" s="159"/>
      <c r="V226" s="159"/>
      <c r="W226" s="159"/>
      <c r="X226" s="159"/>
      <c r="Y226" s="159"/>
      <c r="Z226" s="159"/>
      <c r="AA226" s="163"/>
      <c r="AB226" s="280"/>
      <c r="AC226" s="162"/>
      <c r="AD226" s="163"/>
    </row>
    <row r="227" spans="1:30" s="158" customFormat="1" ht="13" x14ac:dyDescent="0.3">
      <c r="A227" s="343"/>
      <c r="B227" s="280"/>
      <c r="C227" s="280"/>
      <c r="D227" s="504"/>
      <c r="E227" s="504"/>
      <c r="F227" s="504"/>
      <c r="G227" s="504"/>
      <c r="H227" s="504"/>
      <c r="I227" s="504"/>
      <c r="J227" s="504"/>
      <c r="K227" s="504"/>
      <c r="L227" s="504"/>
      <c r="M227" s="504"/>
      <c r="N227" s="525"/>
      <c r="O227" s="525"/>
      <c r="P227" s="525"/>
      <c r="Q227" s="525"/>
      <c r="R227" s="526"/>
      <c r="S227" s="280"/>
      <c r="T227" s="517"/>
      <c r="U227" s="504"/>
      <c r="V227" s="504"/>
      <c r="W227" s="504"/>
      <c r="X227" s="504"/>
      <c r="Y227" s="504"/>
      <c r="Z227" s="504"/>
      <c r="AA227" s="518"/>
      <c r="AB227" s="280"/>
      <c r="AC227" s="517"/>
      <c r="AD227" s="518"/>
    </row>
    <row r="228" spans="1:30" s="158" customFormat="1" ht="13" x14ac:dyDescent="0.3">
      <c r="A228" s="352" t="s">
        <v>529</v>
      </c>
      <c r="B228" s="280"/>
      <c r="C228" s="280"/>
      <c r="D228" s="504"/>
      <c r="E228" s="504"/>
      <c r="F228" s="504"/>
      <c r="G228" s="504"/>
      <c r="H228" s="504"/>
      <c r="I228" s="504"/>
      <c r="J228" s="504"/>
      <c r="K228" s="504"/>
      <c r="L228" s="504"/>
      <c r="M228" s="504"/>
      <c r="N228" s="501" t="s">
        <v>505</v>
      </c>
      <c r="O228" s="501"/>
      <c r="P228" s="501"/>
      <c r="Q228" s="501"/>
      <c r="R228" s="524"/>
      <c r="S228" s="280"/>
      <c r="T228" s="517"/>
      <c r="U228" s="504"/>
      <c r="V228" s="504"/>
      <c r="W228" s="504"/>
      <c r="X228" s="504"/>
      <c r="Y228" s="504"/>
      <c r="Z228" s="504"/>
      <c r="AA228" s="518"/>
      <c r="AB228" s="280"/>
      <c r="AC228" s="517"/>
      <c r="AD228" s="518"/>
    </row>
    <row r="229" spans="1:30" s="158" customFormat="1" ht="13" x14ac:dyDescent="0.3">
      <c r="A229" s="353" t="s">
        <v>530</v>
      </c>
      <c r="B229" s="354"/>
      <c r="C229" s="354"/>
      <c r="D229" s="175"/>
      <c r="E229" s="175"/>
      <c r="F229" s="175"/>
      <c r="G229" s="175"/>
      <c r="H229" s="175"/>
      <c r="I229" s="175"/>
      <c r="J229" s="175"/>
      <c r="K229" s="175"/>
      <c r="L229" s="175"/>
      <c r="M229" s="175"/>
      <c r="N229" s="170"/>
      <c r="O229" s="209"/>
      <c r="P229" s="209"/>
      <c r="Q229" s="209"/>
      <c r="R229" s="534"/>
      <c r="T229" s="162"/>
      <c r="U229" s="159"/>
      <c r="V229" s="159"/>
      <c r="W229" s="159"/>
      <c r="X229" s="159"/>
      <c r="Y229" s="159"/>
      <c r="Z229" s="159"/>
      <c r="AA229" s="163"/>
      <c r="AB229" s="280"/>
      <c r="AC229" s="162"/>
      <c r="AD229" s="163"/>
    </row>
    <row r="230" spans="1:30" s="158" customFormat="1" ht="13" x14ac:dyDescent="0.3">
      <c r="A230" s="343" t="s">
        <v>531</v>
      </c>
      <c r="B230" s="280"/>
      <c r="C230" s="280"/>
      <c r="D230" s="159"/>
      <c r="E230" s="159"/>
      <c r="F230" s="159"/>
      <c r="G230" s="159"/>
      <c r="H230" s="159"/>
      <c r="I230" s="159"/>
      <c r="J230" s="159"/>
      <c r="K230" s="159"/>
      <c r="L230" s="159"/>
      <c r="M230" s="159"/>
      <c r="N230" s="171"/>
      <c r="O230" s="200"/>
      <c r="P230" s="200"/>
      <c r="Q230" s="200"/>
      <c r="R230" s="535"/>
      <c r="T230" s="162"/>
      <c r="U230" s="159"/>
      <c r="V230" s="159"/>
      <c r="W230" s="159"/>
      <c r="X230" s="159"/>
      <c r="Y230" s="159"/>
      <c r="Z230" s="159"/>
      <c r="AA230" s="163"/>
      <c r="AB230" s="280"/>
      <c r="AC230" s="162"/>
      <c r="AD230" s="163"/>
    </row>
    <row r="231" spans="1:30" s="158" customFormat="1" ht="13" x14ac:dyDescent="0.3">
      <c r="A231" s="343" t="s">
        <v>532</v>
      </c>
      <c r="B231" s="280"/>
      <c r="C231" s="280"/>
      <c r="D231" s="159"/>
      <c r="E231" s="159"/>
      <c r="F231" s="159"/>
      <c r="G231" s="159"/>
      <c r="H231" s="172">
        <v>0.04</v>
      </c>
      <c r="I231" s="176"/>
      <c r="J231" s="176"/>
      <c r="K231" s="159"/>
      <c r="L231" s="159"/>
      <c r="M231" s="159"/>
      <c r="N231" s="171"/>
      <c r="O231" s="200"/>
      <c r="P231" s="200"/>
      <c r="Q231" s="200"/>
      <c r="R231" s="535"/>
      <c r="T231" s="162"/>
      <c r="U231" s="159"/>
      <c r="V231" s="159"/>
      <c r="W231" s="159"/>
      <c r="X231" s="159"/>
      <c r="Y231" s="159"/>
      <c r="Z231" s="159"/>
      <c r="AA231" s="163"/>
      <c r="AB231" s="280"/>
      <c r="AC231" s="162"/>
      <c r="AD231" s="163"/>
    </row>
    <row r="232" spans="1:30" s="158" customFormat="1" ht="13" x14ac:dyDescent="0.3">
      <c r="A232" s="343" t="s">
        <v>533</v>
      </c>
      <c r="B232" s="280"/>
      <c r="C232" s="280"/>
      <c r="D232" s="159"/>
      <c r="E232" s="159"/>
      <c r="F232" s="159"/>
      <c r="G232" s="159"/>
      <c r="H232" s="159"/>
      <c r="I232" s="159"/>
      <c r="J232" s="159"/>
      <c r="K232" s="159"/>
      <c r="L232" s="159"/>
      <c r="M232" s="159"/>
      <c r="N232" s="171"/>
      <c r="O232" s="200"/>
      <c r="P232" s="200"/>
      <c r="Q232" s="200"/>
      <c r="R232" s="535"/>
      <c r="T232" s="162"/>
      <c r="U232" s="159"/>
      <c r="V232" s="159"/>
      <c r="W232" s="159"/>
      <c r="X232" s="159"/>
      <c r="Y232" s="159"/>
      <c r="Z232" s="159"/>
      <c r="AA232" s="163"/>
      <c r="AB232" s="280"/>
      <c r="AC232" s="162"/>
      <c r="AD232" s="163"/>
    </row>
    <row r="233" spans="1:30" s="158" customFormat="1" ht="13" x14ac:dyDescent="0.3">
      <c r="A233" s="343" t="s">
        <v>534</v>
      </c>
      <c r="B233" s="280"/>
      <c r="C233" s="280"/>
      <c r="D233" s="159"/>
      <c r="E233" s="159"/>
      <c r="F233" s="159"/>
      <c r="G233" s="159"/>
      <c r="H233" s="159"/>
      <c r="I233" s="159"/>
      <c r="J233" s="159"/>
      <c r="K233" s="159"/>
      <c r="L233" s="159"/>
      <c r="M233" s="159"/>
      <c r="N233" s="171"/>
      <c r="O233" s="200"/>
      <c r="P233" s="200"/>
      <c r="Q233" s="200"/>
      <c r="R233" s="535"/>
      <c r="T233" s="162"/>
      <c r="U233" s="159"/>
      <c r="V233" s="159"/>
      <c r="W233" s="159"/>
      <c r="X233" s="159"/>
      <c r="Y233" s="159"/>
      <c r="Z233" s="159"/>
      <c r="AA233" s="163"/>
      <c r="AB233" s="280"/>
      <c r="AC233" s="162"/>
      <c r="AD233" s="163"/>
    </row>
    <row r="234" spans="1:30" s="158" customFormat="1" ht="13" x14ac:dyDescent="0.3">
      <c r="A234" s="343" t="s">
        <v>519</v>
      </c>
      <c r="B234" s="280"/>
      <c r="C234" s="280"/>
      <c r="D234" s="159"/>
      <c r="E234" s="159"/>
      <c r="F234" s="159"/>
      <c r="G234" s="159"/>
      <c r="H234" s="159"/>
      <c r="I234" s="159"/>
      <c r="J234" s="159"/>
      <c r="K234" s="159"/>
      <c r="L234" s="159"/>
      <c r="M234" s="159"/>
      <c r="N234" s="171"/>
      <c r="O234" s="200"/>
      <c r="P234" s="200"/>
      <c r="Q234" s="200"/>
      <c r="R234" s="535"/>
      <c r="T234" s="162"/>
      <c r="U234" s="159"/>
      <c r="V234" s="159"/>
      <c r="W234" s="159"/>
      <c r="X234" s="159"/>
      <c r="Y234" s="159"/>
      <c r="Z234" s="159"/>
      <c r="AA234" s="163"/>
      <c r="AB234" s="280"/>
      <c r="AC234" s="162"/>
      <c r="AD234" s="163"/>
    </row>
    <row r="235" spans="1:30" s="158" customFormat="1" ht="13" x14ac:dyDescent="0.3">
      <c r="A235" s="343" t="s">
        <v>520</v>
      </c>
      <c r="B235" s="280"/>
      <c r="C235" s="280"/>
      <c r="D235" s="159"/>
      <c r="E235" s="159"/>
      <c r="F235" s="159"/>
      <c r="G235" s="159"/>
      <c r="H235" s="159"/>
      <c r="I235" s="159"/>
      <c r="J235" s="159"/>
      <c r="K235" s="159"/>
      <c r="L235" s="159"/>
      <c r="M235" s="159"/>
      <c r="N235" s="171"/>
      <c r="O235" s="200"/>
      <c r="P235" s="200"/>
      <c r="Q235" s="200"/>
      <c r="R235" s="535"/>
      <c r="T235" s="162"/>
      <c r="U235" s="159"/>
      <c r="V235" s="159"/>
      <c r="W235" s="159"/>
      <c r="X235" s="159"/>
      <c r="Y235" s="159"/>
      <c r="Z235" s="159"/>
      <c r="AA235" s="163"/>
      <c r="AB235" s="280"/>
      <c r="AC235" s="162"/>
      <c r="AD235" s="163"/>
    </row>
    <row r="236" spans="1:30" s="158" customFormat="1" ht="13" x14ac:dyDescent="0.3">
      <c r="A236" s="343" t="s">
        <v>426</v>
      </c>
      <c r="B236" s="280"/>
      <c r="C236" s="280"/>
      <c r="D236" s="159"/>
      <c r="E236" s="159"/>
      <c r="F236" s="159"/>
      <c r="G236" s="159"/>
      <c r="H236" s="159"/>
      <c r="I236" s="159"/>
      <c r="J236" s="159"/>
      <c r="K236" s="159"/>
      <c r="L236" s="159"/>
      <c r="M236" s="159"/>
      <c r="N236" s="171"/>
      <c r="O236" s="200"/>
      <c r="P236" s="200"/>
      <c r="Q236" s="200"/>
      <c r="R236" s="535"/>
      <c r="T236" s="162"/>
      <c r="U236" s="159"/>
      <c r="V236" s="159"/>
      <c r="W236" s="159"/>
      <c r="X236" s="159"/>
      <c r="Y236" s="159"/>
      <c r="Z236" s="159"/>
      <c r="AA236" s="163"/>
      <c r="AB236" s="280"/>
      <c r="AC236" s="162"/>
      <c r="AD236" s="163"/>
    </row>
    <row r="237" spans="1:30" s="158" customFormat="1" ht="13" x14ac:dyDescent="0.3">
      <c r="A237" s="350" t="s">
        <v>427</v>
      </c>
      <c r="B237" s="351"/>
      <c r="C237" s="351"/>
      <c r="D237" s="174"/>
      <c r="E237" s="174"/>
      <c r="F237" s="174"/>
      <c r="G237" s="174"/>
      <c r="H237" s="174"/>
      <c r="I237" s="174"/>
      <c r="J237" s="174"/>
      <c r="K237" s="174"/>
      <c r="L237" s="174"/>
      <c r="M237" s="174"/>
      <c r="N237" s="536"/>
      <c r="O237" s="537"/>
      <c r="P237" s="537"/>
      <c r="Q237" s="537"/>
      <c r="R237" s="150"/>
      <c r="T237" s="162"/>
      <c r="U237" s="159"/>
      <c r="V237" s="159"/>
      <c r="W237" s="159"/>
      <c r="X237" s="159"/>
      <c r="Y237" s="159"/>
      <c r="Z237" s="159"/>
      <c r="AA237" s="163"/>
      <c r="AB237" s="280"/>
      <c r="AC237" s="162"/>
      <c r="AD237" s="163"/>
    </row>
    <row r="238" spans="1:30" s="158" customFormat="1" ht="13.5" thickBot="1" x14ac:dyDescent="0.35">
      <c r="A238" s="345"/>
      <c r="B238" s="346"/>
      <c r="C238" s="346"/>
      <c r="D238" s="167"/>
      <c r="E238" s="167"/>
      <c r="F238" s="167"/>
      <c r="G238" s="167"/>
      <c r="H238" s="167"/>
      <c r="I238" s="167"/>
      <c r="J238" s="167"/>
      <c r="K238" s="167"/>
      <c r="L238" s="167"/>
      <c r="M238" s="167"/>
      <c r="N238" s="177"/>
      <c r="O238" s="177"/>
      <c r="P238" s="177"/>
      <c r="Q238" s="177"/>
      <c r="R238" s="178"/>
      <c r="T238" s="168"/>
      <c r="U238" s="167"/>
      <c r="V238" s="167"/>
      <c r="W238" s="167"/>
      <c r="X238" s="167"/>
      <c r="Y238" s="167"/>
      <c r="Z238" s="167"/>
      <c r="AA238" s="169"/>
      <c r="AB238" s="280"/>
      <c r="AC238" s="168"/>
      <c r="AD238" s="169"/>
    </row>
    <row r="239" spans="1:30" ht="22.5" customHeight="1" thickBot="1" x14ac:dyDescent="0.3">
      <c r="A239" s="355" t="s">
        <v>535</v>
      </c>
      <c r="B239" s="356"/>
      <c r="C239" s="356"/>
      <c r="D239" s="179"/>
      <c r="E239" s="179"/>
      <c r="F239" s="179"/>
      <c r="G239" s="179"/>
      <c r="H239" s="179"/>
      <c r="I239" s="179"/>
      <c r="J239" s="179"/>
      <c r="K239" s="179"/>
      <c r="L239" s="179"/>
      <c r="M239" s="179"/>
      <c r="N239" s="180"/>
      <c r="O239" s="180"/>
      <c r="P239" s="180"/>
      <c r="Q239" s="180"/>
      <c r="R239" s="181"/>
      <c r="S239" s="182"/>
      <c r="T239" s="528">
        <v>4</v>
      </c>
      <c r="U239" s="529">
        <v>4</v>
      </c>
      <c r="V239" s="529">
        <v>4</v>
      </c>
      <c r="W239" s="529">
        <v>4</v>
      </c>
      <c r="X239" s="529">
        <v>4</v>
      </c>
      <c r="Y239" s="530">
        <v>4</v>
      </c>
      <c r="Z239" s="530">
        <v>4</v>
      </c>
      <c r="AA239" s="531">
        <v>4</v>
      </c>
      <c r="AB239" s="382"/>
      <c r="AC239" s="183">
        <f>IF($AD$2=1,4,IF($AD$2=2,2,IF($AD$2=3,4/3,IF($AD$2=4,1))))</f>
        <v>2</v>
      </c>
      <c r="AD239" s="527">
        <v>1</v>
      </c>
    </row>
    <row r="240" spans="1:30" ht="13" thickBot="1" x14ac:dyDescent="0.3">
      <c r="A240" s="357"/>
      <c r="B240" s="357"/>
      <c r="C240" s="357"/>
      <c r="D240" s="184"/>
      <c r="E240" s="184"/>
      <c r="F240" s="184"/>
      <c r="G240" s="184"/>
      <c r="T240" s="165"/>
      <c r="U240" s="165"/>
      <c r="V240" s="165"/>
      <c r="W240" s="165"/>
      <c r="X240" s="165"/>
      <c r="Y240" s="158"/>
      <c r="Z240" s="158"/>
      <c r="AA240" s="158"/>
      <c r="AB240" s="280"/>
      <c r="AC240" s="158"/>
    </row>
    <row r="241" spans="1:24" ht="13" x14ac:dyDescent="0.3">
      <c r="A241" s="326" t="s">
        <v>536</v>
      </c>
      <c r="B241" s="358"/>
      <c r="C241" s="358"/>
      <c r="D241" s="186"/>
      <c r="E241" s="186"/>
      <c r="F241" s="186"/>
      <c r="G241" s="186"/>
      <c r="H241" s="185"/>
      <c r="I241" s="185"/>
      <c r="J241" s="185"/>
      <c r="K241" s="185"/>
      <c r="L241" s="185"/>
      <c r="M241" s="185"/>
      <c r="N241" s="185"/>
      <c r="O241" s="185"/>
      <c r="P241" s="185"/>
      <c r="Q241" s="185"/>
      <c r="R241" s="187"/>
      <c r="T241" s="184"/>
      <c r="U241" s="184"/>
      <c r="V241" s="184"/>
      <c r="W241" s="184"/>
      <c r="X241" s="184"/>
    </row>
    <row r="242" spans="1:24" x14ac:dyDescent="0.25">
      <c r="A242" s="359" t="s">
        <v>537</v>
      </c>
      <c r="B242" s="354"/>
      <c r="C242" s="354"/>
      <c r="D242" s="188">
        <f t="shared" ref="D242:R242" si="271">SUM(D5:D10,D19,D22,D27)</f>
        <v>0</v>
      </c>
      <c r="E242" s="188">
        <f t="shared" si="271"/>
        <v>0</v>
      </c>
      <c r="F242" s="188">
        <f t="shared" si="271"/>
        <v>0</v>
      </c>
      <c r="G242" s="188">
        <f t="shared" si="271"/>
        <v>0</v>
      </c>
      <c r="H242" s="188">
        <f t="shared" si="271"/>
        <v>0</v>
      </c>
      <c r="I242" s="188">
        <f t="shared" si="271"/>
        <v>0</v>
      </c>
      <c r="J242" s="188">
        <f t="shared" si="271"/>
        <v>0</v>
      </c>
      <c r="K242" s="188">
        <f t="shared" si="271"/>
        <v>0</v>
      </c>
      <c r="L242" s="188">
        <f t="shared" si="271"/>
        <v>0</v>
      </c>
      <c r="M242" s="188">
        <f t="shared" si="271"/>
        <v>0</v>
      </c>
      <c r="N242" s="188">
        <f t="shared" si="271"/>
        <v>0</v>
      </c>
      <c r="O242" s="188">
        <f t="shared" si="271"/>
        <v>0</v>
      </c>
      <c r="P242" s="188">
        <f t="shared" si="271"/>
        <v>0</v>
      </c>
      <c r="Q242" s="188">
        <f t="shared" si="271"/>
        <v>0</v>
      </c>
      <c r="R242" s="189">
        <f t="shared" si="271"/>
        <v>0</v>
      </c>
      <c r="T242" s="184"/>
      <c r="U242" s="184"/>
      <c r="V242" s="184"/>
      <c r="W242" s="184"/>
      <c r="X242" s="184"/>
    </row>
    <row r="243" spans="1:24" ht="13" x14ac:dyDescent="0.3">
      <c r="A243" s="297" t="s">
        <v>538</v>
      </c>
      <c r="B243" s="319"/>
      <c r="C243" s="319"/>
      <c r="D243" s="190"/>
      <c r="E243" s="190" t="str">
        <f t="shared" ref="E243" si="272">IF(ISERROR(E242/D242-1),"-",E242/D242-1)</f>
        <v>-</v>
      </c>
      <c r="F243" s="190" t="str">
        <f t="shared" ref="F243" si="273">IF(ISERROR(F242/E242-1),"-",F242/E242-1)</f>
        <v>-</v>
      </c>
      <c r="G243" s="190" t="str">
        <f t="shared" ref="G243" si="274">IF(ISERROR(G242/F242-1),"-",G242/F242-1)</f>
        <v>-</v>
      </c>
      <c r="H243" s="190" t="str">
        <f t="shared" ref="H243:M243" si="275">IF(ISERROR(H242/G242-1),"-",H242/G242-1)</f>
        <v>-</v>
      </c>
      <c r="I243" s="190" t="str">
        <f t="shared" si="275"/>
        <v>-</v>
      </c>
      <c r="J243" s="190" t="str">
        <f t="shared" si="275"/>
        <v>-</v>
      </c>
      <c r="K243" s="190" t="str">
        <f t="shared" si="275"/>
        <v>-</v>
      </c>
      <c r="L243" s="190" t="str">
        <f t="shared" si="275"/>
        <v>-</v>
      </c>
      <c r="M243" s="190" t="str">
        <f t="shared" si="275"/>
        <v>-</v>
      </c>
      <c r="N243" s="190" t="str">
        <f>IF(ISERROR(N242/M242-1),"-",N242/M242-1)</f>
        <v>-</v>
      </c>
      <c r="O243" s="190" t="str">
        <f>IF(ISERROR(O242/N242-1),"-",O242/N242-1)</f>
        <v>-</v>
      </c>
      <c r="P243" s="190" t="str">
        <f t="shared" ref="P243:R243" si="276">IF(ISERROR(P242/O242-1),"-",P242/O242-1)</f>
        <v>-</v>
      </c>
      <c r="Q243" s="190" t="str">
        <f t="shared" si="276"/>
        <v>-</v>
      </c>
      <c r="R243" s="191" t="str">
        <f t="shared" si="276"/>
        <v>-</v>
      </c>
      <c r="T243" s="184"/>
      <c r="U243" s="184"/>
      <c r="V243" s="184"/>
      <c r="W243" s="184"/>
      <c r="X243" s="184"/>
    </row>
    <row r="244" spans="1:24" x14ac:dyDescent="0.25">
      <c r="A244" s="278"/>
      <c r="B244" s="280"/>
      <c r="C244" s="280"/>
      <c r="D244" s="165"/>
      <c r="E244" s="165"/>
      <c r="F244" s="165"/>
      <c r="G244" s="165"/>
      <c r="H244" s="158"/>
      <c r="I244" s="158"/>
      <c r="J244" s="158"/>
      <c r="K244" s="158"/>
      <c r="L244" s="158"/>
      <c r="M244" s="158"/>
      <c r="N244" s="158"/>
      <c r="O244" s="158"/>
      <c r="P244" s="158"/>
      <c r="Q244" s="158"/>
      <c r="R244" s="161"/>
      <c r="T244" s="184"/>
      <c r="U244" s="184"/>
      <c r="V244" s="184"/>
      <c r="W244" s="184"/>
      <c r="X244" s="184"/>
    </row>
    <row r="245" spans="1:24" x14ac:dyDescent="0.25">
      <c r="A245" s="278" t="s">
        <v>539</v>
      </c>
      <c r="B245" s="280"/>
      <c r="C245" s="280"/>
      <c r="D245" s="43">
        <f t="shared" ref="D245:R245" si="277">-SUM(D12:D13,D15,D20,D23)</f>
        <v>0</v>
      </c>
      <c r="E245" s="43">
        <f t="shared" si="277"/>
        <v>0</v>
      </c>
      <c r="F245" s="43">
        <f t="shared" si="277"/>
        <v>0</v>
      </c>
      <c r="G245" s="43">
        <f t="shared" si="277"/>
        <v>0</v>
      </c>
      <c r="H245" s="43">
        <f t="shared" si="277"/>
        <v>0</v>
      </c>
      <c r="I245" s="43">
        <f t="shared" si="277"/>
        <v>0</v>
      </c>
      <c r="J245" s="43">
        <f t="shared" si="277"/>
        <v>0</v>
      </c>
      <c r="K245" s="43">
        <f t="shared" si="277"/>
        <v>0</v>
      </c>
      <c r="L245" s="43">
        <f t="shared" si="277"/>
        <v>0</v>
      </c>
      <c r="M245" s="43">
        <f t="shared" si="277"/>
        <v>0</v>
      </c>
      <c r="N245" s="43">
        <f t="shared" si="277"/>
        <v>0</v>
      </c>
      <c r="O245" s="43">
        <f t="shared" si="277"/>
        <v>0</v>
      </c>
      <c r="P245" s="43">
        <f t="shared" si="277"/>
        <v>0</v>
      </c>
      <c r="Q245" s="43">
        <f t="shared" si="277"/>
        <v>0</v>
      </c>
      <c r="R245" s="192">
        <f t="shared" si="277"/>
        <v>0</v>
      </c>
      <c r="T245" s="184"/>
      <c r="U245" s="184"/>
      <c r="V245" s="184"/>
      <c r="W245" s="184"/>
      <c r="X245" s="184"/>
    </row>
    <row r="246" spans="1:24" ht="13" x14ac:dyDescent="0.3">
      <c r="A246" s="297" t="s">
        <v>540</v>
      </c>
      <c r="B246" s="319"/>
      <c r="C246" s="319"/>
      <c r="D246" s="190" t="str">
        <f t="shared" ref="D246:F246" si="278">IF(ISERROR(D245/D242),"-",D245/D242)</f>
        <v>-</v>
      </c>
      <c r="E246" s="190" t="str">
        <f t="shared" si="278"/>
        <v>-</v>
      </c>
      <c r="F246" s="190" t="str">
        <f t="shared" si="278"/>
        <v>-</v>
      </c>
      <c r="G246" s="190" t="str">
        <f t="shared" ref="G246:N246" si="279">IF(ISERROR(G245/G242),"-",G245/G242)</f>
        <v>-</v>
      </c>
      <c r="H246" s="190" t="str">
        <f t="shared" si="279"/>
        <v>-</v>
      </c>
      <c r="I246" s="190" t="str">
        <f t="shared" si="279"/>
        <v>-</v>
      </c>
      <c r="J246" s="190" t="str">
        <f t="shared" si="279"/>
        <v>-</v>
      </c>
      <c r="K246" s="190" t="str">
        <f t="shared" si="279"/>
        <v>-</v>
      </c>
      <c r="L246" s="190" t="str">
        <f t="shared" si="279"/>
        <v>-</v>
      </c>
      <c r="M246" s="190" t="str">
        <f t="shared" si="279"/>
        <v>-</v>
      </c>
      <c r="N246" s="190" t="str">
        <f t="shared" si="279"/>
        <v>-</v>
      </c>
      <c r="O246" s="190" t="str">
        <f>IF(ISERROR(O245/O242),"-",O245/O242)</f>
        <v>-</v>
      </c>
      <c r="P246" s="190" t="str">
        <f t="shared" ref="P246:R246" si="280">IF(ISERROR(P245/P242),"-",P245/P242)</f>
        <v>-</v>
      </c>
      <c r="Q246" s="190" t="str">
        <f t="shared" si="280"/>
        <v>-</v>
      </c>
      <c r="R246" s="191" t="str">
        <f t="shared" si="280"/>
        <v>-</v>
      </c>
      <c r="T246" s="184"/>
      <c r="U246" s="184"/>
      <c r="V246" s="184"/>
      <c r="W246" s="184"/>
      <c r="X246" s="184"/>
    </row>
    <row r="247" spans="1:24" x14ac:dyDescent="0.25">
      <c r="A247" s="278"/>
      <c r="B247" s="280"/>
      <c r="C247" s="280"/>
      <c r="D247" s="165"/>
      <c r="E247" s="165"/>
      <c r="F247" s="165"/>
      <c r="G247" s="165"/>
      <c r="H247" s="158"/>
      <c r="I247" s="158"/>
      <c r="J247" s="158"/>
      <c r="K247" s="158"/>
      <c r="L247" s="158"/>
      <c r="M247" s="158"/>
      <c r="N247" s="158"/>
      <c r="O247" s="158"/>
      <c r="P247" s="158"/>
      <c r="Q247" s="158"/>
      <c r="R247" s="161"/>
      <c r="T247" s="184"/>
      <c r="U247" s="184"/>
      <c r="V247" s="184"/>
      <c r="W247" s="184"/>
      <c r="X247" s="184"/>
    </row>
    <row r="248" spans="1:24" ht="13" x14ac:dyDescent="0.3">
      <c r="A248" s="278" t="s">
        <v>533</v>
      </c>
      <c r="B248" s="280"/>
      <c r="C248" s="280"/>
      <c r="D248" s="193">
        <f t="shared" ref="D248:Q248" si="281">D14/1000</f>
        <v>0</v>
      </c>
      <c r="E248" s="193">
        <f t="shared" si="281"/>
        <v>0</v>
      </c>
      <c r="F248" s="193">
        <f t="shared" si="281"/>
        <v>0</v>
      </c>
      <c r="G248" s="193">
        <f t="shared" si="281"/>
        <v>0</v>
      </c>
      <c r="H248" s="193">
        <f t="shared" si="281"/>
        <v>0</v>
      </c>
      <c r="I248" s="193">
        <f t="shared" si="281"/>
        <v>0</v>
      </c>
      <c r="J248" s="193">
        <f t="shared" si="281"/>
        <v>0</v>
      </c>
      <c r="K248" s="193">
        <f t="shared" si="281"/>
        <v>0</v>
      </c>
      <c r="L248" s="193">
        <f t="shared" si="281"/>
        <v>0</v>
      </c>
      <c r="M248" s="193">
        <f t="shared" si="281"/>
        <v>0</v>
      </c>
      <c r="N248" s="193">
        <f t="shared" si="281"/>
        <v>0</v>
      </c>
      <c r="O248" s="193">
        <f t="shared" si="281"/>
        <v>0</v>
      </c>
      <c r="P248" s="193">
        <f t="shared" si="281"/>
        <v>0</v>
      </c>
      <c r="Q248" s="193">
        <f t="shared" si="281"/>
        <v>0</v>
      </c>
      <c r="R248" s="194">
        <f>R14/1000</f>
        <v>0</v>
      </c>
      <c r="T248" s="195"/>
      <c r="U248" s="184"/>
      <c r="V248" s="184"/>
      <c r="W248" s="184"/>
      <c r="X248" s="184"/>
    </row>
    <row r="249" spans="1:24" ht="13" x14ac:dyDescent="0.3">
      <c r="A249" s="278" t="s">
        <v>541</v>
      </c>
      <c r="B249" s="280"/>
      <c r="C249" s="280"/>
      <c r="D249" s="193">
        <f t="shared" ref="D249:Q249" si="282">-D13/1000</f>
        <v>0</v>
      </c>
      <c r="E249" s="193">
        <f t="shared" si="282"/>
        <v>0</v>
      </c>
      <c r="F249" s="193">
        <f t="shared" si="282"/>
        <v>0</v>
      </c>
      <c r="G249" s="193">
        <f t="shared" si="282"/>
        <v>0</v>
      </c>
      <c r="H249" s="193">
        <f t="shared" si="282"/>
        <v>0</v>
      </c>
      <c r="I249" s="193">
        <f t="shared" si="282"/>
        <v>0</v>
      </c>
      <c r="J249" s="193">
        <f t="shared" si="282"/>
        <v>0</v>
      </c>
      <c r="K249" s="193">
        <f t="shared" si="282"/>
        <v>0</v>
      </c>
      <c r="L249" s="193">
        <f t="shared" si="282"/>
        <v>0</v>
      </c>
      <c r="M249" s="193">
        <f t="shared" si="282"/>
        <v>0</v>
      </c>
      <c r="N249" s="193">
        <f t="shared" si="282"/>
        <v>0</v>
      </c>
      <c r="O249" s="193">
        <f t="shared" si="282"/>
        <v>0</v>
      </c>
      <c r="P249" s="193">
        <f t="shared" si="282"/>
        <v>0</v>
      </c>
      <c r="Q249" s="193">
        <f t="shared" si="282"/>
        <v>0</v>
      </c>
      <c r="R249" s="194">
        <f>-R13/1000</f>
        <v>0</v>
      </c>
      <c r="T249" s="195"/>
      <c r="U249" s="184"/>
      <c r="V249" s="184"/>
      <c r="W249" s="184"/>
      <c r="X249" s="184"/>
    </row>
    <row r="250" spans="1:24" x14ac:dyDescent="0.25">
      <c r="A250" s="278" t="s">
        <v>542</v>
      </c>
      <c r="B250" s="280"/>
      <c r="C250" s="280"/>
      <c r="D250" s="193">
        <f t="shared" ref="D250:R250" si="283">(D16+D28)/1000</f>
        <v>0</v>
      </c>
      <c r="E250" s="193">
        <f t="shared" si="283"/>
        <v>0</v>
      </c>
      <c r="F250" s="193">
        <f t="shared" si="283"/>
        <v>0</v>
      </c>
      <c r="G250" s="193">
        <f t="shared" si="283"/>
        <v>0</v>
      </c>
      <c r="H250" s="193">
        <f t="shared" si="283"/>
        <v>0</v>
      </c>
      <c r="I250" s="193">
        <f t="shared" si="283"/>
        <v>0</v>
      </c>
      <c r="J250" s="193">
        <f t="shared" si="283"/>
        <v>0</v>
      </c>
      <c r="K250" s="193">
        <f t="shared" si="283"/>
        <v>0</v>
      </c>
      <c r="L250" s="193">
        <f t="shared" si="283"/>
        <v>0</v>
      </c>
      <c r="M250" s="193">
        <f t="shared" si="283"/>
        <v>0</v>
      </c>
      <c r="N250" s="193">
        <f t="shared" si="283"/>
        <v>0</v>
      </c>
      <c r="O250" s="193">
        <f t="shared" si="283"/>
        <v>0</v>
      </c>
      <c r="P250" s="193">
        <f t="shared" si="283"/>
        <v>0</v>
      </c>
      <c r="Q250" s="193">
        <f t="shared" si="283"/>
        <v>0</v>
      </c>
      <c r="R250" s="194">
        <f t="shared" si="283"/>
        <v>0</v>
      </c>
      <c r="T250" s="184"/>
      <c r="U250" s="184"/>
      <c r="V250" s="184"/>
      <c r="W250" s="184"/>
      <c r="X250" s="184"/>
    </row>
    <row r="251" spans="1:24" ht="13" x14ac:dyDescent="0.3">
      <c r="A251" s="278" t="s">
        <v>426</v>
      </c>
      <c r="B251" s="280"/>
      <c r="C251" s="280"/>
      <c r="D251" s="193">
        <f t="shared" ref="D251:Q251" si="284">D29/1000</f>
        <v>0</v>
      </c>
      <c r="E251" s="193">
        <f t="shared" si="284"/>
        <v>0</v>
      </c>
      <c r="F251" s="193">
        <f t="shared" si="284"/>
        <v>0</v>
      </c>
      <c r="G251" s="193">
        <f t="shared" si="284"/>
        <v>0</v>
      </c>
      <c r="H251" s="193">
        <f t="shared" si="284"/>
        <v>0</v>
      </c>
      <c r="I251" s="193">
        <f t="shared" si="284"/>
        <v>0</v>
      </c>
      <c r="J251" s="193">
        <f t="shared" si="284"/>
        <v>0</v>
      </c>
      <c r="K251" s="193">
        <f t="shared" si="284"/>
        <v>0</v>
      </c>
      <c r="L251" s="193">
        <f t="shared" si="284"/>
        <v>0</v>
      </c>
      <c r="M251" s="193">
        <f t="shared" si="284"/>
        <v>0</v>
      </c>
      <c r="N251" s="193">
        <f t="shared" si="284"/>
        <v>0</v>
      </c>
      <c r="O251" s="193">
        <f t="shared" si="284"/>
        <v>0</v>
      </c>
      <c r="P251" s="193">
        <f t="shared" si="284"/>
        <v>0</v>
      </c>
      <c r="Q251" s="193">
        <f t="shared" si="284"/>
        <v>0</v>
      </c>
      <c r="R251" s="194">
        <f>R29/1000</f>
        <v>0</v>
      </c>
      <c r="T251" s="195"/>
      <c r="U251" s="184"/>
      <c r="V251" s="184"/>
      <c r="W251" s="184"/>
      <c r="X251" s="184"/>
    </row>
    <row r="252" spans="1:24" ht="13" x14ac:dyDescent="0.3">
      <c r="A252" s="278" t="s">
        <v>543</v>
      </c>
      <c r="B252" s="280"/>
      <c r="C252" s="280"/>
      <c r="D252" s="193">
        <f t="shared" ref="D252:R252" si="285">D30/1000</f>
        <v>0</v>
      </c>
      <c r="E252" s="193">
        <f t="shared" si="285"/>
        <v>0</v>
      </c>
      <c r="F252" s="193">
        <f t="shared" si="285"/>
        <v>0</v>
      </c>
      <c r="G252" s="193">
        <f t="shared" si="285"/>
        <v>0</v>
      </c>
      <c r="H252" s="193">
        <f t="shared" si="285"/>
        <v>0</v>
      </c>
      <c r="I252" s="193">
        <f t="shared" si="285"/>
        <v>0</v>
      </c>
      <c r="J252" s="193">
        <f t="shared" si="285"/>
        <v>0</v>
      </c>
      <c r="K252" s="193">
        <f t="shared" si="285"/>
        <v>0</v>
      </c>
      <c r="L252" s="193">
        <f t="shared" si="285"/>
        <v>0</v>
      </c>
      <c r="M252" s="193">
        <f t="shared" si="285"/>
        <v>0</v>
      </c>
      <c r="N252" s="193">
        <f t="shared" si="285"/>
        <v>0</v>
      </c>
      <c r="O252" s="193">
        <f t="shared" si="285"/>
        <v>0</v>
      </c>
      <c r="P252" s="193">
        <f t="shared" si="285"/>
        <v>0</v>
      </c>
      <c r="Q252" s="193">
        <f t="shared" si="285"/>
        <v>0</v>
      </c>
      <c r="R252" s="194">
        <f t="shared" si="285"/>
        <v>0</v>
      </c>
      <c r="T252" s="195"/>
      <c r="U252" s="184"/>
      <c r="V252" s="184"/>
      <c r="W252" s="184"/>
      <c r="X252" s="184"/>
    </row>
    <row r="253" spans="1:24" ht="13" x14ac:dyDescent="0.3">
      <c r="A253" s="278" t="s">
        <v>544</v>
      </c>
      <c r="B253" s="280"/>
      <c r="C253" s="280"/>
      <c r="D253" s="193">
        <f t="shared" ref="D253:F253" si="286">-D65/1000</f>
        <v>0</v>
      </c>
      <c r="E253" s="193">
        <f t="shared" si="286"/>
        <v>0</v>
      </c>
      <c r="F253" s="193">
        <f t="shared" si="286"/>
        <v>0</v>
      </c>
      <c r="G253" s="193">
        <f t="shared" ref="G253:O253" si="287">-G65/1000</f>
        <v>0</v>
      </c>
      <c r="H253" s="193">
        <f t="shared" si="287"/>
        <v>0</v>
      </c>
      <c r="I253" s="193">
        <f t="shared" si="287"/>
        <v>0</v>
      </c>
      <c r="J253" s="193">
        <f t="shared" si="287"/>
        <v>0</v>
      </c>
      <c r="K253" s="193">
        <f t="shared" si="287"/>
        <v>0</v>
      </c>
      <c r="L253" s="193">
        <f t="shared" si="287"/>
        <v>0</v>
      </c>
      <c r="M253" s="193">
        <f t="shared" si="287"/>
        <v>0</v>
      </c>
      <c r="N253" s="193">
        <f t="shared" si="287"/>
        <v>0</v>
      </c>
      <c r="O253" s="193">
        <f t="shared" si="287"/>
        <v>0</v>
      </c>
      <c r="P253" s="193">
        <f t="shared" ref="P253:Q253" si="288">-P65/1000</f>
        <v>0</v>
      </c>
      <c r="Q253" s="193">
        <f t="shared" si="288"/>
        <v>0</v>
      </c>
      <c r="R253" s="194">
        <f>-R65/1000</f>
        <v>0</v>
      </c>
      <c r="T253" s="195"/>
      <c r="U253" s="184"/>
      <c r="V253" s="184"/>
      <c r="W253" s="184"/>
      <c r="X253" s="184"/>
    </row>
    <row r="254" spans="1:24" ht="13" x14ac:dyDescent="0.3">
      <c r="A254" s="278" t="s">
        <v>443</v>
      </c>
      <c r="B254" s="280"/>
      <c r="C254" s="280"/>
      <c r="D254" s="193">
        <f t="shared" ref="D254:F254" si="289">-D66/1000</f>
        <v>0</v>
      </c>
      <c r="E254" s="193">
        <f t="shared" si="289"/>
        <v>0</v>
      </c>
      <c r="F254" s="193">
        <f t="shared" si="289"/>
        <v>0</v>
      </c>
      <c r="G254" s="193">
        <f t="shared" ref="G254:O254" si="290">-G66/1000</f>
        <v>0</v>
      </c>
      <c r="H254" s="193">
        <f t="shared" si="290"/>
        <v>0</v>
      </c>
      <c r="I254" s="193">
        <f t="shared" si="290"/>
        <v>0</v>
      </c>
      <c r="J254" s="193">
        <f t="shared" si="290"/>
        <v>0</v>
      </c>
      <c r="K254" s="193">
        <f t="shared" si="290"/>
        <v>0</v>
      </c>
      <c r="L254" s="193">
        <f t="shared" si="290"/>
        <v>0</v>
      </c>
      <c r="M254" s="193">
        <f t="shared" si="290"/>
        <v>0</v>
      </c>
      <c r="N254" s="193">
        <f t="shared" si="290"/>
        <v>0</v>
      </c>
      <c r="O254" s="193">
        <f t="shared" si="290"/>
        <v>0</v>
      </c>
      <c r="P254" s="193">
        <f t="shared" ref="P254:R254" si="291">-P66/1000</f>
        <v>0</v>
      </c>
      <c r="Q254" s="193">
        <f t="shared" si="291"/>
        <v>0</v>
      </c>
      <c r="R254" s="194">
        <f t="shared" si="291"/>
        <v>0</v>
      </c>
      <c r="T254" s="195"/>
      <c r="U254" s="184"/>
      <c r="V254" s="184"/>
      <c r="W254" s="184"/>
      <c r="X254" s="184"/>
    </row>
    <row r="255" spans="1:24" ht="13" x14ac:dyDescent="0.3">
      <c r="A255" s="360" t="s">
        <v>545</v>
      </c>
      <c r="B255" s="351"/>
      <c r="C255" s="351"/>
      <c r="D255" s="174" t="str">
        <f t="shared" ref="D255:Q255" si="292">IF(ISERROR(1-(D120/D114)),"-",1-(D120/D114))</f>
        <v>-</v>
      </c>
      <c r="E255" s="174" t="str">
        <f t="shared" si="292"/>
        <v>-</v>
      </c>
      <c r="F255" s="174" t="str">
        <f t="shared" si="292"/>
        <v>-</v>
      </c>
      <c r="G255" s="174" t="str">
        <f t="shared" si="292"/>
        <v>-</v>
      </c>
      <c r="H255" s="174" t="str">
        <f t="shared" si="292"/>
        <v>-</v>
      </c>
      <c r="I255" s="174" t="str">
        <f t="shared" si="292"/>
        <v>-</v>
      </c>
      <c r="J255" s="174" t="str">
        <f t="shared" si="292"/>
        <v>-</v>
      </c>
      <c r="K255" s="174" t="str">
        <f t="shared" si="292"/>
        <v>-</v>
      </c>
      <c r="L255" s="174" t="str">
        <f t="shared" si="292"/>
        <v>-</v>
      </c>
      <c r="M255" s="174" t="str">
        <f t="shared" si="292"/>
        <v>-</v>
      </c>
      <c r="N255" s="174" t="str">
        <f t="shared" si="292"/>
        <v>-</v>
      </c>
      <c r="O255" s="174" t="str">
        <f t="shared" si="292"/>
        <v>-</v>
      </c>
      <c r="P255" s="174" t="str">
        <f t="shared" si="292"/>
        <v>-</v>
      </c>
      <c r="Q255" s="174" t="str">
        <f t="shared" si="292"/>
        <v>-</v>
      </c>
      <c r="R255" s="248" t="str">
        <f>IF(ISERROR(1-(R120/R114)),"-",1-(R120/R114))</f>
        <v>-</v>
      </c>
      <c r="T255" s="195"/>
      <c r="U255" s="184"/>
      <c r="V255" s="184"/>
      <c r="W255" s="184"/>
      <c r="X255" s="184"/>
    </row>
    <row r="256" spans="1:24" ht="13" thickBot="1" x14ac:dyDescent="0.3">
      <c r="A256" s="361"/>
      <c r="B256" s="346"/>
      <c r="C256" s="346"/>
      <c r="D256" s="166"/>
      <c r="E256" s="166"/>
      <c r="F256" s="166"/>
      <c r="G256" s="166"/>
      <c r="H256" s="166"/>
      <c r="I256" s="166"/>
      <c r="J256" s="166"/>
      <c r="K256" s="166"/>
      <c r="L256" s="166"/>
      <c r="M256" s="166"/>
      <c r="N256" s="166"/>
      <c r="O256" s="166"/>
      <c r="P256" s="166"/>
      <c r="Q256" s="166"/>
      <c r="R256" s="196"/>
    </row>
    <row r="257" spans="1:31" ht="14.5" x14ac:dyDescent="0.35">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383"/>
      <c r="AC257" s="197"/>
      <c r="AD257" s="197"/>
      <c r="AE257" s="197"/>
    </row>
    <row r="265" spans="1:31" x14ac:dyDescent="0.25">
      <c r="A265" s="198"/>
    </row>
    <row r="266" spans="1:31" x14ac:dyDescent="0.25">
      <c r="A266" s="198"/>
    </row>
    <row r="267" spans="1:31" x14ac:dyDescent="0.25">
      <c r="A267" s="198"/>
    </row>
    <row r="268" spans="1:31" x14ac:dyDescent="0.25">
      <c r="A268" s="198"/>
    </row>
  </sheetData>
  <sheetProtection algorithmName="SHA-512" hashValue="NWotPfyHYTVJotJLuk10UfUKWJ6X1iFUXO707KJ5x3giDEn6gKHs6CvJShirtxefJtM/5OD6wmHtKUQZ4e1nGg==" saltValue="ZMK3bzIar58Q0rmmI7LRsA==" spinCount="100000" sheet="1" objects="1" scenarios="1"/>
  <dataValidations disablePrompts="1" count="2">
    <dataValidation type="list" allowBlank="1" showInputMessage="1" showErrorMessage="1" sqref="AD2" xr:uid="{00000000-0002-0000-0100-000000000000}">
      <formula1>$AF$5:$AF$8</formula1>
    </dataValidation>
    <dataValidation type="list" allowBlank="1" showInputMessage="1" showErrorMessage="1" sqref="I196846:R196846 I131310:R131310 AA983278:AD983278 AA917742:AD917742 AA852206:AD852206 AA786670:AD786670 AA721134:AD721134 AA655598:AD655598 AA590062:AD590062 AA524526:AD524526 AA458990:AD458990 AA393454:AD393454 AA327918:AD327918 AA262382:AD262382 AA196846:AD196846 AA131310:AD131310 AA65774:AD65774 TC65774 ACY65774 AMU65774 AWQ65774 BGM65774 BQI65774 CAE65774 CKA65774 CTW65774 DDS65774 DNO65774 DXK65774 EHG65774 ERC65774 FAY65774 FKU65774 FUQ65774 GEM65774 GOI65774 GYE65774 HIA65774 HRW65774 IBS65774 ILO65774 IVK65774 JFG65774 JPC65774 JYY65774 KIU65774 KSQ65774 LCM65774 LMI65774 LWE65774 MGA65774 MPW65774 MZS65774 NJO65774 NTK65774 ODG65774 ONC65774 OWY65774 PGU65774 PQQ65774 QAM65774 QKI65774 QUE65774 REA65774 RNW65774 RXS65774 SHO65774 SRK65774 TBG65774 TLC65774 TUY65774 UEU65774 UOQ65774 UYM65774 VII65774 VSE65774 WCA65774 WLW65774 WVS65774 JG131310 TC131310 ACY131310 AMU131310 AWQ131310 BGM131310 BQI131310 CAE131310 CKA131310 CTW131310 DDS131310 DNO131310 DXK131310 EHG131310 ERC131310 FAY131310 FKU131310 FUQ131310 GEM131310 GOI131310 GYE131310 HIA131310 HRW131310 IBS131310 ILO131310 IVK131310 JFG131310 JPC131310 JYY131310 KIU131310 KSQ131310 LCM131310 LMI131310 LWE131310 MGA131310 MPW131310 MZS131310 NJO131310 NTK131310 ODG131310 ONC131310 OWY131310 PGU131310 PQQ131310 QAM131310 QKI131310 QUE131310 REA131310 RNW131310 RXS131310 SHO131310 SRK131310 TBG131310 TLC131310 TUY131310 UEU131310 UOQ131310 UYM131310 VII131310 VSE131310 WCA131310 WLW131310 WVS131310 JG196846 TC196846 ACY196846 AMU196846 AWQ196846 BGM196846 BQI196846 CAE196846 CKA196846 CTW196846 DDS196846 DNO196846 DXK196846 EHG196846 ERC196846 FAY196846 FKU196846 FUQ196846 GEM196846 GOI196846 GYE196846 HIA196846 HRW196846 IBS196846 ILO196846 IVK196846 JFG196846 JPC196846 JYY196846 KIU196846 KSQ196846 LCM196846 LMI196846 LWE196846 MGA196846 MPW196846 MZS196846 NJO196846 NTK196846 ODG196846 ONC196846 OWY196846 PGU196846 PQQ196846 QAM196846 QKI196846 QUE196846 REA196846 RNW196846 RXS196846 SHO196846 SRK196846 TBG196846 TLC196846 TUY196846 UEU196846 UOQ196846 UYM196846 VII196846 VSE196846 WCA196846 WLW196846 WVS196846 JG262382 TC262382 ACY262382 AMU262382 AWQ262382 BGM262382 BQI262382 CAE262382 CKA262382 CTW262382 DDS262382 DNO262382 DXK262382 EHG262382 ERC262382 FAY262382 FKU262382 FUQ262382 GEM262382 GOI262382 GYE262382 HIA262382 HRW262382 IBS262382 ILO262382 IVK262382 JFG262382 JPC262382 JYY262382 KIU262382 KSQ262382 LCM262382 LMI262382 LWE262382 MGA262382 MPW262382 MZS262382 NJO262382 NTK262382 ODG262382 ONC262382 OWY262382 PGU262382 PQQ262382 QAM262382 QKI262382 QUE262382 REA262382 RNW262382 RXS262382 SHO262382 SRK262382 TBG262382 TLC262382 TUY262382 UEU262382 UOQ262382 UYM262382 VII262382 VSE262382 WCA262382 WLW262382 WVS262382 JG327918 TC327918 ACY327918 AMU327918 AWQ327918 BGM327918 BQI327918 CAE327918 CKA327918 CTW327918 DDS327918 DNO327918 DXK327918 EHG327918 ERC327918 FAY327918 FKU327918 FUQ327918 GEM327918 GOI327918 GYE327918 HIA327918 HRW327918 IBS327918 ILO327918 IVK327918 JFG327918 JPC327918 JYY327918 KIU327918 KSQ327918 LCM327918 LMI327918 LWE327918 MGA327918 MPW327918 MZS327918 NJO327918 NTK327918 ODG327918 ONC327918 OWY327918 PGU327918 PQQ327918 QAM327918 QKI327918 QUE327918 REA327918 RNW327918 RXS327918 SHO327918 SRK327918 TBG327918 TLC327918 TUY327918 UEU327918 UOQ327918 UYM327918 VII327918 VSE327918 WCA327918 WLW327918 WVS327918 JG393454 TC393454 ACY393454 AMU393454 AWQ393454 BGM393454 BQI393454 CAE393454 CKA393454 CTW393454 DDS393454 DNO393454 DXK393454 EHG393454 ERC393454 FAY393454 FKU393454 FUQ393454 GEM393454 GOI393454 GYE393454 HIA393454 HRW393454 IBS393454 ILO393454 IVK393454 JFG393454 JPC393454 JYY393454 KIU393454 KSQ393454 LCM393454 LMI393454 LWE393454 MGA393454 MPW393454 MZS393454 NJO393454 NTK393454 ODG393454 ONC393454 OWY393454 PGU393454 PQQ393454 QAM393454 QKI393454 QUE393454 REA393454 RNW393454 RXS393454 SHO393454 SRK393454 TBG393454 TLC393454 TUY393454 UEU393454 UOQ393454 UYM393454 VII393454 VSE393454 WCA393454 WLW393454 WVS393454 JG458990 TC458990 ACY458990 AMU458990 AWQ458990 BGM458990 BQI458990 CAE458990 CKA458990 CTW458990 DDS458990 DNO458990 DXK458990 EHG458990 ERC458990 FAY458990 FKU458990 FUQ458990 GEM458990 GOI458990 GYE458990 HIA458990 HRW458990 IBS458990 ILO458990 IVK458990 JFG458990 JPC458990 JYY458990 KIU458990 KSQ458990 LCM458990 LMI458990 LWE458990 MGA458990 MPW458990 MZS458990 NJO458990 NTK458990 ODG458990 ONC458990 OWY458990 PGU458990 PQQ458990 QAM458990 QKI458990 QUE458990 REA458990 RNW458990 RXS458990 SHO458990 SRK458990 TBG458990 TLC458990 TUY458990 UEU458990 UOQ458990 UYM458990 VII458990 VSE458990 WCA458990 WLW458990 WVS458990 JG524526 TC524526 ACY524526 AMU524526 AWQ524526 BGM524526 BQI524526 CAE524526 CKA524526 CTW524526 DDS524526 DNO524526 DXK524526 EHG524526 ERC524526 FAY524526 FKU524526 FUQ524526 GEM524526 GOI524526 GYE524526 HIA524526 HRW524526 IBS524526 ILO524526 IVK524526 JFG524526 JPC524526 JYY524526 KIU524526 KSQ524526 LCM524526 LMI524526 LWE524526 MGA524526 MPW524526 MZS524526 NJO524526 NTK524526 ODG524526 ONC524526 OWY524526 PGU524526 PQQ524526 QAM524526 QKI524526 QUE524526 REA524526 RNW524526 RXS524526 SHO524526 SRK524526 TBG524526 TLC524526 TUY524526 UEU524526 UOQ524526 UYM524526 VII524526 VSE524526 WCA524526 WLW524526 WVS524526 JG590062 TC590062 ACY590062 AMU590062 AWQ590062 BGM590062 BQI590062 CAE590062 CKA590062 CTW590062 DDS590062 DNO590062 DXK590062 EHG590062 ERC590062 FAY590062 FKU590062 FUQ590062 GEM590062 GOI590062 GYE590062 HIA590062 HRW590062 IBS590062 ILO590062 IVK590062 JFG590062 JPC590062 JYY590062 KIU590062 KSQ590062 LCM590062 LMI590062 LWE590062 MGA590062 MPW590062 MZS590062 NJO590062 NTK590062 ODG590062 ONC590062 OWY590062 PGU590062 PQQ590062 QAM590062 QKI590062 QUE590062 REA590062 RNW590062 RXS590062 SHO590062 SRK590062 TBG590062 TLC590062 TUY590062 UEU590062 UOQ590062 UYM590062 VII590062 VSE590062 WCA590062 WLW590062 WVS590062 JG655598 TC655598 ACY655598 AMU655598 AWQ655598 BGM655598 BQI655598 CAE655598 CKA655598 CTW655598 DDS655598 DNO655598 DXK655598 EHG655598 ERC655598 FAY655598 FKU655598 FUQ655598 GEM655598 GOI655598 GYE655598 HIA655598 HRW655598 IBS655598 ILO655598 IVK655598 JFG655598 JPC655598 JYY655598 KIU655598 KSQ655598 LCM655598 LMI655598 LWE655598 MGA655598 MPW655598 MZS655598 NJO655598 NTK655598 ODG655598 ONC655598 OWY655598 PGU655598 PQQ655598 QAM655598 QKI655598 QUE655598 REA655598 RNW655598 RXS655598 SHO655598 SRK655598 TBG655598 TLC655598 TUY655598 UEU655598 UOQ655598 UYM655598 VII655598 VSE655598 WCA655598 WLW655598 WVS655598 JG721134 TC721134 ACY721134 AMU721134 AWQ721134 BGM721134 BQI721134 CAE721134 CKA721134 CTW721134 DDS721134 DNO721134 DXK721134 EHG721134 ERC721134 FAY721134 FKU721134 FUQ721134 GEM721134 GOI721134 GYE721134 HIA721134 HRW721134 IBS721134 ILO721134 IVK721134 JFG721134 JPC721134 JYY721134 KIU721134 KSQ721134 LCM721134 LMI721134 LWE721134 MGA721134 MPW721134 MZS721134 NJO721134 NTK721134 ODG721134 ONC721134 OWY721134 PGU721134 PQQ721134 QAM721134 QKI721134 QUE721134 REA721134 RNW721134 RXS721134 SHO721134 SRK721134 TBG721134 TLC721134 TUY721134 UEU721134 UOQ721134 UYM721134 VII721134 VSE721134 WCA721134 WLW721134 WVS721134 JG786670 TC786670 ACY786670 AMU786670 AWQ786670 BGM786670 BQI786670 CAE786670 CKA786670 CTW786670 DDS786670 DNO786670 DXK786670 EHG786670 ERC786670 FAY786670 FKU786670 FUQ786670 GEM786670 GOI786670 GYE786670 HIA786670 HRW786670 IBS786670 ILO786670 IVK786670 JFG786670 JPC786670 JYY786670 KIU786670 KSQ786670 LCM786670 LMI786670 LWE786670 MGA786670 MPW786670 MZS786670 NJO786670 NTK786670 ODG786670 ONC786670 OWY786670 PGU786670 PQQ786670 QAM786670 QKI786670 QUE786670 REA786670 RNW786670 RXS786670 SHO786670 SRK786670 TBG786670 TLC786670 TUY786670 UEU786670 UOQ786670 UYM786670 VII786670 VSE786670 WCA786670 WLW786670 WVS786670 JG852206 TC852206 ACY852206 AMU852206 AWQ852206 BGM852206 BQI852206 CAE852206 CKA852206 CTW852206 DDS852206 DNO852206 DXK852206 EHG852206 ERC852206 FAY852206 FKU852206 FUQ852206 GEM852206 GOI852206 GYE852206 HIA852206 HRW852206 IBS852206 ILO852206 IVK852206 JFG852206 JPC852206 JYY852206 KIU852206 KSQ852206 LCM852206 LMI852206 LWE852206 MGA852206 MPW852206 MZS852206 NJO852206 NTK852206 ODG852206 ONC852206 OWY852206 PGU852206 PQQ852206 QAM852206 QKI852206 QUE852206 REA852206 RNW852206 RXS852206 SHO852206 SRK852206 TBG852206 TLC852206 TUY852206 UEU852206 UOQ852206 UYM852206 VII852206 VSE852206 WCA852206 WLW852206 WVS852206 JG917742 TC917742 ACY917742 AMU917742 AWQ917742 BGM917742 BQI917742 CAE917742 CKA917742 CTW917742 DDS917742 DNO917742 DXK917742 EHG917742 ERC917742 FAY917742 FKU917742 FUQ917742 GEM917742 GOI917742 GYE917742 HIA917742 HRW917742 IBS917742 ILO917742 IVK917742 JFG917742 JPC917742 JYY917742 KIU917742 KSQ917742 LCM917742 LMI917742 LWE917742 MGA917742 MPW917742 MZS917742 NJO917742 NTK917742 ODG917742 ONC917742 OWY917742 PGU917742 PQQ917742 QAM917742 QKI917742 QUE917742 REA917742 RNW917742 RXS917742 SHO917742 SRK917742 TBG917742 TLC917742 TUY917742 UEU917742 UOQ917742 UYM917742 VII917742 VSE917742 WCA917742 WLW917742 WVS917742 JG983278 TC983278 ACY983278 AMU983278 AWQ983278 BGM983278 BQI983278 CAE983278 CKA983278 CTW983278 DDS983278 DNO983278 DXK983278 EHG983278 ERC983278 FAY983278 FKU983278 FUQ983278 GEM983278 GOI983278 GYE983278 HIA983278 HRW983278 IBS983278 ILO983278 IVK983278 JFG983278 JPC983278 JYY983278 KIU983278 KSQ983278 LCM983278 LMI983278 LWE983278 MGA983278 MPW983278 MZS983278 NJO983278 NTK983278 ODG983278 ONC983278 OWY983278 PGU983278 PQQ983278 QAM983278 QKI983278 QUE983278 REA983278 RNW983278 RXS983278 SHO983278 SRK983278 TBG983278 TLC983278 TUY983278 UEU983278 UOQ983278 UYM983278 VII983278 VSE983278 WCA983278 WLW983278 WVS983278 JI65774:JK65774 TE65774:TG65774 ADA65774:ADC65774 AMW65774:AMY65774 AWS65774:AWU65774 BGO65774:BGQ65774 BQK65774:BQM65774 CAG65774:CAI65774 CKC65774:CKE65774 CTY65774:CUA65774 DDU65774:DDW65774 DNQ65774:DNS65774 DXM65774:DXO65774 EHI65774:EHK65774 ERE65774:ERG65774 FBA65774:FBC65774 FKW65774:FKY65774 FUS65774:FUU65774 GEO65774:GEQ65774 GOK65774:GOM65774 GYG65774:GYI65774 HIC65774:HIE65774 HRY65774:HSA65774 IBU65774:IBW65774 ILQ65774:ILS65774 IVM65774:IVO65774 JFI65774:JFK65774 JPE65774:JPG65774 JZA65774:JZC65774 KIW65774:KIY65774 KSS65774:KSU65774 LCO65774:LCQ65774 LMK65774:LMM65774 LWG65774:LWI65774 MGC65774:MGE65774 MPY65774:MQA65774 MZU65774:MZW65774 NJQ65774:NJS65774 NTM65774:NTO65774 ODI65774:ODK65774 ONE65774:ONG65774 OXA65774:OXC65774 PGW65774:PGY65774 PQS65774:PQU65774 QAO65774:QAQ65774 QKK65774:QKM65774 QUG65774:QUI65774 REC65774:REE65774 RNY65774:ROA65774 RXU65774:RXW65774 SHQ65774:SHS65774 SRM65774:SRO65774 TBI65774:TBK65774 TLE65774:TLG65774 TVA65774:TVC65774 UEW65774:UEY65774 UOS65774:UOU65774 UYO65774:UYQ65774 VIK65774:VIM65774 VSG65774:VSI65774 WCC65774:WCE65774 WLY65774:WMA65774 WVU65774:WVW65774 JI131310:JK131310 TE131310:TG131310 ADA131310:ADC131310 AMW131310:AMY131310 AWS131310:AWU131310 BGO131310:BGQ131310 BQK131310:BQM131310 CAG131310:CAI131310 CKC131310:CKE131310 CTY131310:CUA131310 DDU131310:DDW131310 DNQ131310:DNS131310 DXM131310:DXO131310 EHI131310:EHK131310 ERE131310:ERG131310 FBA131310:FBC131310 FKW131310:FKY131310 FUS131310:FUU131310 GEO131310:GEQ131310 GOK131310:GOM131310 GYG131310:GYI131310 HIC131310:HIE131310 HRY131310:HSA131310 IBU131310:IBW131310 ILQ131310:ILS131310 IVM131310:IVO131310 JFI131310:JFK131310 JPE131310:JPG131310 JZA131310:JZC131310 KIW131310:KIY131310 KSS131310:KSU131310 LCO131310:LCQ131310 LMK131310:LMM131310 LWG131310:LWI131310 MGC131310:MGE131310 MPY131310:MQA131310 MZU131310:MZW131310 NJQ131310:NJS131310 NTM131310:NTO131310 ODI131310:ODK131310 ONE131310:ONG131310 OXA131310:OXC131310 PGW131310:PGY131310 PQS131310:PQU131310 QAO131310:QAQ131310 QKK131310:QKM131310 QUG131310:QUI131310 REC131310:REE131310 RNY131310:ROA131310 RXU131310:RXW131310 SHQ131310:SHS131310 SRM131310:SRO131310 TBI131310:TBK131310 TLE131310:TLG131310 TVA131310:TVC131310 UEW131310:UEY131310 UOS131310:UOU131310 UYO131310:UYQ131310 VIK131310:VIM131310 VSG131310:VSI131310 WCC131310:WCE131310 WLY131310:WMA131310 WVU131310:WVW131310 JI196846:JK196846 TE196846:TG196846 ADA196846:ADC196846 AMW196846:AMY196846 AWS196846:AWU196846 BGO196846:BGQ196846 BQK196846:BQM196846 CAG196846:CAI196846 CKC196846:CKE196846 CTY196846:CUA196846 DDU196846:DDW196846 DNQ196846:DNS196846 DXM196846:DXO196846 EHI196846:EHK196846 ERE196846:ERG196846 FBA196846:FBC196846 FKW196846:FKY196846 FUS196846:FUU196846 GEO196846:GEQ196846 GOK196846:GOM196846 GYG196846:GYI196846 HIC196846:HIE196846 HRY196846:HSA196846 IBU196846:IBW196846 ILQ196846:ILS196846 IVM196846:IVO196846 JFI196846:JFK196846 JPE196846:JPG196846 JZA196846:JZC196846 KIW196846:KIY196846 KSS196846:KSU196846 LCO196846:LCQ196846 LMK196846:LMM196846 LWG196846:LWI196846 MGC196846:MGE196846 MPY196846:MQA196846 MZU196846:MZW196846 NJQ196846:NJS196846 NTM196846:NTO196846 ODI196846:ODK196846 ONE196846:ONG196846 OXA196846:OXC196846 PGW196846:PGY196846 PQS196846:PQU196846 QAO196846:QAQ196846 QKK196846:QKM196846 QUG196846:QUI196846 REC196846:REE196846 RNY196846:ROA196846 RXU196846:RXW196846 SHQ196846:SHS196846 SRM196846:SRO196846 TBI196846:TBK196846 TLE196846:TLG196846 TVA196846:TVC196846 UEW196846:UEY196846 UOS196846:UOU196846 UYO196846:UYQ196846 VIK196846:VIM196846 VSG196846:VSI196846 WCC196846:WCE196846 WLY196846:WMA196846 WVU196846:WVW196846 JI262382:JK262382 TE262382:TG262382 ADA262382:ADC262382 AMW262382:AMY262382 AWS262382:AWU262382 BGO262382:BGQ262382 BQK262382:BQM262382 CAG262382:CAI262382 CKC262382:CKE262382 CTY262382:CUA262382 DDU262382:DDW262382 DNQ262382:DNS262382 DXM262382:DXO262382 EHI262382:EHK262382 ERE262382:ERG262382 FBA262382:FBC262382 FKW262382:FKY262382 FUS262382:FUU262382 GEO262382:GEQ262382 GOK262382:GOM262382 GYG262382:GYI262382 HIC262382:HIE262382 HRY262382:HSA262382 IBU262382:IBW262382 ILQ262382:ILS262382 IVM262382:IVO262382 JFI262382:JFK262382 JPE262382:JPG262382 JZA262382:JZC262382 KIW262382:KIY262382 KSS262382:KSU262382 LCO262382:LCQ262382 LMK262382:LMM262382 LWG262382:LWI262382 MGC262382:MGE262382 MPY262382:MQA262382 MZU262382:MZW262382 NJQ262382:NJS262382 NTM262382:NTO262382 ODI262382:ODK262382 ONE262382:ONG262382 OXA262382:OXC262382 PGW262382:PGY262382 PQS262382:PQU262382 QAO262382:QAQ262382 QKK262382:QKM262382 QUG262382:QUI262382 REC262382:REE262382 RNY262382:ROA262382 RXU262382:RXW262382 SHQ262382:SHS262382 SRM262382:SRO262382 TBI262382:TBK262382 TLE262382:TLG262382 TVA262382:TVC262382 UEW262382:UEY262382 UOS262382:UOU262382 UYO262382:UYQ262382 VIK262382:VIM262382 VSG262382:VSI262382 WCC262382:WCE262382 WLY262382:WMA262382 WVU262382:WVW262382 JI327918:JK327918 TE327918:TG327918 ADA327918:ADC327918 AMW327918:AMY327918 AWS327918:AWU327918 BGO327918:BGQ327918 BQK327918:BQM327918 CAG327918:CAI327918 CKC327918:CKE327918 CTY327918:CUA327918 DDU327918:DDW327918 DNQ327918:DNS327918 DXM327918:DXO327918 EHI327918:EHK327918 ERE327918:ERG327918 FBA327918:FBC327918 FKW327918:FKY327918 FUS327918:FUU327918 GEO327918:GEQ327918 GOK327918:GOM327918 GYG327918:GYI327918 HIC327918:HIE327918 HRY327918:HSA327918 IBU327918:IBW327918 ILQ327918:ILS327918 IVM327918:IVO327918 JFI327918:JFK327918 JPE327918:JPG327918 JZA327918:JZC327918 KIW327918:KIY327918 KSS327918:KSU327918 LCO327918:LCQ327918 LMK327918:LMM327918 LWG327918:LWI327918 MGC327918:MGE327918 MPY327918:MQA327918 MZU327918:MZW327918 NJQ327918:NJS327918 NTM327918:NTO327918 ODI327918:ODK327918 ONE327918:ONG327918 OXA327918:OXC327918 PGW327918:PGY327918 PQS327918:PQU327918 QAO327918:QAQ327918 QKK327918:QKM327918 QUG327918:QUI327918 REC327918:REE327918 RNY327918:ROA327918 RXU327918:RXW327918 SHQ327918:SHS327918 SRM327918:SRO327918 TBI327918:TBK327918 TLE327918:TLG327918 TVA327918:TVC327918 UEW327918:UEY327918 UOS327918:UOU327918 UYO327918:UYQ327918 VIK327918:VIM327918 VSG327918:VSI327918 WCC327918:WCE327918 WLY327918:WMA327918 WVU327918:WVW327918 JI393454:JK393454 TE393454:TG393454 ADA393454:ADC393454 AMW393454:AMY393454 AWS393454:AWU393454 BGO393454:BGQ393454 BQK393454:BQM393454 CAG393454:CAI393454 CKC393454:CKE393454 CTY393454:CUA393454 DDU393454:DDW393454 DNQ393454:DNS393454 DXM393454:DXO393454 EHI393454:EHK393454 ERE393454:ERG393454 FBA393454:FBC393454 FKW393454:FKY393454 FUS393454:FUU393454 GEO393454:GEQ393454 GOK393454:GOM393454 GYG393454:GYI393454 HIC393454:HIE393454 HRY393454:HSA393454 IBU393454:IBW393454 ILQ393454:ILS393454 IVM393454:IVO393454 JFI393454:JFK393454 JPE393454:JPG393454 JZA393454:JZC393454 KIW393454:KIY393454 KSS393454:KSU393454 LCO393454:LCQ393454 LMK393454:LMM393454 LWG393454:LWI393454 MGC393454:MGE393454 MPY393454:MQA393454 MZU393454:MZW393454 NJQ393454:NJS393454 NTM393454:NTO393454 ODI393454:ODK393454 ONE393454:ONG393454 OXA393454:OXC393454 PGW393454:PGY393454 PQS393454:PQU393454 QAO393454:QAQ393454 QKK393454:QKM393454 QUG393454:QUI393454 REC393454:REE393454 RNY393454:ROA393454 RXU393454:RXW393454 SHQ393454:SHS393454 SRM393454:SRO393454 TBI393454:TBK393454 TLE393454:TLG393454 TVA393454:TVC393454 UEW393454:UEY393454 UOS393454:UOU393454 UYO393454:UYQ393454 VIK393454:VIM393454 VSG393454:VSI393454 WCC393454:WCE393454 WLY393454:WMA393454 WVU393454:WVW393454 JI458990:JK458990 TE458990:TG458990 ADA458990:ADC458990 AMW458990:AMY458990 AWS458990:AWU458990 BGO458990:BGQ458990 BQK458990:BQM458990 CAG458990:CAI458990 CKC458990:CKE458990 CTY458990:CUA458990 DDU458990:DDW458990 DNQ458990:DNS458990 DXM458990:DXO458990 EHI458990:EHK458990 ERE458990:ERG458990 FBA458990:FBC458990 FKW458990:FKY458990 FUS458990:FUU458990 GEO458990:GEQ458990 GOK458990:GOM458990 GYG458990:GYI458990 HIC458990:HIE458990 HRY458990:HSA458990 IBU458990:IBW458990 ILQ458990:ILS458990 IVM458990:IVO458990 JFI458990:JFK458990 JPE458990:JPG458990 JZA458990:JZC458990 KIW458990:KIY458990 KSS458990:KSU458990 LCO458990:LCQ458990 LMK458990:LMM458990 LWG458990:LWI458990 MGC458990:MGE458990 MPY458990:MQA458990 MZU458990:MZW458990 NJQ458990:NJS458990 NTM458990:NTO458990 ODI458990:ODK458990 ONE458990:ONG458990 OXA458990:OXC458990 PGW458990:PGY458990 PQS458990:PQU458990 QAO458990:QAQ458990 QKK458990:QKM458990 QUG458990:QUI458990 REC458990:REE458990 RNY458990:ROA458990 RXU458990:RXW458990 SHQ458990:SHS458990 SRM458990:SRO458990 TBI458990:TBK458990 TLE458990:TLG458990 TVA458990:TVC458990 UEW458990:UEY458990 UOS458990:UOU458990 UYO458990:UYQ458990 VIK458990:VIM458990 VSG458990:VSI458990 WCC458990:WCE458990 WLY458990:WMA458990 WVU458990:WVW458990 JI524526:JK524526 TE524526:TG524526 ADA524526:ADC524526 AMW524526:AMY524526 AWS524526:AWU524526 BGO524526:BGQ524526 BQK524526:BQM524526 CAG524526:CAI524526 CKC524526:CKE524526 CTY524526:CUA524526 DDU524526:DDW524526 DNQ524526:DNS524526 DXM524526:DXO524526 EHI524526:EHK524526 ERE524526:ERG524526 FBA524526:FBC524526 FKW524526:FKY524526 FUS524526:FUU524526 GEO524526:GEQ524526 GOK524526:GOM524526 GYG524526:GYI524526 HIC524526:HIE524526 HRY524526:HSA524526 IBU524526:IBW524526 ILQ524526:ILS524526 IVM524526:IVO524526 JFI524526:JFK524526 JPE524526:JPG524526 JZA524526:JZC524526 KIW524526:KIY524526 KSS524526:KSU524526 LCO524526:LCQ524526 LMK524526:LMM524526 LWG524526:LWI524526 MGC524526:MGE524526 MPY524526:MQA524526 MZU524526:MZW524526 NJQ524526:NJS524526 NTM524526:NTO524526 ODI524526:ODK524526 ONE524526:ONG524526 OXA524526:OXC524526 PGW524526:PGY524526 PQS524526:PQU524526 QAO524526:QAQ524526 QKK524526:QKM524526 QUG524526:QUI524526 REC524526:REE524526 RNY524526:ROA524526 RXU524526:RXW524526 SHQ524526:SHS524526 SRM524526:SRO524526 TBI524526:TBK524526 TLE524526:TLG524526 TVA524526:TVC524526 UEW524526:UEY524526 UOS524526:UOU524526 UYO524526:UYQ524526 VIK524526:VIM524526 VSG524526:VSI524526 WCC524526:WCE524526 WLY524526:WMA524526 WVU524526:WVW524526 JI590062:JK590062 TE590062:TG590062 ADA590062:ADC590062 AMW590062:AMY590062 AWS590062:AWU590062 BGO590062:BGQ590062 BQK590062:BQM590062 CAG590062:CAI590062 CKC590062:CKE590062 CTY590062:CUA590062 DDU590062:DDW590062 DNQ590062:DNS590062 DXM590062:DXO590062 EHI590062:EHK590062 ERE590062:ERG590062 FBA590062:FBC590062 FKW590062:FKY590062 FUS590062:FUU590062 GEO590062:GEQ590062 GOK590062:GOM590062 GYG590062:GYI590062 HIC590062:HIE590062 HRY590062:HSA590062 IBU590062:IBW590062 ILQ590062:ILS590062 IVM590062:IVO590062 JFI590062:JFK590062 JPE590062:JPG590062 JZA590062:JZC590062 KIW590062:KIY590062 KSS590062:KSU590062 LCO590062:LCQ590062 LMK590062:LMM590062 LWG590062:LWI590062 MGC590062:MGE590062 MPY590062:MQA590062 MZU590062:MZW590062 NJQ590062:NJS590062 NTM590062:NTO590062 ODI590062:ODK590062 ONE590062:ONG590062 OXA590062:OXC590062 PGW590062:PGY590062 PQS590062:PQU590062 QAO590062:QAQ590062 QKK590062:QKM590062 QUG590062:QUI590062 REC590062:REE590062 RNY590062:ROA590062 RXU590062:RXW590062 SHQ590062:SHS590062 SRM590062:SRO590062 TBI590062:TBK590062 TLE590062:TLG590062 TVA590062:TVC590062 UEW590062:UEY590062 UOS590062:UOU590062 UYO590062:UYQ590062 VIK590062:VIM590062 VSG590062:VSI590062 WCC590062:WCE590062 WLY590062:WMA590062 WVU590062:WVW590062 JI655598:JK655598 TE655598:TG655598 ADA655598:ADC655598 AMW655598:AMY655598 AWS655598:AWU655598 BGO655598:BGQ655598 BQK655598:BQM655598 CAG655598:CAI655598 CKC655598:CKE655598 CTY655598:CUA655598 DDU655598:DDW655598 DNQ655598:DNS655598 DXM655598:DXO655598 EHI655598:EHK655598 ERE655598:ERG655598 FBA655598:FBC655598 FKW655598:FKY655598 FUS655598:FUU655598 GEO655598:GEQ655598 GOK655598:GOM655598 GYG655598:GYI655598 HIC655598:HIE655598 HRY655598:HSA655598 IBU655598:IBW655598 ILQ655598:ILS655598 IVM655598:IVO655598 JFI655598:JFK655598 JPE655598:JPG655598 JZA655598:JZC655598 KIW655598:KIY655598 KSS655598:KSU655598 LCO655598:LCQ655598 LMK655598:LMM655598 LWG655598:LWI655598 MGC655598:MGE655598 MPY655598:MQA655598 MZU655598:MZW655598 NJQ655598:NJS655598 NTM655598:NTO655598 ODI655598:ODK655598 ONE655598:ONG655598 OXA655598:OXC655598 PGW655598:PGY655598 PQS655598:PQU655598 QAO655598:QAQ655598 QKK655598:QKM655598 QUG655598:QUI655598 REC655598:REE655598 RNY655598:ROA655598 RXU655598:RXW655598 SHQ655598:SHS655598 SRM655598:SRO655598 TBI655598:TBK655598 TLE655598:TLG655598 TVA655598:TVC655598 UEW655598:UEY655598 UOS655598:UOU655598 UYO655598:UYQ655598 VIK655598:VIM655598 VSG655598:VSI655598 WCC655598:WCE655598 WLY655598:WMA655598 WVU655598:WVW655598 JI721134:JK721134 TE721134:TG721134 ADA721134:ADC721134 AMW721134:AMY721134 AWS721134:AWU721134 BGO721134:BGQ721134 BQK721134:BQM721134 CAG721134:CAI721134 CKC721134:CKE721134 CTY721134:CUA721134 DDU721134:DDW721134 DNQ721134:DNS721134 DXM721134:DXO721134 EHI721134:EHK721134 ERE721134:ERG721134 FBA721134:FBC721134 FKW721134:FKY721134 FUS721134:FUU721134 GEO721134:GEQ721134 GOK721134:GOM721134 GYG721134:GYI721134 HIC721134:HIE721134 HRY721134:HSA721134 IBU721134:IBW721134 ILQ721134:ILS721134 IVM721134:IVO721134 JFI721134:JFK721134 JPE721134:JPG721134 JZA721134:JZC721134 KIW721134:KIY721134 KSS721134:KSU721134 LCO721134:LCQ721134 LMK721134:LMM721134 LWG721134:LWI721134 MGC721134:MGE721134 MPY721134:MQA721134 MZU721134:MZW721134 NJQ721134:NJS721134 NTM721134:NTO721134 ODI721134:ODK721134 ONE721134:ONG721134 OXA721134:OXC721134 PGW721134:PGY721134 PQS721134:PQU721134 QAO721134:QAQ721134 QKK721134:QKM721134 QUG721134:QUI721134 REC721134:REE721134 RNY721134:ROA721134 RXU721134:RXW721134 SHQ721134:SHS721134 SRM721134:SRO721134 TBI721134:TBK721134 TLE721134:TLG721134 TVA721134:TVC721134 UEW721134:UEY721134 UOS721134:UOU721134 UYO721134:UYQ721134 VIK721134:VIM721134 VSG721134:VSI721134 WCC721134:WCE721134 WLY721134:WMA721134 WVU721134:WVW721134 JI786670:JK786670 TE786670:TG786670 ADA786670:ADC786670 AMW786670:AMY786670 AWS786670:AWU786670 BGO786670:BGQ786670 BQK786670:BQM786670 CAG786670:CAI786670 CKC786670:CKE786670 CTY786670:CUA786670 DDU786670:DDW786670 DNQ786670:DNS786670 DXM786670:DXO786670 EHI786670:EHK786670 ERE786670:ERG786670 FBA786670:FBC786670 FKW786670:FKY786670 FUS786670:FUU786670 GEO786670:GEQ786670 GOK786670:GOM786670 GYG786670:GYI786670 HIC786670:HIE786670 HRY786670:HSA786670 IBU786670:IBW786670 ILQ786670:ILS786670 IVM786670:IVO786670 JFI786670:JFK786670 JPE786670:JPG786670 JZA786670:JZC786670 KIW786670:KIY786670 KSS786670:KSU786670 LCO786670:LCQ786670 LMK786670:LMM786670 LWG786670:LWI786670 MGC786670:MGE786670 MPY786670:MQA786670 MZU786670:MZW786670 NJQ786670:NJS786670 NTM786670:NTO786670 ODI786670:ODK786670 ONE786670:ONG786670 OXA786670:OXC786670 PGW786670:PGY786670 PQS786670:PQU786670 QAO786670:QAQ786670 QKK786670:QKM786670 QUG786670:QUI786670 REC786670:REE786670 RNY786670:ROA786670 RXU786670:RXW786670 SHQ786670:SHS786670 SRM786670:SRO786670 TBI786670:TBK786670 TLE786670:TLG786670 TVA786670:TVC786670 UEW786670:UEY786670 UOS786670:UOU786670 UYO786670:UYQ786670 VIK786670:VIM786670 VSG786670:VSI786670 WCC786670:WCE786670 WLY786670:WMA786670 WVU786670:WVW786670 JI852206:JK852206 TE852206:TG852206 ADA852206:ADC852206 AMW852206:AMY852206 AWS852206:AWU852206 BGO852206:BGQ852206 BQK852206:BQM852206 CAG852206:CAI852206 CKC852206:CKE852206 CTY852206:CUA852206 DDU852206:DDW852206 DNQ852206:DNS852206 DXM852206:DXO852206 EHI852206:EHK852206 ERE852206:ERG852206 FBA852206:FBC852206 FKW852206:FKY852206 FUS852206:FUU852206 GEO852206:GEQ852206 GOK852206:GOM852206 GYG852206:GYI852206 HIC852206:HIE852206 HRY852206:HSA852206 IBU852206:IBW852206 ILQ852206:ILS852206 IVM852206:IVO852206 JFI852206:JFK852206 JPE852206:JPG852206 JZA852206:JZC852206 KIW852206:KIY852206 KSS852206:KSU852206 LCO852206:LCQ852206 LMK852206:LMM852206 LWG852206:LWI852206 MGC852206:MGE852206 MPY852206:MQA852206 MZU852206:MZW852206 NJQ852206:NJS852206 NTM852206:NTO852206 ODI852206:ODK852206 ONE852206:ONG852206 OXA852206:OXC852206 PGW852206:PGY852206 PQS852206:PQU852206 QAO852206:QAQ852206 QKK852206:QKM852206 QUG852206:QUI852206 REC852206:REE852206 RNY852206:ROA852206 RXU852206:RXW852206 SHQ852206:SHS852206 SRM852206:SRO852206 TBI852206:TBK852206 TLE852206:TLG852206 TVA852206:TVC852206 UEW852206:UEY852206 UOS852206:UOU852206 UYO852206:UYQ852206 VIK852206:VIM852206 VSG852206:VSI852206 WCC852206:WCE852206 WLY852206:WMA852206 WVU852206:WVW852206 JI917742:JK917742 TE917742:TG917742 ADA917742:ADC917742 AMW917742:AMY917742 AWS917742:AWU917742 BGO917742:BGQ917742 BQK917742:BQM917742 CAG917742:CAI917742 CKC917742:CKE917742 CTY917742:CUA917742 DDU917742:DDW917742 DNQ917742:DNS917742 DXM917742:DXO917742 EHI917742:EHK917742 ERE917742:ERG917742 FBA917742:FBC917742 FKW917742:FKY917742 FUS917742:FUU917742 GEO917742:GEQ917742 GOK917742:GOM917742 GYG917742:GYI917742 HIC917742:HIE917742 HRY917742:HSA917742 IBU917742:IBW917742 ILQ917742:ILS917742 IVM917742:IVO917742 JFI917742:JFK917742 JPE917742:JPG917742 JZA917742:JZC917742 KIW917742:KIY917742 KSS917742:KSU917742 LCO917742:LCQ917742 LMK917742:LMM917742 LWG917742:LWI917742 MGC917742:MGE917742 MPY917742:MQA917742 MZU917742:MZW917742 NJQ917742:NJS917742 NTM917742:NTO917742 ODI917742:ODK917742 ONE917742:ONG917742 OXA917742:OXC917742 PGW917742:PGY917742 PQS917742:PQU917742 QAO917742:QAQ917742 QKK917742:QKM917742 QUG917742:QUI917742 REC917742:REE917742 RNY917742:ROA917742 RXU917742:RXW917742 SHQ917742:SHS917742 SRM917742:SRO917742 TBI917742:TBK917742 TLE917742:TLG917742 TVA917742:TVC917742 UEW917742:UEY917742 UOS917742:UOU917742 UYO917742:UYQ917742 VIK917742:VIM917742 VSG917742:VSI917742 WCC917742:WCE917742 WLY917742:WMA917742 WVU917742:WVW917742 JI983278:JK983278 TE983278:TG983278 ADA983278:ADC983278 AMW983278:AMY983278 AWS983278:AWU983278 BGO983278:BGQ983278 BQK983278:BQM983278 CAG983278:CAI983278 CKC983278:CKE983278 CTY983278:CUA983278 DDU983278:DDW983278 DNQ983278:DNS983278 DXM983278:DXO983278 EHI983278:EHK983278 ERE983278:ERG983278 FBA983278:FBC983278 FKW983278:FKY983278 FUS983278:FUU983278 GEO983278:GEQ983278 GOK983278:GOM983278 GYG983278:GYI983278 HIC983278:HIE983278 HRY983278:HSA983278 IBU983278:IBW983278 ILQ983278:ILS983278 IVM983278:IVO983278 JFI983278:JFK983278 JPE983278:JPG983278 JZA983278:JZC983278 KIW983278:KIY983278 KSS983278:KSU983278 LCO983278:LCQ983278 LMK983278:LMM983278 LWG983278:LWI983278 MGC983278:MGE983278 MPY983278:MQA983278 MZU983278:MZW983278 NJQ983278:NJS983278 NTM983278:NTO983278 ODI983278:ODK983278 ONE983278:ONG983278 OXA983278:OXC983278 PGW983278:PGY983278 PQS983278:PQU983278 QAO983278:QAQ983278 QKK983278:QKM983278 QUG983278:QUI983278 REC983278:REE983278 RNY983278:ROA983278 RXU983278:RXW983278 SHQ983278:SHS983278 SRM983278:SRO983278 TBI983278:TBK983278 TLE983278:TLG983278 TVA983278:TVC983278 UEW983278:UEY983278 UOS983278:UOU983278 UYO983278:UYQ983278 VIK983278:VIM983278 VSG983278:VSI983278 WCC983278:WCE983278 WLY983278:WMA983278 WVU983278:WVW983278 JG65774 I65774:R65774 I983278:R983278 I917742:R917742 I852206:R852206 I786670:R786670 I721134:R721134 I655598:R655598 I590062:R590062 I524526:R524526 I458990:R458990 I393454:R393454 I327918:R327918 I262382:R262382" xr:uid="{00000000-0002-0000-0100-000001000000}">
      <formula1>$A$265:$A$268</formula1>
    </dataValidation>
  </dataValidations>
  <pageMargins left="0.2" right="0.2" top="0.2" bottom="0.2" header="0.25" footer="0.25"/>
  <pageSetup scale="23" orientation="landscape" horizontalDpi="1200" verticalDpi="1200" r:id="rId1"/>
  <headerFooter alignWithMargins="0"/>
  <rowBreaks count="1" manualBreakCount="1">
    <brk id="175" max="10"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Changes Log</vt:lpstr>
      <vt:lpstr>Model</vt:lpstr>
    </vt:vector>
  </TitlesOfParts>
  <Company>The McGraw-Hill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-EUCA</dc:subject>
  <dc:creator>clayton_montgomery</dc:creator>
  <cp:lastModifiedBy>Ding, Derek (Analytical)</cp:lastModifiedBy>
  <cp:lastPrinted>2016-12-16T15:26:00Z</cp:lastPrinted>
  <dcterms:created xsi:type="dcterms:W3CDTF">2016-08-19T17:37:35Z</dcterms:created>
  <dcterms:modified xsi:type="dcterms:W3CDTF">2025-08-26T15:08:13Z</dcterms:modified>
  <cp:contentStatus>Unnecessary-EUCA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b4a1db0c-7c19-4a61-b9e3-ffd47b9d98e9</vt:lpwstr>
  </property>
  <property fmtid="{D5CDD505-2E9C-101B-9397-08002B2CF9AE}" pid="3" name="Classification">
    <vt:lpwstr>Internal</vt:lpwstr>
  </property>
  <property fmtid="{D5CDD505-2E9C-101B-9397-08002B2CF9AE}" pid="4" name="{A44787D4-0540-4523-9961-78E4036D8C6D}">
    <vt:lpwstr>{08CCF016-5394-4142-A241-DDCA27A52ADE}</vt:lpwstr>
  </property>
  <property fmtid="{D5CDD505-2E9C-101B-9397-08002B2CF9AE}" pid="5" name="MSIP_Label_831f0267-8575-4fc2-99cc-f6b7f9934be9_Enabled">
    <vt:lpwstr>true</vt:lpwstr>
  </property>
  <property fmtid="{D5CDD505-2E9C-101B-9397-08002B2CF9AE}" pid="6" name="MSIP_Label_831f0267-8575-4fc2-99cc-f6b7f9934be9_SetDate">
    <vt:lpwstr>2025-08-26T15:06:52Z</vt:lpwstr>
  </property>
  <property fmtid="{D5CDD505-2E9C-101B-9397-08002B2CF9AE}" pid="7" name="MSIP_Label_831f0267-8575-4fc2-99cc-f6b7f9934be9_Method">
    <vt:lpwstr>Standard</vt:lpwstr>
  </property>
  <property fmtid="{D5CDD505-2E9C-101B-9397-08002B2CF9AE}" pid="8" name="MSIP_Label_831f0267-8575-4fc2-99cc-f6b7f9934be9_Name">
    <vt:lpwstr>831f0267-8575-4fc2-99cc-f6b7f9934be9</vt:lpwstr>
  </property>
  <property fmtid="{D5CDD505-2E9C-101B-9397-08002B2CF9AE}" pid="9" name="MSIP_Label_831f0267-8575-4fc2-99cc-f6b7f9934be9_SiteId">
    <vt:lpwstr>8f3e36ea-8039-4b40-81a7-7dc0599e8645</vt:lpwstr>
  </property>
  <property fmtid="{D5CDD505-2E9C-101B-9397-08002B2CF9AE}" pid="10" name="MSIP_Label_831f0267-8575-4fc2-99cc-f6b7f9934be9_ActionId">
    <vt:lpwstr>6b7347f6-1ec2-461d-a726-dbd7fb3fbde0</vt:lpwstr>
  </property>
  <property fmtid="{D5CDD505-2E9C-101B-9397-08002B2CF9AE}" pid="11" name="MSIP_Label_831f0267-8575-4fc2-99cc-f6b7f9934be9_ContentBits">
    <vt:lpwstr>0</vt:lpwstr>
  </property>
  <property fmtid="{D5CDD505-2E9C-101B-9397-08002B2CF9AE}" pid="12" name="MSIP_Label_831f0267-8575-4fc2-99cc-f6b7f9934be9_Tag">
    <vt:lpwstr>10, 3, 0, 1</vt:lpwstr>
  </property>
  <property fmtid="{D5CDD505-2E9C-101B-9397-08002B2CF9AE}" pid="13" name="EUCA-GUID">
    <vt:lpwstr>095132D2-8332-4BD3-8E13-263A004607EA</vt:lpwstr>
  </property>
  <property fmtid="{D5CDD505-2E9C-101B-9397-08002B2CF9AE}" pid="14" name="EUCA-JSON">
    <vt:lpwstr>{"ReviewStatus": "Unnecessary"}</vt:lpwstr>
  </property>
  <property fmtid="{D5CDD505-2E9C-101B-9397-08002B2CF9AE}" pid="15" name="EUCA-Complexity">
    <vt:lpwstr>Not Complex</vt:lpwstr>
  </property>
  <property fmtid="{D5CDD505-2E9C-101B-9397-08002B2CF9AE}" pid="16" name="EUCA-MaterialChange">
    <vt:lpwstr/>
  </property>
  <property fmtid="{D5CDD505-2E9C-101B-9397-08002B2CF9AE}" pid="17" name="EUCA-MacroComplexity">
    <vt:lpwstr>Not Complex</vt:lpwstr>
  </property>
  <property fmtid="{D5CDD505-2E9C-101B-9397-08002B2CF9AE}" pid="18" name="EUCA-SoftwareVersion">
    <vt:lpwstr>2023-12-27</vt:lpwstr>
  </property>
  <property fmtid="{D5CDD505-2E9C-101B-9397-08002B2CF9AE}" pid="19" name="EUCA-ComplexityRulesVersion">
    <vt:lpwstr>2022-12-25</vt:lpwstr>
  </property>
  <property fmtid="{D5CDD505-2E9C-101B-9397-08002B2CF9AE}" pid="20" name="EUCA-NrFormulas">
    <vt:lpwstr>2149</vt:lpwstr>
  </property>
  <property fmtid="{D5CDD505-2E9C-101B-9397-08002B2CF9AE}" pid="21" name="EUCA-NrDistinct">
    <vt:lpwstr>214</vt:lpwstr>
  </property>
  <property fmtid="{D5CDD505-2E9C-101B-9397-08002B2CF9AE}" pid="22" name="EUCA-NrErrorValues">
    <vt:lpwstr>0</vt:lpwstr>
  </property>
  <property fmtid="{D5CDD505-2E9C-101B-9397-08002B2CF9AE}" pid="23" name="EUCA-NrDistinctErrorValues">
    <vt:lpwstr>0</vt:lpwstr>
  </property>
  <property fmtid="{D5CDD505-2E9C-101B-9397-08002B2CF9AE}" pid="24" name="EUCA-NrMacroLines">
    <vt:lpwstr>Non Macro</vt:lpwstr>
  </property>
  <property fmtid="{D5CDD505-2E9C-101B-9397-08002B2CF9AE}" pid="25" name="EUCA-NrChangedTotal">
    <vt:lpwstr/>
  </property>
  <property fmtid="{D5CDD505-2E9C-101B-9397-08002B2CF9AE}" pid="26" name="EUCA-NrChanged">
    <vt:lpwstr/>
  </property>
  <property fmtid="{D5CDD505-2E9C-101B-9397-08002B2CF9AE}" pid="27" name="EUCA-ReviewStatus">
    <vt:lpwstr>Unnecessary</vt:lpwstr>
  </property>
</Properties>
</file>